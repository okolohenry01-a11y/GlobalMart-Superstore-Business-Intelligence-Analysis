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13_ncr:1_{A482218C-7D01-4675-93D9-A60FEE1201C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🗂️ Raw Dataset (Messy)" sheetId="1" r:id="rId1"/>
    <sheet name="Cleaned Data" sheetId="2" r:id="rId2"/>
  </sheets>
  <definedNames>
    <definedName name="_xlnm._FilterDatabase" localSheetId="0" hidden="1">'🗂️ Raw Dataset (Messy)'!$A$1:$V$1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50" i="2" l="1"/>
  <c r="Z2050" i="2"/>
  <c r="Y2050" i="2"/>
  <c r="S2050" i="2"/>
  <c r="O2050" i="2"/>
  <c r="P2050" i="2" s="1"/>
  <c r="AA2049" i="2"/>
  <c r="Z2049" i="2"/>
  <c r="Y2049" i="2"/>
  <c r="S2049" i="2"/>
  <c r="O2049" i="2"/>
  <c r="P2049" i="2" s="1"/>
  <c r="AA2048" i="2"/>
  <c r="Z2048" i="2"/>
  <c r="Y2048" i="2"/>
  <c r="S2048" i="2"/>
  <c r="O2048" i="2"/>
  <c r="P2048" i="2" s="1"/>
  <c r="AA2047" i="2"/>
  <c r="Z2047" i="2"/>
  <c r="Y2047" i="2"/>
  <c r="S2047" i="2"/>
  <c r="O2047" i="2"/>
  <c r="P2047" i="2" s="1"/>
  <c r="AA2046" i="2"/>
  <c r="Z2046" i="2"/>
  <c r="Y2046" i="2"/>
  <c r="S2046" i="2"/>
  <c r="O2046" i="2"/>
  <c r="P2046" i="2" s="1"/>
  <c r="AA2045" i="2"/>
  <c r="Z2045" i="2"/>
  <c r="Y2045" i="2"/>
  <c r="S2045" i="2"/>
  <c r="O2045" i="2"/>
  <c r="P2045" i="2" s="1"/>
  <c r="AA2044" i="2"/>
  <c r="Z2044" i="2"/>
  <c r="Y2044" i="2"/>
  <c r="S2044" i="2"/>
  <c r="O2044" i="2"/>
  <c r="P2044" i="2" s="1"/>
  <c r="AA2043" i="2"/>
  <c r="Z2043" i="2"/>
  <c r="Y2043" i="2"/>
  <c r="S2043" i="2"/>
  <c r="O2043" i="2"/>
  <c r="P2043" i="2" s="1"/>
  <c r="AA2042" i="2"/>
  <c r="Z2042" i="2"/>
  <c r="Y2042" i="2"/>
  <c r="S2042" i="2"/>
  <c r="O2042" i="2"/>
  <c r="P2042" i="2" s="1"/>
  <c r="AA2041" i="2"/>
  <c r="Z2041" i="2"/>
  <c r="Y2041" i="2"/>
  <c r="S2041" i="2"/>
  <c r="O2041" i="2"/>
  <c r="P2041" i="2" s="1"/>
  <c r="AA2040" i="2"/>
  <c r="Z2040" i="2"/>
  <c r="Y2040" i="2"/>
  <c r="S2040" i="2"/>
  <c r="O2040" i="2"/>
  <c r="P2040" i="2" s="1"/>
  <c r="AA2039" i="2"/>
  <c r="Z2039" i="2"/>
  <c r="Y2039" i="2"/>
  <c r="S2039" i="2"/>
  <c r="O2039" i="2"/>
  <c r="P2039" i="2" s="1"/>
  <c r="AA2038" i="2"/>
  <c r="Z2038" i="2"/>
  <c r="Y2038" i="2"/>
  <c r="S2038" i="2"/>
  <c r="O2038" i="2"/>
  <c r="P2038" i="2" s="1"/>
  <c r="AA2037" i="2"/>
  <c r="Z2037" i="2"/>
  <c r="Y2037" i="2"/>
  <c r="S2037" i="2"/>
  <c r="O2037" i="2"/>
  <c r="P2037" i="2" s="1"/>
  <c r="AA2036" i="2"/>
  <c r="Z2036" i="2"/>
  <c r="Y2036" i="2"/>
  <c r="S2036" i="2"/>
  <c r="O2036" i="2"/>
  <c r="P2036" i="2" s="1"/>
  <c r="AA2035" i="2"/>
  <c r="Z2035" i="2"/>
  <c r="Y2035" i="2"/>
  <c r="S2035" i="2"/>
  <c r="O2035" i="2"/>
  <c r="P2035" i="2" s="1"/>
  <c r="AA2034" i="2"/>
  <c r="Z2034" i="2"/>
  <c r="Y2034" i="2"/>
  <c r="S2034" i="2"/>
  <c r="O2034" i="2"/>
  <c r="P2034" i="2" s="1"/>
  <c r="AA2033" i="2"/>
  <c r="Z2033" i="2"/>
  <c r="Y2033" i="2"/>
  <c r="S2033" i="2"/>
  <c r="O2033" i="2"/>
  <c r="P2033" i="2" s="1"/>
  <c r="AA2032" i="2"/>
  <c r="Z2032" i="2"/>
  <c r="Y2032" i="2"/>
  <c r="S2032" i="2"/>
  <c r="O2032" i="2"/>
  <c r="P2032" i="2" s="1"/>
  <c r="AA2031" i="2"/>
  <c r="Z2031" i="2"/>
  <c r="Y2031" i="2"/>
  <c r="S2031" i="2"/>
  <c r="O2031" i="2"/>
  <c r="P2031" i="2" s="1"/>
  <c r="AA2030" i="2"/>
  <c r="Z2030" i="2"/>
  <c r="Y2030" i="2"/>
  <c r="S2030" i="2"/>
  <c r="O2030" i="2"/>
  <c r="P2030" i="2" s="1"/>
  <c r="AA2029" i="2"/>
  <c r="Z2029" i="2"/>
  <c r="Y2029" i="2"/>
  <c r="S2029" i="2"/>
  <c r="O2029" i="2"/>
  <c r="P2029" i="2" s="1"/>
  <c r="AA2028" i="2"/>
  <c r="Z2028" i="2"/>
  <c r="Y2028" i="2"/>
  <c r="S2028" i="2"/>
  <c r="O2028" i="2"/>
  <c r="P2028" i="2" s="1"/>
  <c r="AA2027" i="2"/>
  <c r="Z2027" i="2"/>
  <c r="Y2027" i="2"/>
  <c r="S2027" i="2"/>
  <c r="O2027" i="2"/>
  <c r="P2027" i="2" s="1"/>
  <c r="AA2026" i="2"/>
  <c r="Z2026" i="2"/>
  <c r="Y2026" i="2"/>
  <c r="S2026" i="2"/>
  <c r="O2026" i="2"/>
  <c r="P2026" i="2" s="1"/>
  <c r="AA2025" i="2"/>
  <c r="Z2025" i="2"/>
  <c r="Y2025" i="2"/>
  <c r="S2025" i="2"/>
  <c r="O2025" i="2"/>
  <c r="P2025" i="2" s="1"/>
  <c r="AA2024" i="2"/>
  <c r="Z2024" i="2"/>
  <c r="Y2024" i="2"/>
  <c r="S2024" i="2"/>
  <c r="O2024" i="2"/>
  <c r="P2024" i="2" s="1"/>
  <c r="AA2023" i="2"/>
  <c r="Z2023" i="2"/>
  <c r="Y2023" i="2"/>
  <c r="S2023" i="2"/>
  <c r="O2023" i="2"/>
  <c r="P2023" i="2" s="1"/>
  <c r="AA2022" i="2"/>
  <c r="Z2022" i="2"/>
  <c r="Y2022" i="2"/>
  <c r="S2022" i="2"/>
  <c r="O2022" i="2"/>
  <c r="P2022" i="2" s="1"/>
  <c r="AA2021" i="2"/>
  <c r="Z2021" i="2"/>
  <c r="Y2021" i="2"/>
  <c r="S2021" i="2"/>
  <c r="O2021" i="2"/>
  <c r="P2021" i="2" s="1"/>
  <c r="AA2020" i="2"/>
  <c r="Z2020" i="2"/>
  <c r="Y2020" i="2"/>
  <c r="S2020" i="2"/>
  <c r="O2020" i="2"/>
  <c r="P2020" i="2" s="1"/>
  <c r="AA2019" i="2"/>
  <c r="Z2019" i="2"/>
  <c r="Y2019" i="2"/>
  <c r="S2019" i="2"/>
  <c r="O2019" i="2"/>
  <c r="P2019" i="2" s="1"/>
  <c r="AA2018" i="2"/>
  <c r="Z2018" i="2"/>
  <c r="Y2018" i="2"/>
  <c r="S2018" i="2"/>
  <c r="O2018" i="2"/>
  <c r="P2018" i="2" s="1"/>
  <c r="AA2017" i="2"/>
  <c r="Z2017" i="2"/>
  <c r="Y2017" i="2"/>
  <c r="S2017" i="2"/>
  <c r="O2017" i="2"/>
  <c r="P2017" i="2" s="1"/>
  <c r="AA2016" i="2"/>
  <c r="Z2016" i="2"/>
  <c r="Y2016" i="2"/>
  <c r="S2016" i="2"/>
  <c r="O2016" i="2"/>
  <c r="P2016" i="2" s="1"/>
  <c r="AA2015" i="2"/>
  <c r="Z2015" i="2"/>
  <c r="Y2015" i="2"/>
  <c r="S2015" i="2"/>
  <c r="O2015" i="2"/>
  <c r="P2015" i="2" s="1"/>
  <c r="AA2014" i="2"/>
  <c r="Z2014" i="2"/>
  <c r="Y2014" i="2"/>
  <c r="S2014" i="2"/>
  <c r="O2014" i="2"/>
  <c r="P2014" i="2" s="1"/>
  <c r="AA2013" i="2"/>
  <c r="Z2013" i="2"/>
  <c r="Y2013" i="2"/>
  <c r="S2013" i="2"/>
  <c r="O2013" i="2"/>
  <c r="P2013" i="2" s="1"/>
  <c r="AA2012" i="2"/>
  <c r="Z2012" i="2"/>
  <c r="Y2012" i="2"/>
  <c r="S2012" i="2"/>
  <c r="O2012" i="2"/>
  <c r="P2012" i="2" s="1"/>
  <c r="AA2011" i="2"/>
  <c r="Z2011" i="2"/>
  <c r="Y2011" i="2"/>
  <c r="S2011" i="2"/>
  <c r="O2011" i="2"/>
  <c r="P2011" i="2" s="1"/>
  <c r="AA2010" i="2"/>
  <c r="Z2010" i="2"/>
  <c r="Y2010" i="2"/>
  <c r="S2010" i="2"/>
  <c r="O2010" i="2"/>
  <c r="P2010" i="2" s="1"/>
  <c r="AA2009" i="2"/>
  <c r="Z2009" i="2"/>
  <c r="Y2009" i="2"/>
  <c r="S2009" i="2"/>
  <c r="O2009" i="2"/>
  <c r="P2009" i="2" s="1"/>
  <c r="AA2008" i="2"/>
  <c r="Z2008" i="2"/>
  <c r="Y2008" i="2"/>
  <c r="S2008" i="2"/>
  <c r="O2008" i="2"/>
  <c r="P2008" i="2" s="1"/>
  <c r="AA2007" i="2"/>
  <c r="Z2007" i="2"/>
  <c r="Y2007" i="2"/>
  <c r="S2007" i="2"/>
  <c r="O2007" i="2"/>
  <c r="P2007" i="2" s="1"/>
  <c r="AA2006" i="2"/>
  <c r="Z2006" i="2"/>
  <c r="Y2006" i="2"/>
  <c r="S2006" i="2"/>
  <c r="O2006" i="2"/>
  <c r="P2006" i="2" s="1"/>
  <c r="AA2005" i="2"/>
  <c r="Z2005" i="2"/>
  <c r="Y2005" i="2"/>
  <c r="S2005" i="2"/>
  <c r="O2005" i="2"/>
  <c r="P2005" i="2" s="1"/>
  <c r="AA2004" i="2"/>
  <c r="Z2004" i="2"/>
  <c r="Y2004" i="2"/>
  <c r="S2004" i="2"/>
  <c r="O2004" i="2"/>
  <c r="P2004" i="2" s="1"/>
  <c r="AA2003" i="2"/>
  <c r="Z2003" i="2"/>
  <c r="Y2003" i="2"/>
  <c r="S2003" i="2"/>
  <c r="O2003" i="2"/>
  <c r="P2003" i="2" s="1"/>
  <c r="AA2002" i="2"/>
  <c r="Z2002" i="2"/>
  <c r="Y2002" i="2"/>
  <c r="S2002" i="2"/>
  <c r="O2002" i="2"/>
  <c r="P2002" i="2" s="1"/>
  <c r="AA2001" i="2"/>
  <c r="Z2001" i="2"/>
  <c r="Y2001" i="2"/>
  <c r="S2001" i="2"/>
  <c r="O2001" i="2"/>
  <c r="P2001" i="2" s="1"/>
  <c r="AA2000" i="2"/>
  <c r="Z2000" i="2"/>
  <c r="Y2000" i="2"/>
  <c r="S2000" i="2"/>
  <c r="O2000" i="2"/>
  <c r="P2000" i="2" s="1"/>
  <c r="AA1999" i="2"/>
  <c r="Z1999" i="2"/>
  <c r="Y1999" i="2"/>
  <c r="S1999" i="2"/>
  <c r="O1999" i="2"/>
  <c r="P1999" i="2" s="1"/>
  <c r="AA1998" i="2"/>
  <c r="Z1998" i="2"/>
  <c r="Y1998" i="2"/>
  <c r="S1998" i="2"/>
  <c r="O1998" i="2"/>
  <c r="P1998" i="2" s="1"/>
  <c r="AA1997" i="2"/>
  <c r="Z1997" i="2"/>
  <c r="Y1997" i="2"/>
  <c r="S1997" i="2"/>
  <c r="O1997" i="2"/>
  <c r="P1997" i="2" s="1"/>
  <c r="AA1996" i="2"/>
  <c r="Z1996" i="2"/>
  <c r="Y1996" i="2"/>
  <c r="S1996" i="2"/>
  <c r="O1996" i="2"/>
  <c r="P1996" i="2" s="1"/>
  <c r="AA1995" i="2"/>
  <c r="Z1995" i="2"/>
  <c r="Y1995" i="2"/>
  <c r="S1995" i="2"/>
  <c r="O1995" i="2"/>
  <c r="P1995" i="2" s="1"/>
  <c r="AA1994" i="2"/>
  <c r="Z1994" i="2"/>
  <c r="Y1994" i="2"/>
  <c r="S1994" i="2"/>
  <c r="O1994" i="2"/>
  <c r="P1994" i="2" s="1"/>
  <c r="AA1993" i="2"/>
  <c r="Z1993" i="2"/>
  <c r="Y1993" i="2"/>
  <c r="S1993" i="2"/>
  <c r="O1993" i="2"/>
  <c r="P1993" i="2" s="1"/>
  <c r="AA1992" i="2"/>
  <c r="Z1992" i="2"/>
  <c r="Y1992" i="2"/>
  <c r="S1992" i="2"/>
  <c r="O1992" i="2"/>
  <c r="P1992" i="2" s="1"/>
  <c r="AA1991" i="2"/>
  <c r="Z1991" i="2"/>
  <c r="Y1991" i="2"/>
  <c r="S1991" i="2"/>
  <c r="O1991" i="2"/>
  <c r="P1991" i="2" s="1"/>
  <c r="AA1990" i="2"/>
  <c r="Z1990" i="2"/>
  <c r="Y1990" i="2"/>
  <c r="S1990" i="2"/>
  <c r="O1990" i="2"/>
  <c r="P1990" i="2" s="1"/>
  <c r="AA1989" i="2"/>
  <c r="Z1989" i="2"/>
  <c r="Y1989" i="2"/>
  <c r="S1989" i="2"/>
  <c r="O1989" i="2"/>
  <c r="P1989" i="2" s="1"/>
  <c r="AA1988" i="2"/>
  <c r="Z1988" i="2"/>
  <c r="Y1988" i="2"/>
  <c r="S1988" i="2"/>
  <c r="O1988" i="2"/>
  <c r="P1988" i="2" s="1"/>
  <c r="AA1987" i="2"/>
  <c r="Z1987" i="2"/>
  <c r="Y1987" i="2"/>
  <c r="S1987" i="2"/>
  <c r="O1987" i="2"/>
  <c r="P1987" i="2" s="1"/>
  <c r="AA1986" i="2"/>
  <c r="Z1986" i="2"/>
  <c r="Y1986" i="2"/>
  <c r="S1986" i="2"/>
  <c r="O1986" i="2"/>
  <c r="P1986" i="2" s="1"/>
  <c r="AA1985" i="2"/>
  <c r="Z1985" i="2"/>
  <c r="Y1985" i="2"/>
  <c r="S1985" i="2"/>
  <c r="O1985" i="2"/>
  <c r="P1985" i="2" s="1"/>
  <c r="AA1984" i="2"/>
  <c r="Z1984" i="2"/>
  <c r="Y1984" i="2"/>
  <c r="S1984" i="2"/>
  <c r="O1984" i="2"/>
  <c r="P1984" i="2" s="1"/>
  <c r="AA1983" i="2"/>
  <c r="Z1983" i="2"/>
  <c r="Y1983" i="2"/>
  <c r="S1983" i="2"/>
  <c r="O1983" i="2"/>
  <c r="P1983" i="2" s="1"/>
  <c r="AA1982" i="2"/>
  <c r="Z1982" i="2"/>
  <c r="Y1982" i="2"/>
  <c r="S1982" i="2"/>
  <c r="O1982" i="2"/>
  <c r="P1982" i="2" s="1"/>
  <c r="AA1981" i="2"/>
  <c r="Z1981" i="2"/>
  <c r="Y1981" i="2"/>
  <c r="S1981" i="2"/>
  <c r="O1981" i="2"/>
  <c r="P1981" i="2" s="1"/>
  <c r="AA1980" i="2"/>
  <c r="Z1980" i="2"/>
  <c r="Y1980" i="2"/>
  <c r="S1980" i="2"/>
  <c r="O1980" i="2"/>
  <c r="P1980" i="2" s="1"/>
  <c r="AA1979" i="2"/>
  <c r="Z1979" i="2"/>
  <c r="Y1979" i="2"/>
  <c r="S1979" i="2"/>
  <c r="O1979" i="2"/>
  <c r="P1979" i="2" s="1"/>
  <c r="AA1978" i="2"/>
  <c r="Z1978" i="2"/>
  <c r="Y1978" i="2"/>
  <c r="S1978" i="2"/>
  <c r="O1978" i="2"/>
  <c r="P1978" i="2" s="1"/>
  <c r="AA1977" i="2"/>
  <c r="Z1977" i="2"/>
  <c r="Y1977" i="2"/>
  <c r="S1977" i="2"/>
  <c r="O1977" i="2"/>
  <c r="P1977" i="2" s="1"/>
  <c r="AA1976" i="2"/>
  <c r="Z1976" i="2"/>
  <c r="Y1976" i="2"/>
  <c r="S1976" i="2"/>
  <c r="O1976" i="2"/>
  <c r="P1976" i="2" s="1"/>
  <c r="AA1975" i="2"/>
  <c r="Z1975" i="2"/>
  <c r="Y1975" i="2"/>
  <c r="S1975" i="2"/>
  <c r="O1975" i="2"/>
  <c r="P1975" i="2" s="1"/>
  <c r="AA1974" i="2"/>
  <c r="Z1974" i="2"/>
  <c r="Y1974" i="2"/>
  <c r="S1974" i="2"/>
  <c r="O1974" i="2"/>
  <c r="P1974" i="2" s="1"/>
  <c r="AA1973" i="2"/>
  <c r="Z1973" i="2"/>
  <c r="Y1973" i="2"/>
  <c r="S1973" i="2"/>
  <c r="O1973" i="2"/>
  <c r="P1973" i="2" s="1"/>
  <c r="AA1972" i="2"/>
  <c r="Z1972" i="2"/>
  <c r="Y1972" i="2"/>
  <c r="S1972" i="2"/>
  <c r="O1972" i="2"/>
  <c r="P1972" i="2" s="1"/>
  <c r="AA1971" i="2"/>
  <c r="Z1971" i="2"/>
  <c r="Y1971" i="2"/>
  <c r="S1971" i="2"/>
  <c r="O1971" i="2"/>
  <c r="P1971" i="2" s="1"/>
  <c r="AA1970" i="2"/>
  <c r="Z1970" i="2"/>
  <c r="Y1970" i="2"/>
  <c r="S1970" i="2"/>
  <c r="O1970" i="2"/>
  <c r="P1970" i="2" s="1"/>
  <c r="AA1969" i="2"/>
  <c r="Z1969" i="2"/>
  <c r="Y1969" i="2"/>
  <c r="S1969" i="2"/>
  <c r="O1969" i="2"/>
  <c r="P1969" i="2" s="1"/>
  <c r="AA1968" i="2"/>
  <c r="Z1968" i="2"/>
  <c r="Y1968" i="2"/>
  <c r="S1968" i="2"/>
  <c r="O1968" i="2"/>
  <c r="P1968" i="2" s="1"/>
  <c r="AA1967" i="2"/>
  <c r="Z1967" i="2"/>
  <c r="Y1967" i="2"/>
  <c r="S1967" i="2"/>
  <c r="O1967" i="2"/>
  <c r="P1967" i="2" s="1"/>
  <c r="AA1966" i="2"/>
  <c r="Z1966" i="2"/>
  <c r="Y1966" i="2"/>
  <c r="S1966" i="2"/>
  <c r="O1966" i="2"/>
  <c r="P1966" i="2" s="1"/>
  <c r="AA1965" i="2"/>
  <c r="Z1965" i="2"/>
  <c r="Y1965" i="2"/>
  <c r="S1965" i="2"/>
  <c r="O1965" i="2"/>
  <c r="P1965" i="2" s="1"/>
  <c r="AA1964" i="2"/>
  <c r="Z1964" i="2"/>
  <c r="Y1964" i="2"/>
  <c r="S1964" i="2"/>
  <c r="O1964" i="2"/>
  <c r="P1964" i="2" s="1"/>
  <c r="AA1963" i="2"/>
  <c r="Z1963" i="2"/>
  <c r="Y1963" i="2"/>
  <c r="S1963" i="2"/>
  <c r="O1963" i="2"/>
  <c r="P1963" i="2" s="1"/>
  <c r="AA1962" i="2"/>
  <c r="Z1962" i="2"/>
  <c r="Y1962" i="2"/>
  <c r="S1962" i="2"/>
  <c r="O1962" i="2"/>
  <c r="P1962" i="2" s="1"/>
  <c r="AA1961" i="2"/>
  <c r="Z1961" i="2"/>
  <c r="Y1961" i="2"/>
  <c r="S1961" i="2"/>
  <c r="O1961" i="2"/>
  <c r="P1961" i="2" s="1"/>
  <c r="AA1960" i="2"/>
  <c r="Z1960" i="2"/>
  <c r="Y1960" i="2"/>
  <c r="S1960" i="2"/>
  <c r="O1960" i="2"/>
  <c r="P1960" i="2" s="1"/>
  <c r="AA1959" i="2"/>
  <c r="Z1959" i="2"/>
  <c r="Y1959" i="2"/>
  <c r="S1959" i="2"/>
  <c r="O1959" i="2"/>
  <c r="P1959" i="2" s="1"/>
  <c r="AA1958" i="2"/>
  <c r="Z1958" i="2"/>
  <c r="Y1958" i="2"/>
  <c r="S1958" i="2"/>
  <c r="O1958" i="2"/>
  <c r="P1958" i="2" s="1"/>
  <c r="AA1957" i="2"/>
  <c r="Z1957" i="2"/>
  <c r="Y1957" i="2"/>
  <c r="S1957" i="2"/>
  <c r="O1957" i="2"/>
  <c r="P1957" i="2" s="1"/>
  <c r="AA1956" i="2"/>
  <c r="Z1956" i="2"/>
  <c r="Y1956" i="2"/>
  <c r="S1956" i="2"/>
  <c r="O1956" i="2"/>
  <c r="P1956" i="2" s="1"/>
  <c r="AA1955" i="2"/>
  <c r="Z1955" i="2"/>
  <c r="Y1955" i="2"/>
  <c r="S1955" i="2"/>
  <c r="O1955" i="2"/>
  <c r="P1955" i="2" s="1"/>
  <c r="AA1954" i="2"/>
  <c r="Z1954" i="2"/>
  <c r="Y1954" i="2"/>
  <c r="S1954" i="2"/>
  <c r="O1954" i="2"/>
  <c r="P1954" i="2" s="1"/>
  <c r="AA1953" i="2"/>
  <c r="Z1953" i="2"/>
  <c r="Y1953" i="2"/>
  <c r="S1953" i="2"/>
  <c r="O1953" i="2"/>
  <c r="P1953" i="2" s="1"/>
  <c r="AA1952" i="2"/>
  <c r="Z1952" i="2"/>
  <c r="Y1952" i="2"/>
  <c r="S1952" i="2"/>
  <c r="O1952" i="2"/>
  <c r="P1952" i="2" s="1"/>
  <c r="AA1951" i="2"/>
  <c r="Z1951" i="2"/>
  <c r="Y1951" i="2"/>
  <c r="S1951" i="2"/>
  <c r="O1951" i="2"/>
  <c r="P1951" i="2" s="1"/>
  <c r="AA1950" i="2"/>
  <c r="Z1950" i="2"/>
  <c r="Y1950" i="2"/>
  <c r="S1950" i="2"/>
  <c r="O1950" i="2"/>
  <c r="P1950" i="2" s="1"/>
  <c r="AA1949" i="2"/>
  <c r="Z1949" i="2"/>
  <c r="Y1949" i="2"/>
  <c r="S1949" i="2"/>
  <c r="O1949" i="2"/>
  <c r="P1949" i="2" s="1"/>
  <c r="AA1948" i="2"/>
  <c r="Z1948" i="2"/>
  <c r="Y1948" i="2"/>
  <c r="S1948" i="2"/>
  <c r="O1948" i="2"/>
  <c r="P1948" i="2" s="1"/>
  <c r="AA1947" i="2"/>
  <c r="Z1947" i="2"/>
  <c r="Y1947" i="2"/>
  <c r="S1947" i="2"/>
  <c r="O1947" i="2"/>
  <c r="P1947" i="2" s="1"/>
  <c r="AA1946" i="2"/>
  <c r="Z1946" i="2"/>
  <c r="Y1946" i="2"/>
  <c r="S1946" i="2"/>
  <c r="O1946" i="2"/>
  <c r="P1946" i="2" s="1"/>
  <c r="AA1945" i="2"/>
  <c r="Z1945" i="2"/>
  <c r="Y1945" i="2"/>
  <c r="S1945" i="2"/>
  <c r="O1945" i="2"/>
  <c r="P1945" i="2" s="1"/>
  <c r="AA1944" i="2"/>
  <c r="Z1944" i="2"/>
  <c r="Y1944" i="2"/>
  <c r="S1944" i="2"/>
  <c r="O1944" i="2"/>
  <c r="P1944" i="2" s="1"/>
  <c r="AA1943" i="2"/>
  <c r="Z1943" i="2"/>
  <c r="Y1943" i="2"/>
  <c r="S1943" i="2"/>
  <c r="O1943" i="2"/>
  <c r="P1943" i="2" s="1"/>
  <c r="AA1942" i="2"/>
  <c r="Z1942" i="2"/>
  <c r="Y1942" i="2"/>
  <c r="S1942" i="2"/>
  <c r="O1942" i="2"/>
  <c r="P1942" i="2" s="1"/>
  <c r="AA1941" i="2"/>
  <c r="Z1941" i="2"/>
  <c r="Y1941" i="2"/>
  <c r="S1941" i="2"/>
  <c r="O1941" i="2"/>
  <c r="P1941" i="2" s="1"/>
  <c r="AA1940" i="2"/>
  <c r="Z1940" i="2"/>
  <c r="Y1940" i="2"/>
  <c r="S1940" i="2"/>
  <c r="O1940" i="2"/>
  <c r="P1940" i="2" s="1"/>
  <c r="AA1939" i="2"/>
  <c r="Z1939" i="2"/>
  <c r="Y1939" i="2"/>
  <c r="S1939" i="2"/>
  <c r="O1939" i="2"/>
  <c r="P1939" i="2" s="1"/>
  <c r="AA1938" i="2"/>
  <c r="Z1938" i="2"/>
  <c r="Y1938" i="2"/>
  <c r="S1938" i="2"/>
  <c r="O1938" i="2"/>
  <c r="P1938" i="2" s="1"/>
  <c r="AA1937" i="2"/>
  <c r="Z1937" i="2"/>
  <c r="Y1937" i="2"/>
  <c r="S1937" i="2"/>
  <c r="O1937" i="2"/>
  <c r="P1937" i="2" s="1"/>
  <c r="AA1936" i="2"/>
  <c r="Z1936" i="2"/>
  <c r="Y1936" i="2"/>
  <c r="S1936" i="2"/>
  <c r="O1936" i="2"/>
  <c r="P1936" i="2" s="1"/>
  <c r="AA1935" i="2"/>
  <c r="Z1935" i="2"/>
  <c r="Y1935" i="2"/>
  <c r="S1935" i="2"/>
  <c r="O1935" i="2"/>
  <c r="P1935" i="2" s="1"/>
  <c r="AA1934" i="2"/>
  <c r="Z1934" i="2"/>
  <c r="Y1934" i="2"/>
  <c r="S1934" i="2"/>
  <c r="O1934" i="2"/>
  <c r="P1934" i="2" s="1"/>
  <c r="AA1933" i="2"/>
  <c r="Z1933" i="2"/>
  <c r="Y1933" i="2"/>
  <c r="S1933" i="2"/>
  <c r="O1933" i="2"/>
  <c r="P1933" i="2" s="1"/>
  <c r="AA1932" i="2"/>
  <c r="Z1932" i="2"/>
  <c r="Y1932" i="2"/>
  <c r="S1932" i="2"/>
  <c r="O1932" i="2"/>
  <c r="P1932" i="2" s="1"/>
  <c r="AA1931" i="2"/>
  <c r="Z1931" i="2"/>
  <c r="Y1931" i="2"/>
  <c r="S1931" i="2"/>
  <c r="O1931" i="2"/>
  <c r="P1931" i="2" s="1"/>
  <c r="AA1930" i="2"/>
  <c r="Z1930" i="2"/>
  <c r="Y1930" i="2"/>
  <c r="S1930" i="2"/>
  <c r="O1930" i="2"/>
  <c r="P1930" i="2" s="1"/>
  <c r="AA1929" i="2"/>
  <c r="Z1929" i="2"/>
  <c r="Y1929" i="2"/>
  <c r="S1929" i="2"/>
  <c r="O1929" i="2"/>
  <c r="P1929" i="2" s="1"/>
  <c r="AA1928" i="2"/>
  <c r="Z1928" i="2"/>
  <c r="Y1928" i="2"/>
  <c r="S1928" i="2"/>
  <c r="O1928" i="2"/>
  <c r="P1928" i="2" s="1"/>
  <c r="AA1927" i="2"/>
  <c r="Z1927" i="2"/>
  <c r="Y1927" i="2"/>
  <c r="S1927" i="2"/>
  <c r="O1927" i="2"/>
  <c r="P1927" i="2" s="1"/>
  <c r="AA1926" i="2"/>
  <c r="Z1926" i="2"/>
  <c r="Y1926" i="2"/>
  <c r="S1926" i="2"/>
  <c r="O1926" i="2"/>
  <c r="P1926" i="2" s="1"/>
  <c r="AA1925" i="2"/>
  <c r="Z1925" i="2"/>
  <c r="Y1925" i="2"/>
  <c r="S1925" i="2"/>
  <c r="O1925" i="2"/>
  <c r="P1925" i="2" s="1"/>
  <c r="AA1924" i="2"/>
  <c r="Z1924" i="2"/>
  <c r="Y1924" i="2"/>
  <c r="S1924" i="2"/>
  <c r="O1924" i="2"/>
  <c r="P1924" i="2" s="1"/>
  <c r="AA1923" i="2"/>
  <c r="Z1923" i="2"/>
  <c r="Y1923" i="2"/>
  <c r="S1923" i="2"/>
  <c r="O1923" i="2"/>
  <c r="P1923" i="2" s="1"/>
  <c r="AA1922" i="2"/>
  <c r="Z1922" i="2"/>
  <c r="Y1922" i="2"/>
  <c r="S1922" i="2"/>
  <c r="O1922" i="2"/>
  <c r="P1922" i="2" s="1"/>
  <c r="AA1921" i="2"/>
  <c r="Z1921" i="2"/>
  <c r="Y1921" i="2"/>
  <c r="S1921" i="2"/>
  <c r="O1921" i="2"/>
  <c r="P1921" i="2" s="1"/>
  <c r="AA1920" i="2"/>
  <c r="Z1920" i="2"/>
  <c r="Y1920" i="2"/>
  <c r="S1920" i="2"/>
  <c r="O1920" i="2"/>
  <c r="P1920" i="2" s="1"/>
  <c r="AA1919" i="2"/>
  <c r="Z1919" i="2"/>
  <c r="Y1919" i="2"/>
  <c r="S1919" i="2"/>
  <c r="O1919" i="2"/>
  <c r="P1919" i="2" s="1"/>
  <c r="AA1918" i="2"/>
  <c r="Z1918" i="2"/>
  <c r="Y1918" i="2"/>
  <c r="S1918" i="2"/>
  <c r="O1918" i="2"/>
  <c r="P1918" i="2" s="1"/>
  <c r="AA1917" i="2"/>
  <c r="Z1917" i="2"/>
  <c r="Y1917" i="2"/>
  <c r="S1917" i="2"/>
  <c r="O1917" i="2"/>
  <c r="P1917" i="2" s="1"/>
  <c r="AA1916" i="2"/>
  <c r="Z1916" i="2"/>
  <c r="Y1916" i="2"/>
  <c r="S1916" i="2"/>
  <c r="O1916" i="2"/>
  <c r="P1916" i="2" s="1"/>
  <c r="AA1915" i="2"/>
  <c r="Z1915" i="2"/>
  <c r="Y1915" i="2"/>
  <c r="S1915" i="2"/>
  <c r="O1915" i="2"/>
  <c r="P1915" i="2" s="1"/>
  <c r="AA1914" i="2"/>
  <c r="Z1914" i="2"/>
  <c r="Y1914" i="2"/>
  <c r="S1914" i="2"/>
  <c r="O1914" i="2"/>
  <c r="P1914" i="2" s="1"/>
  <c r="AA1913" i="2"/>
  <c r="Z1913" i="2"/>
  <c r="Y1913" i="2"/>
  <c r="S1913" i="2"/>
  <c r="O1913" i="2"/>
  <c r="P1913" i="2" s="1"/>
  <c r="AA1912" i="2"/>
  <c r="Z1912" i="2"/>
  <c r="Y1912" i="2"/>
  <c r="S1912" i="2"/>
  <c r="O1912" i="2"/>
  <c r="P1912" i="2" s="1"/>
  <c r="AA1911" i="2"/>
  <c r="Z1911" i="2"/>
  <c r="Y1911" i="2"/>
  <c r="S1911" i="2"/>
  <c r="O1911" i="2"/>
  <c r="P1911" i="2" s="1"/>
  <c r="AA1910" i="2"/>
  <c r="Z1910" i="2"/>
  <c r="Y1910" i="2"/>
  <c r="S1910" i="2"/>
  <c r="O1910" i="2"/>
  <c r="P1910" i="2" s="1"/>
  <c r="AA1909" i="2"/>
  <c r="Z1909" i="2"/>
  <c r="Y1909" i="2"/>
  <c r="S1909" i="2"/>
  <c r="O1909" i="2"/>
  <c r="P1909" i="2" s="1"/>
  <c r="AA1908" i="2"/>
  <c r="Z1908" i="2"/>
  <c r="Y1908" i="2"/>
  <c r="S1908" i="2"/>
  <c r="O1908" i="2"/>
  <c r="P1908" i="2" s="1"/>
  <c r="AA1907" i="2"/>
  <c r="Z1907" i="2"/>
  <c r="Y1907" i="2"/>
  <c r="S1907" i="2"/>
  <c r="O1907" i="2"/>
  <c r="P1907" i="2" s="1"/>
  <c r="AA1906" i="2"/>
  <c r="Z1906" i="2"/>
  <c r="Y1906" i="2"/>
  <c r="S1906" i="2"/>
  <c r="O1906" i="2"/>
  <c r="P1906" i="2" s="1"/>
  <c r="AA1905" i="2"/>
  <c r="Z1905" i="2"/>
  <c r="Y1905" i="2"/>
  <c r="S1905" i="2"/>
  <c r="O1905" i="2"/>
  <c r="P1905" i="2" s="1"/>
  <c r="AA1904" i="2"/>
  <c r="Z1904" i="2"/>
  <c r="Y1904" i="2"/>
  <c r="S1904" i="2"/>
  <c r="O1904" i="2"/>
  <c r="P1904" i="2" s="1"/>
  <c r="AA1903" i="2"/>
  <c r="Z1903" i="2"/>
  <c r="Y1903" i="2"/>
  <c r="S1903" i="2"/>
  <c r="O1903" i="2"/>
  <c r="P1903" i="2" s="1"/>
  <c r="AA1902" i="2"/>
  <c r="Z1902" i="2"/>
  <c r="Y1902" i="2"/>
  <c r="S1902" i="2"/>
  <c r="O1902" i="2"/>
  <c r="P1902" i="2" s="1"/>
  <c r="AA1901" i="2"/>
  <c r="Z1901" i="2"/>
  <c r="Y1901" i="2"/>
  <c r="S1901" i="2"/>
  <c r="O1901" i="2"/>
  <c r="P1901" i="2" s="1"/>
  <c r="AA1900" i="2"/>
  <c r="Z1900" i="2"/>
  <c r="Y1900" i="2"/>
  <c r="S1900" i="2"/>
  <c r="O1900" i="2"/>
  <c r="P1900" i="2" s="1"/>
  <c r="AA1899" i="2"/>
  <c r="Z1899" i="2"/>
  <c r="Y1899" i="2"/>
  <c r="S1899" i="2"/>
  <c r="O1899" i="2"/>
  <c r="P1899" i="2" s="1"/>
  <c r="AA1898" i="2"/>
  <c r="Z1898" i="2"/>
  <c r="Y1898" i="2"/>
  <c r="S1898" i="2"/>
  <c r="O1898" i="2"/>
  <c r="P1898" i="2" s="1"/>
  <c r="AA1897" i="2"/>
  <c r="Z1897" i="2"/>
  <c r="Y1897" i="2"/>
  <c r="S1897" i="2"/>
  <c r="O1897" i="2"/>
  <c r="P1897" i="2" s="1"/>
  <c r="AA1896" i="2"/>
  <c r="Z1896" i="2"/>
  <c r="Y1896" i="2"/>
  <c r="S1896" i="2"/>
  <c r="O1896" i="2"/>
  <c r="P1896" i="2" s="1"/>
  <c r="AA1895" i="2"/>
  <c r="Z1895" i="2"/>
  <c r="Y1895" i="2"/>
  <c r="S1895" i="2"/>
  <c r="O1895" i="2"/>
  <c r="P1895" i="2" s="1"/>
  <c r="AA1894" i="2"/>
  <c r="Z1894" i="2"/>
  <c r="Y1894" i="2"/>
  <c r="S1894" i="2"/>
  <c r="O1894" i="2"/>
  <c r="P1894" i="2" s="1"/>
  <c r="AA1893" i="2"/>
  <c r="Z1893" i="2"/>
  <c r="Y1893" i="2"/>
  <c r="S1893" i="2"/>
  <c r="O1893" i="2"/>
  <c r="P1893" i="2" s="1"/>
  <c r="AA1892" i="2"/>
  <c r="Z1892" i="2"/>
  <c r="Y1892" i="2"/>
  <c r="S1892" i="2"/>
  <c r="O1892" i="2"/>
  <c r="P1892" i="2" s="1"/>
  <c r="AA1891" i="2"/>
  <c r="Z1891" i="2"/>
  <c r="Y1891" i="2"/>
  <c r="S1891" i="2"/>
  <c r="O1891" i="2"/>
  <c r="P1891" i="2" s="1"/>
  <c r="AA1890" i="2"/>
  <c r="Z1890" i="2"/>
  <c r="Y1890" i="2"/>
  <c r="S1890" i="2"/>
  <c r="O1890" i="2"/>
  <c r="P1890" i="2" s="1"/>
  <c r="AA1889" i="2"/>
  <c r="Z1889" i="2"/>
  <c r="Y1889" i="2"/>
  <c r="S1889" i="2"/>
  <c r="O1889" i="2"/>
  <c r="P1889" i="2" s="1"/>
  <c r="AA1888" i="2"/>
  <c r="Z1888" i="2"/>
  <c r="Y1888" i="2"/>
  <c r="S1888" i="2"/>
  <c r="O1888" i="2"/>
  <c r="P1888" i="2" s="1"/>
  <c r="AA1887" i="2"/>
  <c r="Z1887" i="2"/>
  <c r="Y1887" i="2"/>
  <c r="S1887" i="2"/>
  <c r="O1887" i="2"/>
  <c r="P1887" i="2" s="1"/>
  <c r="AA1886" i="2"/>
  <c r="Z1886" i="2"/>
  <c r="Y1886" i="2"/>
  <c r="S1886" i="2"/>
  <c r="O1886" i="2"/>
  <c r="P1886" i="2" s="1"/>
  <c r="AA1885" i="2"/>
  <c r="Z1885" i="2"/>
  <c r="Y1885" i="2"/>
  <c r="S1885" i="2"/>
  <c r="O1885" i="2"/>
  <c r="P1885" i="2" s="1"/>
  <c r="AA1884" i="2"/>
  <c r="Z1884" i="2"/>
  <c r="Y1884" i="2"/>
  <c r="S1884" i="2"/>
  <c r="O1884" i="2"/>
  <c r="P1884" i="2" s="1"/>
  <c r="AA1883" i="2"/>
  <c r="Z1883" i="2"/>
  <c r="Y1883" i="2"/>
  <c r="S1883" i="2"/>
  <c r="O1883" i="2"/>
  <c r="P1883" i="2" s="1"/>
  <c r="AA1882" i="2"/>
  <c r="Z1882" i="2"/>
  <c r="Y1882" i="2"/>
  <c r="S1882" i="2"/>
  <c r="O1882" i="2"/>
  <c r="P1882" i="2" s="1"/>
  <c r="AA1881" i="2"/>
  <c r="Z1881" i="2"/>
  <c r="Y1881" i="2"/>
  <c r="S1881" i="2"/>
  <c r="O1881" i="2"/>
  <c r="P1881" i="2" s="1"/>
  <c r="AA1880" i="2"/>
  <c r="Z1880" i="2"/>
  <c r="Y1880" i="2"/>
  <c r="S1880" i="2"/>
  <c r="O1880" i="2"/>
  <c r="P1880" i="2" s="1"/>
  <c r="AA1879" i="2"/>
  <c r="Z1879" i="2"/>
  <c r="Y1879" i="2"/>
  <c r="S1879" i="2"/>
  <c r="O1879" i="2"/>
  <c r="P1879" i="2" s="1"/>
  <c r="AA1878" i="2"/>
  <c r="Z1878" i="2"/>
  <c r="Y1878" i="2"/>
  <c r="S1878" i="2"/>
  <c r="O1878" i="2"/>
  <c r="P1878" i="2" s="1"/>
  <c r="AA1877" i="2"/>
  <c r="Z1877" i="2"/>
  <c r="Y1877" i="2"/>
  <c r="S1877" i="2"/>
  <c r="O1877" i="2"/>
  <c r="P1877" i="2" s="1"/>
  <c r="AA1876" i="2"/>
  <c r="Z1876" i="2"/>
  <c r="Y1876" i="2"/>
  <c r="S1876" i="2"/>
  <c r="O1876" i="2"/>
  <c r="P1876" i="2" s="1"/>
  <c r="AA1875" i="2"/>
  <c r="Z1875" i="2"/>
  <c r="Y1875" i="2"/>
  <c r="S1875" i="2"/>
  <c r="O1875" i="2"/>
  <c r="P1875" i="2" s="1"/>
  <c r="AA1874" i="2"/>
  <c r="Z1874" i="2"/>
  <c r="Y1874" i="2"/>
  <c r="S1874" i="2"/>
  <c r="O1874" i="2"/>
  <c r="P1874" i="2" s="1"/>
  <c r="AA1873" i="2"/>
  <c r="Z1873" i="2"/>
  <c r="Y1873" i="2"/>
  <c r="S1873" i="2"/>
  <c r="O1873" i="2"/>
  <c r="P1873" i="2" s="1"/>
  <c r="AA1872" i="2"/>
  <c r="Z1872" i="2"/>
  <c r="Y1872" i="2"/>
  <c r="S1872" i="2"/>
  <c r="O1872" i="2"/>
  <c r="P1872" i="2" s="1"/>
  <c r="AA1871" i="2"/>
  <c r="Z1871" i="2"/>
  <c r="Y1871" i="2"/>
  <c r="S1871" i="2"/>
  <c r="O1871" i="2"/>
  <c r="P1871" i="2" s="1"/>
  <c r="AA1870" i="2"/>
  <c r="Z1870" i="2"/>
  <c r="Y1870" i="2"/>
  <c r="S1870" i="2"/>
  <c r="O1870" i="2"/>
  <c r="P1870" i="2" s="1"/>
  <c r="AA1869" i="2"/>
  <c r="Z1869" i="2"/>
  <c r="Y1869" i="2"/>
  <c r="S1869" i="2"/>
  <c r="O1869" i="2"/>
  <c r="P1869" i="2" s="1"/>
  <c r="AA1868" i="2"/>
  <c r="Z1868" i="2"/>
  <c r="Y1868" i="2"/>
  <c r="S1868" i="2"/>
  <c r="O1868" i="2"/>
  <c r="P1868" i="2" s="1"/>
  <c r="AA1867" i="2"/>
  <c r="Z1867" i="2"/>
  <c r="Y1867" i="2"/>
  <c r="S1867" i="2"/>
  <c r="O1867" i="2"/>
  <c r="P1867" i="2" s="1"/>
  <c r="AA1866" i="2"/>
  <c r="Z1866" i="2"/>
  <c r="Y1866" i="2"/>
  <c r="S1866" i="2"/>
  <c r="O1866" i="2"/>
  <c r="P1866" i="2" s="1"/>
  <c r="AA1865" i="2"/>
  <c r="Z1865" i="2"/>
  <c r="Y1865" i="2"/>
  <c r="S1865" i="2"/>
  <c r="O1865" i="2"/>
  <c r="P1865" i="2" s="1"/>
  <c r="AA1864" i="2"/>
  <c r="Z1864" i="2"/>
  <c r="Y1864" i="2"/>
  <c r="S1864" i="2"/>
  <c r="O1864" i="2"/>
  <c r="P1864" i="2" s="1"/>
  <c r="AA1863" i="2"/>
  <c r="Z1863" i="2"/>
  <c r="Y1863" i="2"/>
  <c r="S1863" i="2"/>
  <c r="O1863" i="2"/>
  <c r="P1863" i="2" s="1"/>
  <c r="AA1862" i="2"/>
  <c r="Z1862" i="2"/>
  <c r="Y1862" i="2"/>
  <c r="S1862" i="2"/>
  <c r="O1862" i="2"/>
  <c r="P1862" i="2" s="1"/>
  <c r="AA1861" i="2"/>
  <c r="Z1861" i="2"/>
  <c r="Y1861" i="2"/>
  <c r="S1861" i="2"/>
  <c r="O1861" i="2"/>
  <c r="P1861" i="2" s="1"/>
  <c r="AA1860" i="2"/>
  <c r="Z1860" i="2"/>
  <c r="Y1860" i="2"/>
  <c r="S1860" i="2"/>
  <c r="O1860" i="2"/>
  <c r="P1860" i="2" s="1"/>
  <c r="AA1859" i="2"/>
  <c r="Z1859" i="2"/>
  <c r="Y1859" i="2"/>
  <c r="S1859" i="2"/>
  <c r="O1859" i="2"/>
  <c r="P1859" i="2" s="1"/>
  <c r="AA1858" i="2"/>
  <c r="Z1858" i="2"/>
  <c r="Y1858" i="2"/>
  <c r="S1858" i="2"/>
  <c r="O1858" i="2"/>
  <c r="P1858" i="2" s="1"/>
  <c r="AA1857" i="2"/>
  <c r="Z1857" i="2"/>
  <c r="Y1857" i="2"/>
  <c r="S1857" i="2"/>
  <c r="O1857" i="2"/>
  <c r="P1857" i="2" s="1"/>
  <c r="AA1856" i="2"/>
  <c r="Z1856" i="2"/>
  <c r="Y1856" i="2"/>
  <c r="S1856" i="2"/>
  <c r="O1856" i="2"/>
  <c r="P1856" i="2" s="1"/>
  <c r="AA1855" i="2"/>
  <c r="Z1855" i="2"/>
  <c r="Y1855" i="2"/>
  <c r="S1855" i="2"/>
  <c r="O1855" i="2"/>
  <c r="P1855" i="2" s="1"/>
  <c r="AA1854" i="2"/>
  <c r="Z1854" i="2"/>
  <c r="Y1854" i="2"/>
  <c r="S1854" i="2"/>
  <c r="O1854" i="2"/>
  <c r="P1854" i="2" s="1"/>
  <c r="AA1853" i="2"/>
  <c r="Z1853" i="2"/>
  <c r="Y1853" i="2"/>
  <c r="S1853" i="2"/>
  <c r="O1853" i="2"/>
  <c r="P1853" i="2" s="1"/>
  <c r="AA1852" i="2"/>
  <c r="Z1852" i="2"/>
  <c r="Y1852" i="2"/>
  <c r="S1852" i="2"/>
  <c r="O1852" i="2"/>
  <c r="P1852" i="2" s="1"/>
  <c r="AA1851" i="2"/>
  <c r="Z1851" i="2"/>
  <c r="Y1851" i="2"/>
  <c r="S1851" i="2"/>
  <c r="O1851" i="2"/>
  <c r="P1851" i="2" s="1"/>
  <c r="AA1850" i="2"/>
  <c r="Z1850" i="2"/>
  <c r="Y1850" i="2"/>
  <c r="S1850" i="2"/>
  <c r="O1850" i="2"/>
  <c r="P1850" i="2" s="1"/>
  <c r="AA1849" i="2"/>
  <c r="Z1849" i="2"/>
  <c r="Y1849" i="2"/>
  <c r="S1849" i="2"/>
  <c r="O1849" i="2"/>
  <c r="P1849" i="2" s="1"/>
  <c r="AA1848" i="2"/>
  <c r="Z1848" i="2"/>
  <c r="Y1848" i="2"/>
  <c r="S1848" i="2"/>
  <c r="O1848" i="2"/>
  <c r="P1848" i="2" s="1"/>
  <c r="AA1847" i="2"/>
  <c r="Z1847" i="2"/>
  <c r="Y1847" i="2"/>
  <c r="S1847" i="2"/>
  <c r="O1847" i="2"/>
  <c r="P1847" i="2" s="1"/>
  <c r="AA1846" i="2"/>
  <c r="Z1846" i="2"/>
  <c r="Y1846" i="2"/>
  <c r="S1846" i="2"/>
  <c r="O1846" i="2"/>
  <c r="P1846" i="2" s="1"/>
  <c r="AA1845" i="2"/>
  <c r="Z1845" i="2"/>
  <c r="Y1845" i="2"/>
  <c r="S1845" i="2"/>
  <c r="O1845" i="2"/>
  <c r="P1845" i="2" s="1"/>
  <c r="AA1844" i="2"/>
  <c r="Z1844" i="2"/>
  <c r="Y1844" i="2"/>
  <c r="S1844" i="2"/>
  <c r="O1844" i="2"/>
  <c r="P1844" i="2" s="1"/>
  <c r="AA1843" i="2"/>
  <c r="Z1843" i="2"/>
  <c r="Y1843" i="2"/>
  <c r="S1843" i="2"/>
  <c r="O1843" i="2"/>
  <c r="P1843" i="2" s="1"/>
  <c r="AA1842" i="2"/>
  <c r="Z1842" i="2"/>
  <c r="Y1842" i="2"/>
  <c r="S1842" i="2"/>
  <c r="O1842" i="2"/>
  <c r="P1842" i="2" s="1"/>
  <c r="AA1841" i="2"/>
  <c r="Z1841" i="2"/>
  <c r="Y1841" i="2"/>
  <c r="S1841" i="2"/>
  <c r="O1841" i="2"/>
  <c r="P1841" i="2" s="1"/>
  <c r="AA1840" i="2"/>
  <c r="Z1840" i="2"/>
  <c r="Y1840" i="2"/>
  <c r="S1840" i="2"/>
  <c r="O1840" i="2"/>
  <c r="P1840" i="2" s="1"/>
  <c r="AA1839" i="2"/>
  <c r="Z1839" i="2"/>
  <c r="Y1839" i="2"/>
  <c r="S1839" i="2"/>
  <c r="O1839" i="2"/>
  <c r="P1839" i="2" s="1"/>
  <c r="AA1838" i="2"/>
  <c r="Z1838" i="2"/>
  <c r="Y1838" i="2"/>
  <c r="S1838" i="2"/>
  <c r="O1838" i="2"/>
  <c r="P1838" i="2" s="1"/>
  <c r="AA1837" i="2"/>
  <c r="Z1837" i="2"/>
  <c r="Y1837" i="2"/>
  <c r="S1837" i="2"/>
  <c r="O1837" i="2"/>
  <c r="P1837" i="2" s="1"/>
  <c r="AA1836" i="2"/>
  <c r="Z1836" i="2"/>
  <c r="Y1836" i="2"/>
  <c r="S1836" i="2"/>
  <c r="O1836" i="2"/>
  <c r="P1836" i="2" s="1"/>
  <c r="AA1835" i="2"/>
  <c r="Z1835" i="2"/>
  <c r="Y1835" i="2"/>
  <c r="S1835" i="2"/>
  <c r="O1835" i="2"/>
  <c r="P1835" i="2" s="1"/>
  <c r="AA1834" i="2"/>
  <c r="Z1834" i="2"/>
  <c r="Y1834" i="2"/>
  <c r="S1834" i="2"/>
  <c r="O1834" i="2"/>
  <c r="P1834" i="2" s="1"/>
  <c r="AA1833" i="2"/>
  <c r="Z1833" i="2"/>
  <c r="Y1833" i="2"/>
  <c r="S1833" i="2"/>
  <c r="O1833" i="2"/>
  <c r="P1833" i="2" s="1"/>
  <c r="AA1832" i="2"/>
  <c r="Z1832" i="2"/>
  <c r="Y1832" i="2"/>
  <c r="S1832" i="2"/>
  <c r="O1832" i="2"/>
  <c r="P1832" i="2" s="1"/>
  <c r="AA1831" i="2"/>
  <c r="Z1831" i="2"/>
  <c r="Y1831" i="2"/>
  <c r="S1831" i="2"/>
  <c r="O1831" i="2"/>
  <c r="P1831" i="2" s="1"/>
  <c r="AA1830" i="2"/>
  <c r="Z1830" i="2"/>
  <c r="Y1830" i="2"/>
  <c r="S1830" i="2"/>
  <c r="O1830" i="2"/>
  <c r="P1830" i="2" s="1"/>
  <c r="AA1829" i="2"/>
  <c r="Z1829" i="2"/>
  <c r="Y1829" i="2"/>
  <c r="S1829" i="2"/>
  <c r="O1829" i="2"/>
  <c r="P1829" i="2" s="1"/>
  <c r="AA1828" i="2"/>
  <c r="Z1828" i="2"/>
  <c r="Y1828" i="2"/>
  <c r="S1828" i="2"/>
  <c r="O1828" i="2"/>
  <c r="P1828" i="2" s="1"/>
  <c r="AA1827" i="2"/>
  <c r="Z1827" i="2"/>
  <c r="Y1827" i="2"/>
  <c r="S1827" i="2"/>
  <c r="O1827" i="2"/>
  <c r="P1827" i="2" s="1"/>
  <c r="AA1826" i="2"/>
  <c r="Z1826" i="2"/>
  <c r="Y1826" i="2"/>
  <c r="S1826" i="2"/>
  <c r="O1826" i="2"/>
  <c r="P1826" i="2" s="1"/>
  <c r="AA1825" i="2"/>
  <c r="Z1825" i="2"/>
  <c r="Y1825" i="2"/>
  <c r="S1825" i="2"/>
  <c r="O1825" i="2"/>
  <c r="P1825" i="2" s="1"/>
  <c r="AA1824" i="2"/>
  <c r="Z1824" i="2"/>
  <c r="Y1824" i="2"/>
  <c r="S1824" i="2"/>
  <c r="O1824" i="2"/>
  <c r="P1824" i="2" s="1"/>
  <c r="AA1823" i="2"/>
  <c r="Z1823" i="2"/>
  <c r="Y1823" i="2"/>
  <c r="S1823" i="2"/>
  <c r="O1823" i="2"/>
  <c r="P1823" i="2" s="1"/>
  <c r="AA1822" i="2"/>
  <c r="Z1822" i="2"/>
  <c r="Y1822" i="2"/>
  <c r="S1822" i="2"/>
  <c r="O1822" i="2"/>
  <c r="P1822" i="2" s="1"/>
  <c r="AA1821" i="2"/>
  <c r="Z1821" i="2"/>
  <c r="Y1821" i="2"/>
  <c r="S1821" i="2"/>
  <c r="O1821" i="2"/>
  <c r="P1821" i="2" s="1"/>
  <c r="AA1820" i="2"/>
  <c r="Z1820" i="2"/>
  <c r="Y1820" i="2"/>
  <c r="S1820" i="2"/>
  <c r="O1820" i="2"/>
  <c r="P1820" i="2" s="1"/>
  <c r="AA1819" i="2"/>
  <c r="Z1819" i="2"/>
  <c r="Y1819" i="2"/>
  <c r="S1819" i="2"/>
  <c r="P1819" i="2"/>
  <c r="O1819" i="2"/>
  <c r="AA1818" i="2"/>
  <c r="Z1818" i="2"/>
  <c r="Y1818" i="2"/>
  <c r="S1818" i="2"/>
  <c r="O1818" i="2"/>
  <c r="P1818" i="2" s="1"/>
  <c r="AA1817" i="2"/>
  <c r="Z1817" i="2"/>
  <c r="Y1817" i="2"/>
  <c r="S1817" i="2"/>
  <c r="O1817" i="2"/>
  <c r="P1817" i="2" s="1"/>
  <c r="AA1816" i="2"/>
  <c r="Z1816" i="2"/>
  <c r="Y1816" i="2"/>
  <c r="S1816" i="2"/>
  <c r="O1816" i="2"/>
  <c r="P1816" i="2" s="1"/>
  <c r="AA1815" i="2"/>
  <c r="Z1815" i="2"/>
  <c r="Y1815" i="2"/>
  <c r="S1815" i="2"/>
  <c r="P1815" i="2"/>
  <c r="O1815" i="2"/>
  <c r="AA1814" i="2"/>
  <c r="Z1814" i="2"/>
  <c r="Y1814" i="2"/>
  <c r="S1814" i="2"/>
  <c r="O1814" i="2"/>
  <c r="P1814" i="2" s="1"/>
  <c r="AA1813" i="2"/>
  <c r="Z1813" i="2"/>
  <c r="Y1813" i="2"/>
  <c r="S1813" i="2"/>
  <c r="O1813" i="2"/>
  <c r="P1813" i="2" s="1"/>
  <c r="AA1812" i="2"/>
  <c r="Z1812" i="2"/>
  <c r="Y1812" i="2"/>
  <c r="S1812" i="2"/>
  <c r="O1812" i="2"/>
  <c r="P1812" i="2" s="1"/>
  <c r="AA1811" i="2"/>
  <c r="Z1811" i="2"/>
  <c r="Y1811" i="2"/>
  <c r="S1811" i="2"/>
  <c r="O1811" i="2"/>
  <c r="P1811" i="2" s="1"/>
  <c r="AA1810" i="2"/>
  <c r="Z1810" i="2"/>
  <c r="Y1810" i="2"/>
  <c r="S1810" i="2"/>
  <c r="O1810" i="2"/>
  <c r="P1810" i="2" s="1"/>
  <c r="AA1809" i="2"/>
  <c r="Z1809" i="2"/>
  <c r="Y1809" i="2"/>
  <c r="S1809" i="2"/>
  <c r="O1809" i="2"/>
  <c r="P1809" i="2" s="1"/>
  <c r="AA1808" i="2"/>
  <c r="Z1808" i="2"/>
  <c r="Y1808" i="2"/>
  <c r="S1808" i="2"/>
  <c r="O1808" i="2"/>
  <c r="P1808" i="2" s="1"/>
  <c r="AA1807" i="2"/>
  <c r="Z1807" i="2"/>
  <c r="Y1807" i="2"/>
  <c r="S1807" i="2"/>
  <c r="O1807" i="2"/>
  <c r="P1807" i="2" s="1"/>
  <c r="AA1806" i="2"/>
  <c r="Z1806" i="2"/>
  <c r="Y1806" i="2"/>
  <c r="S1806" i="2"/>
  <c r="O1806" i="2"/>
  <c r="P1806" i="2" s="1"/>
  <c r="AA1805" i="2"/>
  <c r="Z1805" i="2"/>
  <c r="Y1805" i="2"/>
  <c r="S1805" i="2"/>
  <c r="O1805" i="2"/>
  <c r="P1805" i="2" s="1"/>
  <c r="AA1804" i="2"/>
  <c r="Z1804" i="2"/>
  <c r="Y1804" i="2"/>
  <c r="S1804" i="2"/>
  <c r="O1804" i="2"/>
  <c r="P1804" i="2" s="1"/>
  <c r="AA1803" i="2"/>
  <c r="Z1803" i="2"/>
  <c r="Y1803" i="2"/>
  <c r="S1803" i="2"/>
  <c r="O1803" i="2"/>
  <c r="P1803" i="2" s="1"/>
  <c r="AA1802" i="2"/>
  <c r="Z1802" i="2"/>
  <c r="Y1802" i="2"/>
  <c r="S1802" i="2"/>
  <c r="O1802" i="2"/>
  <c r="P1802" i="2" s="1"/>
  <c r="AA1801" i="2"/>
  <c r="Z1801" i="2"/>
  <c r="Y1801" i="2"/>
  <c r="S1801" i="2"/>
  <c r="O1801" i="2"/>
  <c r="P1801" i="2" s="1"/>
  <c r="AA1800" i="2"/>
  <c r="Z1800" i="2"/>
  <c r="Y1800" i="2"/>
  <c r="S1800" i="2"/>
  <c r="O1800" i="2"/>
  <c r="P1800" i="2" s="1"/>
  <c r="AA1799" i="2"/>
  <c r="Z1799" i="2"/>
  <c r="Y1799" i="2"/>
  <c r="S1799" i="2"/>
  <c r="O1799" i="2"/>
  <c r="P1799" i="2" s="1"/>
  <c r="AA1798" i="2"/>
  <c r="Z1798" i="2"/>
  <c r="Y1798" i="2"/>
  <c r="S1798" i="2"/>
  <c r="O1798" i="2"/>
  <c r="P1798" i="2" s="1"/>
  <c r="AA1797" i="2"/>
  <c r="Z1797" i="2"/>
  <c r="Y1797" i="2"/>
  <c r="S1797" i="2"/>
  <c r="O1797" i="2"/>
  <c r="P1797" i="2" s="1"/>
  <c r="AA1796" i="2"/>
  <c r="Z1796" i="2"/>
  <c r="Y1796" i="2"/>
  <c r="S1796" i="2"/>
  <c r="O1796" i="2"/>
  <c r="P1796" i="2" s="1"/>
  <c r="AA1795" i="2"/>
  <c r="Z1795" i="2"/>
  <c r="Y1795" i="2"/>
  <c r="S1795" i="2"/>
  <c r="O1795" i="2"/>
  <c r="P1795" i="2" s="1"/>
  <c r="AA1794" i="2"/>
  <c r="Z1794" i="2"/>
  <c r="Y1794" i="2"/>
  <c r="S1794" i="2"/>
  <c r="O1794" i="2"/>
  <c r="P1794" i="2" s="1"/>
  <c r="AA1793" i="2"/>
  <c r="Z1793" i="2"/>
  <c r="Y1793" i="2"/>
  <c r="S1793" i="2"/>
  <c r="O1793" i="2"/>
  <c r="P1793" i="2" s="1"/>
  <c r="AA1792" i="2"/>
  <c r="Z1792" i="2"/>
  <c r="Y1792" i="2"/>
  <c r="S1792" i="2"/>
  <c r="O1792" i="2"/>
  <c r="P1792" i="2" s="1"/>
  <c r="AA1791" i="2"/>
  <c r="Z1791" i="2"/>
  <c r="Y1791" i="2"/>
  <c r="S1791" i="2"/>
  <c r="O1791" i="2"/>
  <c r="P1791" i="2" s="1"/>
  <c r="AA1790" i="2"/>
  <c r="Z1790" i="2"/>
  <c r="Y1790" i="2"/>
  <c r="S1790" i="2"/>
  <c r="O1790" i="2"/>
  <c r="P1790" i="2" s="1"/>
  <c r="AA1789" i="2"/>
  <c r="Z1789" i="2"/>
  <c r="Y1789" i="2"/>
  <c r="S1789" i="2"/>
  <c r="O1789" i="2"/>
  <c r="P1789" i="2" s="1"/>
  <c r="AA1788" i="2"/>
  <c r="Z1788" i="2"/>
  <c r="Y1788" i="2"/>
  <c r="S1788" i="2"/>
  <c r="O1788" i="2"/>
  <c r="P1788" i="2" s="1"/>
  <c r="AA1787" i="2"/>
  <c r="Z1787" i="2"/>
  <c r="Y1787" i="2"/>
  <c r="S1787" i="2"/>
  <c r="O1787" i="2"/>
  <c r="P1787" i="2" s="1"/>
  <c r="AA1786" i="2"/>
  <c r="Z1786" i="2"/>
  <c r="Y1786" i="2"/>
  <c r="S1786" i="2"/>
  <c r="O1786" i="2"/>
  <c r="P1786" i="2" s="1"/>
  <c r="AA1785" i="2"/>
  <c r="Z1785" i="2"/>
  <c r="Y1785" i="2"/>
  <c r="S1785" i="2"/>
  <c r="O1785" i="2"/>
  <c r="P1785" i="2" s="1"/>
  <c r="AA1784" i="2"/>
  <c r="Z1784" i="2"/>
  <c r="Y1784" i="2"/>
  <c r="S1784" i="2"/>
  <c r="O1784" i="2"/>
  <c r="P1784" i="2" s="1"/>
  <c r="AA1783" i="2"/>
  <c r="Z1783" i="2"/>
  <c r="Y1783" i="2"/>
  <c r="S1783" i="2"/>
  <c r="O1783" i="2"/>
  <c r="P1783" i="2" s="1"/>
  <c r="AA1782" i="2"/>
  <c r="Z1782" i="2"/>
  <c r="Y1782" i="2"/>
  <c r="S1782" i="2"/>
  <c r="O1782" i="2"/>
  <c r="P1782" i="2" s="1"/>
  <c r="AA1781" i="2"/>
  <c r="Z1781" i="2"/>
  <c r="Y1781" i="2"/>
  <c r="S1781" i="2"/>
  <c r="O1781" i="2"/>
  <c r="P1781" i="2" s="1"/>
  <c r="AA1780" i="2"/>
  <c r="Z1780" i="2"/>
  <c r="Y1780" i="2"/>
  <c r="S1780" i="2"/>
  <c r="O1780" i="2"/>
  <c r="P1780" i="2" s="1"/>
  <c r="AA1779" i="2"/>
  <c r="Z1779" i="2"/>
  <c r="Y1779" i="2"/>
  <c r="S1779" i="2"/>
  <c r="O1779" i="2"/>
  <c r="P1779" i="2" s="1"/>
  <c r="AA1778" i="2"/>
  <c r="Z1778" i="2"/>
  <c r="Y1778" i="2"/>
  <c r="S1778" i="2"/>
  <c r="O1778" i="2"/>
  <c r="P1778" i="2" s="1"/>
  <c r="AA1777" i="2"/>
  <c r="Z1777" i="2"/>
  <c r="Y1777" i="2"/>
  <c r="S1777" i="2"/>
  <c r="P1777" i="2"/>
  <c r="O1777" i="2"/>
  <c r="AA1776" i="2"/>
  <c r="Z1776" i="2"/>
  <c r="Y1776" i="2"/>
  <c r="S1776" i="2"/>
  <c r="O1776" i="2"/>
  <c r="P1776" i="2" s="1"/>
  <c r="AA1775" i="2"/>
  <c r="Z1775" i="2"/>
  <c r="Y1775" i="2"/>
  <c r="S1775" i="2"/>
  <c r="O1775" i="2"/>
  <c r="P1775" i="2" s="1"/>
  <c r="AA1774" i="2"/>
  <c r="Z1774" i="2"/>
  <c r="Y1774" i="2"/>
  <c r="S1774" i="2"/>
  <c r="O1774" i="2"/>
  <c r="P1774" i="2" s="1"/>
  <c r="AA1773" i="2"/>
  <c r="Z1773" i="2"/>
  <c r="Y1773" i="2"/>
  <c r="S1773" i="2"/>
  <c r="O1773" i="2"/>
  <c r="P1773" i="2" s="1"/>
  <c r="AA1772" i="2"/>
  <c r="Z1772" i="2"/>
  <c r="Y1772" i="2"/>
  <c r="S1772" i="2"/>
  <c r="O1772" i="2"/>
  <c r="P1772" i="2" s="1"/>
  <c r="AA1771" i="2"/>
  <c r="Z1771" i="2"/>
  <c r="Y1771" i="2"/>
  <c r="S1771" i="2"/>
  <c r="O1771" i="2"/>
  <c r="P1771" i="2" s="1"/>
  <c r="AA1770" i="2"/>
  <c r="Z1770" i="2"/>
  <c r="Y1770" i="2"/>
  <c r="S1770" i="2"/>
  <c r="O1770" i="2"/>
  <c r="P1770" i="2" s="1"/>
  <c r="AA1769" i="2"/>
  <c r="Z1769" i="2"/>
  <c r="Y1769" i="2"/>
  <c r="S1769" i="2"/>
  <c r="O1769" i="2"/>
  <c r="P1769" i="2" s="1"/>
  <c r="AA1768" i="2"/>
  <c r="Z1768" i="2"/>
  <c r="Y1768" i="2"/>
  <c r="S1768" i="2"/>
  <c r="O1768" i="2"/>
  <c r="P1768" i="2" s="1"/>
  <c r="AA1767" i="2"/>
  <c r="Z1767" i="2"/>
  <c r="Y1767" i="2"/>
  <c r="S1767" i="2"/>
  <c r="O1767" i="2"/>
  <c r="P1767" i="2" s="1"/>
  <c r="AA1766" i="2"/>
  <c r="Z1766" i="2"/>
  <c r="Y1766" i="2"/>
  <c r="S1766" i="2"/>
  <c r="P1766" i="2"/>
  <c r="O1766" i="2"/>
  <c r="AA1765" i="2"/>
  <c r="Z1765" i="2"/>
  <c r="Y1765" i="2"/>
  <c r="S1765" i="2"/>
  <c r="O1765" i="2"/>
  <c r="P1765" i="2" s="1"/>
  <c r="AA1764" i="2"/>
  <c r="Z1764" i="2"/>
  <c r="Y1764" i="2"/>
  <c r="S1764" i="2"/>
  <c r="O1764" i="2"/>
  <c r="P1764" i="2" s="1"/>
  <c r="AA1763" i="2"/>
  <c r="Z1763" i="2"/>
  <c r="Y1763" i="2"/>
  <c r="S1763" i="2"/>
  <c r="O1763" i="2"/>
  <c r="P1763" i="2" s="1"/>
  <c r="AA1762" i="2"/>
  <c r="Z1762" i="2"/>
  <c r="Y1762" i="2"/>
  <c r="S1762" i="2"/>
  <c r="O1762" i="2"/>
  <c r="P1762" i="2" s="1"/>
  <c r="AA1761" i="2"/>
  <c r="Z1761" i="2"/>
  <c r="Y1761" i="2"/>
  <c r="S1761" i="2"/>
  <c r="O1761" i="2"/>
  <c r="P1761" i="2" s="1"/>
  <c r="AA1760" i="2"/>
  <c r="Z1760" i="2"/>
  <c r="Y1760" i="2"/>
  <c r="S1760" i="2"/>
  <c r="O1760" i="2"/>
  <c r="P1760" i="2" s="1"/>
  <c r="AA1759" i="2"/>
  <c r="Z1759" i="2"/>
  <c r="Y1759" i="2"/>
  <c r="S1759" i="2"/>
  <c r="O1759" i="2"/>
  <c r="P1759" i="2" s="1"/>
  <c r="AA1758" i="2"/>
  <c r="Z1758" i="2"/>
  <c r="Y1758" i="2"/>
  <c r="S1758" i="2"/>
  <c r="O1758" i="2"/>
  <c r="P1758" i="2" s="1"/>
  <c r="AA1757" i="2"/>
  <c r="Z1757" i="2"/>
  <c r="Y1757" i="2"/>
  <c r="S1757" i="2"/>
  <c r="O1757" i="2"/>
  <c r="P1757" i="2" s="1"/>
  <c r="AA1756" i="2"/>
  <c r="Z1756" i="2"/>
  <c r="Y1756" i="2"/>
  <c r="S1756" i="2"/>
  <c r="O1756" i="2"/>
  <c r="P1756" i="2" s="1"/>
  <c r="AA1755" i="2"/>
  <c r="Z1755" i="2"/>
  <c r="Y1755" i="2"/>
  <c r="S1755" i="2"/>
  <c r="O1755" i="2"/>
  <c r="P1755" i="2" s="1"/>
  <c r="AA1754" i="2"/>
  <c r="Z1754" i="2"/>
  <c r="Y1754" i="2"/>
  <c r="S1754" i="2"/>
  <c r="O1754" i="2"/>
  <c r="P1754" i="2" s="1"/>
  <c r="AA1753" i="2"/>
  <c r="Z1753" i="2"/>
  <c r="Y1753" i="2"/>
  <c r="S1753" i="2"/>
  <c r="O1753" i="2"/>
  <c r="P1753" i="2" s="1"/>
  <c r="AA1752" i="2"/>
  <c r="Z1752" i="2"/>
  <c r="Y1752" i="2"/>
  <c r="S1752" i="2"/>
  <c r="O1752" i="2"/>
  <c r="P1752" i="2" s="1"/>
  <c r="AA1751" i="2"/>
  <c r="Z1751" i="2"/>
  <c r="Y1751" i="2"/>
  <c r="S1751" i="2"/>
  <c r="O1751" i="2"/>
  <c r="P1751" i="2" s="1"/>
  <c r="AA1750" i="2"/>
  <c r="Z1750" i="2"/>
  <c r="Y1750" i="2"/>
  <c r="S1750" i="2"/>
  <c r="O1750" i="2"/>
  <c r="P1750" i="2" s="1"/>
  <c r="AA1749" i="2"/>
  <c r="Z1749" i="2"/>
  <c r="Y1749" i="2"/>
  <c r="S1749" i="2"/>
  <c r="O1749" i="2"/>
  <c r="P1749" i="2" s="1"/>
  <c r="AA1748" i="2"/>
  <c r="Z1748" i="2"/>
  <c r="Y1748" i="2"/>
  <c r="S1748" i="2"/>
  <c r="O1748" i="2"/>
  <c r="P1748" i="2" s="1"/>
  <c r="AA1747" i="2"/>
  <c r="Z1747" i="2"/>
  <c r="Y1747" i="2"/>
  <c r="S1747" i="2"/>
  <c r="O1747" i="2"/>
  <c r="P1747" i="2" s="1"/>
  <c r="AA1746" i="2"/>
  <c r="Z1746" i="2"/>
  <c r="Y1746" i="2"/>
  <c r="S1746" i="2"/>
  <c r="O1746" i="2"/>
  <c r="P1746" i="2" s="1"/>
  <c r="AA1745" i="2"/>
  <c r="Z1745" i="2"/>
  <c r="Y1745" i="2"/>
  <c r="S1745" i="2"/>
  <c r="O1745" i="2"/>
  <c r="P1745" i="2" s="1"/>
  <c r="AA1744" i="2"/>
  <c r="Z1744" i="2"/>
  <c r="Y1744" i="2"/>
  <c r="S1744" i="2"/>
  <c r="O1744" i="2"/>
  <c r="P1744" i="2" s="1"/>
  <c r="AA1743" i="2"/>
  <c r="Z1743" i="2"/>
  <c r="Y1743" i="2"/>
  <c r="S1743" i="2"/>
  <c r="O1743" i="2"/>
  <c r="P1743" i="2" s="1"/>
  <c r="AA1742" i="2"/>
  <c r="Z1742" i="2"/>
  <c r="Y1742" i="2"/>
  <c r="S1742" i="2"/>
  <c r="O1742" i="2"/>
  <c r="P1742" i="2" s="1"/>
  <c r="AA1741" i="2"/>
  <c r="Z1741" i="2"/>
  <c r="Y1741" i="2"/>
  <c r="S1741" i="2"/>
  <c r="O1741" i="2"/>
  <c r="P1741" i="2" s="1"/>
  <c r="AA1740" i="2"/>
  <c r="Z1740" i="2"/>
  <c r="Y1740" i="2"/>
  <c r="S1740" i="2"/>
  <c r="O1740" i="2"/>
  <c r="P1740" i="2" s="1"/>
  <c r="AA1739" i="2"/>
  <c r="Z1739" i="2"/>
  <c r="Y1739" i="2"/>
  <c r="S1739" i="2"/>
  <c r="O1739" i="2"/>
  <c r="P1739" i="2" s="1"/>
  <c r="AA1738" i="2"/>
  <c r="Z1738" i="2"/>
  <c r="Y1738" i="2"/>
  <c r="S1738" i="2"/>
  <c r="O1738" i="2"/>
  <c r="P1738" i="2" s="1"/>
  <c r="AA1737" i="2"/>
  <c r="Z1737" i="2"/>
  <c r="Y1737" i="2"/>
  <c r="S1737" i="2"/>
  <c r="O1737" i="2"/>
  <c r="P1737" i="2" s="1"/>
  <c r="AA1736" i="2"/>
  <c r="Z1736" i="2"/>
  <c r="Y1736" i="2"/>
  <c r="S1736" i="2"/>
  <c r="O1736" i="2"/>
  <c r="P1736" i="2" s="1"/>
  <c r="AA1735" i="2"/>
  <c r="Z1735" i="2"/>
  <c r="Y1735" i="2"/>
  <c r="S1735" i="2"/>
  <c r="O1735" i="2"/>
  <c r="P1735" i="2" s="1"/>
  <c r="AA1734" i="2"/>
  <c r="Z1734" i="2"/>
  <c r="Y1734" i="2"/>
  <c r="S1734" i="2"/>
  <c r="O1734" i="2"/>
  <c r="P1734" i="2" s="1"/>
  <c r="AA1733" i="2"/>
  <c r="Z1733" i="2"/>
  <c r="Y1733" i="2"/>
  <c r="S1733" i="2"/>
  <c r="O1733" i="2"/>
  <c r="P1733" i="2" s="1"/>
  <c r="AA1732" i="2"/>
  <c r="Z1732" i="2"/>
  <c r="Y1732" i="2"/>
  <c r="S1732" i="2"/>
  <c r="O1732" i="2"/>
  <c r="P1732" i="2" s="1"/>
  <c r="AA1731" i="2"/>
  <c r="Z1731" i="2"/>
  <c r="Y1731" i="2"/>
  <c r="S1731" i="2"/>
  <c r="O1731" i="2"/>
  <c r="P1731" i="2" s="1"/>
  <c r="AA1730" i="2"/>
  <c r="Z1730" i="2"/>
  <c r="Y1730" i="2"/>
  <c r="S1730" i="2"/>
  <c r="O1730" i="2"/>
  <c r="P1730" i="2" s="1"/>
  <c r="AA1729" i="2"/>
  <c r="Z1729" i="2"/>
  <c r="Y1729" i="2"/>
  <c r="S1729" i="2"/>
  <c r="O1729" i="2"/>
  <c r="P1729" i="2" s="1"/>
  <c r="AA1728" i="2"/>
  <c r="Z1728" i="2"/>
  <c r="Y1728" i="2"/>
  <c r="S1728" i="2"/>
  <c r="O1728" i="2"/>
  <c r="P1728" i="2" s="1"/>
  <c r="AA1727" i="2"/>
  <c r="Z1727" i="2"/>
  <c r="Y1727" i="2"/>
  <c r="S1727" i="2"/>
  <c r="O1727" i="2"/>
  <c r="P1727" i="2" s="1"/>
  <c r="AA1726" i="2"/>
  <c r="Z1726" i="2"/>
  <c r="Y1726" i="2"/>
  <c r="S1726" i="2"/>
  <c r="O1726" i="2"/>
  <c r="P1726" i="2" s="1"/>
  <c r="AA1725" i="2"/>
  <c r="Z1725" i="2"/>
  <c r="Y1725" i="2"/>
  <c r="S1725" i="2"/>
  <c r="O1725" i="2"/>
  <c r="P1725" i="2" s="1"/>
  <c r="AA1724" i="2"/>
  <c r="Z1724" i="2"/>
  <c r="Y1724" i="2"/>
  <c r="S1724" i="2"/>
  <c r="O1724" i="2"/>
  <c r="P1724" i="2" s="1"/>
  <c r="AA1723" i="2"/>
  <c r="Z1723" i="2"/>
  <c r="Y1723" i="2"/>
  <c r="S1723" i="2"/>
  <c r="O1723" i="2"/>
  <c r="P1723" i="2" s="1"/>
  <c r="AA1722" i="2"/>
  <c r="Z1722" i="2"/>
  <c r="Y1722" i="2"/>
  <c r="S1722" i="2"/>
  <c r="O1722" i="2"/>
  <c r="P1722" i="2" s="1"/>
  <c r="AA1721" i="2"/>
  <c r="Z1721" i="2"/>
  <c r="Y1721" i="2"/>
  <c r="S1721" i="2"/>
  <c r="O1721" i="2"/>
  <c r="P1721" i="2" s="1"/>
  <c r="AA1720" i="2"/>
  <c r="Z1720" i="2"/>
  <c r="Y1720" i="2"/>
  <c r="S1720" i="2"/>
  <c r="O1720" i="2"/>
  <c r="P1720" i="2" s="1"/>
  <c r="AA1719" i="2"/>
  <c r="Z1719" i="2"/>
  <c r="Y1719" i="2"/>
  <c r="S1719" i="2"/>
  <c r="O1719" i="2"/>
  <c r="P1719" i="2" s="1"/>
  <c r="AA1718" i="2"/>
  <c r="Z1718" i="2"/>
  <c r="Y1718" i="2"/>
  <c r="S1718" i="2"/>
  <c r="O1718" i="2"/>
  <c r="P1718" i="2" s="1"/>
  <c r="AA1717" i="2"/>
  <c r="Z1717" i="2"/>
  <c r="Y1717" i="2"/>
  <c r="S1717" i="2"/>
  <c r="O1717" i="2"/>
  <c r="P1717" i="2" s="1"/>
  <c r="AA1716" i="2"/>
  <c r="Z1716" i="2"/>
  <c r="Y1716" i="2"/>
  <c r="S1716" i="2"/>
  <c r="O1716" i="2"/>
  <c r="P1716" i="2" s="1"/>
  <c r="AA1715" i="2"/>
  <c r="Z1715" i="2"/>
  <c r="Y1715" i="2"/>
  <c r="S1715" i="2"/>
  <c r="O1715" i="2"/>
  <c r="P1715" i="2" s="1"/>
  <c r="AA1714" i="2"/>
  <c r="Z1714" i="2"/>
  <c r="Y1714" i="2"/>
  <c r="S1714" i="2"/>
  <c r="O1714" i="2"/>
  <c r="P1714" i="2" s="1"/>
  <c r="AA1713" i="2"/>
  <c r="Z1713" i="2"/>
  <c r="Y1713" i="2"/>
  <c r="S1713" i="2"/>
  <c r="O1713" i="2"/>
  <c r="P1713" i="2" s="1"/>
  <c r="AA1712" i="2"/>
  <c r="Z1712" i="2"/>
  <c r="Y1712" i="2"/>
  <c r="S1712" i="2"/>
  <c r="O1712" i="2"/>
  <c r="P1712" i="2" s="1"/>
  <c r="AA1711" i="2"/>
  <c r="Z1711" i="2"/>
  <c r="Y1711" i="2"/>
  <c r="S1711" i="2"/>
  <c r="O1711" i="2"/>
  <c r="P1711" i="2" s="1"/>
  <c r="AA1710" i="2"/>
  <c r="Z1710" i="2"/>
  <c r="Y1710" i="2"/>
  <c r="S1710" i="2"/>
  <c r="O1710" i="2"/>
  <c r="P1710" i="2" s="1"/>
  <c r="AA1709" i="2"/>
  <c r="Z1709" i="2"/>
  <c r="Y1709" i="2"/>
  <c r="S1709" i="2"/>
  <c r="O1709" i="2"/>
  <c r="P1709" i="2" s="1"/>
  <c r="AA1708" i="2"/>
  <c r="Z1708" i="2"/>
  <c r="Y1708" i="2"/>
  <c r="S1708" i="2"/>
  <c r="O1708" i="2"/>
  <c r="P1708" i="2" s="1"/>
  <c r="AA1707" i="2"/>
  <c r="Z1707" i="2"/>
  <c r="Y1707" i="2"/>
  <c r="S1707" i="2"/>
  <c r="O1707" i="2"/>
  <c r="P1707" i="2" s="1"/>
  <c r="AA1706" i="2"/>
  <c r="Z1706" i="2"/>
  <c r="Y1706" i="2"/>
  <c r="S1706" i="2"/>
  <c r="O1706" i="2"/>
  <c r="P1706" i="2" s="1"/>
  <c r="AA1705" i="2"/>
  <c r="Z1705" i="2"/>
  <c r="Y1705" i="2"/>
  <c r="S1705" i="2"/>
  <c r="O1705" i="2"/>
  <c r="P1705" i="2" s="1"/>
  <c r="AA1704" i="2"/>
  <c r="Z1704" i="2"/>
  <c r="Y1704" i="2"/>
  <c r="S1704" i="2"/>
  <c r="O1704" i="2"/>
  <c r="P1704" i="2" s="1"/>
  <c r="AA1703" i="2"/>
  <c r="Z1703" i="2"/>
  <c r="Y1703" i="2"/>
  <c r="S1703" i="2"/>
  <c r="O1703" i="2"/>
  <c r="P1703" i="2" s="1"/>
  <c r="AA1702" i="2"/>
  <c r="Z1702" i="2"/>
  <c r="Y1702" i="2"/>
  <c r="S1702" i="2"/>
  <c r="O1702" i="2"/>
  <c r="P1702" i="2" s="1"/>
  <c r="AA1701" i="2"/>
  <c r="Z1701" i="2"/>
  <c r="Y1701" i="2"/>
  <c r="S1701" i="2"/>
  <c r="O1701" i="2"/>
  <c r="P1701" i="2" s="1"/>
  <c r="AA1700" i="2"/>
  <c r="Z1700" i="2"/>
  <c r="Y1700" i="2"/>
  <c r="S1700" i="2"/>
  <c r="O1700" i="2"/>
  <c r="P1700" i="2" s="1"/>
  <c r="AA1699" i="2"/>
  <c r="Z1699" i="2"/>
  <c r="Y1699" i="2"/>
  <c r="S1699" i="2"/>
  <c r="O1699" i="2"/>
  <c r="P1699" i="2" s="1"/>
  <c r="AA1698" i="2"/>
  <c r="Z1698" i="2"/>
  <c r="Y1698" i="2"/>
  <c r="S1698" i="2"/>
  <c r="O1698" i="2"/>
  <c r="P1698" i="2" s="1"/>
  <c r="AA1697" i="2"/>
  <c r="Z1697" i="2"/>
  <c r="Y1697" i="2"/>
  <c r="S1697" i="2"/>
  <c r="O1697" i="2"/>
  <c r="P1697" i="2" s="1"/>
  <c r="AA1696" i="2"/>
  <c r="Z1696" i="2"/>
  <c r="Y1696" i="2"/>
  <c r="S1696" i="2"/>
  <c r="O1696" i="2"/>
  <c r="P1696" i="2" s="1"/>
  <c r="AA1695" i="2"/>
  <c r="Z1695" i="2"/>
  <c r="Y1695" i="2"/>
  <c r="S1695" i="2"/>
  <c r="O1695" i="2"/>
  <c r="P1695" i="2" s="1"/>
  <c r="AA1694" i="2"/>
  <c r="Z1694" i="2"/>
  <c r="Y1694" i="2"/>
  <c r="S1694" i="2"/>
  <c r="O1694" i="2"/>
  <c r="P1694" i="2" s="1"/>
  <c r="AA1693" i="2"/>
  <c r="Z1693" i="2"/>
  <c r="Y1693" i="2"/>
  <c r="S1693" i="2"/>
  <c r="O1693" i="2"/>
  <c r="P1693" i="2" s="1"/>
  <c r="AA1692" i="2"/>
  <c r="Z1692" i="2"/>
  <c r="Y1692" i="2"/>
  <c r="S1692" i="2"/>
  <c r="O1692" i="2"/>
  <c r="P1692" i="2" s="1"/>
  <c r="AA1691" i="2"/>
  <c r="Z1691" i="2"/>
  <c r="Y1691" i="2"/>
  <c r="S1691" i="2"/>
  <c r="O1691" i="2"/>
  <c r="P1691" i="2" s="1"/>
  <c r="AA1690" i="2"/>
  <c r="Z1690" i="2"/>
  <c r="Y1690" i="2"/>
  <c r="S1690" i="2"/>
  <c r="O1690" i="2"/>
  <c r="P1690" i="2" s="1"/>
  <c r="AA1689" i="2"/>
  <c r="Z1689" i="2"/>
  <c r="Y1689" i="2"/>
  <c r="S1689" i="2"/>
  <c r="O1689" i="2"/>
  <c r="P1689" i="2" s="1"/>
  <c r="AA1688" i="2"/>
  <c r="Z1688" i="2"/>
  <c r="Y1688" i="2"/>
  <c r="S1688" i="2"/>
  <c r="O1688" i="2"/>
  <c r="P1688" i="2" s="1"/>
  <c r="AA1687" i="2"/>
  <c r="Z1687" i="2"/>
  <c r="Y1687" i="2"/>
  <c r="S1687" i="2"/>
  <c r="O1687" i="2"/>
  <c r="P1687" i="2" s="1"/>
  <c r="AA1686" i="2"/>
  <c r="Z1686" i="2"/>
  <c r="Y1686" i="2"/>
  <c r="S1686" i="2"/>
  <c r="O1686" i="2"/>
  <c r="P1686" i="2" s="1"/>
  <c r="AA1685" i="2"/>
  <c r="Z1685" i="2"/>
  <c r="Y1685" i="2"/>
  <c r="S1685" i="2"/>
  <c r="O1685" i="2"/>
  <c r="P1685" i="2" s="1"/>
  <c r="AA1684" i="2"/>
  <c r="Z1684" i="2"/>
  <c r="Y1684" i="2"/>
  <c r="S1684" i="2"/>
  <c r="O1684" i="2"/>
  <c r="P1684" i="2" s="1"/>
  <c r="AA1683" i="2"/>
  <c r="Z1683" i="2"/>
  <c r="Y1683" i="2"/>
  <c r="S1683" i="2"/>
  <c r="O1683" i="2"/>
  <c r="P1683" i="2" s="1"/>
  <c r="AA1682" i="2"/>
  <c r="Z1682" i="2"/>
  <c r="Y1682" i="2"/>
  <c r="S1682" i="2"/>
  <c r="O1682" i="2"/>
  <c r="P1682" i="2" s="1"/>
  <c r="AA1681" i="2"/>
  <c r="Z1681" i="2"/>
  <c r="Y1681" i="2"/>
  <c r="S1681" i="2"/>
  <c r="O1681" i="2"/>
  <c r="P1681" i="2" s="1"/>
  <c r="AA1680" i="2"/>
  <c r="Z1680" i="2"/>
  <c r="Y1680" i="2"/>
  <c r="S1680" i="2"/>
  <c r="O1680" i="2"/>
  <c r="P1680" i="2" s="1"/>
  <c r="AA1679" i="2"/>
  <c r="Z1679" i="2"/>
  <c r="Y1679" i="2"/>
  <c r="S1679" i="2"/>
  <c r="O1679" i="2"/>
  <c r="P1679" i="2" s="1"/>
  <c r="AA1678" i="2"/>
  <c r="Z1678" i="2"/>
  <c r="Y1678" i="2"/>
  <c r="S1678" i="2"/>
  <c r="O1678" i="2"/>
  <c r="P1678" i="2" s="1"/>
  <c r="AA1677" i="2"/>
  <c r="Z1677" i="2"/>
  <c r="Y1677" i="2"/>
  <c r="S1677" i="2"/>
  <c r="O1677" i="2"/>
  <c r="P1677" i="2" s="1"/>
  <c r="AA1676" i="2"/>
  <c r="Z1676" i="2"/>
  <c r="Y1676" i="2"/>
  <c r="S1676" i="2"/>
  <c r="O1676" i="2"/>
  <c r="P1676" i="2" s="1"/>
  <c r="AA1675" i="2"/>
  <c r="Z1675" i="2"/>
  <c r="Y1675" i="2"/>
  <c r="S1675" i="2"/>
  <c r="O1675" i="2"/>
  <c r="P1675" i="2" s="1"/>
  <c r="AA1674" i="2"/>
  <c r="Z1674" i="2"/>
  <c r="Y1674" i="2"/>
  <c r="S1674" i="2"/>
  <c r="O1674" i="2"/>
  <c r="P1674" i="2" s="1"/>
  <c r="AA1673" i="2"/>
  <c r="Z1673" i="2"/>
  <c r="Y1673" i="2"/>
  <c r="S1673" i="2"/>
  <c r="O1673" i="2"/>
  <c r="P1673" i="2" s="1"/>
  <c r="AA1672" i="2"/>
  <c r="Z1672" i="2"/>
  <c r="Y1672" i="2"/>
  <c r="S1672" i="2"/>
  <c r="O1672" i="2"/>
  <c r="P1672" i="2" s="1"/>
  <c r="AA1671" i="2"/>
  <c r="Z1671" i="2"/>
  <c r="Y1671" i="2"/>
  <c r="S1671" i="2"/>
  <c r="O1671" i="2"/>
  <c r="P1671" i="2" s="1"/>
  <c r="AA1670" i="2"/>
  <c r="Z1670" i="2"/>
  <c r="Y1670" i="2"/>
  <c r="S1670" i="2"/>
  <c r="O1670" i="2"/>
  <c r="P1670" i="2" s="1"/>
  <c r="AA1669" i="2"/>
  <c r="Z1669" i="2"/>
  <c r="Y1669" i="2"/>
  <c r="S1669" i="2"/>
  <c r="O1669" i="2"/>
  <c r="P1669" i="2" s="1"/>
  <c r="AA1668" i="2"/>
  <c r="Z1668" i="2"/>
  <c r="Y1668" i="2"/>
  <c r="S1668" i="2"/>
  <c r="O1668" i="2"/>
  <c r="P1668" i="2" s="1"/>
  <c r="AA1667" i="2"/>
  <c r="Z1667" i="2"/>
  <c r="Y1667" i="2"/>
  <c r="S1667" i="2"/>
  <c r="O1667" i="2"/>
  <c r="P1667" i="2" s="1"/>
  <c r="AA1666" i="2"/>
  <c r="Z1666" i="2"/>
  <c r="Y1666" i="2"/>
  <c r="S1666" i="2"/>
  <c r="O1666" i="2"/>
  <c r="P1666" i="2" s="1"/>
  <c r="AA1665" i="2"/>
  <c r="Z1665" i="2"/>
  <c r="Y1665" i="2"/>
  <c r="S1665" i="2"/>
  <c r="O1665" i="2"/>
  <c r="P1665" i="2" s="1"/>
  <c r="AA1664" i="2"/>
  <c r="Z1664" i="2"/>
  <c r="Y1664" i="2"/>
  <c r="S1664" i="2"/>
  <c r="O1664" i="2"/>
  <c r="P1664" i="2" s="1"/>
  <c r="AA1663" i="2"/>
  <c r="Z1663" i="2"/>
  <c r="Y1663" i="2"/>
  <c r="S1663" i="2"/>
  <c r="O1663" i="2"/>
  <c r="P1663" i="2" s="1"/>
  <c r="AA1662" i="2"/>
  <c r="Z1662" i="2"/>
  <c r="Y1662" i="2"/>
  <c r="S1662" i="2"/>
  <c r="O1662" i="2"/>
  <c r="P1662" i="2" s="1"/>
  <c r="AA1661" i="2"/>
  <c r="Z1661" i="2"/>
  <c r="Y1661" i="2"/>
  <c r="S1661" i="2"/>
  <c r="O1661" i="2"/>
  <c r="P1661" i="2" s="1"/>
  <c r="AA1660" i="2"/>
  <c r="Z1660" i="2"/>
  <c r="Y1660" i="2"/>
  <c r="S1660" i="2"/>
  <c r="O1660" i="2"/>
  <c r="P1660" i="2" s="1"/>
  <c r="AA1659" i="2"/>
  <c r="Z1659" i="2"/>
  <c r="Y1659" i="2"/>
  <c r="S1659" i="2"/>
  <c r="O1659" i="2"/>
  <c r="P1659" i="2" s="1"/>
  <c r="AA1658" i="2"/>
  <c r="Z1658" i="2"/>
  <c r="Y1658" i="2"/>
  <c r="S1658" i="2"/>
  <c r="O1658" i="2"/>
  <c r="P1658" i="2" s="1"/>
  <c r="AA1657" i="2"/>
  <c r="Z1657" i="2"/>
  <c r="Y1657" i="2"/>
  <c r="S1657" i="2"/>
  <c r="O1657" i="2"/>
  <c r="P1657" i="2" s="1"/>
  <c r="AA1656" i="2"/>
  <c r="Z1656" i="2"/>
  <c r="Y1656" i="2"/>
  <c r="S1656" i="2"/>
  <c r="O1656" i="2"/>
  <c r="P1656" i="2" s="1"/>
  <c r="AA1655" i="2"/>
  <c r="Z1655" i="2"/>
  <c r="Y1655" i="2"/>
  <c r="S1655" i="2"/>
  <c r="O1655" i="2"/>
  <c r="P1655" i="2" s="1"/>
  <c r="AA1654" i="2"/>
  <c r="Z1654" i="2"/>
  <c r="Y1654" i="2"/>
  <c r="S1654" i="2"/>
  <c r="O1654" i="2"/>
  <c r="P1654" i="2" s="1"/>
  <c r="AA1653" i="2"/>
  <c r="Z1653" i="2"/>
  <c r="Y1653" i="2"/>
  <c r="S1653" i="2"/>
  <c r="O1653" i="2"/>
  <c r="P1653" i="2" s="1"/>
  <c r="AA1652" i="2"/>
  <c r="Z1652" i="2"/>
  <c r="Y1652" i="2"/>
  <c r="S1652" i="2"/>
  <c r="O1652" i="2"/>
  <c r="P1652" i="2" s="1"/>
  <c r="AA1651" i="2"/>
  <c r="Z1651" i="2"/>
  <c r="Y1651" i="2"/>
  <c r="S1651" i="2"/>
  <c r="O1651" i="2"/>
  <c r="P1651" i="2" s="1"/>
  <c r="AA1650" i="2"/>
  <c r="Z1650" i="2"/>
  <c r="Y1650" i="2"/>
  <c r="S1650" i="2"/>
  <c r="O1650" i="2"/>
  <c r="P1650" i="2" s="1"/>
  <c r="AA1649" i="2"/>
  <c r="Z1649" i="2"/>
  <c r="Y1649" i="2"/>
  <c r="S1649" i="2"/>
  <c r="O1649" i="2"/>
  <c r="P1649" i="2" s="1"/>
  <c r="AA1648" i="2"/>
  <c r="Z1648" i="2"/>
  <c r="Y1648" i="2"/>
  <c r="S1648" i="2"/>
  <c r="O1648" i="2"/>
  <c r="P1648" i="2" s="1"/>
  <c r="AA1647" i="2"/>
  <c r="Z1647" i="2"/>
  <c r="Y1647" i="2"/>
  <c r="S1647" i="2"/>
  <c r="O1647" i="2"/>
  <c r="P1647" i="2" s="1"/>
  <c r="AA1646" i="2"/>
  <c r="Z1646" i="2"/>
  <c r="Y1646" i="2"/>
  <c r="S1646" i="2"/>
  <c r="O1646" i="2"/>
  <c r="P1646" i="2" s="1"/>
  <c r="AA1645" i="2"/>
  <c r="Z1645" i="2"/>
  <c r="Y1645" i="2"/>
  <c r="S1645" i="2"/>
  <c r="O1645" i="2"/>
  <c r="P1645" i="2" s="1"/>
  <c r="AA1644" i="2"/>
  <c r="Z1644" i="2"/>
  <c r="Y1644" i="2"/>
  <c r="S1644" i="2"/>
  <c r="O1644" i="2"/>
  <c r="P1644" i="2" s="1"/>
  <c r="AA1643" i="2"/>
  <c r="Z1643" i="2"/>
  <c r="Y1643" i="2"/>
  <c r="S1643" i="2"/>
  <c r="O1643" i="2"/>
  <c r="P1643" i="2" s="1"/>
  <c r="AA1642" i="2"/>
  <c r="Z1642" i="2"/>
  <c r="Y1642" i="2"/>
  <c r="S1642" i="2"/>
  <c r="O1642" i="2"/>
  <c r="P1642" i="2" s="1"/>
  <c r="AA1641" i="2"/>
  <c r="Z1641" i="2"/>
  <c r="Y1641" i="2"/>
  <c r="S1641" i="2"/>
  <c r="O1641" i="2"/>
  <c r="P1641" i="2" s="1"/>
  <c r="AA1640" i="2"/>
  <c r="Z1640" i="2"/>
  <c r="Y1640" i="2"/>
  <c r="S1640" i="2"/>
  <c r="O1640" i="2"/>
  <c r="P1640" i="2" s="1"/>
  <c r="AA1639" i="2"/>
  <c r="Z1639" i="2"/>
  <c r="Y1639" i="2"/>
  <c r="S1639" i="2"/>
  <c r="O1639" i="2"/>
  <c r="P1639" i="2" s="1"/>
  <c r="AA1638" i="2"/>
  <c r="Z1638" i="2"/>
  <c r="Y1638" i="2"/>
  <c r="S1638" i="2"/>
  <c r="O1638" i="2"/>
  <c r="P1638" i="2" s="1"/>
  <c r="AA1637" i="2"/>
  <c r="Z1637" i="2"/>
  <c r="Y1637" i="2"/>
  <c r="S1637" i="2"/>
  <c r="O1637" i="2"/>
  <c r="P1637" i="2" s="1"/>
  <c r="AA1636" i="2"/>
  <c r="Z1636" i="2"/>
  <c r="Y1636" i="2"/>
  <c r="S1636" i="2"/>
  <c r="O1636" i="2"/>
  <c r="P1636" i="2" s="1"/>
  <c r="AA1635" i="2"/>
  <c r="Z1635" i="2"/>
  <c r="Y1635" i="2"/>
  <c r="S1635" i="2"/>
  <c r="O1635" i="2"/>
  <c r="P1635" i="2" s="1"/>
  <c r="AA1634" i="2"/>
  <c r="Z1634" i="2"/>
  <c r="Y1634" i="2"/>
  <c r="S1634" i="2"/>
  <c r="O1634" i="2"/>
  <c r="P1634" i="2" s="1"/>
  <c r="AA1633" i="2"/>
  <c r="Z1633" i="2"/>
  <c r="Y1633" i="2"/>
  <c r="S1633" i="2"/>
  <c r="O1633" i="2"/>
  <c r="P1633" i="2" s="1"/>
  <c r="AA1632" i="2"/>
  <c r="Z1632" i="2"/>
  <c r="Y1632" i="2"/>
  <c r="S1632" i="2"/>
  <c r="O1632" i="2"/>
  <c r="P1632" i="2" s="1"/>
  <c r="AA1631" i="2"/>
  <c r="Z1631" i="2"/>
  <c r="Y1631" i="2"/>
  <c r="S1631" i="2"/>
  <c r="O1631" i="2"/>
  <c r="P1631" i="2" s="1"/>
  <c r="AA1630" i="2"/>
  <c r="Z1630" i="2"/>
  <c r="Y1630" i="2"/>
  <c r="S1630" i="2"/>
  <c r="O1630" i="2"/>
  <c r="P1630" i="2" s="1"/>
  <c r="AA1629" i="2"/>
  <c r="Z1629" i="2"/>
  <c r="Y1629" i="2"/>
  <c r="S1629" i="2"/>
  <c r="O1629" i="2"/>
  <c r="P1629" i="2" s="1"/>
  <c r="AA1628" i="2"/>
  <c r="Z1628" i="2"/>
  <c r="Y1628" i="2"/>
  <c r="S1628" i="2"/>
  <c r="O1628" i="2"/>
  <c r="P1628" i="2" s="1"/>
  <c r="AA1627" i="2"/>
  <c r="Z1627" i="2"/>
  <c r="Y1627" i="2"/>
  <c r="S1627" i="2"/>
  <c r="O1627" i="2"/>
  <c r="P1627" i="2" s="1"/>
  <c r="AA1626" i="2"/>
  <c r="Z1626" i="2"/>
  <c r="Y1626" i="2"/>
  <c r="S1626" i="2"/>
  <c r="O1626" i="2"/>
  <c r="P1626" i="2" s="1"/>
  <c r="AA1625" i="2"/>
  <c r="Z1625" i="2"/>
  <c r="Y1625" i="2"/>
  <c r="S1625" i="2"/>
  <c r="O1625" i="2"/>
  <c r="P1625" i="2" s="1"/>
  <c r="AA1624" i="2"/>
  <c r="Z1624" i="2"/>
  <c r="Y1624" i="2"/>
  <c r="S1624" i="2"/>
  <c r="O1624" i="2"/>
  <c r="P1624" i="2" s="1"/>
  <c r="AA1623" i="2"/>
  <c r="Z1623" i="2"/>
  <c r="Y1623" i="2"/>
  <c r="S1623" i="2"/>
  <c r="O1623" i="2"/>
  <c r="P1623" i="2" s="1"/>
  <c r="AA1622" i="2"/>
  <c r="Z1622" i="2"/>
  <c r="Y1622" i="2"/>
  <c r="S1622" i="2"/>
  <c r="O1622" i="2"/>
  <c r="P1622" i="2" s="1"/>
  <c r="AA1621" i="2"/>
  <c r="Z1621" i="2"/>
  <c r="Y1621" i="2"/>
  <c r="S1621" i="2"/>
  <c r="O1621" i="2"/>
  <c r="P1621" i="2" s="1"/>
  <c r="AA1620" i="2"/>
  <c r="Z1620" i="2"/>
  <c r="Y1620" i="2"/>
  <c r="S1620" i="2"/>
  <c r="O1620" i="2"/>
  <c r="P1620" i="2" s="1"/>
  <c r="AA1619" i="2"/>
  <c r="Z1619" i="2"/>
  <c r="Y1619" i="2"/>
  <c r="S1619" i="2"/>
  <c r="O1619" i="2"/>
  <c r="P1619" i="2" s="1"/>
  <c r="AA1618" i="2"/>
  <c r="Z1618" i="2"/>
  <c r="Y1618" i="2"/>
  <c r="S1618" i="2"/>
  <c r="O1618" i="2"/>
  <c r="P1618" i="2" s="1"/>
  <c r="AA1617" i="2"/>
  <c r="Z1617" i="2"/>
  <c r="Y1617" i="2"/>
  <c r="S1617" i="2"/>
  <c r="O1617" i="2"/>
  <c r="P1617" i="2" s="1"/>
  <c r="AA1616" i="2"/>
  <c r="Z1616" i="2"/>
  <c r="Y1616" i="2"/>
  <c r="S1616" i="2"/>
  <c r="O1616" i="2"/>
  <c r="P1616" i="2" s="1"/>
  <c r="AA1615" i="2"/>
  <c r="Z1615" i="2"/>
  <c r="Y1615" i="2"/>
  <c r="S1615" i="2"/>
  <c r="O1615" i="2"/>
  <c r="P1615" i="2" s="1"/>
  <c r="AA1614" i="2"/>
  <c r="Z1614" i="2"/>
  <c r="Y1614" i="2"/>
  <c r="S1614" i="2"/>
  <c r="O1614" i="2"/>
  <c r="P1614" i="2" s="1"/>
  <c r="AA1613" i="2"/>
  <c r="Z1613" i="2"/>
  <c r="Y1613" i="2"/>
  <c r="S1613" i="2"/>
  <c r="O1613" i="2"/>
  <c r="P1613" i="2" s="1"/>
  <c r="AA1612" i="2"/>
  <c r="Z1612" i="2"/>
  <c r="Y1612" i="2"/>
  <c r="S1612" i="2"/>
  <c r="O1612" i="2"/>
  <c r="P1612" i="2" s="1"/>
  <c r="AA1611" i="2"/>
  <c r="Z1611" i="2"/>
  <c r="Y1611" i="2"/>
  <c r="S1611" i="2"/>
  <c r="O1611" i="2"/>
  <c r="P1611" i="2" s="1"/>
  <c r="AA1610" i="2"/>
  <c r="Z1610" i="2"/>
  <c r="Y1610" i="2"/>
  <c r="S1610" i="2"/>
  <c r="O1610" i="2"/>
  <c r="P1610" i="2" s="1"/>
  <c r="AA1609" i="2"/>
  <c r="Z1609" i="2"/>
  <c r="Y1609" i="2"/>
  <c r="S1609" i="2"/>
  <c r="O1609" i="2"/>
  <c r="P1609" i="2" s="1"/>
  <c r="AA1608" i="2"/>
  <c r="Z1608" i="2"/>
  <c r="Y1608" i="2"/>
  <c r="S1608" i="2"/>
  <c r="O1608" i="2"/>
  <c r="P1608" i="2" s="1"/>
  <c r="AA1607" i="2"/>
  <c r="Z1607" i="2"/>
  <c r="Y1607" i="2"/>
  <c r="S1607" i="2"/>
  <c r="O1607" i="2"/>
  <c r="P1607" i="2" s="1"/>
  <c r="AA1606" i="2"/>
  <c r="Z1606" i="2"/>
  <c r="Y1606" i="2"/>
  <c r="S1606" i="2"/>
  <c r="O1606" i="2"/>
  <c r="P1606" i="2" s="1"/>
  <c r="AA1605" i="2"/>
  <c r="Z1605" i="2"/>
  <c r="Y1605" i="2"/>
  <c r="S1605" i="2"/>
  <c r="O1605" i="2"/>
  <c r="P1605" i="2" s="1"/>
  <c r="AA1604" i="2"/>
  <c r="Z1604" i="2"/>
  <c r="Y1604" i="2"/>
  <c r="S1604" i="2"/>
  <c r="O1604" i="2"/>
  <c r="P1604" i="2" s="1"/>
  <c r="AA1603" i="2"/>
  <c r="Z1603" i="2"/>
  <c r="Y1603" i="2"/>
  <c r="S1603" i="2"/>
  <c r="O1603" i="2"/>
  <c r="P1603" i="2" s="1"/>
  <c r="AA1602" i="2"/>
  <c r="Z1602" i="2"/>
  <c r="Y1602" i="2"/>
  <c r="S1602" i="2"/>
  <c r="O1602" i="2"/>
  <c r="P1602" i="2" s="1"/>
  <c r="AA1601" i="2"/>
  <c r="Z1601" i="2"/>
  <c r="Y1601" i="2"/>
  <c r="S1601" i="2"/>
  <c r="O1601" i="2"/>
  <c r="P1601" i="2" s="1"/>
  <c r="AA1600" i="2"/>
  <c r="Z1600" i="2"/>
  <c r="Y1600" i="2"/>
  <c r="S1600" i="2"/>
  <c r="O1600" i="2"/>
  <c r="P1600" i="2" s="1"/>
  <c r="AA1599" i="2"/>
  <c r="Z1599" i="2"/>
  <c r="Y1599" i="2"/>
  <c r="S1599" i="2"/>
  <c r="O1599" i="2"/>
  <c r="P1599" i="2" s="1"/>
  <c r="AA1598" i="2"/>
  <c r="Z1598" i="2"/>
  <c r="Y1598" i="2"/>
  <c r="S1598" i="2"/>
  <c r="O1598" i="2"/>
  <c r="P1598" i="2" s="1"/>
  <c r="AA1597" i="2"/>
  <c r="Z1597" i="2"/>
  <c r="Y1597" i="2"/>
  <c r="S1597" i="2"/>
  <c r="O1597" i="2"/>
  <c r="P1597" i="2" s="1"/>
  <c r="AA1596" i="2"/>
  <c r="Z1596" i="2"/>
  <c r="Y1596" i="2"/>
  <c r="S1596" i="2"/>
  <c r="O1596" i="2"/>
  <c r="P1596" i="2" s="1"/>
  <c r="AA1595" i="2"/>
  <c r="Z1595" i="2"/>
  <c r="Y1595" i="2"/>
  <c r="S1595" i="2"/>
  <c r="O1595" i="2"/>
  <c r="P1595" i="2" s="1"/>
  <c r="AA1594" i="2"/>
  <c r="Z1594" i="2"/>
  <c r="Y1594" i="2"/>
  <c r="S1594" i="2"/>
  <c r="O1594" i="2"/>
  <c r="P1594" i="2" s="1"/>
  <c r="AA1593" i="2"/>
  <c r="Z1593" i="2"/>
  <c r="Y1593" i="2"/>
  <c r="S1593" i="2"/>
  <c r="O1593" i="2"/>
  <c r="P1593" i="2" s="1"/>
  <c r="AA1592" i="2"/>
  <c r="Z1592" i="2"/>
  <c r="Y1592" i="2"/>
  <c r="S1592" i="2"/>
  <c r="O1592" i="2"/>
  <c r="P1592" i="2" s="1"/>
  <c r="AA1591" i="2"/>
  <c r="Z1591" i="2"/>
  <c r="Y1591" i="2"/>
  <c r="S1591" i="2"/>
  <c r="O1591" i="2"/>
  <c r="P1591" i="2" s="1"/>
  <c r="AA1590" i="2"/>
  <c r="Z1590" i="2"/>
  <c r="Y1590" i="2"/>
  <c r="S1590" i="2"/>
  <c r="O1590" i="2"/>
  <c r="P1590" i="2" s="1"/>
  <c r="AA1589" i="2"/>
  <c r="Z1589" i="2"/>
  <c r="Y1589" i="2"/>
  <c r="S1589" i="2"/>
  <c r="O1589" i="2"/>
  <c r="P1589" i="2" s="1"/>
  <c r="AA1588" i="2"/>
  <c r="Z1588" i="2"/>
  <c r="Y1588" i="2"/>
  <c r="S1588" i="2"/>
  <c r="O1588" i="2"/>
  <c r="P1588" i="2" s="1"/>
  <c r="AA1587" i="2"/>
  <c r="Z1587" i="2"/>
  <c r="Y1587" i="2"/>
  <c r="S1587" i="2"/>
  <c r="O1587" i="2"/>
  <c r="P1587" i="2" s="1"/>
  <c r="AA1586" i="2"/>
  <c r="Z1586" i="2"/>
  <c r="Y1586" i="2"/>
  <c r="S1586" i="2"/>
  <c r="O1586" i="2"/>
  <c r="P1586" i="2" s="1"/>
  <c r="AA1585" i="2"/>
  <c r="Z1585" i="2"/>
  <c r="Y1585" i="2"/>
  <c r="S1585" i="2"/>
  <c r="O1585" i="2"/>
  <c r="P1585" i="2" s="1"/>
  <c r="AA1584" i="2"/>
  <c r="Z1584" i="2"/>
  <c r="Y1584" i="2"/>
  <c r="S1584" i="2"/>
  <c r="O1584" i="2"/>
  <c r="P1584" i="2" s="1"/>
  <c r="AA1583" i="2"/>
  <c r="Z1583" i="2"/>
  <c r="Y1583" i="2"/>
  <c r="S1583" i="2"/>
  <c r="O1583" i="2"/>
  <c r="P1583" i="2" s="1"/>
  <c r="AA1582" i="2"/>
  <c r="Z1582" i="2"/>
  <c r="Y1582" i="2"/>
  <c r="S1582" i="2"/>
  <c r="O1582" i="2"/>
  <c r="P1582" i="2" s="1"/>
  <c r="AA1581" i="2"/>
  <c r="Z1581" i="2"/>
  <c r="Y1581" i="2"/>
  <c r="S1581" i="2"/>
  <c r="O1581" i="2"/>
  <c r="P1581" i="2" s="1"/>
  <c r="AA1580" i="2"/>
  <c r="Z1580" i="2"/>
  <c r="Y1580" i="2"/>
  <c r="S1580" i="2"/>
  <c r="O1580" i="2"/>
  <c r="P1580" i="2" s="1"/>
  <c r="AA1579" i="2"/>
  <c r="Z1579" i="2"/>
  <c r="Y1579" i="2"/>
  <c r="S1579" i="2"/>
  <c r="O1579" i="2"/>
  <c r="P1579" i="2" s="1"/>
  <c r="AA1578" i="2"/>
  <c r="Z1578" i="2"/>
  <c r="Y1578" i="2"/>
  <c r="S1578" i="2"/>
  <c r="O1578" i="2"/>
  <c r="P1578" i="2" s="1"/>
  <c r="AA1577" i="2"/>
  <c r="Z1577" i="2"/>
  <c r="Y1577" i="2"/>
  <c r="S1577" i="2"/>
  <c r="O1577" i="2"/>
  <c r="P1577" i="2" s="1"/>
  <c r="AA1576" i="2"/>
  <c r="Z1576" i="2"/>
  <c r="Y1576" i="2"/>
  <c r="S1576" i="2"/>
  <c r="O1576" i="2"/>
  <c r="P1576" i="2" s="1"/>
  <c r="AA1575" i="2"/>
  <c r="Z1575" i="2"/>
  <c r="Y1575" i="2"/>
  <c r="S1575" i="2"/>
  <c r="O1575" i="2"/>
  <c r="P1575" i="2" s="1"/>
  <c r="AA1574" i="2"/>
  <c r="Z1574" i="2"/>
  <c r="Y1574" i="2"/>
  <c r="S1574" i="2"/>
  <c r="O1574" i="2"/>
  <c r="P1574" i="2" s="1"/>
  <c r="AA1573" i="2"/>
  <c r="Z1573" i="2"/>
  <c r="Y1573" i="2"/>
  <c r="S1573" i="2"/>
  <c r="O1573" i="2"/>
  <c r="P1573" i="2" s="1"/>
  <c r="AA1572" i="2"/>
  <c r="Z1572" i="2"/>
  <c r="Y1572" i="2"/>
  <c r="S1572" i="2"/>
  <c r="O1572" i="2"/>
  <c r="P1572" i="2" s="1"/>
  <c r="AA1571" i="2"/>
  <c r="Z1571" i="2"/>
  <c r="Y1571" i="2"/>
  <c r="S1571" i="2"/>
  <c r="O1571" i="2"/>
  <c r="P1571" i="2" s="1"/>
  <c r="AA1570" i="2"/>
  <c r="Z1570" i="2"/>
  <c r="Y1570" i="2"/>
  <c r="S1570" i="2"/>
  <c r="O1570" i="2"/>
  <c r="P1570" i="2" s="1"/>
  <c r="AA1569" i="2"/>
  <c r="Z1569" i="2"/>
  <c r="Y1569" i="2"/>
  <c r="S1569" i="2"/>
  <c r="O1569" i="2"/>
  <c r="P1569" i="2" s="1"/>
  <c r="AA1568" i="2"/>
  <c r="Z1568" i="2"/>
  <c r="Y1568" i="2"/>
  <c r="S1568" i="2"/>
  <c r="O1568" i="2"/>
  <c r="P1568" i="2" s="1"/>
  <c r="AA1567" i="2"/>
  <c r="Z1567" i="2"/>
  <c r="Y1567" i="2"/>
  <c r="S1567" i="2"/>
  <c r="O1567" i="2"/>
  <c r="P1567" i="2" s="1"/>
  <c r="AA1566" i="2"/>
  <c r="Z1566" i="2"/>
  <c r="Y1566" i="2"/>
  <c r="S1566" i="2"/>
  <c r="O1566" i="2"/>
  <c r="P1566" i="2" s="1"/>
  <c r="AA1565" i="2"/>
  <c r="Z1565" i="2"/>
  <c r="Y1565" i="2"/>
  <c r="S1565" i="2"/>
  <c r="O1565" i="2"/>
  <c r="P1565" i="2" s="1"/>
  <c r="AA1564" i="2"/>
  <c r="Z1564" i="2"/>
  <c r="Y1564" i="2"/>
  <c r="S1564" i="2"/>
  <c r="O1564" i="2"/>
  <c r="P1564" i="2" s="1"/>
  <c r="AA1563" i="2"/>
  <c r="Z1563" i="2"/>
  <c r="Y1563" i="2"/>
  <c r="S1563" i="2"/>
  <c r="O1563" i="2"/>
  <c r="P1563" i="2" s="1"/>
  <c r="AA1562" i="2"/>
  <c r="Z1562" i="2"/>
  <c r="Y1562" i="2"/>
  <c r="S1562" i="2"/>
  <c r="O1562" i="2"/>
  <c r="P1562" i="2" s="1"/>
  <c r="AA1561" i="2"/>
  <c r="Z1561" i="2"/>
  <c r="Y1561" i="2"/>
  <c r="S1561" i="2"/>
  <c r="O1561" i="2"/>
  <c r="P1561" i="2" s="1"/>
  <c r="AA1560" i="2"/>
  <c r="Z1560" i="2"/>
  <c r="Y1560" i="2"/>
  <c r="S1560" i="2"/>
  <c r="O1560" i="2"/>
  <c r="P1560" i="2" s="1"/>
  <c r="AA1559" i="2"/>
  <c r="Z1559" i="2"/>
  <c r="Y1559" i="2"/>
  <c r="S1559" i="2"/>
  <c r="O1559" i="2"/>
  <c r="P1559" i="2" s="1"/>
  <c r="AA1558" i="2"/>
  <c r="Z1558" i="2"/>
  <c r="Y1558" i="2"/>
  <c r="S1558" i="2"/>
  <c r="O1558" i="2"/>
  <c r="P1558" i="2" s="1"/>
  <c r="AA1557" i="2"/>
  <c r="Z1557" i="2"/>
  <c r="Y1557" i="2"/>
  <c r="S1557" i="2"/>
  <c r="O1557" i="2"/>
  <c r="P1557" i="2" s="1"/>
  <c r="AA1556" i="2"/>
  <c r="Z1556" i="2"/>
  <c r="Y1556" i="2"/>
  <c r="S1556" i="2"/>
  <c r="O1556" i="2"/>
  <c r="P1556" i="2" s="1"/>
  <c r="AA1555" i="2"/>
  <c r="Z1555" i="2"/>
  <c r="Y1555" i="2"/>
  <c r="S1555" i="2"/>
  <c r="O1555" i="2"/>
  <c r="P1555" i="2" s="1"/>
  <c r="AA1554" i="2"/>
  <c r="Z1554" i="2"/>
  <c r="Y1554" i="2"/>
  <c r="S1554" i="2"/>
  <c r="O1554" i="2"/>
  <c r="P1554" i="2" s="1"/>
  <c r="AA1553" i="2"/>
  <c r="Z1553" i="2"/>
  <c r="Y1553" i="2"/>
  <c r="S1553" i="2"/>
  <c r="O1553" i="2"/>
  <c r="P1553" i="2" s="1"/>
  <c r="AA1552" i="2"/>
  <c r="Z1552" i="2"/>
  <c r="Y1552" i="2"/>
  <c r="S1552" i="2"/>
  <c r="P1552" i="2"/>
  <c r="O1552" i="2"/>
  <c r="AA1551" i="2"/>
  <c r="Z1551" i="2"/>
  <c r="Y1551" i="2"/>
  <c r="S1551" i="2"/>
  <c r="O1551" i="2"/>
  <c r="P1551" i="2" s="1"/>
  <c r="AA1550" i="2"/>
  <c r="Z1550" i="2"/>
  <c r="Y1550" i="2"/>
  <c r="S1550" i="2"/>
  <c r="P1550" i="2"/>
  <c r="O1550" i="2"/>
  <c r="AA1549" i="2"/>
  <c r="Z1549" i="2"/>
  <c r="Y1549" i="2"/>
  <c r="S1549" i="2"/>
  <c r="O1549" i="2"/>
  <c r="P1549" i="2" s="1"/>
  <c r="AA1548" i="2"/>
  <c r="Z1548" i="2"/>
  <c r="Y1548" i="2"/>
  <c r="S1548" i="2"/>
  <c r="O1548" i="2"/>
  <c r="P1548" i="2" s="1"/>
  <c r="AA1547" i="2"/>
  <c r="Z1547" i="2"/>
  <c r="Y1547" i="2"/>
  <c r="S1547" i="2"/>
  <c r="O1547" i="2"/>
  <c r="P1547" i="2" s="1"/>
  <c r="AA1546" i="2"/>
  <c r="Z1546" i="2"/>
  <c r="Y1546" i="2"/>
  <c r="S1546" i="2"/>
  <c r="O1546" i="2"/>
  <c r="P1546" i="2" s="1"/>
  <c r="AA1545" i="2"/>
  <c r="Z1545" i="2"/>
  <c r="Y1545" i="2"/>
  <c r="S1545" i="2"/>
  <c r="O1545" i="2"/>
  <c r="P1545" i="2" s="1"/>
  <c r="AA1544" i="2"/>
  <c r="Z1544" i="2"/>
  <c r="Y1544" i="2"/>
  <c r="S1544" i="2"/>
  <c r="O1544" i="2"/>
  <c r="P1544" i="2" s="1"/>
  <c r="AA1543" i="2"/>
  <c r="Z1543" i="2"/>
  <c r="Y1543" i="2"/>
  <c r="S1543" i="2"/>
  <c r="O1543" i="2"/>
  <c r="P1543" i="2" s="1"/>
  <c r="AA1542" i="2"/>
  <c r="Z1542" i="2"/>
  <c r="Y1542" i="2"/>
  <c r="S1542" i="2"/>
  <c r="O1542" i="2"/>
  <c r="P1542" i="2" s="1"/>
  <c r="AA1541" i="2"/>
  <c r="Z1541" i="2"/>
  <c r="Y1541" i="2"/>
  <c r="S1541" i="2"/>
  <c r="P1541" i="2"/>
  <c r="O1541" i="2"/>
  <c r="AA1540" i="2"/>
  <c r="Z1540" i="2"/>
  <c r="Y1540" i="2"/>
  <c r="S1540" i="2"/>
  <c r="O1540" i="2"/>
  <c r="P1540" i="2" s="1"/>
  <c r="AA1539" i="2"/>
  <c r="Z1539" i="2"/>
  <c r="Y1539" i="2"/>
  <c r="S1539" i="2"/>
  <c r="O1539" i="2"/>
  <c r="P1539" i="2" s="1"/>
  <c r="AA1538" i="2"/>
  <c r="Z1538" i="2"/>
  <c r="Y1538" i="2"/>
  <c r="S1538" i="2"/>
  <c r="O1538" i="2"/>
  <c r="P1538" i="2" s="1"/>
  <c r="AA1537" i="2"/>
  <c r="Z1537" i="2"/>
  <c r="Y1537" i="2"/>
  <c r="S1537" i="2"/>
  <c r="O1537" i="2"/>
  <c r="P1537" i="2" s="1"/>
  <c r="AA1536" i="2"/>
  <c r="Z1536" i="2"/>
  <c r="Y1536" i="2"/>
  <c r="S1536" i="2"/>
  <c r="O1536" i="2"/>
  <c r="P1536" i="2" s="1"/>
  <c r="AA1535" i="2"/>
  <c r="Z1535" i="2"/>
  <c r="Y1535" i="2"/>
  <c r="S1535" i="2"/>
  <c r="O1535" i="2"/>
  <c r="P1535" i="2" s="1"/>
  <c r="AA1534" i="2"/>
  <c r="Z1534" i="2"/>
  <c r="Y1534" i="2"/>
  <c r="S1534" i="2"/>
  <c r="O1534" i="2"/>
  <c r="P1534" i="2" s="1"/>
  <c r="AA1533" i="2"/>
  <c r="Z1533" i="2"/>
  <c r="Y1533" i="2"/>
  <c r="S1533" i="2"/>
  <c r="O1533" i="2"/>
  <c r="P1533" i="2" s="1"/>
  <c r="AA1532" i="2"/>
  <c r="Z1532" i="2"/>
  <c r="Y1532" i="2"/>
  <c r="S1532" i="2"/>
  <c r="O1532" i="2"/>
  <c r="P1532" i="2" s="1"/>
  <c r="AA1531" i="2"/>
  <c r="Z1531" i="2"/>
  <c r="Y1531" i="2"/>
  <c r="S1531" i="2"/>
  <c r="O1531" i="2"/>
  <c r="P1531" i="2" s="1"/>
  <c r="AA1530" i="2"/>
  <c r="Z1530" i="2"/>
  <c r="Y1530" i="2"/>
  <c r="S1530" i="2"/>
  <c r="O1530" i="2"/>
  <c r="P1530" i="2" s="1"/>
  <c r="AA1529" i="2"/>
  <c r="Z1529" i="2"/>
  <c r="Y1529" i="2"/>
  <c r="S1529" i="2"/>
  <c r="O1529" i="2"/>
  <c r="P1529" i="2" s="1"/>
  <c r="AA1528" i="2"/>
  <c r="Z1528" i="2"/>
  <c r="Y1528" i="2"/>
  <c r="S1528" i="2"/>
  <c r="O1528" i="2"/>
  <c r="P1528" i="2" s="1"/>
  <c r="AA1527" i="2"/>
  <c r="Z1527" i="2"/>
  <c r="Y1527" i="2"/>
  <c r="S1527" i="2"/>
  <c r="O1527" i="2"/>
  <c r="P1527" i="2" s="1"/>
  <c r="AA1526" i="2"/>
  <c r="Z1526" i="2"/>
  <c r="Y1526" i="2"/>
  <c r="S1526" i="2"/>
  <c r="O1526" i="2"/>
  <c r="P1526" i="2" s="1"/>
  <c r="AA1525" i="2"/>
  <c r="Z1525" i="2"/>
  <c r="Y1525" i="2"/>
  <c r="S1525" i="2"/>
  <c r="O1525" i="2"/>
  <c r="P1525" i="2" s="1"/>
  <c r="AA1524" i="2"/>
  <c r="Z1524" i="2"/>
  <c r="Y1524" i="2"/>
  <c r="S1524" i="2"/>
  <c r="O1524" i="2"/>
  <c r="P1524" i="2" s="1"/>
  <c r="AA1523" i="2"/>
  <c r="Z1523" i="2"/>
  <c r="Y1523" i="2"/>
  <c r="S1523" i="2"/>
  <c r="O1523" i="2"/>
  <c r="P1523" i="2" s="1"/>
  <c r="AA1522" i="2"/>
  <c r="Z1522" i="2"/>
  <c r="Y1522" i="2"/>
  <c r="S1522" i="2"/>
  <c r="O1522" i="2"/>
  <c r="P1522" i="2" s="1"/>
  <c r="AA1521" i="2"/>
  <c r="Z1521" i="2"/>
  <c r="Y1521" i="2"/>
  <c r="S1521" i="2"/>
  <c r="O1521" i="2"/>
  <c r="P1521" i="2" s="1"/>
  <c r="AA1520" i="2"/>
  <c r="Z1520" i="2"/>
  <c r="Y1520" i="2"/>
  <c r="S1520" i="2"/>
  <c r="O1520" i="2"/>
  <c r="P1520" i="2" s="1"/>
  <c r="AA1519" i="2"/>
  <c r="Z1519" i="2"/>
  <c r="Y1519" i="2"/>
  <c r="S1519" i="2"/>
  <c r="O1519" i="2"/>
  <c r="P1519" i="2" s="1"/>
  <c r="AA1518" i="2"/>
  <c r="Z1518" i="2"/>
  <c r="Y1518" i="2"/>
  <c r="S1518" i="2"/>
  <c r="O1518" i="2"/>
  <c r="P1518" i="2" s="1"/>
  <c r="AA1517" i="2"/>
  <c r="Z1517" i="2"/>
  <c r="Y1517" i="2"/>
  <c r="S1517" i="2"/>
  <c r="O1517" i="2"/>
  <c r="P1517" i="2" s="1"/>
  <c r="AA1516" i="2"/>
  <c r="Z1516" i="2"/>
  <c r="Y1516" i="2"/>
  <c r="S1516" i="2"/>
  <c r="O1516" i="2"/>
  <c r="P1516" i="2" s="1"/>
  <c r="AA1515" i="2"/>
  <c r="Z1515" i="2"/>
  <c r="Y1515" i="2"/>
  <c r="S1515" i="2"/>
  <c r="O1515" i="2"/>
  <c r="P1515" i="2" s="1"/>
  <c r="AA1514" i="2"/>
  <c r="Z1514" i="2"/>
  <c r="Y1514" i="2"/>
  <c r="S1514" i="2"/>
  <c r="P1514" i="2"/>
  <c r="O1514" i="2"/>
  <c r="AA1513" i="2"/>
  <c r="Z1513" i="2"/>
  <c r="Y1513" i="2"/>
  <c r="S1513" i="2"/>
  <c r="O1513" i="2"/>
  <c r="P1513" i="2" s="1"/>
  <c r="AA1512" i="2"/>
  <c r="Z1512" i="2"/>
  <c r="Y1512" i="2"/>
  <c r="S1512" i="2"/>
  <c r="O1512" i="2"/>
  <c r="P1512" i="2" s="1"/>
  <c r="AA1511" i="2"/>
  <c r="Z1511" i="2"/>
  <c r="Y1511" i="2"/>
  <c r="S1511" i="2"/>
  <c r="O1511" i="2"/>
  <c r="P1511" i="2" s="1"/>
  <c r="AA1510" i="2"/>
  <c r="Z1510" i="2"/>
  <c r="Y1510" i="2"/>
  <c r="S1510" i="2"/>
  <c r="O1510" i="2"/>
  <c r="P1510" i="2" s="1"/>
  <c r="AA1509" i="2"/>
  <c r="Z1509" i="2"/>
  <c r="Y1509" i="2"/>
  <c r="S1509" i="2"/>
  <c r="O1509" i="2"/>
  <c r="P1509" i="2" s="1"/>
  <c r="AA1508" i="2"/>
  <c r="Z1508" i="2"/>
  <c r="Y1508" i="2"/>
  <c r="S1508" i="2"/>
  <c r="O1508" i="2"/>
  <c r="P1508" i="2" s="1"/>
  <c r="AA1507" i="2"/>
  <c r="Z1507" i="2"/>
  <c r="Y1507" i="2"/>
  <c r="S1507" i="2"/>
  <c r="O1507" i="2"/>
  <c r="P1507" i="2" s="1"/>
  <c r="AA1506" i="2"/>
  <c r="Z1506" i="2"/>
  <c r="Y1506" i="2"/>
  <c r="S1506" i="2"/>
  <c r="O1506" i="2"/>
  <c r="P1506" i="2" s="1"/>
  <c r="AA1505" i="2"/>
  <c r="Z1505" i="2"/>
  <c r="Y1505" i="2"/>
  <c r="S1505" i="2"/>
  <c r="O1505" i="2"/>
  <c r="P1505" i="2" s="1"/>
  <c r="AA1504" i="2"/>
  <c r="Z1504" i="2"/>
  <c r="Y1504" i="2"/>
  <c r="S1504" i="2"/>
  <c r="O1504" i="2"/>
  <c r="P1504" i="2" s="1"/>
  <c r="AA1503" i="2"/>
  <c r="Z1503" i="2"/>
  <c r="Y1503" i="2"/>
  <c r="S1503" i="2"/>
  <c r="O1503" i="2"/>
  <c r="P1503" i="2" s="1"/>
  <c r="AA1502" i="2"/>
  <c r="Z1502" i="2"/>
  <c r="Y1502" i="2"/>
  <c r="S1502" i="2"/>
  <c r="O1502" i="2"/>
  <c r="P1502" i="2" s="1"/>
  <c r="AA1501" i="2"/>
  <c r="Z1501" i="2"/>
  <c r="Y1501" i="2"/>
  <c r="S1501" i="2"/>
  <c r="O1501" i="2"/>
  <c r="P1501" i="2" s="1"/>
  <c r="AA1500" i="2"/>
  <c r="Z1500" i="2"/>
  <c r="Y1500" i="2"/>
  <c r="S1500" i="2"/>
  <c r="O1500" i="2"/>
  <c r="P1500" i="2" s="1"/>
  <c r="AA1499" i="2"/>
  <c r="Z1499" i="2"/>
  <c r="Y1499" i="2"/>
  <c r="S1499" i="2"/>
  <c r="O1499" i="2"/>
  <c r="P1499" i="2" s="1"/>
  <c r="AA1498" i="2"/>
  <c r="Z1498" i="2"/>
  <c r="Y1498" i="2"/>
  <c r="S1498" i="2"/>
  <c r="O1498" i="2"/>
  <c r="P1498" i="2" s="1"/>
  <c r="AA1497" i="2"/>
  <c r="Z1497" i="2"/>
  <c r="Y1497" i="2"/>
  <c r="S1497" i="2"/>
  <c r="O1497" i="2"/>
  <c r="P1497" i="2" s="1"/>
  <c r="AA1496" i="2"/>
  <c r="Z1496" i="2"/>
  <c r="Y1496" i="2"/>
  <c r="S1496" i="2"/>
  <c r="O1496" i="2"/>
  <c r="P1496" i="2" s="1"/>
  <c r="AA1495" i="2"/>
  <c r="Z1495" i="2"/>
  <c r="Y1495" i="2"/>
  <c r="S1495" i="2"/>
  <c r="O1495" i="2"/>
  <c r="P1495" i="2" s="1"/>
  <c r="AA1494" i="2"/>
  <c r="Z1494" i="2"/>
  <c r="Y1494" i="2"/>
  <c r="S1494" i="2"/>
  <c r="O1494" i="2"/>
  <c r="P1494" i="2" s="1"/>
  <c r="AA1493" i="2"/>
  <c r="Z1493" i="2"/>
  <c r="Y1493" i="2"/>
  <c r="S1493" i="2"/>
  <c r="O1493" i="2"/>
  <c r="P1493" i="2" s="1"/>
  <c r="AA1492" i="2"/>
  <c r="Z1492" i="2"/>
  <c r="Y1492" i="2"/>
  <c r="S1492" i="2"/>
  <c r="O1492" i="2"/>
  <c r="P1492" i="2" s="1"/>
  <c r="AA1491" i="2"/>
  <c r="Z1491" i="2"/>
  <c r="Y1491" i="2"/>
  <c r="S1491" i="2"/>
  <c r="O1491" i="2"/>
  <c r="P1491" i="2" s="1"/>
  <c r="AA1490" i="2"/>
  <c r="Z1490" i="2"/>
  <c r="Y1490" i="2"/>
  <c r="S1490" i="2"/>
  <c r="O1490" i="2"/>
  <c r="P1490" i="2" s="1"/>
  <c r="AA1489" i="2"/>
  <c r="Z1489" i="2"/>
  <c r="Y1489" i="2"/>
  <c r="S1489" i="2"/>
  <c r="O1489" i="2"/>
  <c r="P1489" i="2" s="1"/>
  <c r="AA1488" i="2"/>
  <c r="Z1488" i="2"/>
  <c r="Y1488" i="2"/>
  <c r="S1488" i="2"/>
  <c r="O1488" i="2"/>
  <c r="P1488" i="2" s="1"/>
  <c r="AA1487" i="2"/>
  <c r="Z1487" i="2"/>
  <c r="Y1487" i="2"/>
  <c r="S1487" i="2"/>
  <c r="O1487" i="2"/>
  <c r="P1487" i="2" s="1"/>
  <c r="AA1486" i="2"/>
  <c r="Z1486" i="2"/>
  <c r="Y1486" i="2"/>
  <c r="S1486" i="2"/>
  <c r="O1486" i="2"/>
  <c r="P1486" i="2" s="1"/>
  <c r="AA1485" i="2"/>
  <c r="Z1485" i="2"/>
  <c r="Y1485" i="2"/>
  <c r="S1485" i="2"/>
  <c r="O1485" i="2"/>
  <c r="P1485" i="2" s="1"/>
  <c r="AA1484" i="2"/>
  <c r="Z1484" i="2"/>
  <c r="Y1484" i="2"/>
  <c r="S1484" i="2"/>
  <c r="O1484" i="2"/>
  <c r="P1484" i="2" s="1"/>
  <c r="AA1483" i="2"/>
  <c r="Z1483" i="2"/>
  <c r="Y1483" i="2"/>
  <c r="S1483" i="2"/>
  <c r="O1483" i="2"/>
  <c r="P1483" i="2" s="1"/>
  <c r="AA1482" i="2"/>
  <c r="Z1482" i="2"/>
  <c r="Y1482" i="2"/>
  <c r="S1482" i="2"/>
  <c r="O1482" i="2"/>
  <c r="P1482" i="2" s="1"/>
  <c r="AA1481" i="2"/>
  <c r="Z1481" i="2"/>
  <c r="Y1481" i="2"/>
  <c r="S1481" i="2"/>
  <c r="O1481" i="2"/>
  <c r="P1481" i="2" s="1"/>
  <c r="AA1480" i="2"/>
  <c r="Z1480" i="2"/>
  <c r="Y1480" i="2"/>
  <c r="S1480" i="2"/>
  <c r="O1480" i="2"/>
  <c r="P1480" i="2" s="1"/>
  <c r="AA1479" i="2"/>
  <c r="Z1479" i="2"/>
  <c r="Y1479" i="2"/>
  <c r="S1479" i="2"/>
  <c r="O1479" i="2"/>
  <c r="P1479" i="2" s="1"/>
  <c r="AA1478" i="2"/>
  <c r="Z1478" i="2"/>
  <c r="Y1478" i="2"/>
  <c r="S1478" i="2"/>
  <c r="O1478" i="2"/>
  <c r="P1478" i="2" s="1"/>
  <c r="AA1477" i="2"/>
  <c r="Z1477" i="2"/>
  <c r="Y1477" i="2"/>
  <c r="S1477" i="2"/>
  <c r="O1477" i="2"/>
  <c r="P1477" i="2" s="1"/>
  <c r="AA1476" i="2"/>
  <c r="Z1476" i="2"/>
  <c r="Y1476" i="2"/>
  <c r="S1476" i="2"/>
  <c r="O1476" i="2"/>
  <c r="P1476" i="2" s="1"/>
  <c r="AA1475" i="2"/>
  <c r="Z1475" i="2"/>
  <c r="Y1475" i="2"/>
  <c r="S1475" i="2"/>
  <c r="O1475" i="2"/>
  <c r="P1475" i="2" s="1"/>
  <c r="AA1474" i="2"/>
  <c r="Z1474" i="2"/>
  <c r="Y1474" i="2"/>
  <c r="S1474" i="2"/>
  <c r="O1474" i="2"/>
  <c r="P1474" i="2" s="1"/>
  <c r="AA1473" i="2"/>
  <c r="Z1473" i="2"/>
  <c r="Y1473" i="2"/>
  <c r="S1473" i="2"/>
  <c r="O1473" i="2"/>
  <c r="P1473" i="2" s="1"/>
  <c r="AA1472" i="2"/>
  <c r="Z1472" i="2"/>
  <c r="Y1472" i="2"/>
  <c r="S1472" i="2"/>
  <c r="O1472" i="2"/>
  <c r="P1472" i="2" s="1"/>
  <c r="AA1471" i="2"/>
  <c r="Z1471" i="2"/>
  <c r="Y1471" i="2"/>
  <c r="S1471" i="2"/>
  <c r="O1471" i="2"/>
  <c r="P1471" i="2" s="1"/>
  <c r="AA1470" i="2"/>
  <c r="Z1470" i="2"/>
  <c r="Y1470" i="2"/>
  <c r="S1470" i="2"/>
  <c r="O1470" i="2"/>
  <c r="P1470" i="2" s="1"/>
  <c r="AA1469" i="2"/>
  <c r="Z1469" i="2"/>
  <c r="Y1469" i="2"/>
  <c r="S1469" i="2"/>
  <c r="O1469" i="2"/>
  <c r="P1469" i="2" s="1"/>
  <c r="AA1468" i="2"/>
  <c r="Z1468" i="2"/>
  <c r="Y1468" i="2"/>
  <c r="S1468" i="2"/>
  <c r="O1468" i="2"/>
  <c r="P1468" i="2" s="1"/>
  <c r="AA1467" i="2"/>
  <c r="Z1467" i="2"/>
  <c r="Y1467" i="2"/>
  <c r="S1467" i="2"/>
  <c r="O1467" i="2"/>
  <c r="P1467" i="2" s="1"/>
  <c r="AA1466" i="2"/>
  <c r="Z1466" i="2"/>
  <c r="Y1466" i="2"/>
  <c r="S1466" i="2"/>
  <c r="O1466" i="2"/>
  <c r="P1466" i="2" s="1"/>
  <c r="AA1465" i="2"/>
  <c r="Z1465" i="2"/>
  <c r="Y1465" i="2"/>
  <c r="S1465" i="2"/>
  <c r="O1465" i="2"/>
  <c r="P1465" i="2" s="1"/>
  <c r="AA1464" i="2"/>
  <c r="Z1464" i="2"/>
  <c r="Y1464" i="2"/>
  <c r="S1464" i="2"/>
  <c r="O1464" i="2"/>
  <c r="P1464" i="2" s="1"/>
  <c r="AA1463" i="2"/>
  <c r="Z1463" i="2"/>
  <c r="Y1463" i="2"/>
  <c r="S1463" i="2"/>
  <c r="O1463" i="2"/>
  <c r="P1463" i="2" s="1"/>
  <c r="AA1462" i="2"/>
  <c r="Z1462" i="2"/>
  <c r="Y1462" i="2"/>
  <c r="S1462" i="2"/>
  <c r="O1462" i="2"/>
  <c r="P1462" i="2" s="1"/>
  <c r="AA1461" i="2"/>
  <c r="Z1461" i="2"/>
  <c r="Y1461" i="2"/>
  <c r="S1461" i="2"/>
  <c r="O1461" i="2"/>
  <c r="P1461" i="2" s="1"/>
  <c r="AA1460" i="2"/>
  <c r="Z1460" i="2"/>
  <c r="Y1460" i="2"/>
  <c r="S1460" i="2"/>
  <c r="O1460" i="2"/>
  <c r="P1460" i="2" s="1"/>
  <c r="AA1459" i="2"/>
  <c r="Z1459" i="2"/>
  <c r="Y1459" i="2"/>
  <c r="S1459" i="2"/>
  <c r="O1459" i="2"/>
  <c r="P1459" i="2" s="1"/>
  <c r="AA1458" i="2"/>
  <c r="Z1458" i="2"/>
  <c r="Y1458" i="2"/>
  <c r="S1458" i="2"/>
  <c r="O1458" i="2"/>
  <c r="P1458" i="2" s="1"/>
  <c r="AA1457" i="2"/>
  <c r="Z1457" i="2"/>
  <c r="Y1457" i="2"/>
  <c r="S1457" i="2"/>
  <c r="O1457" i="2"/>
  <c r="P1457" i="2" s="1"/>
  <c r="AA1456" i="2"/>
  <c r="Z1456" i="2"/>
  <c r="Y1456" i="2"/>
  <c r="S1456" i="2"/>
  <c r="O1456" i="2"/>
  <c r="P1456" i="2" s="1"/>
  <c r="AA1455" i="2"/>
  <c r="Z1455" i="2"/>
  <c r="Y1455" i="2"/>
  <c r="S1455" i="2"/>
  <c r="O1455" i="2"/>
  <c r="P1455" i="2" s="1"/>
  <c r="AA1454" i="2"/>
  <c r="Z1454" i="2"/>
  <c r="Y1454" i="2"/>
  <c r="S1454" i="2"/>
  <c r="O1454" i="2"/>
  <c r="P1454" i="2" s="1"/>
  <c r="AA1453" i="2"/>
  <c r="Z1453" i="2"/>
  <c r="Y1453" i="2"/>
  <c r="S1453" i="2"/>
  <c r="O1453" i="2"/>
  <c r="P1453" i="2" s="1"/>
  <c r="AA1452" i="2"/>
  <c r="Z1452" i="2"/>
  <c r="Y1452" i="2"/>
  <c r="S1452" i="2"/>
  <c r="O1452" i="2"/>
  <c r="P1452" i="2" s="1"/>
  <c r="AA1451" i="2"/>
  <c r="Z1451" i="2"/>
  <c r="Y1451" i="2"/>
  <c r="S1451" i="2"/>
  <c r="O1451" i="2"/>
  <c r="P1451" i="2" s="1"/>
  <c r="AA1450" i="2"/>
  <c r="Z1450" i="2"/>
  <c r="Y1450" i="2"/>
  <c r="S1450" i="2"/>
  <c r="O1450" i="2"/>
  <c r="P1450" i="2" s="1"/>
  <c r="AA1449" i="2"/>
  <c r="Z1449" i="2"/>
  <c r="Y1449" i="2"/>
  <c r="S1449" i="2"/>
  <c r="O1449" i="2"/>
  <c r="P1449" i="2" s="1"/>
  <c r="AA1448" i="2"/>
  <c r="Z1448" i="2"/>
  <c r="Y1448" i="2"/>
  <c r="S1448" i="2"/>
  <c r="O1448" i="2"/>
  <c r="P1448" i="2" s="1"/>
  <c r="AA1447" i="2"/>
  <c r="Z1447" i="2"/>
  <c r="Y1447" i="2"/>
  <c r="S1447" i="2"/>
  <c r="O1447" i="2"/>
  <c r="P1447" i="2" s="1"/>
  <c r="AA1446" i="2"/>
  <c r="Z1446" i="2"/>
  <c r="Y1446" i="2"/>
  <c r="S1446" i="2"/>
  <c r="O1446" i="2"/>
  <c r="P1446" i="2" s="1"/>
  <c r="AA1445" i="2"/>
  <c r="Z1445" i="2"/>
  <c r="Y1445" i="2"/>
  <c r="S1445" i="2"/>
  <c r="O1445" i="2"/>
  <c r="P1445" i="2" s="1"/>
  <c r="AA1444" i="2"/>
  <c r="Z1444" i="2"/>
  <c r="Y1444" i="2"/>
  <c r="S1444" i="2"/>
  <c r="O1444" i="2"/>
  <c r="P1444" i="2" s="1"/>
  <c r="AA1443" i="2"/>
  <c r="Z1443" i="2"/>
  <c r="Y1443" i="2"/>
  <c r="S1443" i="2"/>
  <c r="O1443" i="2"/>
  <c r="P1443" i="2" s="1"/>
  <c r="AA1442" i="2"/>
  <c r="Z1442" i="2"/>
  <c r="Y1442" i="2"/>
  <c r="S1442" i="2"/>
  <c r="O1442" i="2"/>
  <c r="P1442" i="2" s="1"/>
  <c r="AA1441" i="2"/>
  <c r="Z1441" i="2"/>
  <c r="Y1441" i="2"/>
  <c r="S1441" i="2"/>
  <c r="O1441" i="2"/>
  <c r="P1441" i="2" s="1"/>
  <c r="AA1440" i="2"/>
  <c r="Z1440" i="2"/>
  <c r="Y1440" i="2"/>
  <c r="S1440" i="2"/>
  <c r="O1440" i="2"/>
  <c r="P1440" i="2" s="1"/>
  <c r="AA1439" i="2"/>
  <c r="Z1439" i="2"/>
  <c r="Y1439" i="2"/>
  <c r="S1439" i="2"/>
  <c r="O1439" i="2"/>
  <c r="P1439" i="2" s="1"/>
  <c r="AA1438" i="2"/>
  <c r="Z1438" i="2"/>
  <c r="Y1438" i="2"/>
  <c r="S1438" i="2"/>
  <c r="O1438" i="2"/>
  <c r="P1438" i="2" s="1"/>
  <c r="AA1437" i="2"/>
  <c r="Z1437" i="2"/>
  <c r="Y1437" i="2"/>
  <c r="S1437" i="2"/>
  <c r="O1437" i="2"/>
  <c r="P1437" i="2" s="1"/>
  <c r="AA1436" i="2"/>
  <c r="Z1436" i="2"/>
  <c r="Y1436" i="2"/>
  <c r="S1436" i="2"/>
  <c r="O1436" i="2"/>
  <c r="P1436" i="2" s="1"/>
  <c r="AA1435" i="2"/>
  <c r="Z1435" i="2"/>
  <c r="Y1435" i="2"/>
  <c r="S1435" i="2"/>
  <c r="O1435" i="2"/>
  <c r="P1435" i="2" s="1"/>
  <c r="AA1434" i="2"/>
  <c r="Z1434" i="2"/>
  <c r="Y1434" i="2"/>
  <c r="S1434" i="2"/>
  <c r="O1434" i="2"/>
  <c r="P1434" i="2" s="1"/>
  <c r="AA1433" i="2"/>
  <c r="Z1433" i="2"/>
  <c r="Y1433" i="2"/>
  <c r="S1433" i="2"/>
  <c r="O1433" i="2"/>
  <c r="P1433" i="2" s="1"/>
  <c r="AA1432" i="2"/>
  <c r="Z1432" i="2"/>
  <c r="Y1432" i="2"/>
  <c r="S1432" i="2"/>
  <c r="O1432" i="2"/>
  <c r="P1432" i="2" s="1"/>
  <c r="AA1431" i="2"/>
  <c r="Z1431" i="2"/>
  <c r="Y1431" i="2"/>
  <c r="S1431" i="2"/>
  <c r="O1431" i="2"/>
  <c r="P1431" i="2" s="1"/>
  <c r="AA1430" i="2"/>
  <c r="Z1430" i="2"/>
  <c r="Y1430" i="2"/>
  <c r="S1430" i="2"/>
  <c r="O1430" i="2"/>
  <c r="P1430" i="2" s="1"/>
  <c r="AA1429" i="2"/>
  <c r="Z1429" i="2"/>
  <c r="Y1429" i="2"/>
  <c r="S1429" i="2"/>
  <c r="O1429" i="2"/>
  <c r="P1429" i="2" s="1"/>
  <c r="AA1428" i="2"/>
  <c r="Z1428" i="2"/>
  <c r="Y1428" i="2"/>
  <c r="S1428" i="2"/>
  <c r="O1428" i="2"/>
  <c r="P1428" i="2" s="1"/>
  <c r="AA1427" i="2"/>
  <c r="Z1427" i="2"/>
  <c r="Y1427" i="2"/>
  <c r="S1427" i="2"/>
  <c r="O1427" i="2"/>
  <c r="P1427" i="2" s="1"/>
  <c r="AA1426" i="2"/>
  <c r="Z1426" i="2"/>
  <c r="Y1426" i="2"/>
  <c r="S1426" i="2"/>
  <c r="O1426" i="2"/>
  <c r="P1426" i="2" s="1"/>
  <c r="AA1425" i="2"/>
  <c r="Z1425" i="2"/>
  <c r="Y1425" i="2"/>
  <c r="S1425" i="2"/>
  <c r="O1425" i="2"/>
  <c r="P1425" i="2" s="1"/>
  <c r="AA1424" i="2"/>
  <c r="Z1424" i="2"/>
  <c r="Y1424" i="2"/>
  <c r="S1424" i="2"/>
  <c r="O1424" i="2"/>
  <c r="P1424" i="2" s="1"/>
  <c r="AA1423" i="2"/>
  <c r="Z1423" i="2"/>
  <c r="Y1423" i="2"/>
  <c r="S1423" i="2"/>
  <c r="O1423" i="2"/>
  <c r="P1423" i="2" s="1"/>
  <c r="AA1422" i="2"/>
  <c r="Z1422" i="2"/>
  <c r="Y1422" i="2"/>
  <c r="S1422" i="2"/>
  <c r="O1422" i="2"/>
  <c r="P1422" i="2" s="1"/>
  <c r="AA1421" i="2"/>
  <c r="Z1421" i="2"/>
  <c r="Y1421" i="2"/>
  <c r="S1421" i="2"/>
  <c r="O1421" i="2"/>
  <c r="P1421" i="2" s="1"/>
  <c r="AA1420" i="2"/>
  <c r="Z1420" i="2"/>
  <c r="Y1420" i="2"/>
  <c r="S1420" i="2"/>
  <c r="O1420" i="2"/>
  <c r="P1420" i="2" s="1"/>
  <c r="AA1419" i="2"/>
  <c r="Z1419" i="2"/>
  <c r="Y1419" i="2"/>
  <c r="S1419" i="2"/>
  <c r="O1419" i="2"/>
  <c r="P1419" i="2" s="1"/>
  <c r="AA1418" i="2"/>
  <c r="Z1418" i="2"/>
  <c r="Y1418" i="2"/>
  <c r="S1418" i="2"/>
  <c r="O1418" i="2"/>
  <c r="P1418" i="2" s="1"/>
  <c r="AA1417" i="2"/>
  <c r="Z1417" i="2"/>
  <c r="Y1417" i="2"/>
  <c r="S1417" i="2"/>
  <c r="O1417" i="2"/>
  <c r="P1417" i="2" s="1"/>
  <c r="AA1416" i="2"/>
  <c r="Z1416" i="2"/>
  <c r="Y1416" i="2"/>
  <c r="S1416" i="2"/>
  <c r="O1416" i="2"/>
  <c r="P1416" i="2" s="1"/>
  <c r="AA1415" i="2"/>
  <c r="Z1415" i="2"/>
  <c r="Y1415" i="2"/>
  <c r="S1415" i="2"/>
  <c r="O1415" i="2"/>
  <c r="P1415" i="2" s="1"/>
  <c r="AA1414" i="2"/>
  <c r="Z1414" i="2"/>
  <c r="Y1414" i="2"/>
  <c r="S1414" i="2"/>
  <c r="O1414" i="2"/>
  <c r="P1414" i="2" s="1"/>
  <c r="AA1413" i="2"/>
  <c r="Z1413" i="2"/>
  <c r="Y1413" i="2"/>
  <c r="S1413" i="2"/>
  <c r="O1413" i="2"/>
  <c r="P1413" i="2" s="1"/>
  <c r="AA1412" i="2"/>
  <c r="Z1412" i="2"/>
  <c r="Y1412" i="2"/>
  <c r="S1412" i="2"/>
  <c r="O1412" i="2"/>
  <c r="P1412" i="2" s="1"/>
  <c r="AA1411" i="2"/>
  <c r="Z1411" i="2"/>
  <c r="Y1411" i="2"/>
  <c r="S1411" i="2"/>
  <c r="O1411" i="2"/>
  <c r="P1411" i="2" s="1"/>
  <c r="AA1410" i="2"/>
  <c r="Z1410" i="2"/>
  <c r="Y1410" i="2"/>
  <c r="S1410" i="2"/>
  <c r="O1410" i="2"/>
  <c r="P1410" i="2" s="1"/>
  <c r="AA1409" i="2"/>
  <c r="Z1409" i="2"/>
  <c r="Y1409" i="2"/>
  <c r="S1409" i="2"/>
  <c r="O1409" i="2"/>
  <c r="P1409" i="2" s="1"/>
  <c r="AA1408" i="2"/>
  <c r="Z1408" i="2"/>
  <c r="Y1408" i="2"/>
  <c r="S1408" i="2"/>
  <c r="O1408" i="2"/>
  <c r="P1408" i="2" s="1"/>
  <c r="AA1407" i="2"/>
  <c r="Z1407" i="2"/>
  <c r="Y1407" i="2"/>
  <c r="S1407" i="2"/>
  <c r="O1407" i="2"/>
  <c r="P1407" i="2" s="1"/>
  <c r="AA1406" i="2"/>
  <c r="Z1406" i="2"/>
  <c r="Y1406" i="2"/>
  <c r="S1406" i="2"/>
  <c r="O1406" i="2"/>
  <c r="P1406" i="2" s="1"/>
  <c r="AA1405" i="2"/>
  <c r="Z1405" i="2"/>
  <c r="Y1405" i="2"/>
  <c r="S1405" i="2"/>
  <c r="O1405" i="2"/>
  <c r="P1405" i="2" s="1"/>
  <c r="AA1404" i="2"/>
  <c r="Z1404" i="2"/>
  <c r="Y1404" i="2"/>
  <c r="S1404" i="2"/>
  <c r="O1404" i="2"/>
  <c r="P1404" i="2" s="1"/>
  <c r="AA1403" i="2"/>
  <c r="Z1403" i="2"/>
  <c r="Y1403" i="2"/>
  <c r="S1403" i="2"/>
  <c r="O1403" i="2"/>
  <c r="P1403" i="2" s="1"/>
  <c r="AA1402" i="2"/>
  <c r="Z1402" i="2"/>
  <c r="Y1402" i="2"/>
  <c r="S1402" i="2"/>
  <c r="O1402" i="2"/>
  <c r="P1402" i="2" s="1"/>
  <c r="AA1401" i="2"/>
  <c r="Z1401" i="2"/>
  <c r="Y1401" i="2"/>
  <c r="S1401" i="2"/>
  <c r="O1401" i="2"/>
  <c r="P1401" i="2" s="1"/>
  <c r="AA1400" i="2"/>
  <c r="Z1400" i="2"/>
  <c r="Y1400" i="2"/>
  <c r="S1400" i="2"/>
  <c r="O1400" i="2"/>
  <c r="P1400" i="2" s="1"/>
  <c r="AA1399" i="2"/>
  <c r="Z1399" i="2"/>
  <c r="Y1399" i="2"/>
  <c r="S1399" i="2"/>
  <c r="O1399" i="2"/>
  <c r="P1399" i="2" s="1"/>
  <c r="AA1398" i="2"/>
  <c r="Z1398" i="2"/>
  <c r="Y1398" i="2"/>
  <c r="S1398" i="2"/>
  <c r="O1398" i="2"/>
  <c r="P1398" i="2" s="1"/>
  <c r="AA1397" i="2"/>
  <c r="Z1397" i="2"/>
  <c r="Y1397" i="2"/>
  <c r="S1397" i="2"/>
  <c r="O1397" i="2"/>
  <c r="P1397" i="2" s="1"/>
  <c r="AA1396" i="2"/>
  <c r="Z1396" i="2"/>
  <c r="Y1396" i="2"/>
  <c r="S1396" i="2"/>
  <c r="O1396" i="2"/>
  <c r="P1396" i="2" s="1"/>
  <c r="AA1395" i="2"/>
  <c r="Z1395" i="2"/>
  <c r="Y1395" i="2"/>
  <c r="S1395" i="2"/>
  <c r="O1395" i="2"/>
  <c r="P1395" i="2" s="1"/>
  <c r="AA1394" i="2"/>
  <c r="Z1394" i="2"/>
  <c r="Y1394" i="2"/>
  <c r="S1394" i="2"/>
  <c r="O1394" i="2"/>
  <c r="P1394" i="2" s="1"/>
  <c r="AA1393" i="2"/>
  <c r="Z1393" i="2"/>
  <c r="Y1393" i="2"/>
  <c r="S1393" i="2"/>
  <c r="O1393" i="2"/>
  <c r="P1393" i="2" s="1"/>
  <c r="AA1392" i="2"/>
  <c r="Z1392" i="2"/>
  <c r="Y1392" i="2"/>
  <c r="S1392" i="2"/>
  <c r="O1392" i="2"/>
  <c r="P1392" i="2" s="1"/>
  <c r="AA1391" i="2"/>
  <c r="Z1391" i="2"/>
  <c r="Y1391" i="2"/>
  <c r="S1391" i="2"/>
  <c r="O1391" i="2"/>
  <c r="P1391" i="2" s="1"/>
  <c r="AA1390" i="2"/>
  <c r="Z1390" i="2"/>
  <c r="Y1390" i="2"/>
  <c r="S1390" i="2"/>
  <c r="O1390" i="2"/>
  <c r="P1390" i="2" s="1"/>
  <c r="AA1389" i="2"/>
  <c r="Z1389" i="2"/>
  <c r="Y1389" i="2"/>
  <c r="S1389" i="2"/>
  <c r="O1389" i="2"/>
  <c r="P1389" i="2" s="1"/>
  <c r="AA1388" i="2"/>
  <c r="Z1388" i="2"/>
  <c r="Y1388" i="2"/>
  <c r="S1388" i="2"/>
  <c r="O1388" i="2"/>
  <c r="P1388" i="2" s="1"/>
  <c r="AA1387" i="2"/>
  <c r="Z1387" i="2"/>
  <c r="Y1387" i="2"/>
  <c r="S1387" i="2"/>
  <c r="O1387" i="2"/>
  <c r="P1387" i="2" s="1"/>
  <c r="AA1386" i="2"/>
  <c r="Z1386" i="2"/>
  <c r="Y1386" i="2"/>
  <c r="S1386" i="2"/>
  <c r="O1386" i="2"/>
  <c r="P1386" i="2" s="1"/>
  <c r="AA1385" i="2"/>
  <c r="Z1385" i="2"/>
  <c r="Y1385" i="2"/>
  <c r="S1385" i="2"/>
  <c r="O1385" i="2"/>
  <c r="P1385" i="2" s="1"/>
  <c r="AA1384" i="2"/>
  <c r="Z1384" i="2"/>
  <c r="Y1384" i="2"/>
  <c r="S1384" i="2"/>
  <c r="O1384" i="2"/>
  <c r="P1384" i="2" s="1"/>
  <c r="AA1383" i="2"/>
  <c r="Z1383" i="2"/>
  <c r="Y1383" i="2"/>
  <c r="S1383" i="2"/>
  <c r="O1383" i="2"/>
  <c r="P1383" i="2" s="1"/>
  <c r="AA1382" i="2"/>
  <c r="Z1382" i="2"/>
  <c r="Y1382" i="2"/>
  <c r="S1382" i="2"/>
  <c r="O1382" i="2"/>
  <c r="P1382" i="2" s="1"/>
  <c r="AA1381" i="2"/>
  <c r="Z1381" i="2"/>
  <c r="Y1381" i="2"/>
  <c r="S1381" i="2"/>
  <c r="O1381" i="2"/>
  <c r="P1381" i="2" s="1"/>
  <c r="AA1380" i="2"/>
  <c r="Z1380" i="2"/>
  <c r="Y1380" i="2"/>
  <c r="S1380" i="2"/>
  <c r="O1380" i="2"/>
  <c r="P1380" i="2" s="1"/>
  <c r="AA1379" i="2"/>
  <c r="Z1379" i="2"/>
  <c r="Y1379" i="2"/>
  <c r="S1379" i="2"/>
  <c r="O1379" i="2"/>
  <c r="P1379" i="2" s="1"/>
  <c r="AA1378" i="2"/>
  <c r="Z1378" i="2"/>
  <c r="Y1378" i="2"/>
  <c r="S1378" i="2"/>
  <c r="O1378" i="2"/>
  <c r="P1378" i="2" s="1"/>
  <c r="AA1377" i="2"/>
  <c r="Z1377" i="2"/>
  <c r="Y1377" i="2"/>
  <c r="S1377" i="2"/>
  <c r="O1377" i="2"/>
  <c r="P1377" i="2" s="1"/>
  <c r="AA1376" i="2"/>
  <c r="Z1376" i="2"/>
  <c r="Y1376" i="2"/>
  <c r="S1376" i="2"/>
  <c r="O1376" i="2"/>
  <c r="P1376" i="2" s="1"/>
  <c r="AA1375" i="2"/>
  <c r="Z1375" i="2"/>
  <c r="Y1375" i="2"/>
  <c r="S1375" i="2"/>
  <c r="O1375" i="2"/>
  <c r="P1375" i="2" s="1"/>
  <c r="AA1374" i="2"/>
  <c r="Z1374" i="2"/>
  <c r="Y1374" i="2"/>
  <c r="S1374" i="2"/>
  <c r="O1374" i="2"/>
  <c r="P1374" i="2" s="1"/>
  <c r="AA1373" i="2"/>
  <c r="Z1373" i="2"/>
  <c r="Y1373" i="2"/>
  <c r="S1373" i="2"/>
  <c r="O1373" i="2"/>
  <c r="P1373" i="2" s="1"/>
  <c r="AA1372" i="2"/>
  <c r="Z1372" i="2"/>
  <c r="Y1372" i="2"/>
  <c r="S1372" i="2"/>
  <c r="O1372" i="2"/>
  <c r="P1372" i="2" s="1"/>
  <c r="AA1371" i="2"/>
  <c r="Z1371" i="2"/>
  <c r="Y1371" i="2"/>
  <c r="S1371" i="2"/>
  <c r="O1371" i="2"/>
  <c r="P1371" i="2" s="1"/>
  <c r="AA1370" i="2"/>
  <c r="Z1370" i="2"/>
  <c r="Y1370" i="2"/>
  <c r="S1370" i="2"/>
  <c r="O1370" i="2"/>
  <c r="P1370" i="2" s="1"/>
  <c r="AA1369" i="2"/>
  <c r="Z1369" i="2"/>
  <c r="Y1369" i="2"/>
  <c r="S1369" i="2"/>
  <c r="O1369" i="2"/>
  <c r="P1369" i="2" s="1"/>
  <c r="AA1368" i="2"/>
  <c r="Z1368" i="2"/>
  <c r="Y1368" i="2"/>
  <c r="S1368" i="2"/>
  <c r="O1368" i="2"/>
  <c r="P1368" i="2" s="1"/>
  <c r="AA1367" i="2"/>
  <c r="Z1367" i="2"/>
  <c r="Y1367" i="2"/>
  <c r="S1367" i="2"/>
  <c r="O1367" i="2"/>
  <c r="P1367" i="2" s="1"/>
  <c r="AA1366" i="2"/>
  <c r="Z1366" i="2"/>
  <c r="Y1366" i="2"/>
  <c r="S1366" i="2"/>
  <c r="O1366" i="2"/>
  <c r="P1366" i="2" s="1"/>
  <c r="AA1365" i="2"/>
  <c r="Z1365" i="2"/>
  <c r="Y1365" i="2"/>
  <c r="S1365" i="2"/>
  <c r="O1365" i="2"/>
  <c r="P1365" i="2" s="1"/>
  <c r="AA1364" i="2"/>
  <c r="Z1364" i="2"/>
  <c r="Y1364" i="2"/>
  <c r="S1364" i="2"/>
  <c r="O1364" i="2"/>
  <c r="P1364" i="2" s="1"/>
  <c r="AA1363" i="2"/>
  <c r="Z1363" i="2"/>
  <c r="Y1363" i="2"/>
  <c r="S1363" i="2"/>
  <c r="O1363" i="2"/>
  <c r="P1363" i="2" s="1"/>
  <c r="AA1362" i="2"/>
  <c r="Z1362" i="2"/>
  <c r="Y1362" i="2"/>
  <c r="S1362" i="2"/>
  <c r="O1362" i="2"/>
  <c r="P1362" i="2" s="1"/>
  <c r="AA1361" i="2"/>
  <c r="Z1361" i="2"/>
  <c r="Y1361" i="2"/>
  <c r="S1361" i="2"/>
  <c r="O1361" i="2"/>
  <c r="P1361" i="2" s="1"/>
  <c r="AA1360" i="2"/>
  <c r="Z1360" i="2"/>
  <c r="Y1360" i="2"/>
  <c r="S1360" i="2"/>
  <c r="O1360" i="2"/>
  <c r="P1360" i="2" s="1"/>
  <c r="AA1359" i="2"/>
  <c r="Z1359" i="2"/>
  <c r="Y1359" i="2"/>
  <c r="S1359" i="2"/>
  <c r="O1359" i="2"/>
  <c r="P1359" i="2" s="1"/>
  <c r="AA1358" i="2"/>
  <c r="Z1358" i="2"/>
  <c r="Y1358" i="2"/>
  <c r="S1358" i="2"/>
  <c r="O1358" i="2"/>
  <c r="P1358" i="2" s="1"/>
  <c r="AA1357" i="2"/>
  <c r="Z1357" i="2"/>
  <c r="Y1357" i="2"/>
  <c r="S1357" i="2"/>
  <c r="O1357" i="2"/>
  <c r="P1357" i="2" s="1"/>
  <c r="AA1356" i="2"/>
  <c r="Z1356" i="2"/>
  <c r="Y1356" i="2"/>
  <c r="S1356" i="2"/>
  <c r="O1356" i="2"/>
  <c r="P1356" i="2" s="1"/>
  <c r="AA1355" i="2"/>
  <c r="Z1355" i="2"/>
  <c r="Y1355" i="2"/>
  <c r="S1355" i="2"/>
  <c r="O1355" i="2"/>
  <c r="P1355" i="2" s="1"/>
  <c r="AA1354" i="2"/>
  <c r="Z1354" i="2"/>
  <c r="Y1354" i="2"/>
  <c r="S1354" i="2"/>
  <c r="O1354" i="2"/>
  <c r="P1354" i="2" s="1"/>
  <c r="AA1353" i="2"/>
  <c r="Z1353" i="2"/>
  <c r="Y1353" i="2"/>
  <c r="S1353" i="2"/>
  <c r="O1353" i="2"/>
  <c r="P1353" i="2" s="1"/>
  <c r="AA1352" i="2"/>
  <c r="Z1352" i="2"/>
  <c r="Y1352" i="2"/>
  <c r="S1352" i="2"/>
  <c r="O1352" i="2"/>
  <c r="P1352" i="2" s="1"/>
  <c r="AA1351" i="2"/>
  <c r="Z1351" i="2"/>
  <c r="Y1351" i="2"/>
  <c r="S1351" i="2"/>
  <c r="O1351" i="2"/>
  <c r="P1351" i="2" s="1"/>
  <c r="AA1350" i="2"/>
  <c r="Z1350" i="2"/>
  <c r="Y1350" i="2"/>
  <c r="S1350" i="2"/>
  <c r="O1350" i="2"/>
  <c r="P1350" i="2" s="1"/>
  <c r="AA1349" i="2"/>
  <c r="Z1349" i="2"/>
  <c r="Y1349" i="2"/>
  <c r="S1349" i="2"/>
  <c r="O1349" i="2"/>
  <c r="P1349" i="2" s="1"/>
  <c r="AA1348" i="2"/>
  <c r="Z1348" i="2"/>
  <c r="Y1348" i="2"/>
  <c r="S1348" i="2"/>
  <c r="O1348" i="2"/>
  <c r="P1348" i="2" s="1"/>
  <c r="AA1347" i="2"/>
  <c r="Z1347" i="2"/>
  <c r="Y1347" i="2"/>
  <c r="S1347" i="2"/>
  <c r="O1347" i="2"/>
  <c r="P1347" i="2" s="1"/>
  <c r="AA1346" i="2"/>
  <c r="Z1346" i="2"/>
  <c r="Y1346" i="2"/>
  <c r="S1346" i="2"/>
  <c r="O1346" i="2"/>
  <c r="P1346" i="2" s="1"/>
  <c r="AA1345" i="2"/>
  <c r="Z1345" i="2"/>
  <c r="Y1345" i="2"/>
  <c r="S1345" i="2"/>
  <c r="O1345" i="2"/>
  <c r="P1345" i="2" s="1"/>
  <c r="AA1344" i="2"/>
  <c r="Z1344" i="2"/>
  <c r="Y1344" i="2"/>
  <c r="S1344" i="2"/>
  <c r="O1344" i="2"/>
  <c r="P1344" i="2" s="1"/>
  <c r="AA1343" i="2"/>
  <c r="Z1343" i="2"/>
  <c r="Y1343" i="2"/>
  <c r="S1343" i="2"/>
  <c r="O1343" i="2"/>
  <c r="P1343" i="2" s="1"/>
  <c r="AA1342" i="2"/>
  <c r="Z1342" i="2"/>
  <c r="Y1342" i="2"/>
  <c r="S1342" i="2"/>
  <c r="O1342" i="2"/>
  <c r="P1342" i="2" s="1"/>
  <c r="AA1341" i="2"/>
  <c r="Z1341" i="2"/>
  <c r="Y1341" i="2"/>
  <c r="S1341" i="2"/>
  <c r="O1341" i="2"/>
  <c r="P1341" i="2" s="1"/>
  <c r="AA1340" i="2"/>
  <c r="Z1340" i="2"/>
  <c r="Y1340" i="2"/>
  <c r="S1340" i="2"/>
  <c r="O1340" i="2"/>
  <c r="P1340" i="2" s="1"/>
  <c r="AA1339" i="2"/>
  <c r="Z1339" i="2"/>
  <c r="Y1339" i="2"/>
  <c r="S1339" i="2"/>
  <c r="O1339" i="2"/>
  <c r="P1339" i="2" s="1"/>
  <c r="AA1338" i="2"/>
  <c r="Z1338" i="2"/>
  <c r="Y1338" i="2"/>
  <c r="S1338" i="2"/>
  <c r="O1338" i="2"/>
  <c r="P1338" i="2" s="1"/>
  <c r="AA1337" i="2"/>
  <c r="Z1337" i="2"/>
  <c r="Y1337" i="2"/>
  <c r="S1337" i="2"/>
  <c r="O1337" i="2"/>
  <c r="P1337" i="2" s="1"/>
  <c r="AA1336" i="2"/>
  <c r="Z1336" i="2"/>
  <c r="Y1336" i="2"/>
  <c r="S1336" i="2"/>
  <c r="O1336" i="2"/>
  <c r="P1336" i="2" s="1"/>
  <c r="AA1335" i="2"/>
  <c r="Z1335" i="2"/>
  <c r="Y1335" i="2"/>
  <c r="S1335" i="2"/>
  <c r="O1335" i="2"/>
  <c r="P1335" i="2" s="1"/>
  <c r="AA1334" i="2"/>
  <c r="Z1334" i="2"/>
  <c r="Y1334" i="2"/>
  <c r="S1334" i="2"/>
  <c r="O1334" i="2"/>
  <c r="P1334" i="2" s="1"/>
  <c r="AA1333" i="2"/>
  <c r="Z1333" i="2"/>
  <c r="Y1333" i="2"/>
  <c r="S1333" i="2"/>
  <c r="O1333" i="2"/>
  <c r="P1333" i="2" s="1"/>
  <c r="AA1332" i="2"/>
  <c r="Z1332" i="2"/>
  <c r="Y1332" i="2"/>
  <c r="S1332" i="2"/>
  <c r="O1332" i="2"/>
  <c r="P1332" i="2" s="1"/>
  <c r="AA1331" i="2"/>
  <c r="Z1331" i="2"/>
  <c r="Y1331" i="2"/>
  <c r="S1331" i="2"/>
  <c r="O1331" i="2"/>
  <c r="P1331" i="2" s="1"/>
  <c r="AA1330" i="2"/>
  <c r="Z1330" i="2"/>
  <c r="Y1330" i="2"/>
  <c r="S1330" i="2"/>
  <c r="O1330" i="2"/>
  <c r="P1330" i="2" s="1"/>
  <c r="AA1329" i="2"/>
  <c r="Z1329" i="2"/>
  <c r="Y1329" i="2"/>
  <c r="S1329" i="2"/>
  <c r="O1329" i="2"/>
  <c r="P1329" i="2" s="1"/>
  <c r="AA1328" i="2"/>
  <c r="Z1328" i="2"/>
  <c r="Y1328" i="2"/>
  <c r="S1328" i="2"/>
  <c r="O1328" i="2"/>
  <c r="P1328" i="2" s="1"/>
  <c r="AA1327" i="2"/>
  <c r="Z1327" i="2"/>
  <c r="Y1327" i="2"/>
  <c r="S1327" i="2"/>
  <c r="O1327" i="2"/>
  <c r="P1327" i="2" s="1"/>
  <c r="AA1326" i="2"/>
  <c r="Z1326" i="2"/>
  <c r="Y1326" i="2"/>
  <c r="S1326" i="2"/>
  <c r="O1326" i="2"/>
  <c r="P1326" i="2" s="1"/>
  <c r="AA1325" i="2"/>
  <c r="Z1325" i="2"/>
  <c r="Y1325" i="2"/>
  <c r="S1325" i="2"/>
  <c r="O1325" i="2"/>
  <c r="P1325" i="2" s="1"/>
  <c r="AA1324" i="2"/>
  <c r="Z1324" i="2"/>
  <c r="Y1324" i="2"/>
  <c r="S1324" i="2"/>
  <c r="O1324" i="2"/>
  <c r="P1324" i="2" s="1"/>
  <c r="AA1323" i="2"/>
  <c r="Z1323" i="2"/>
  <c r="Y1323" i="2"/>
  <c r="S1323" i="2"/>
  <c r="O1323" i="2"/>
  <c r="P1323" i="2" s="1"/>
  <c r="AA1322" i="2"/>
  <c r="Z1322" i="2"/>
  <c r="Y1322" i="2"/>
  <c r="S1322" i="2"/>
  <c r="O1322" i="2"/>
  <c r="P1322" i="2" s="1"/>
  <c r="AA1321" i="2"/>
  <c r="Z1321" i="2"/>
  <c r="Y1321" i="2"/>
  <c r="S1321" i="2"/>
  <c r="O1321" i="2"/>
  <c r="P1321" i="2" s="1"/>
  <c r="AA1320" i="2"/>
  <c r="Z1320" i="2"/>
  <c r="Y1320" i="2"/>
  <c r="S1320" i="2"/>
  <c r="O1320" i="2"/>
  <c r="P1320" i="2" s="1"/>
  <c r="AA1319" i="2"/>
  <c r="Z1319" i="2"/>
  <c r="Y1319" i="2"/>
  <c r="S1319" i="2"/>
  <c r="O1319" i="2"/>
  <c r="P1319" i="2" s="1"/>
  <c r="AA1318" i="2"/>
  <c r="Z1318" i="2"/>
  <c r="Y1318" i="2"/>
  <c r="S1318" i="2"/>
  <c r="O1318" i="2"/>
  <c r="P1318" i="2" s="1"/>
  <c r="AA1317" i="2"/>
  <c r="Z1317" i="2"/>
  <c r="Y1317" i="2"/>
  <c r="S1317" i="2"/>
  <c r="O1317" i="2"/>
  <c r="P1317" i="2" s="1"/>
  <c r="AA1316" i="2"/>
  <c r="Z1316" i="2"/>
  <c r="Y1316" i="2"/>
  <c r="S1316" i="2"/>
  <c r="O1316" i="2"/>
  <c r="P1316" i="2" s="1"/>
  <c r="AA1315" i="2"/>
  <c r="Z1315" i="2"/>
  <c r="Y1315" i="2"/>
  <c r="S1315" i="2"/>
  <c r="O1315" i="2"/>
  <c r="P1315" i="2" s="1"/>
  <c r="AA1314" i="2"/>
  <c r="Z1314" i="2"/>
  <c r="Y1314" i="2"/>
  <c r="S1314" i="2"/>
  <c r="O1314" i="2"/>
  <c r="P1314" i="2" s="1"/>
  <c r="AA1313" i="2"/>
  <c r="Z1313" i="2"/>
  <c r="Y1313" i="2"/>
  <c r="S1313" i="2"/>
  <c r="O1313" i="2"/>
  <c r="P1313" i="2" s="1"/>
  <c r="AA1312" i="2"/>
  <c r="Z1312" i="2"/>
  <c r="Y1312" i="2"/>
  <c r="S1312" i="2"/>
  <c r="O1312" i="2"/>
  <c r="P1312" i="2" s="1"/>
  <c r="AA1311" i="2"/>
  <c r="Z1311" i="2"/>
  <c r="Y1311" i="2"/>
  <c r="S1311" i="2"/>
  <c r="O1311" i="2"/>
  <c r="P1311" i="2" s="1"/>
  <c r="AA1310" i="2"/>
  <c r="Z1310" i="2"/>
  <c r="Y1310" i="2"/>
  <c r="S1310" i="2"/>
  <c r="O1310" i="2"/>
  <c r="P1310" i="2" s="1"/>
  <c r="AA1309" i="2"/>
  <c r="Z1309" i="2"/>
  <c r="Y1309" i="2"/>
  <c r="S1309" i="2"/>
  <c r="O1309" i="2"/>
  <c r="P1309" i="2" s="1"/>
  <c r="AA1308" i="2"/>
  <c r="Z1308" i="2"/>
  <c r="Y1308" i="2"/>
  <c r="S1308" i="2"/>
  <c r="O1308" i="2"/>
  <c r="P1308" i="2" s="1"/>
  <c r="AA1307" i="2"/>
  <c r="Z1307" i="2"/>
  <c r="Y1307" i="2"/>
  <c r="S1307" i="2"/>
  <c r="O1307" i="2"/>
  <c r="P1307" i="2" s="1"/>
  <c r="AA1306" i="2"/>
  <c r="Z1306" i="2"/>
  <c r="Y1306" i="2"/>
  <c r="S1306" i="2"/>
  <c r="O1306" i="2"/>
  <c r="P1306" i="2" s="1"/>
  <c r="AA1305" i="2"/>
  <c r="Z1305" i="2"/>
  <c r="Y1305" i="2"/>
  <c r="S1305" i="2"/>
  <c r="O1305" i="2"/>
  <c r="P1305" i="2" s="1"/>
  <c r="AA1304" i="2"/>
  <c r="Z1304" i="2"/>
  <c r="Y1304" i="2"/>
  <c r="S1304" i="2"/>
  <c r="O1304" i="2"/>
  <c r="P1304" i="2" s="1"/>
  <c r="AA1303" i="2"/>
  <c r="Z1303" i="2"/>
  <c r="Y1303" i="2"/>
  <c r="S1303" i="2"/>
  <c r="O1303" i="2"/>
  <c r="P1303" i="2" s="1"/>
  <c r="AA1302" i="2"/>
  <c r="Z1302" i="2"/>
  <c r="Y1302" i="2"/>
  <c r="S1302" i="2"/>
  <c r="O1302" i="2"/>
  <c r="P1302" i="2" s="1"/>
  <c r="AA1301" i="2"/>
  <c r="Z1301" i="2"/>
  <c r="Y1301" i="2"/>
  <c r="S1301" i="2"/>
  <c r="O1301" i="2"/>
  <c r="P1301" i="2" s="1"/>
  <c r="AA1300" i="2"/>
  <c r="Z1300" i="2"/>
  <c r="Y1300" i="2"/>
  <c r="S1300" i="2"/>
  <c r="O1300" i="2"/>
  <c r="P1300" i="2" s="1"/>
  <c r="AA1299" i="2"/>
  <c r="Z1299" i="2"/>
  <c r="Y1299" i="2"/>
  <c r="S1299" i="2"/>
  <c r="O1299" i="2"/>
  <c r="P1299" i="2" s="1"/>
  <c r="AA1298" i="2"/>
  <c r="Z1298" i="2"/>
  <c r="Y1298" i="2"/>
  <c r="S1298" i="2"/>
  <c r="O1298" i="2"/>
  <c r="P1298" i="2" s="1"/>
  <c r="AA1297" i="2"/>
  <c r="Z1297" i="2"/>
  <c r="Y1297" i="2"/>
  <c r="S1297" i="2"/>
  <c r="O1297" i="2"/>
  <c r="P1297" i="2" s="1"/>
  <c r="AA1296" i="2"/>
  <c r="Z1296" i="2"/>
  <c r="Y1296" i="2"/>
  <c r="S1296" i="2"/>
  <c r="O1296" i="2"/>
  <c r="P1296" i="2" s="1"/>
  <c r="AA1295" i="2"/>
  <c r="Z1295" i="2"/>
  <c r="Y1295" i="2"/>
  <c r="S1295" i="2"/>
  <c r="O1295" i="2"/>
  <c r="P1295" i="2" s="1"/>
  <c r="AA1294" i="2"/>
  <c r="Z1294" i="2"/>
  <c r="Y1294" i="2"/>
  <c r="S1294" i="2"/>
  <c r="O1294" i="2"/>
  <c r="P1294" i="2" s="1"/>
  <c r="AA1293" i="2"/>
  <c r="Z1293" i="2"/>
  <c r="Y1293" i="2"/>
  <c r="S1293" i="2"/>
  <c r="O1293" i="2"/>
  <c r="P1293" i="2" s="1"/>
  <c r="AA1292" i="2"/>
  <c r="Z1292" i="2"/>
  <c r="Y1292" i="2"/>
  <c r="S1292" i="2"/>
  <c r="O1292" i="2"/>
  <c r="P1292" i="2" s="1"/>
  <c r="AA1291" i="2"/>
  <c r="Z1291" i="2"/>
  <c r="Y1291" i="2"/>
  <c r="S1291" i="2"/>
  <c r="O1291" i="2"/>
  <c r="P1291" i="2" s="1"/>
  <c r="AA1290" i="2"/>
  <c r="Z1290" i="2"/>
  <c r="Y1290" i="2"/>
  <c r="S1290" i="2"/>
  <c r="O1290" i="2"/>
  <c r="P1290" i="2" s="1"/>
  <c r="AA1289" i="2"/>
  <c r="Z1289" i="2"/>
  <c r="Y1289" i="2"/>
  <c r="S1289" i="2"/>
  <c r="O1289" i="2"/>
  <c r="P1289" i="2" s="1"/>
  <c r="AA1288" i="2"/>
  <c r="Z1288" i="2"/>
  <c r="Y1288" i="2"/>
  <c r="S1288" i="2"/>
  <c r="O1288" i="2"/>
  <c r="P1288" i="2" s="1"/>
  <c r="AA1287" i="2"/>
  <c r="Z1287" i="2"/>
  <c r="Y1287" i="2"/>
  <c r="S1287" i="2"/>
  <c r="O1287" i="2"/>
  <c r="P1287" i="2" s="1"/>
  <c r="AA1286" i="2"/>
  <c r="Z1286" i="2"/>
  <c r="Y1286" i="2"/>
  <c r="S1286" i="2"/>
  <c r="O1286" i="2"/>
  <c r="P1286" i="2" s="1"/>
  <c r="AA1285" i="2"/>
  <c r="Z1285" i="2"/>
  <c r="Y1285" i="2"/>
  <c r="S1285" i="2"/>
  <c r="O1285" i="2"/>
  <c r="P1285" i="2" s="1"/>
  <c r="AA1284" i="2"/>
  <c r="Z1284" i="2"/>
  <c r="Y1284" i="2"/>
  <c r="S1284" i="2"/>
  <c r="O1284" i="2"/>
  <c r="P1284" i="2" s="1"/>
  <c r="AA1283" i="2"/>
  <c r="Z1283" i="2"/>
  <c r="Y1283" i="2"/>
  <c r="S1283" i="2"/>
  <c r="O1283" i="2"/>
  <c r="P1283" i="2" s="1"/>
  <c r="AA1282" i="2"/>
  <c r="Z1282" i="2"/>
  <c r="Y1282" i="2"/>
  <c r="S1282" i="2"/>
  <c r="O1282" i="2"/>
  <c r="P1282" i="2" s="1"/>
  <c r="AA1281" i="2"/>
  <c r="Z1281" i="2"/>
  <c r="Y1281" i="2"/>
  <c r="S1281" i="2"/>
  <c r="O1281" i="2"/>
  <c r="P1281" i="2" s="1"/>
  <c r="AA1280" i="2"/>
  <c r="Z1280" i="2"/>
  <c r="Y1280" i="2"/>
  <c r="S1280" i="2"/>
  <c r="O1280" i="2"/>
  <c r="P1280" i="2" s="1"/>
  <c r="AA1279" i="2"/>
  <c r="Z1279" i="2"/>
  <c r="Y1279" i="2"/>
  <c r="S1279" i="2"/>
  <c r="O1279" i="2"/>
  <c r="P1279" i="2" s="1"/>
  <c r="AA1278" i="2"/>
  <c r="Z1278" i="2"/>
  <c r="Y1278" i="2"/>
  <c r="S1278" i="2"/>
  <c r="O1278" i="2"/>
  <c r="P1278" i="2" s="1"/>
  <c r="AA1277" i="2"/>
  <c r="Z1277" i="2"/>
  <c r="Y1277" i="2"/>
  <c r="S1277" i="2"/>
  <c r="O1277" i="2"/>
  <c r="P1277" i="2" s="1"/>
  <c r="AA1276" i="2"/>
  <c r="Z1276" i="2"/>
  <c r="Y1276" i="2"/>
  <c r="S1276" i="2"/>
  <c r="O1276" i="2"/>
  <c r="P1276" i="2" s="1"/>
  <c r="AA1275" i="2"/>
  <c r="Z1275" i="2"/>
  <c r="Y1275" i="2"/>
  <c r="S1275" i="2"/>
  <c r="O1275" i="2"/>
  <c r="P1275" i="2" s="1"/>
  <c r="AA1274" i="2"/>
  <c r="Z1274" i="2"/>
  <c r="Y1274" i="2"/>
  <c r="S1274" i="2"/>
  <c r="O1274" i="2"/>
  <c r="P1274" i="2" s="1"/>
  <c r="AA1273" i="2"/>
  <c r="Z1273" i="2"/>
  <c r="Y1273" i="2"/>
  <c r="S1273" i="2"/>
  <c r="O1273" i="2"/>
  <c r="P1273" i="2" s="1"/>
  <c r="AA1272" i="2"/>
  <c r="Z1272" i="2"/>
  <c r="Y1272" i="2"/>
  <c r="S1272" i="2"/>
  <c r="O1272" i="2"/>
  <c r="P1272" i="2" s="1"/>
  <c r="AA1271" i="2"/>
  <c r="Z1271" i="2"/>
  <c r="Y1271" i="2"/>
  <c r="S1271" i="2"/>
  <c r="O1271" i="2"/>
  <c r="P1271" i="2" s="1"/>
  <c r="AA1270" i="2"/>
  <c r="Z1270" i="2"/>
  <c r="Y1270" i="2"/>
  <c r="S1270" i="2"/>
  <c r="O1270" i="2"/>
  <c r="P1270" i="2" s="1"/>
  <c r="AA1269" i="2"/>
  <c r="Z1269" i="2"/>
  <c r="Y1269" i="2"/>
  <c r="S1269" i="2"/>
  <c r="O1269" i="2"/>
  <c r="P1269" i="2" s="1"/>
  <c r="AA1268" i="2"/>
  <c r="Z1268" i="2"/>
  <c r="Y1268" i="2"/>
  <c r="S1268" i="2"/>
  <c r="O1268" i="2"/>
  <c r="P1268" i="2" s="1"/>
  <c r="AA1267" i="2"/>
  <c r="Z1267" i="2"/>
  <c r="Y1267" i="2"/>
  <c r="S1267" i="2"/>
  <c r="O1267" i="2"/>
  <c r="P1267" i="2" s="1"/>
  <c r="AA1266" i="2"/>
  <c r="Z1266" i="2"/>
  <c r="Y1266" i="2"/>
  <c r="S1266" i="2"/>
  <c r="O1266" i="2"/>
  <c r="P1266" i="2" s="1"/>
  <c r="AA1265" i="2"/>
  <c r="Z1265" i="2"/>
  <c r="Y1265" i="2"/>
  <c r="S1265" i="2"/>
  <c r="O1265" i="2"/>
  <c r="P1265" i="2" s="1"/>
  <c r="AA1264" i="2"/>
  <c r="Z1264" i="2"/>
  <c r="Y1264" i="2"/>
  <c r="S1264" i="2"/>
  <c r="O1264" i="2"/>
  <c r="P1264" i="2" s="1"/>
  <c r="AA1263" i="2"/>
  <c r="Z1263" i="2"/>
  <c r="Y1263" i="2"/>
  <c r="S1263" i="2"/>
  <c r="O1263" i="2"/>
  <c r="P1263" i="2" s="1"/>
  <c r="AA1262" i="2"/>
  <c r="Z1262" i="2"/>
  <c r="Y1262" i="2"/>
  <c r="S1262" i="2"/>
  <c r="O1262" i="2"/>
  <c r="P1262" i="2" s="1"/>
  <c r="AA1261" i="2"/>
  <c r="Z1261" i="2"/>
  <c r="Y1261" i="2"/>
  <c r="S1261" i="2"/>
  <c r="O1261" i="2"/>
  <c r="P1261" i="2" s="1"/>
  <c r="AA1260" i="2"/>
  <c r="Z1260" i="2"/>
  <c r="Y1260" i="2"/>
  <c r="S1260" i="2"/>
  <c r="O1260" i="2"/>
  <c r="P1260" i="2" s="1"/>
  <c r="AA1259" i="2"/>
  <c r="Z1259" i="2"/>
  <c r="Y1259" i="2"/>
  <c r="S1259" i="2"/>
  <c r="O1259" i="2"/>
  <c r="P1259" i="2" s="1"/>
  <c r="AA1258" i="2"/>
  <c r="Z1258" i="2"/>
  <c r="Y1258" i="2"/>
  <c r="S1258" i="2"/>
  <c r="O1258" i="2"/>
  <c r="P1258" i="2" s="1"/>
  <c r="AA1257" i="2"/>
  <c r="Z1257" i="2"/>
  <c r="Y1257" i="2"/>
  <c r="S1257" i="2"/>
  <c r="O1257" i="2"/>
  <c r="P1257" i="2" s="1"/>
  <c r="AA1256" i="2"/>
  <c r="Z1256" i="2"/>
  <c r="Y1256" i="2"/>
  <c r="S1256" i="2"/>
  <c r="O1256" i="2"/>
  <c r="P1256" i="2" s="1"/>
  <c r="AA1255" i="2"/>
  <c r="Z1255" i="2"/>
  <c r="Y1255" i="2"/>
  <c r="S1255" i="2"/>
  <c r="O1255" i="2"/>
  <c r="P1255" i="2" s="1"/>
  <c r="AA1254" i="2"/>
  <c r="Z1254" i="2"/>
  <c r="Y1254" i="2"/>
  <c r="S1254" i="2"/>
  <c r="O1254" i="2"/>
  <c r="P1254" i="2" s="1"/>
  <c r="AA1253" i="2"/>
  <c r="Z1253" i="2"/>
  <c r="Y1253" i="2"/>
  <c r="S1253" i="2"/>
  <c r="O1253" i="2"/>
  <c r="P1253" i="2" s="1"/>
  <c r="AA1252" i="2"/>
  <c r="Z1252" i="2"/>
  <c r="Y1252" i="2"/>
  <c r="S1252" i="2"/>
  <c r="P1252" i="2"/>
  <c r="O1252" i="2"/>
  <c r="AA1251" i="2"/>
  <c r="Z1251" i="2"/>
  <c r="Y1251" i="2"/>
  <c r="S1251" i="2"/>
  <c r="O1251" i="2"/>
  <c r="P1251" i="2" s="1"/>
  <c r="AA1250" i="2"/>
  <c r="Z1250" i="2"/>
  <c r="Y1250" i="2"/>
  <c r="S1250" i="2"/>
  <c r="O1250" i="2"/>
  <c r="P1250" i="2" s="1"/>
  <c r="AA1249" i="2"/>
  <c r="Z1249" i="2"/>
  <c r="Y1249" i="2"/>
  <c r="S1249" i="2"/>
  <c r="O1249" i="2"/>
  <c r="P1249" i="2" s="1"/>
  <c r="AA1248" i="2"/>
  <c r="Z1248" i="2"/>
  <c r="Y1248" i="2"/>
  <c r="S1248" i="2"/>
  <c r="O1248" i="2"/>
  <c r="P1248" i="2" s="1"/>
  <c r="AA1247" i="2"/>
  <c r="Z1247" i="2"/>
  <c r="Y1247" i="2"/>
  <c r="S1247" i="2"/>
  <c r="O1247" i="2"/>
  <c r="P1247" i="2" s="1"/>
  <c r="AA1246" i="2"/>
  <c r="Z1246" i="2"/>
  <c r="Y1246" i="2"/>
  <c r="S1246" i="2"/>
  <c r="O1246" i="2"/>
  <c r="P1246" i="2" s="1"/>
  <c r="AA1245" i="2"/>
  <c r="Z1245" i="2"/>
  <c r="Y1245" i="2"/>
  <c r="S1245" i="2"/>
  <c r="O1245" i="2"/>
  <c r="P1245" i="2" s="1"/>
  <c r="AA1244" i="2"/>
  <c r="Z1244" i="2"/>
  <c r="Y1244" i="2"/>
  <c r="S1244" i="2"/>
  <c r="O1244" i="2"/>
  <c r="P1244" i="2" s="1"/>
  <c r="AA1243" i="2"/>
  <c r="Z1243" i="2"/>
  <c r="Y1243" i="2"/>
  <c r="S1243" i="2"/>
  <c r="O1243" i="2"/>
  <c r="P1243" i="2" s="1"/>
  <c r="AA1242" i="2"/>
  <c r="Z1242" i="2"/>
  <c r="Y1242" i="2"/>
  <c r="S1242" i="2"/>
  <c r="O1242" i="2"/>
  <c r="P1242" i="2" s="1"/>
  <c r="AA1241" i="2"/>
  <c r="Z1241" i="2"/>
  <c r="Y1241" i="2"/>
  <c r="S1241" i="2"/>
  <c r="O1241" i="2"/>
  <c r="P1241" i="2" s="1"/>
  <c r="AA1240" i="2"/>
  <c r="Z1240" i="2"/>
  <c r="Y1240" i="2"/>
  <c r="S1240" i="2"/>
  <c r="O1240" i="2"/>
  <c r="P1240" i="2" s="1"/>
  <c r="AA1239" i="2"/>
  <c r="Z1239" i="2"/>
  <c r="Y1239" i="2"/>
  <c r="S1239" i="2"/>
  <c r="O1239" i="2"/>
  <c r="P1239" i="2" s="1"/>
  <c r="AA1238" i="2"/>
  <c r="Z1238" i="2"/>
  <c r="Y1238" i="2"/>
  <c r="S1238" i="2"/>
  <c r="O1238" i="2"/>
  <c r="P1238" i="2" s="1"/>
  <c r="AA1237" i="2"/>
  <c r="Z1237" i="2"/>
  <c r="Y1237" i="2"/>
  <c r="S1237" i="2"/>
  <c r="O1237" i="2"/>
  <c r="P1237" i="2" s="1"/>
  <c r="AA1236" i="2"/>
  <c r="Z1236" i="2"/>
  <c r="Y1236" i="2"/>
  <c r="S1236" i="2"/>
  <c r="O1236" i="2"/>
  <c r="P1236" i="2" s="1"/>
  <c r="AA1235" i="2"/>
  <c r="Z1235" i="2"/>
  <c r="Y1235" i="2"/>
  <c r="S1235" i="2"/>
  <c r="O1235" i="2"/>
  <c r="P1235" i="2" s="1"/>
  <c r="AA1234" i="2"/>
  <c r="Z1234" i="2"/>
  <c r="Y1234" i="2"/>
  <c r="S1234" i="2"/>
  <c r="O1234" i="2"/>
  <c r="P1234" i="2" s="1"/>
  <c r="AA1233" i="2"/>
  <c r="Z1233" i="2"/>
  <c r="Y1233" i="2"/>
  <c r="S1233" i="2"/>
  <c r="O1233" i="2"/>
  <c r="P1233" i="2" s="1"/>
  <c r="AA1232" i="2"/>
  <c r="Z1232" i="2"/>
  <c r="Y1232" i="2"/>
  <c r="S1232" i="2"/>
  <c r="O1232" i="2"/>
  <c r="P1232" i="2" s="1"/>
  <c r="AA1231" i="2"/>
  <c r="Z1231" i="2"/>
  <c r="Y1231" i="2"/>
  <c r="S1231" i="2"/>
  <c r="O1231" i="2"/>
  <c r="P1231" i="2" s="1"/>
  <c r="AA1230" i="2"/>
  <c r="Z1230" i="2"/>
  <c r="Y1230" i="2"/>
  <c r="S1230" i="2"/>
  <c r="O1230" i="2"/>
  <c r="P1230" i="2" s="1"/>
  <c r="AA1229" i="2"/>
  <c r="Z1229" i="2"/>
  <c r="Y1229" i="2"/>
  <c r="S1229" i="2"/>
  <c r="O1229" i="2"/>
  <c r="P1229" i="2" s="1"/>
  <c r="AA1228" i="2"/>
  <c r="Z1228" i="2"/>
  <c r="Y1228" i="2"/>
  <c r="S1228" i="2"/>
  <c r="O1228" i="2"/>
  <c r="P1228" i="2" s="1"/>
  <c r="AA1227" i="2"/>
  <c r="Z1227" i="2"/>
  <c r="Y1227" i="2"/>
  <c r="S1227" i="2"/>
  <c r="O1227" i="2"/>
  <c r="P1227" i="2" s="1"/>
  <c r="AA1226" i="2"/>
  <c r="Z1226" i="2"/>
  <c r="Y1226" i="2"/>
  <c r="S1226" i="2"/>
  <c r="O1226" i="2"/>
  <c r="P1226" i="2" s="1"/>
  <c r="AA1225" i="2"/>
  <c r="Z1225" i="2"/>
  <c r="Y1225" i="2"/>
  <c r="S1225" i="2"/>
  <c r="O1225" i="2"/>
  <c r="P1225" i="2" s="1"/>
  <c r="AA1224" i="2"/>
  <c r="Z1224" i="2"/>
  <c r="Y1224" i="2"/>
  <c r="S1224" i="2"/>
  <c r="O1224" i="2"/>
  <c r="P1224" i="2" s="1"/>
  <c r="AA1223" i="2"/>
  <c r="Z1223" i="2"/>
  <c r="Y1223" i="2"/>
  <c r="S1223" i="2"/>
  <c r="O1223" i="2"/>
  <c r="P1223" i="2" s="1"/>
  <c r="AA1222" i="2"/>
  <c r="Z1222" i="2"/>
  <c r="Y1222" i="2"/>
  <c r="S1222" i="2"/>
  <c r="O1222" i="2"/>
  <c r="P1222" i="2" s="1"/>
  <c r="AA1221" i="2"/>
  <c r="Z1221" i="2"/>
  <c r="Y1221" i="2"/>
  <c r="S1221" i="2"/>
  <c r="O1221" i="2"/>
  <c r="P1221" i="2" s="1"/>
  <c r="AA1220" i="2"/>
  <c r="Z1220" i="2"/>
  <c r="Y1220" i="2"/>
  <c r="S1220" i="2"/>
  <c r="O1220" i="2"/>
  <c r="P1220" i="2" s="1"/>
  <c r="AA1219" i="2"/>
  <c r="Z1219" i="2"/>
  <c r="Y1219" i="2"/>
  <c r="S1219" i="2"/>
  <c r="O1219" i="2"/>
  <c r="P1219" i="2" s="1"/>
  <c r="AA1218" i="2"/>
  <c r="Z1218" i="2"/>
  <c r="Y1218" i="2"/>
  <c r="S1218" i="2"/>
  <c r="O1218" i="2"/>
  <c r="P1218" i="2" s="1"/>
  <c r="AA1217" i="2"/>
  <c r="Z1217" i="2"/>
  <c r="Y1217" i="2"/>
  <c r="S1217" i="2"/>
  <c r="O1217" i="2"/>
  <c r="P1217" i="2" s="1"/>
  <c r="AA1216" i="2"/>
  <c r="Z1216" i="2"/>
  <c r="Y1216" i="2"/>
  <c r="S1216" i="2"/>
  <c r="O1216" i="2"/>
  <c r="P1216" i="2" s="1"/>
  <c r="AA1215" i="2"/>
  <c r="Z1215" i="2"/>
  <c r="Y1215" i="2"/>
  <c r="S1215" i="2"/>
  <c r="O1215" i="2"/>
  <c r="P1215" i="2" s="1"/>
  <c r="AA1214" i="2"/>
  <c r="Z1214" i="2"/>
  <c r="Y1214" i="2"/>
  <c r="S1214" i="2"/>
  <c r="O1214" i="2"/>
  <c r="P1214" i="2" s="1"/>
  <c r="AA1213" i="2"/>
  <c r="Z1213" i="2"/>
  <c r="Y1213" i="2"/>
  <c r="S1213" i="2"/>
  <c r="O1213" i="2"/>
  <c r="P1213" i="2" s="1"/>
  <c r="AA1212" i="2"/>
  <c r="Z1212" i="2"/>
  <c r="Y1212" i="2"/>
  <c r="S1212" i="2"/>
  <c r="O1212" i="2"/>
  <c r="P1212" i="2" s="1"/>
  <c r="AA1211" i="2"/>
  <c r="Z1211" i="2"/>
  <c r="Y1211" i="2"/>
  <c r="S1211" i="2"/>
  <c r="O1211" i="2"/>
  <c r="P1211" i="2" s="1"/>
  <c r="AA1210" i="2"/>
  <c r="Z1210" i="2"/>
  <c r="Y1210" i="2"/>
  <c r="S1210" i="2"/>
  <c r="O1210" i="2"/>
  <c r="P1210" i="2" s="1"/>
  <c r="AA1209" i="2"/>
  <c r="Z1209" i="2"/>
  <c r="Y1209" i="2"/>
  <c r="S1209" i="2"/>
  <c r="O1209" i="2"/>
  <c r="P1209" i="2" s="1"/>
  <c r="AA1208" i="2"/>
  <c r="Z1208" i="2"/>
  <c r="Y1208" i="2"/>
  <c r="S1208" i="2"/>
  <c r="O1208" i="2"/>
  <c r="P1208" i="2" s="1"/>
  <c r="AA1207" i="2"/>
  <c r="Z1207" i="2"/>
  <c r="Y1207" i="2"/>
  <c r="S1207" i="2"/>
  <c r="O1207" i="2"/>
  <c r="P1207" i="2" s="1"/>
  <c r="AA1206" i="2"/>
  <c r="Z1206" i="2"/>
  <c r="Y1206" i="2"/>
  <c r="S1206" i="2"/>
  <c r="O1206" i="2"/>
  <c r="P1206" i="2" s="1"/>
  <c r="AA1205" i="2"/>
  <c r="Z1205" i="2"/>
  <c r="Y1205" i="2"/>
  <c r="S1205" i="2"/>
  <c r="O1205" i="2"/>
  <c r="P1205" i="2" s="1"/>
  <c r="AA1204" i="2"/>
  <c r="Z1204" i="2"/>
  <c r="Y1204" i="2"/>
  <c r="S1204" i="2"/>
  <c r="O1204" i="2"/>
  <c r="P1204" i="2" s="1"/>
  <c r="AA1203" i="2"/>
  <c r="Z1203" i="2"/>
  <c r="Y1203" i="2"/>
  <c r="S1203" i="2"/>
  <c r="O1203" i="2"/>
  <c r="P1203" i="2" s="1"/>
  <c r="AA1202" i="2"/>
  <c r="Z1202" i="2"/>
  <c r="Y1202" i="2"/>
  <c r="S1202" i="2"/>
  <c r="O1202" i="2"/>
  <c r="P1202" i="2" s="1"/>
  <c r="AA1201" i="2"/>
  <c r="Z1201" i="2"/>
  <c r="Y1201" i="2"/>
  <c r="S1201" i="2"/>
  <c r="O1201" i="2"/>
  <c r="P1201" i="2" s="1"/>
  <c r="AA1200" i="2"/>
  <c r="Z1200" i="2"/>
  <c r="Y1200" i="2"/>
  <c r="S1200" i="2"/>
  <c r="O1200" i="2"/>
  <c r="P1200" i="2" s="1"/>
  <c r="AA1199" i="2"/>
  <c r="Z1199" i="2"/>
  <c r="Y1199" i="2"/>
  <c r="S1199" i="2"/>
  <c r="O1199" i="2"/>
  <c r="P1199" i="2" s="1"/>
  <c r="AA1198" i="2"/>
  <c r="Z1198" i="2"/>
  <c r="Y1198" i="2"/>
  <c r="S1198" i="2"/>
  <c r="O1198" i="2"/>
  <c r="P1198" i="2" s="1"/>
  <c r="AA1197" i="2"/>
  <c r="Z1197" i="2"/>
  <c r="Y1197" i="2"/>
  <c r="S1197" i="2"/>
  <c r="O1197" i="2"/>
  <c r="P1197" i="2" s="1"/>
  <c r="AA1196" i="2"/>
  <c r="Z1196" i="2"/>
  <c r="Y1196" i="2"/>
  <c r="S1196" i="2"/>
  <c r="O1196" i="2"/>
  <c r="P1196" i="2" s="1"/>
  <c r="AA1195" i="2"/>
  <c r="Z1195" i="2"/>
  <c r="Y1195" i="2"/>
  <c r="S1195" i="2"/>
  <c r="O1195" i="2"/>
  <c r="P1195" i="2" s="1"/>
  <c r="AA1194" i="2"/>
  <c r="Z1194" i="2"/>
  <c r="Y1194" i="2"/>
  <c r="S1194" i="2"/>
  <c r="O1194" i="2"/>
  <c r="P1194" i="2" s="1"/>
  <c r="AA1193" i="2"/>
  <c r="Z1193" i="2"/>
  <c r="Y1193" i="2"/>
  <c r="S1193" i="2"/>
  <c r="O1193" i="2"/>
  <c r="P1193" i="2" s="1"/>
  <c r="AA1192" i="2"/>
  <c r="Z1192" i="2"/>
  <c r="Y1192" i="2"/>
  <c r="S1192" i="2"/>
  <c r="O1192" i="2"/>
  <c r="P1192" i="2" s="1"/>
  <c r="AA1191" i="2"/>
  <c r="Z1191" i="2"/>
  <c r="Y1191" i="2"/>
  <c r="S1191" i="2"/>
  <c r="O1191" i="2"/>
  <c r="P1191" i="2" s="1"/>
  <c r="AA1190" i="2"/>
  <c r="Z1190" i="2"/>
  <c r="Y1190" i="2"/>
  <c r="S1190" i="2"/>
  <c r="O1190" i="2"/>
  <c r="P1190" i="2" s="1"/>
  <c r="AA1189" i="2"/>
  <c r="Z1189" i="2"/>
  <c r="Y1189" i="2"/>
  <c r="S1189" i="2"/>
  <c r="O1189" i="2"/>
  <c r="P1189" i="2" s="1"/>
  <c r="AA1188" i="2"/>
  <c r="Z1188" i="2"/>
  <c r="Y1188" i="2"/>
  <c r="S1188" i="2"/>
  <c r="O1188" i="2"/>
  <c r="P1188" i="2" s="1"/>
  <c r="AA1187" i="2"/>
  <c r="Z1187" i="2"/>
  <c r="Y1187" i="2"/>
  <c r="S1187" i="2"/>
  <c r="O1187" i="2"/>
  <c r="P1187" i="2" s="1"/>
  <c r="AA1186" i="2"/>
  <c r="Z1186" i="2"/>
  <c r="Y1186" i="2"/>
  <c r="S1186" i="2"/>
  <c r="O1186" i="2"/>
  <c r="P1186" i="2" s="1"/>
  <c r="AA1185" i="2"/>
  <c r="Z1185" i="2"/>
  <c r="Y1185" i="2"/>
  <c r="S1185" i="2"/>
  <c r="O1185" i="2"/>
  <c r="P1185" i="2" s="1"/>
  <c r="AA1184" i="2"/>
  <c r="Z1184" i="2"/>
  <c r="Y1184" i="2"/>
  <c r="S1184" i="2"/>
  <c r="O1184" i="2"/>
  <c r="P1184" i="2" s="1"/>
  <c r="AA1183" i="2"/>
  <c r="Z1183" i="2"/>
  <c r="Y1183" i="2"/>
  <c r="S1183" i="2"/>
  <c r="O1183" i="2"/>
  <c r="P1183" i="2" s="1"/>
  <c r="AA1182" i="2"/>
  <c r="Z1182" i="2"/>
  <c r="Y1182" i="2"/>
  <c r="S1182" i="2"/>
  <c r="O1182" i="2"/>
  <c r="P1182" i="2" s="1"/>
  <c r="AA1181" i="2"/>
  <c r="Z1181" i="2"/>
  <c r="Y1181" i="2"/>
  <c r="S1181" i="2"/>
  <c r="O1181" i="2"/>
  <c r="P1181" i="2" s="1"/>
  <c r="AA1180" i="2"/>
  <c r="Z1180" i="2"/>
  <c r="Y1180" i="2"/>
  <c r="S1180" i="2"/>
  <c r="O1180" i="2"/>
  <c r="P1180" i="2" s="1"/>
  <c r="AA1179" i="2"/>
  <c r="Z1179" i="2"/>
  <c r="Y1179" i="2"/>
  <c r="S1179" i="2"/>
  <c r="O1179" i="2"/>
  <c r="P1179" i="2" s="1"/>
  <c r="AA1178" i="2"/>
  <c r="Z1178" i="2"/>
  <c r="Y1178" i="2"/>
  <c r="S1178" i="2"/>
  <c r="O1178" i="2"/>
  <c r="P1178" i="2" s="1"/>
  <c r="AA1177" i="2"/>
  <c r="Z1177" i="2"/>
  <c r="Y1177" i="2"/>
  <c r="S1177" i="2"/>
  <c r="O1177" i="2"/>
  <c r="P1177" i="2" s="1"/>
  <c r="AA1176" i="2"/>
  <c r="Z1176" i="2"/>
  <c r="Y1176" i="2"/>
  <c r="S1176" i="2"/>
  <c r="O1176" i="2"/>
  <c r="P1176" i="2" s="1"/>
  <c r="AA1175" i="2"/>
  <c r="Z1175" i="2"/>
  <c r="Y1175" i="2"/>
  <c r="S1175" i="2"/>
  <c r="O1175" i="2"/>
  <c r="P1175" i="2" s="1"/>
  <c r="AA1174" i="2"/>
  <c r="Z1174" i="2"/>
  <c r="Y1174" i="2"/>
  <c r="S1174" i="2"/>
  <c r="O1174" i="2"/>
  <c r="P1174" i="2" s="1"/>
  <c r="AA1173" i="2"/>
  <c r="Z1173" i="2"/>
  <c r="Y1173" i="2"/>
  <c r="S1173" i="2"/>
  <c r="O1173" i="2"/>
  <c r="P1173" i="2" s="1"/>
  <c r="AA1172" i="2"/>
  <c r="Z1172" i="2"/>
  <c r="Y1172" i="2"/>
  <c r="S1172" i="2"/>
  <c r="O1172" i="2"/>
  <c r="P1172" i="2" s="1"/>
  <c r="AA1171" i="2"/>
  <c r="Z1171" i="2"/>
  <c r="Y1171" i="2"/>
  <c r="S1171" i="2"/>
  <c r="O1171" i="2"/>
  <c r="P1171" i="2" s="1"/>
  <c r="AA1170" i="2"/>
  <c r="Z1170" i="2"/>
  <c r="Y1170" i="2"/>
  <c r="S1170" i="2"/>
  <c r="O1170" i="2"/>
  <c r="P1170" i="2" s="1"/>
  <c r="AA1169" i="2"/>
  <c r="Z1169" i="2"/>
  <c r="Y1169" i="2"/>
  <c r="S1169" i="2"/>
  <c r="O1169" i="2"/>
  <c r="P1169" i="2" s="1"/>
  <c r="AA1168" i="2"/>
  <c r="Z1168" i="2"/>
  <c r="Y1168" i="2"/>
  <c r="S1168" i="2"/>
  <c r="O1168" i="2"/>
  <c r="P1168" i="2" s="1"/>
  <c r="AA1167" i="2"/>
  <c r="Z1167" i="2"/>
  <c r="Y1167" i="2"/>
  <c r="S1167" i="2"/>
  <c r="O1167" i="2"/>
  <c r="P1167" i="2" s="1"/>
  <c r="AA1166" i="2"/>
  <c r="Z1166" i="2"/>
  <c r="Y1166" i="2"/>
  <c r="S1166" i="2"/>
  <c r="O1166" i="2"/>
  <c r="P1166" i="2" s="1"/>
  <c r="AA1165" i="2"/>
  <c r="Z1165" i="2"/>
  <c r="Y1165" i="2"/>
  <c r="S1165" i="2"/>
  <c r="O1165" i="2"/>
  <c r="P1165" i="2" s="1"/>
  <c r="AA1164" i="2"/>
  <c r="Z1164" i="2"/>
  <c r="Y1164" i="2"/>
  <c r="S1164" i="2"/>
  <c r="O1164" i="2"/>
  <c r="P1164" i="2" s="1"/>
  <c r="AA1163" i="2"/>
  <c r="Z1163" i="2"/>
  <c r="Y1163" i="2"/>
  <c r="S1163" i="2"/>
  <c r="O1163" i="2"/>
  <c r="P1163" i="2" s="1"/>
  <c r="AA1162" i="2"/>
  <c r="Z1162" i="2"/>
  <c r="Y1162" i="2"/>
  <c r="S1162" i="2"/>
  <c r="O1162" i="2"/>
  <c r="P1162" i="2" s="1"/>
  <c r="AA1161" i="2"/>
  <c r="Z1161" i="2"/>
  <c r="Y1161" i="2"/>
  <c r="S1161" i="2"/>
  <c r="O1161" i="2"/>
  <c r="P1161" i="2" s="1"/>
  <c r="AA1160" i="2"/>
  <c r="Z1160" i="2"/>
  <c r="Y1160" i="2"/>
  <c r="S1160" i="2"/>
  <c r="O1160" i="2"/>
  <c r="P1160" i="2" s="1"/>
  <c r="AA1159" i="2"/>
  <c r="Z1159" i="2"/>
  <c r="Y1159" i="2"/>
  <c r="S1159" i="2"/>
  <c r="O1159" i="2"/>
  <c r="P1159" i="2" s="1"/>
  <c r="AA1158" i="2"/>
  <c r="Z1158" i="2"/>
  <c r="Y1158" i="2"/>
  <c r="S1158" i="2"/>
  <c r="O1158" i="2"/>
  <c r="P1158" i="2" s="1"/>
  <c r="AA1157" i="2"/>
  <c r="Z1157" i="2"/>
  <c r="Y1157" i="2"/>
  <c r="S1157" i="2"/>
  <c r="O1157" i="2"/>
  <c r="P1157" i="2" s="1"/>
  <c r="AA1156" i="2"/>
  <c r="Z1156" i="2"/>
  <c r="Y1156" i="2"/>
  <c r="S1156" i="2"/>
  <c r="O1156" i="2"/>
  <c r="P1156" i="2" s="1"/>
  <c r="AA1155" i="2"/>
  <c r="Z1155" i="2"/>
  <c r="Y1155" i="2"/>
  <c r="S1155" i="2"/>
  <c r="O1155" i="2"/>
  <c r="P1155" i="2" s="1"/>
  <c r="AA1154" i="2"/>
  <c r="Z1154" i="2"/>
  <c r="Y1154" i="2"/>
  <c r="S1154" i="2"/>
  <c r="O1154" i="2"/>
  <c r="P1154" i="2" s="1"/>
  <c r="AA1153" i="2"/>
  <c r="Z1153" i="2"/>
  <c r="Y1153" i="2"/>
  <c r="S1153" i="2"/>
  <c r="O1153" i="2"/>
  <c r="P1153" i="2" s="1"/>
  <c r="AA1152" i="2"/>
  <c r="Z1152" i="2"/>
  <c r="Y1152" i="2"/>
  <c r="S1152" i="2"/>
  <c r="O1152" i="2"/>
  <c r="P1152" i="2" s="1"/>
  <c r="AA1151" i="2"/>
  <c r="Z1151" i="2"/>
  <c r="Y1151" i="2"/>
  <c r="S1151" i="2"/>
  <c r="O1151" i="2"/>
  <c r="P1151" i="2" s="1"/>
  <c r="AA1150" i="2"/>
  <c r="Z1150" i="2"/>
  <c r="Y1150" i="2"/>
  <c r="S1150" i="2"/>
  <c r="O1150" i="2"/>
  <c r="P1150" i="2" s="1"/>
  <c r="AA1149" i="2"/>
  <c r="Z1149" i="2"/>
  <c r="Y1149" i="2"/>
  <c r="S1149" i="2"/>
  <c r="O1149" i="2"/>
  <c r="P1149" i="2" s="1"/>
  <c r="AA1148" i="2"/>
  <c r="Z1148" i="2"/>
  <c r="Y1148" i="2"/>
  <c r="S1148" i="2"/>
  <c r="O1148" i="2"/>
  <c r="P1148" i="2" s="1"/>
  <c r="AA1147" i="2"/>
  <c r="Z1147" i="2"/>
  <c r="Y1147" i="2"/>
  <c r="S1147" i="2"/>
  <c r="O1147" i="2"/>
  <c r="P1147" i="2" s="1"/>
  <c r="AA1146" i="2"/>
  <c r="Z1146" i="2"/>
  <c r="Y1146" i="2"/>
  <c r="S1146" i="2"/>
  <c r="O1146" i="2"/>
  <c r="P1146" i="2" s="1"/>
  <c r="AA1145" i="2"/>
  <c r="Z1145" i="2"/>
  <c r="Y1145" i="2"/>
  <c r="S1145" i="2"/>
  <c r="O1145" i="2"/>
  <c r="P1145" i="2" s="1"/>
  <c r="AA1144" i="2"/>
  <c r="Z1144" i="2"/>
  <c r="Y1144" i="2"/>
  <c r="S1144" i="2"/>
  <c r="O1144" i="2"/>
  <c r="P1144" i="2" s="1"/>
  <c r="AA1143" i="2"/>
  <c r="Z1143" i="2"/>
  <c r="Y1143" i="2"/>
  <c r="S1143" i="2"/>
  <c r="O1143" i="2"/>
  <c r="P1143" i="2" s="1"/>
  <c r="AA1142" i="2"/>
  <c r="Z1142" i="2"/>
  <c r="Y1142" i="2"/>
  <c r="S1142" i="2"/>
  <c r="O1142" i="2"/>
  <c r="P1142" i="2" s="1"/>
  <c r="AA1141" i="2"/>
  <c r="Z1141" i="2"/>
  <c r="Y1141" i="2"/>
  <c r="S1141" i="2"/>
  <c r="O1141" i="2"/>
  <c r="P1141" i="2" s="1"/>
  <c r="AA1140" i="2"/>
  <c r="Z1140" i="2"/>
  <c r="Y1140" i="2"/>
  <c r="S1140" i="2"/>
  <c r="O1140" i="2"/>
  <c r="P1140" i="2" s="1"/>
  <c r="AA1139" i="2"/>
  <c r="Z1139" i="2"/>
  <c r="Y1139" i="2"/>
  <c r="S1139" i="2"/>
  <c r="O1139" i="2"/>
  <c r="P1139" i="2" s="1"/>
  <c r="AA1138" i="2"/>
  <c r="Z1138" i="2"/>
  <c r="Y1138" i="2"/>
  <c r="S1138" i="2"/>
  <c r="O1138" i="2"/>
  <c r="P1138" i="2" s="1"/>
  <c r="AA1137" i="2"/>
  <c r="Z1137" i="2"/>
  <c r="Y1137" i="2"/>
  <c r="S1137" i="2"/>
  <c r="O1137" i="2"/>
  <c r="P1137" i="2" s="1"/>
  <c r="AA1136" i="2"/>
  <c r="Z1136" i="2"/>
  <c r="Y1136" i="2"/>
  <c r="S1136" i="2"/>
  <c r="O1136" i="2"/>
  <c r="P1136" i="2" s="1"/>
  <c r="AA1135" i="2"/>
  <c r="Z1135" i="2"/>
  <c r="Y1135" i="2"/>
  <c r="S1135" i="2"/>
  <c r="O1135" i="2"/>
  <c r="P1135" i="2" s="1"/>
  <c r="AA1134" i="2"/>
  <c r="Z1134" i="2"/>
  <c r="Y1134" i="2"/>
  <c r="S1134" i="2"/>
  <c r="O1134" i="2"/>
  <c r="P1134" i="2" s="1"/>
  <c r="AA1133" i="2"/>
  <c r="Z1133" i="2"/>
  <c r="Y1133" i="2"/>
  <c r="S1133" i="2"/>
  <c r="O1133" i="2"/>
  <c r="P1133" i="2" s="1"/>
  <c r="AA1132" i="2"/>
  <c r="Z1132" i="2"/>
  <c r="Y1132" i="2"/>
  <c r="S1132" i="2"/>
  <c r="O1132" i="2"/>
  <c r="P1132" i="2" s="1"/>
  <c r="AA1131" i="2"/>
  <c r="Z1131" i="2"/>
  <c r="Y1131" i="2"/>
  <c r="S1131" i="2"/>
  <c r="O1131" i="2"/>
  <c r="P1131" i="2" s="1"/>
  <c r="AA1130" i="2"/>
  <c r="Z1130" i="2"/>
  <c r="Y1130" i="2"/>
  <c r="S1130" i="2"/>
  <c r="O1130" i="2"/>
  <c r="P1130" i="2" s="1"/>
  <c r="AA1129" i="2"/>
  <c r="Z1129" i="2"/>
  <c r="Y1129" i="2"/>
  <c r="S1129" i="2"/>
  <c r="O1129" i="2"/>
  <c r="P1129" i="2" s="1"/>
  <c r="AA1128" i="2"/>
  <c r="Z1128" i="2"/>
  <c r="Y1128" i="2"/>
  <c r="S1128" i="2"/>
  <c r="O1128" i="2"/>
  <c r="P1128" i="2" s="1"/>
  <c r="AA1127" i="2"/>
  <c r="Z1127" i="2"/>
  <c r="Y1127" i="2"/>
  <c r="S1127" i="2"/>
  <c r="O1127" i="2"/>
  <c r="P1127" i="2" s="1"/>
  <c r="AA1126" i="2"/>
  <c r="Z1126" i="2"/>
  <c r="Y1126" i="2"/>
  <c r="S1126" i="2"/>
  <c r="O1126" i="2"/>
  <c r="P1126" i="2" s="1"/>
  <c r="AA1125" i="2"/>
  <c r="Z1125" i="2"/>
  <c r="Y1125" i="2"/>
  <c r="S1125" i="2"/>
  <c r="O1125" i="2"/>
  <c r="P1125" i="2" s="1"/>
  <c r="AA1124" i="2"/>
  <c r="Z1124" i="2"/>
  <c r="Y1124" i="2"/>
  <c r="S1124" i="2"/>
  <c r="O1124" i="2"/>
  <c r="P1124" i="2" s="1"/>
  <c r="AA1123" i="2"/>
  <c r="Z1123" i="2"/>
  <c r="Y1123" i="2"/>
  <c r="S1123" i="2"/>
  <c r="O1123" i="2"/>
  <c r="P1123" i="2" s="1"/>
  <c r="AA1122" i="2"/>
  <c r="Z1122" i="2"/>
  <c r="Y1122" i="2"/>
  <c r="S1122" i="2"/>
  <c r="O1122" i="2"/>
  <c r="P1122" i="2" s="1"/>
  <c r="AA1121" i="2"/>
  <c r="Z1121" i="2"/>
  <c r="Y1121" i="2"/>
  <c r="S1121" i="2"/>
  <c r="O1121" i="2"/>
  <c r="P1121" i="2" s="1"/>
  <c r="AA1120" i="2"/>
  <c r="Z1120" i="2"/>
  <c r="Y1120" i="2"/>
  <c r="S1120" i="2"/>
  <c r="O1120" i="2"/>
  <c r="P1120" i="2" s="1"/>
  <c r="AA1119" i="2"/>
  <c r="Z1119" i="2"/>
  <c r="Y1119" i="2"/>
  <c r="S1119" i="2"/>
  <c r="O1119" i="2"/>
  <c r="P1119" i="2" s="1"/>
  <c r="AA1118" i="2"/>
  <c r="Z1118" i="2"/>
  <c r="Y1118" i="2"/>
  <c r="S1118" i="2"/>
  <c r="O1118" i="2"/>
  <c r="P1118" i="2" s="1"/>
  <c r="AA1117" i="2"/>
  <c r="Z1117" i="2"/>
  <c r="Y1117" i="2"/>
  <c r="S1117" i="2"/>
  <c r="O1117" i="2"/>
  <c r="P1117" i="2" s="1"/>
  <c r="AA1116" i="2"/>
  <c r="Z1116" i="2"/>
  <c r="Y1116" i="2"/>
  <c r="S1116" i="2"/>
  <c r="O1116" i="2"/>
  <c r="P1116" i="2" s="1"/>
  <c r="AA1115" i="2"/>
  <c r="Z1115" i="2"/>
  <c r="Y1115" i="2"/>
  <c r="S1115" i="2"/>
  <c r="O1115" i="2"/>
  <c r="P1115" i="2" s="1"/>
  <c r="AA1114" i="2"/>
  <c r="Z1114" i="2"/>
  <c r="Y1114" i="2"/>
  <c r="S1114" i="2"/>
  <c r="O1114" i="2"/>
  <c r="P1114" i="2" s="1"/>
  <c r="AA1113" i="2"/>
  <c r="Z1113" i="2"/>
  <c r="Y1113" i="2"/>
  <c r="S1113" i="2"/>
  <c r="O1113" i="2"/>
  <c r="P1113" i="2" s="1"/>
  <c r="AA1112" i="2"/>
  <c r="Z1112" i="2"/>
  <c r="Y1112" i="2"/>
  <c r="S1112" i="2"/>
  <c r="O1112" i="2"/>
  <c r="P1112" i="2" s="1"/>
  <c r="AA1111" i="2"/>
  <c r="Z1111" i="2"/>
  <c r="Y1111" i="2"/>
  <c r="S1111" i="2"/>
  <c r="O1111" i="2"/>
  <c r="P1111" i="2" s="1"/>
  <c r="AA1110" i="2"/>
  <c r="Z1110" i="2"/>
  <c r="Y1110" i="2"/>
  <c r="S1110" i="2"/>
  <c r="O1110" i="2"/>
  <c r="P1110" i="2" s="1"/>
  <c r="AA1109" i="2"/>
  <c r="Z1109" i="2"/>
  <c r="Y1109" i="2"/>
  <c r="S1109" i="2"/>
  <c r="O1109" i="2"/>
  <c r="P1109" i="2" s="1"/>
  <c r="AA1108" i="2"/>
  <c r="Z1108" i="2"/>
  <c r="Y1108" i="2"/>
  <c r="S1108" i="2"/>
  <c r="O1108" i="2"/>
  <c r="P1108" i="2" s="1"/>
  <c r="AA1107" i="2"/>
  <c r="Z1107" i="2"/>
  <c r="Y1107" i="2"/>
  <c r="S1107" i="2"/>
  <c r="O1107" i="2"/>
  <c r="P1107" i="2" s="1"/>
  <c r="AA1106" i="2"/>
  <c r="Z1106" i="2"/>
  <c r="Y1106" i="2"/>
  <c r="S1106" i="2"/>
  <c r="O1106" i="2"/>
  <c r="P1106" i="2" s="1"/>
  <c r="AA1105" i="2"/>
  <c r="Z1105" i="2"/>
  <c r="Y1105" i="2"/>
  <c r="S1105" i="2"/>
  <c r="O1105" i="2"/>
  <c r="P1105" i="2" s="1"/>
  <c r="AA1104" i="2"/>
  <c r="Z1104" i="2"/>
  <c r="Y1104" i="2"/>
  <c r="S1104" i="2"/>
  <c r="O1104" i="2"/>
  <c r="P1104" i="2" s="1"/>
  <c r="AA1103" i="2"/>
  <c r="Z1103" i="2"/>
  <c r="Y1103" i="2"/>
  <c r="S1103" i="2"/>
  <c r="O1103" i="2"/>
  <c r="P1103" i="2" s="1"/>
  <c r="AA1102" i="2"/>
  <c r="Z1102" i="2"/>
  <c r="Y1102" i="2"/>
  <c r="S1102" i="2"/>
  <c r="O1102" i="2"/>
  <c r="P1102" i="2" s="1"/>
  <c r="AA1101" i="2"/>
  <c r="Z1101" i="2"/>
  <c r="Y1101" i="2"/>
  <c r="S1101" i="2"/>
  <c r="O1101" i="2"/>
  <c r="P1101" i="2" s="1"/>
  <c r="AA1100" i="2"/>
  <c r="Z1100" i="2"/>
  <c r="Y1100" i="2"/>
  <c r="S1100" i="2"/>
  <c r="O1100" i="2"/>
  <c r="P1100" i="2" s="1"/>
  <c r="AA1099" i="2"/>
  <c r="Z1099" i="2"/>
  <c r="Y1099" i="2"/>
  <c r="S1099" i="2"/>
  <c r="O1099" i="2"/>
  <c r="P1099" i="2" s="1"/>
  <c r="AA1098" i="2"/>
  <c r="Z1098" i="2"/>
  <c r="Y1098" i="2"/>
  <c r="S1098" i="2"/>
  <c r="O1098" i="2"/>
  <c r="P1098" i="2" s="1"/>
  <c r="AA1097" i="2"/>
  <c r="Z1097" i="2"/>
  <c r="Y1097" i="2"/>
  <c r="S1097" i="2"/>
  <c r="O1097" i="2"/>
  <c r="P1097" i="2" s="1"/>
  <c r="AA1096" i="2"/>
  <c r="Z1096" i="2"/>
  <c r="Y1096" i="2"/>
  <c r="S1096" i="2"/>
  <c r="O1096" i="2"/>
  <c r="P1096" i="2" s="1"/>
  <c r="AA1095" i="2"/>
  <c r="Z1095" i="2"/>
  <c r="Y1095" i="2"/>
  <c r="S1095" i="2"/>
  <c r="O1095" i="2"/>
  <c r="P1095" i="2" s="1"/>
  <c r="AA1094" i="2"/>
  <c r="Z1094" i="2"/>
  <c r="Y1094" i="2"/>
  <c r="S1094" i="2"/>
  <c r="O1094" i="2"/>
  <c r="P1094" i="2" s="1"/>
  <c r="AA1093" i="2"/>
  <c r="Z1093" i="2"/>
  <c r="Y1093" i="2"/>
  <c r="S1093" i="2"/>
  <c r="O1093" i="2"/>
  <c r="P1093" i="2" s="1"/>
  <c r="AA1092" i="2"/>
  <c r="Z1092" i="2"/>
  <c r="Y1092" i="2"/>
  <c r="S1092" i="2"/>
  <c r="O1092" i="2"/>
  <c r="P1092" i="2" s="1"/>
  <c r="AA1091" i="2"/>
  <c r="Z1091" i="2"/>
  <c r="Y1091" i="2"/>
  <c r="S1091" i="2"/>
  <c r="O1091" i="2"/>
  <c r="P1091" i="2" s="1"/>
  <c r="AA1090" i="2"/>
  <c r="Z1090" i="2"/>
  <c r="Y1090" i="2"/>
  <c r="S1090" i="2"/>
  <c r="O1090" i="2"/>
  <c r="P1090" i="2" s="1"/>
  <c r="AA1089" i="2"/>
  <c r="Z1089" i="2"/>
  <c r="Y1089" i="2"/>
  <c r="S1089" i="2"/>
  <c r="O1089" i="2"/>
  <c r="P1089" i="2" s="1"/>
  <c r="AA1088" i="2"/>
  <c r="Z1088" i="2"/>
  <c r="Y1088" i="2"/>
  <c r="S1088" i="2"/>
  <c r="O1088" i="2"/>
  <c r="P1088" i="2" s="1"/>
  <c r="AA1087" i="2"/>
  <c r="Z1087" i="2"/>
  <c r="Y1087" i="2"/>
  <c r="S1087" i="2"/>
  <c r="O1087" i="2"/>
  <c r="P1087" i="2" s="1"/>
  <c r="AA1086" i="2"/>
  <c r="Z1086" i="2"/>
  <c r="Y1086" i="2"/>
  <c r="S1086" i="2"/>
  <c r="O1086" i="2"/>
  <c r="P1086" i="2" s="1"/>
  <c r="AA1085" i="2"/>
  <c r="Z1085" i="2"/>
  <c r="Y1085" i="2"/>
  <c r="S1085" i="2"/>
  <c r="O1085" i="2"/>
  <c r="P1085" i="2" s="1"/>
  <c r="AA1084" i="2"/>
  <c r="Z1084" i="2"/>
  <c r="Y1084" i="2"/>
  <c r="S1084" i="2"/>
  <c r="O1084" i="2"/>
  <c r="P1084" i="2" s="1"/>
  <c r="AA1083" i="2"/>
  <c r="Z1083" i="2"/>
  <c r="Y1083" i="2"/>
  <c r="S1083" i="2"/>
  <c r="O1083" i="2"/>
  <c r="P1083" i="2" s="1"/>
  <c r="AA1082" i="2"/>
  <c r="Z1082" i="2"/>
  <c r="Y1082" i="2"/>
  <c r="S1082" i="2"/>
  <c r="O1082" i="2"/>
  <c r="P1082" i="2" s="1"/>
  <c r="AA1081" i="2"/>
  <c r="Z1081" i="2"/>
  <c r="Y1081" i="2"/>
  <c r="S1081" i="2"/>
  <c r="O1081" i="2"/>
  <c r="P1081" i="2" s="1"/>
  <c r="AA1080" i="2"/>
  <c r="Z1080" i="2"/>
  <c r="Y1080" i="2"/>
  <c r="S1080" i="2"/>
  <c r="O1080" i="2"/>
  <c r="P1080" i="2" s="1"/>
  <c r="AA1079" i="2"/>
  <c r="Z1079" i="2"/>
  <c r="Y1079" i="2"/>
  <c r="S1079" i="2"/>
  <c r="O1079" i="2"/>
  <c r="P1079" i="2" s="1"/>
  <c r="AA1078" i="2"/>
  <c r="Z1078" i="2"/>
  <c r="Y1078" i="2"/>
  <c r="S1078" i="2"/>
  <c r="O1078" i="2"/>
  <c r="P1078" i="2" s="1"/>
  <c r="AA1077" i="2"/>
  <c r="Z1077" i="2"/>
  <c r="Y1077" i="2"/>
  <c r="S1077" i="2"/>
  <c r="O1077" i="2"/>
  <c r="P1077" i="2" s="1"/>
  <c r="AA1076" i="2"/>
  <c r="Z1076" i="2"/>
  <c r="Y1076" i="2"/>
  <c r="S1076" i="2"/>
  <c r="O1076" i="2"/>
  <c r="P1076" i="2" s="1"/>
  <c r="AA1075" i="2"/>
  <c r="Z1075" i="2"/>
  <c r="Y1075" i="2"/>
  <c r="S1075" i="2"/>
  <c r="O1075" i="2"/>
  <c r="P1075" i="2" s="1"/>
  <c r="AA1074" i="2"/>
  <c r="Z1074" i="2"/>
  <c r="Y1074" i="2"/>
  <c r="S1074" i="2"/>
  <c r="O1074" i="2"/>
  <c r="P1074" i="2" s="1"/>
  <c r="AA1073" i="2"/>
  <c r="Z1073" i="2"/>
  <c r="Y1073" i="2"/>
  <c r="S1073" i="2"/>
  <c r="O1073" i="2"/>
  <c r="P1073" i="2" s="1"/>
  <c r="AA1072" i="2"/>
  <c r="Z1072" i="2"/>
  <c r="Y1072" i="2"/>
  <c r="S1072" i="2"/>
  <c r="O1072" i="2"/>
  <c r="P1072" i="2" s="1"/>
  <c r="AA1071" i="2"/>
  <c r="Z1071" i="2"/>
  <c r="Y1071" i="2"/>
  <c r="S1071" i="2"/>
  <c r="O1071" i="2"/>
  <c r="P1071" i="2" s="1"/>
  <c r="AA1070" i="2"/>
  <c r="Z1070" i="2"/>
  <c r="Y1070" i="2"/>
  <c r="S1070" i="2"/>
  <c r="O1070" i="2"/>
  <c r="P1070" i="2" s="1"/>
  <c r="AA1069" i="2"/>
  <c r="Z1069" i="2"/>
  <c r="Y1069" i="2"/>
  <c r="S1069" i="2"/>
  <c r="O1069" i="2"/>
  <c r="P1069" i="2" s="1"/>
  <c r="AA1068" i="2"/>
  <c r="Z1068" i="2"/>
  <c r="Y1068" i="2"/>
  <c r="S1068" i="2"/>
  <c r="O1068" i="2"/>
  <c r="P1068" i="2" s="1"/>
  <c r="AA1067" i="2"/>
  <c r="Z1067" i="2"/>
  <c r="Y1067" i="2"/>
  <c r="S1067" i="2"/>
  <c r="O1067" i="2"/>
  <c r="P1067" i="2" s="1"/>
  <c r="AA1066" i="2"/>
  <c r="Z1066" i="2"/>
  <c r="Y1066" i="2"/>
  <c r="S1066" i="2"/>
  <c r="O1066" i="2"/>
  <c r="P1066" i="2" s="1"/>
  <c r="AA1065" i="2"/>
  <c r="Z1065" i="2"/>
  <c r="Y1065" i="2"/>
  <c r="S1065" i="2"/>
  <c r="O1065" i="2"/>
  <c r="P1065" i="2" s="1"/>
  <c r="AA1064" i="2"/>
  <c r="Z1064" i="2"/>
  <c r="Y1064" i="2"/>
  <c r="S1064" i="2"/>
  <c r="O1064" i="2"/>
  <c r="P1064" i="2" s="1"/>
  <c r="AA1063" i="2"/>
  <c r="Z1063" i="2"/>
  <c r="Y1063" i="2"/>
  <c r="S1063" i="2"/>
  <c r="O1063" i="2"/>
  <c r="P1063" i="2" s="1"/>
  <c r="AA1062" i="2"/>
  <c r="Z1062" i="2"/>
  <c r="Y1062" i="2"/>
  <c r="S1062" i="2"/>
  <c r="O1062" i="2"/>
  <c r="P1062" i="2" s="1"/>
  <c r="AA1061" i="2"/>
  <c r="Z1061" i="2"/>
  <c r="Y1061" i="2"/>
  <c r="S1061" i="2"/>
  <c r="O1061" i="2"/>
  <c r="P1061" i="2" s="1"/>
  <c r="AA1060" i="2"/>
  <c r="Z1060" i="2"/>
  <c r="Y1060" i="2"/>
  <c r="S1060" i="2"/>
  <c r="O1060" i="2"/>
  <c r="P1060" i="2" s="1"/>
  <c r="AA1059" i="2"/>
  <c r="Z1059" i="2"/>
  <c r="Y1059" i="2"/>
  <c r="S1059" i="2"/>
  <c r="O1059" i="2"/>
  <c r="P1059" i="2" s="1"/>
  <c r="AA1058" i="2"/>
  <c r="Z1058" i="2"/>
  <c r="Y1058" i="2"/>
  <c r="S1058" i="2"/>
  <c r="O1058" i="2"/>
  <c r="P1058" i="2" s="1"/>
  <c r="AA1057" i="2"/>
  <c r="Z1057" i="2"/>
  <c r="Y1057" i="2"/>
  <c r="S1057" i="2"/>
  <c r="O1057" i="2"/>
  <c r="P1057" i="2" s="1"/>
  <c r="AA1056" i="2"/>
  <c r="Z1056" i="2"/>
  <c r="Y1056" i="2"/>
  <c r="S1056" i="2"/>
  <c r="O1056" i="2"/>
  <c r="P1056" i="2" s="1"/>
  <c r="AA1055" i="2"/>
  <c r="Z1055" i="2"/>
  <c r="Y1055" i="2"/>
  <c r="S1055" i="2"/>
  <c r="O1055" i="2"/>
  <c r="P1055" i="2" s="1"/>
  <c r="AA1054" i="2"/>
  <c r="Z1054" i="2"/>
  <c r="Y1054" i="2"/>
  <c r="S1054" i="2"/>
  <c r="O1054" i="2"/>
  <c r="P1054" i="2" s="1"/>
  <c r="AA1053" i="2"/>
  <c r="Z1053" i="2"/>
  <c r="Y1053" i="2"/>
  <c r="S1053" i="2"/>
  <c r="O1053" i="2"/>
  <c r="P1053" i="2" s="1"/>
  <c r="AA1052" i="2"/>
  <c r="Z1052" i="2"/>
  <c r="Y1052" i="2"/>
  <c r="S1052" i="2"/>
  <c r="O1052" i="2"/>
  <c r="P1052" i="2" s="1"/>
  <c r="AA1051" i="2"/>
  <c r="Z1051" i="2"/>
  <c r="Y1051" i="2"/>
  <c r="S1051" i="2"/>
  <c r="O1051" i="2"/>
  <c r="P1051" i="2" s="1"/>
  <c r="AA1050" i="2"/>
  <c r="Z1050" i="2"/>
  <c r="Y1050" i="2"/>
  <c r="S1050" i="2"/>
  <c r="O1050" i="2"/>
  <c r="P1050" i="2" s="1"/>
  <c r="AA1049" i="2"/>
  <c r="Z1049" i="2"/>
  <c r="Y1049" i="2"/>
  <c r="S1049" i="2"/>
  <c r="O1049" i="2"/>
  <c r="P1049" i="2" s="1"/>
  <c r="AA1048" i="2"/>
  <c r="Z1048" i="2"/>
  <c r="Y1048" i="2"/>
  <c r="S1048" i="2"/>
  <c r="O1048" i="2"/>
  <c r="P1048" i="2" s="1"/>
  <c r="AA1047" i="2"/>
  <c r="Z1047" i="2"/>
  <c r="Y1047" i="2"/>
  <c r="S1047" i="2"/>
  <c r="O1047" i="2"/>
  <c r="P1047" i="2" s="1"/>
  <c r="AA1046" i="2"/>
  <c r="Z1046" i="2"/>
  <c r="Y1046" i="2"/>
  <c r="S1046" i="2"/>
  <c r="O1046" i="2"/>
  <c r="P1046" i="2" s="1"/>
  <c r="AA1045" i="2"/>
  <c r="Z1045" i="2"/>
  <c r="Y1045" i="2"/>
  <c r="S1045" i="2"/>
  <c r="O1045" i="2"/>
  <c r="P1045" i="2" s="1"/>
  <c r="AA1044" i="2"/>
  <c r="Z1044" i="2"/>
  <c r="Y1044" i="2"/>
  <c r="S1044" i="2"/>
  <c r="O1044" i="2"/>
  <c r="P1044" i="2" s="1"/>
  <c r="AA1043" i="2"/>
  <c r="Z1043" i="2"/>
  <c r="Y1043" i="2"/>
  <c r="S1043" i="2"/>
  <c r="O1043" i="2"/>
  <c r="P1043" i="2" s="1"/>
  <c r="AA1042" i="2"/>
  <c r="Z1042" i="2"/>
  <c r="Y1042" i="2"/>
  <c r="S1042" i="2"/>
  <c r="O1042" i="2"/>
  <c r="P1042" i="2" s="1"/>
  <c r="AA1041" i="2"/>
  <c r="Z1041" i="2"/>
  <c r="Y1041" i="2"/>
  <c r="S1041" i="2"/>
  <c r="O1041" i="2"/>
  <c r="P1041" i="2" s="1"/>
  <c r="AA1040" i="2"/>
  <c r="Z1040" i="2"/>
  <c r="Y1040" i="2"/>
  <c r="S1040" i="2"/>
  <c r="O1040" i="2"/>
  <c r="P1040" i="2" s="1"/>
  <c r="AA1039" i="2"/>
  <c r="Z1039" i="2"/>
  <c r="Y1039" i="2"/>
  <c r="S1039" i="2"/>
  <c r="O1039" i="2"/>
  <c r="P1039" i="2" s="1"/>
  <c r="AA1038" i="2"/>
  <c r="Z1038" i="2"/>
  <c r="Y1038" i="2"/>
  <c r="S1038" i="2"/>
  <c r="O1038" i="2"/>
  <c r="P1038" i="2" s="1"/>
  <c r="AA1037" i="2"/>
  <c r="Z1037" i="2"/>
  <c r="Y1037" i="2"/>
  <c r="S1037" i="2"/>
  <c r="O1037" i="2"/>
  <c r="P1037" i="2" s="1"/>
  <c r="AA1036" i="2"/>
  <c r="Z1036" i="2"/>
  <c r="Y1036" i="2"/>
  <c r="S1036" i="2"/>
  <c r="O1036" i="2"/>
  <c r="P1036" i="2" s="1"/>
  <c r="AA1035" i="2"/>
  <c r="Z1035" i="2"/>
  <c r="Y1035" i="2"/>
  <c r="S1035" i="2"/>
  <c r="O1035" i="2"/>
  <c r="P1035" i="2" s="1"/>
  <c r="AA1034" i="2"/>
  <c r="Z1034" i="2"/>
  <c r="Y1034" i="2"/>
  <c r="S1034" i="2"/>
  <c r="O1034" i="2"/>
  <c r="P1034" i="2" s="1"/>
  <c r="AA1033" i="2"/>
  <c r="Z1033" i="2"/>
  <c r="Y1033" i="2"/>
  <c r="S1033" i="2"/>
  <c r="O1033" i="2"/>
  <c r="P1033" i="2" s="1"/>
  <c r="AA1032" i="2"/>
  <c r="Z1032" i="2"/>
  <c r="Y1032" i="2"/>
  <c r="S1032" i="2"/>
  <c r="O1032" i="2"/>
  <c r="P1032" i="2" s="1"/>
  <c r="AA1031" i="2"/>
  <c r="Z1031" i="2"/>
  <c r="Y1031" i="2"/>
  <c r="S1031" i="2"/>
  <c r="O1031" i="2"/>
  <c r="P1031" i="2" s="1"/>
  <c r="AA1030" i="2"/>
  <c r="Z1030" i="2"/>
  <c r="Y1030" i="2"/>
  <c r="S1030" i="2"/>
  <c r="O1030" i="2"/>
  <c r="P1030" i="2" s="1"/>
  <c r="AA1029" i="2"/>
  <c r="Z1029" i="2"/>
  <c r="Y1029" i="2"/>
  <c r="S1029" i="2"/>
  <c r="O1029" i="2"/>
  <c r="P1029" i="2" s="1"/>
  <c r="AA1028" i="2"/>
  <c r="Z1028" i="2"/>
  <c r="Y1028" i="2"/>
  <c r="S1028" i="2"/>
  <c r="O1028" i="2"/>
  <c r="P1028" i="2" s="1"/>
  <c r="AA1027" i="2"/>
  <c r="Z1027" i="2"/>
  <c r="Y1027" i="2"/>
  <c r="S1027" i="2"/>
  <c r="O1027" i="2"/>
  <c r="P1027" i="2" s="1"/>
  <c r="AA1026" i="2"/>
  <c r="Z1026" i="2"/>
  <c r="Y1026" i="2"/>
  <c r="S1026" i="2"/>
  <c r="O1026" i="2"/>
  <c r="P1026" i="2" s="1"/>
  <c r="AA1025" i="2"/>
  <c r="Z1025" i="2"/>
  <c r="Y1025" i="2"/>
  <c r="S1025" i="2"/>
  <c r="O1025" i="2"/>
  <c r="P1025" i="2" s="1"/>
  <c r="AA1024" i="2"/>
  <c r="Z1024" i="2"/>
  <c r="Y1024" i="2"/>
  <c r="S1024" i="2"/>
  <c r="O1024" i="2"/>
  <c r="P1024" i="2" s="1"/>
  <c r="AA1023" i="2"/>
  <c r="Z1023" i="2"/>
  <c r="Y1023" i="2"/>
  <c r="S1023" i="2"/>
  <c r="O1023" i="2"/>
  <c r="P1023" i="2" s="1"/>
  <c r="AA1022" i="2"/>
  <c r="Z1022" i="2"/>
  <c r="Y1022" i="2"/>
  <c r="S1022" i="2"/>
  <c r="O1022" i="2"/>
  <c r="P1022" i="2" s="1"/>
  <c r="AA1021" i="2"/>
  <c r="Z1021" i="2"/>
  <c r="Y1021" i="2"/>
  <c r="S1021" i="2"/>
  <c r="O1021" i="2"/>
  <c r="P1021" i="2" s="1"/>
  <c r="AA1020" i="2"/>
  <c r="Z1020" i="2"/>
  <c r="Y1020" i="2"/>
  <c r="S1020" i="2"/>
  <c r="O1020" i="2"/>
  <c r="P1020" i="2" s="1"/>
  <c r="AA1019" i="2"/>
  <c r="Z1019" i="2"/>
  <c r="Y1019" i="2"/>
  <c r="S1019" i="2"/>
  <c r="O1019" i="2"/>
  <c r="P1019" i="2" s="1"/>
  <c r="AA1018" i="2"/>
  <c r="Z1018" i="2"/>
  <c r="Y1018" i="2"/>
  <c r="S1018" i="2"/>
  <c r="O1018" i="2"/>
  <c r="P1018" i="2" s="1"/>
  <c r="AA1017" i="2"/>
  <c r="Z1017" i="2"/>
  <c r="Y1017" i="2"/>
  <c r="S1017" i="2"/>
  <c r="O1017" i="2"/>
  <c r="P1017" i="2" s="1"/>
  <c r="AA1016" i="2"/>
  <c r="Z1016" i="2"/>
  <c r="Y1016" i="2"/>
  <c r="S1016" i="2"/>
  <c r="O1016" i="2"/>
  <c r="P1016" i="2" s="1"/>
  <c r="AA1015" i="2"/>
  <c r="Z1015" i="2"/>
  <c r="Y1015" i="2"/>
  <c r="S1015" i="2"/>
  <c r="O1015" i="2"/>
  <c r="P1015" i="2" s="1"/>
  <c r="AA1014" i="2"/>
  <c r="Z1014" i="2"/>
  <c r="Y1014" i="2"/>
  <c r="S1014" i="2"/>
  <c r="O1014" i="2"/>
  <c r="P1014" i="2" s="1"/>
  <c r="AA1013" i="2"/>
  <c r="Z1013" i="2"/>
  <c r="Y1013" i="2"/>
  <c r="S1013" i="2"/>
  <c r="O1013" i="2"/>
  <c r="P1013" i="2" s="1"/>
  <c r="AA1012" i="2"/>
  <c r="Z1012" i="2"/>
  <c r="Y1012" i="2"/>
  <c r="S1012" i="2"/>
  <c r="O1012" i="2"/>
  <c r="P1012" i="2" s="1"/>
  <c r="AA1011" i="2"/>
  <c r="Z1011" i="2"/>
  <c r="Y1011" i="2"/>
  <c r="S1011" i="2"/>
  <c r="O1011" i="2"/>
  <c r="P1011" i="2" s="1"/>
  <c r="AA1010" i="2"/>
  <c r="Z1010" i="2"/>
  <c r="Y1010" i="2"/>
  <c r="S1010" i="2"/>
  <c r="O1010" i="2"/>
  <c r="P1010" i="2" s="1"/>
  <c r="AA1009" i="2"/>
  <c r="Z1009" i="2"/>
  <c r="Y1009" i="2"/>
  <c r="S1009" i="2"/>
  <c r="O1009" i="2"/>
  <c r="P1009" i="2" s="1"/>
  <c r="AA1008" i="2"/>
  <c r="Z1008" i="2"/>
  <c r="Y1008" i="2"/>
  <c r="S1008" i="2"/>
  <c r="O1008" i="2"/>
  <c r="P1008" i="2" s="1"/>
  <c r="AA1007" i="2"/>
  <c r="Z1007" i="2"/>
  <c r="Y1007" i="2"/>
  <c r="S1007" i="2"/>
  <c r="O1007" i="2"/>
  <c r="P1007" i="2" s="1"/>
  <c r="AA1006" i="2"/>
  <c r="Z1006" i="2"/>
  <c r="Y1006" i="2"/>
  <c r="S1006" i="2"/>
  <c r="O1006" i="2"/>
  <c r="P1006" i="2" s="1"/>
  <c r="AA1005" i="2"/>
  <c r="Z1005" i="2"/>
  <c r="Y1005" i="2"/>
  <c r="S1005" i="2"/>
  <c r="O1005" i="2"/>
  <c r="P1005" i="2" s="1"/>
  <c r="AA1004" i="2"/>
  <c r="Z1004" i="2"/>
  <c r="Y1004" i="2"/>
  <c r="S1004" i="2"/>
  <c r="O1004" i="2"/>
  <c r="P1004" i="2" s="1"/>
  <c r="AA1003" i="2"/>
  <c r="Z1003" i="2"/>
  <c r="Y1003" i="2"/>
  <c r="S1003" i="2"/>
  <c r="O1003" i="2"/>
  <c r="P1003" i="2" s="1"/>
  <c r="AA1002" i="2"/>
  <c r="Z1002" i="2"/>
  <c r="Y1002" i="2"/>
  <c r="S1002" i="2"/>
  <c r="O1002" i="2"/>
  <c r="P1002" i="2" s="1"/>
  <c r="AA1001" i="2"/>
  <c r="Z1001" i="2"/>
  <c r="Y1001" i="2"/>
  <c r="S1001" i="2"/>
  <c r="O1001" i="2"/>
  <c r="P1001" i="2" s="1"/>
  <c r="AA1000" i="2"/>
  <c r="Z1000" i="2"/>
  <c r="Y1000" i="2"/>
  <c r="S1000" i="2"/>
  <c r="O1000" i="2"/>
  <c r="P1000" i="2" s="1"/>
  <c r="AA999" i="2"/>
  <c r="Z999" i="2"/>
  <c r="Y999" i="2"/>
  <c r="S999" i="2"/>
  <c r="O999" i="2"/>
  <c r="P999" i="2" s="1"/>
  <c r="AA998" i="2"/>
  <c r="Z998" i="2"/>
  <c r="Y998" i="2"/>
  <c r="S998" i="2"/>
  <c r="O998" i="2"/>
  <c r="P998" i="2" s="1"/>
  <c r="AA997" i="2"/>
  <c r="Z997" i="2"/>
  <c r="Y997" i="2"/>
  <c r="S997" i="2"/>
  <c r="O997" i="2"/>
  <c r="P997" i="2" s="1"/>
  <c r="AA996" i="2"/>
  <c r="Z996" i="2"/>
  <c r="Y996" i="2"/>
  <c r="S996" i="2"/>
  <c r="O996" i="2"/>
  <c r="P996" i="2" s="1"/>
  <c r="AA995" i="2"/>
  <c r="Z995" i="2"/>
  <c r="Y995" i="2"/>
  <c r="S995" i="2"/>
  <c r="O995" i="2"/>
  <c r="P995" i="2" s="1"/>
  <c r="AA994" i="2"/>
  <c r="Z994" i="2"/>
  <c r="Y994" i="2"/>
  <c r="S994" i="2"/>
  <c r="O994" i="2"/>
  <c r="P994" i="2" s="1"/>
  <c r="AA993" i="2"/>
  <c r="Z993" i="2"/>
  <c r="Y993" i="2"/>
  <c r="S993" i="2"/>
  <c r="O993" i="2"/>
  <c r="P993" i="2" s="1"/>
  <c r="AA992" i="2"/>
  <c r="Z992" i="2"/>
  <c r="Y992" i="2"/>
  <c r="S992" i="2"/>
  <c r="O992" i="2"/>
  <c r="P992" i="2" s="1"/>
  <c r="AA991" i="2"/>
  <c r="Z991" i="2"/>
  <c r="Y991" i="2"/>
  <c r="S991" i="2"/>
  <c r="O991" i="2"/>
  <c r="P991" i="2" s="1"/>
  <c r="AA990" i="2"/>
  <c r="Z990" i="2"/>
  <c r="Y990" i="2"/>
  <c r="S990" i="2"/>
  <c r="O990" i="2"/>
  <c r="P990" i="2" s="1"/>
  <c r="AA989" i="2"/>
  <c r="Z989" i="2"/>
  <c r="Y989" i="2"/>
  <c r="S989" i="2"/>
  <c r="O989" i="2"/>
  <c r="P989" i="2" s="1"/>
  <c r="AA988" i="2"/>
  <c r="Z988" i="2"/>
  <c r="Y988" i="2"/>
  <c r="S988" i="2"/>
  <c r="O988" i="2"/>
  <c r="P988" i="2" s="1"/>
  <c r="AA987" i="2"/>
  <c r="Z987" i="2"/>
  <c r="Y987" i="2"/>
  <c r="S987" i="2"/>
  <c r="O987" i="2"/>
  <c r="P987" i="2" s="1"/>
  <c r="AA986" i="2"/>
  <c r="Z986" i="2"/>
  <c r="Y986" i="2"/>
  <c r="S986" i="2"/>
  <c r="O986" i="2"/>
  <c r="P986" i="2" s="1"/>
  <c r="AA985" i="2"/>
  <c r="Z985" i="2"/>
  <c r="Y985" i="2"/>
  <c r="S985" i="2"/>
  <c r="O985" i="2"/>
  <c r="P985" i="2" s="1"/>
  <c r="AA984" i="2"/>
  <c r="Z984" i="2"/>
  <c r="Y984" i="2"/>
  <c r="S984" i="2"/>
  <c r="O984" i="2"/>
  <c r="P984" i="2" s="1"/>
  <c r="AA983" i="2"/>
  <c r="Z983" i="2"/>
  <c r="Y983" i="2"/>
  <c r="S983" i="2"/>
  <c r="O983" i="2"/>
  <c r="P983" i="2" s="1"/>
  <c r="AA982" i="2"/>
  <c r="Z982" i="2"/>
  <c r="Y982" i="2"/>
  <c r="S982" i="2"/>
  <c r="O982" i="2"/>
  <c r="P982" i="2" s="1"/>
  <c r="AA981" i="2"/>
  <c r="Z981" i="2"/>
  <c r="Y981" i="2"/>
  <c r="S981" i="2"/>
  <c r="O981" i="2"/>
  <c r="P981" i="2" s="1"/>
  <c r="AA980" i="2"/>
  <c r="Z980" i="2"/>
  <c r="Y980" i="2"/>
  <c r="S980" i="2"/>
  <c r="O980" i="2"/>
  <c r="P980" i="2" s="1"/>
  <c r="AA979" i="2"/>
  <c r="Z979" i="2"/>
  <c r="Y979" i="2"/>
  <c r="S979" i="2"/>
  <c r="O979" i="2"/>
  <c r="P979" i="2" s="1"/>
  <c r="AA978" i="2"/>
  <c r="Z978" i="2"/>
  <c r="Y978" i="2"/>
  <c r="S978" i="2"/>
  <c r="O978" i="2"/>
  <c r="P978" i="2" s="1"/>
  <c r="AA977" i="2"/>
  <c r="Z977" i="2"/>
  <c r="Y977" i="2"/>
  <c r="S977" i="2"/>
  <c r="O977" i="2"/>
  <c r="P977" i="2" s="1"/>
  <c r="AA976" i="2"/>
  <c r="Z976" i="2"/>
  <c r="Y976" i="2"/>
  <c r="S976" i="2"/>
  <c r="O976" i="2"/>
  <c r="P976" i="2" s="1"/>
  <c r="AA975" i="2"/>
  <c r="Z975" i="2"/>
  <c r="Y975" i="2"/>
  <c r="S975" i="2"/>
  <c r="O975" i="2"/>
  <c r="P975" i="2" s="1"/>
  <c r="AA974" i="2"/>
  <c r="Z974" i="2"/>
  <c r="Y974" i="2"/>
  <c r="S974" i="2"/>
  <c r="O974" i="2"/>
  <c r="P974" i="2" s="1"/>
  <c r="AA973" i="2"/>
  <c r="Z973" i="2"/>
  <c r="Y973" i="2"/>
  <c r="S973" i="2"/>
  <c r="O973" i="2"/>
  <c r="P973" i="2" s="1"/>
  <c r="AA972" i="2"/>
  <c r="Z972" i="2"/>
  <c r="Y972" i="2"/>
  <c r="S972" i="2"/>
  <c r="O972" i="2"/>
  <c r="P972" i="2" s="1"/>
  <c r="AA971" i="2"/>
  <c r="Z971" i="2"/>
  <c r="Y971" i="2"/>
  <c r="S971" i="2"/>
  <c r="O971" i="2"/>
  <c r="P971" i="2" s="1"/>
  <c r="AA970" i="2"/>
  <c r="Z970" i="2"/>
  <c r="Y970" i="2"/>
  <c r="S970" i="2"/>
  <c r="O970" i="2"/>
  <c r="P970" i="2" s="1"/>
  <c r="AA969" i="2"/>
  <c r="Z969" i="2"/>
  <c r="Y969" i="2"/>
  <c r="S969" i="2"/>
  <c r="O969" i="2"/>
  <c r="P969" i="2" s="1"/>
  <c r="AA968" i="2"/>
  <c r="Z968" i="2"/>
  <c r="Y968" i="2"/>
  <c r="S968" i="2"/>
  <c r="O968" i="2"/>
  <c r="P968" i="2" s="1"/>
  <c r="AA967" i="2"/>
  <c r="Z967" i="2"/>
  <c r="Y967" i="2"/>
  <c r="S967" i="2"/>
  <c r="O967" i="2"/>
  <c r="P967" i="2" s="1"/>
  <c r="AA966" i="2"/>
  <c r="Z966" i="2"/>
  <c r="Y966" i="2"/>
  <c r="S966" i="2"/>
  <c r="O966" i="2"/>
  <c r="P966" i="2" s="1"/>
  <c r="AA965" i="2"/>
  <c r="Z965" i="2"/>
  <c r="Y965" i="2"/>
  <c r="S965" i="2"/>
  <c r="O965" i="2"/>
  <c r="P965" i="2" s="1"/>
  <c r="AA964" i="2"/>
  <c r="Z964" i="2"/>
  <c r="Y964" i="2"/>
  <c r="S964" i="2"/>
  <c r="O964" i="2"/>
  <c r="P964" i="2" s="1"/>
  <c r="AA963" i="2"/>
  <c r="Z963" i="2"/>
  <c r="Y963" i="2"/>
  <c r="S963" i="2"/>
  <c r="O963" i="2"/>
  <c r="P963" i="2" s="1"/>
  <c r="AA962" i="2"/>
  <c r="Z962" i="2"/>
  <c r="Y962" i="2"/>
  <c r="S962" i="2"/>
  <c r="O962" i="2"/>
  <c r="P962" i="2" s="1"/>
  <c r="AA961" i="2"/>
  <c r="Z961" i="2"/>
  <c r="Y961" i="2"/>
  <c r="S961" i="2"/>
  <c r="O961" i="2"/>
  <c r="P961" i="2" s="1"/>
  <c r="AA960" i="2"/>
  <c r="Z960" i="2"/>
  <c r="Y960" i="2"/>
  <c r="S960" i="2"/>
  <c r="O960" i="2"/>
  <c r="P960" i="2" s="1"/>
  <c r="AA959" i="2"/>
  <c r="Z959" i="2"/>
  <c r="Y959" i="2"/>
  <c r="S959" i="2"/>
  <c r="O959" i="2"/>
  <c r="P959" i="2" s="1"/>
  <c r="AA958" i="2"/>
  <c r="Z958" i="2"/>
  <c r="Y958" i="2"/>
  <c r="S958" i="2"/>
  <c r="O958" i="2"/>
  <c r="P958" i="2" s="1"/>
  <c r="AA957" i="2"/>
  <c r="Z957" i="2"/>
  <c r="Y957" i="2"/>
  <c r="S957" i="2"/>
  <c r="O957" i="2"/>
  <c r="P957" i="2" s="1"/>
  <c r="AA956" i="2"/>
  <c r="Z956" i="2"/>
  <c r="Y956" i="2"/>
  <c r="S956" i="2"/>
  <c r="O956" i="2"/>
  <c r="P956" i="2" s="1"/>
  <c r="AA955" i="2"/>
  <c r="Z955" i="2"/>
  <c r="Y955" i="2"/>
  <c r="S955" i="2"/>
  <c r="O955" i="2"/>
  <c r="P955" i="2" s="1"/>
  <c r="AA954" i="2"/>
  <c r="Z954" i="2"/>
  <c r="Y954" i="2"/>
  <c r="S954" i="2"/>
  <c r="O954" i="2"/>
  <c r="P954" i="2" s="1"/>
  <c r="AA953" i="2"/>
  <c r="Z953" i="2"/>
  <c r="Y953" i="2"/>
  <c r="S953" i="2"/>
  <c r="O953" i="2"/>
  <c r="P953" i="2" s="1"/>
  <c r="AA952" i="2"/>
  <c r="Z952" i="2"/>
  <c r="Y952" i="2"/>
  <c r="S952" i="2"/>
  <c r="O952" i="2"/>
  <c r="P952" i="2" s="1"/>
  <c r="AA951" i="2"/>
  <c r="Z951" i="2"/>
  <c r="Y951" i="2"/>
  <c r="S951" i="2"/>
  <c r="O951" i="2"/>
  <c r="P951" i="2" s="1"/>
  <c r="AA950" i="2"/>
  <c r="Z950" i="2"/>
  <c r="Y950" i="2"/>
  <c r="S950" i="2"/>
  <c r="O950" i="2"/>
  <c r="P950" i="2" s="1"/>
  <c r="AA949" i="2"/>
  <c r="Z949" i="2"/>
  <c r="Y949" i="2"/>
  <c r="S949" i="2"/>
  <c r="O949" i="2"/>
  <c r="P949" i="2" s="1"/>
  <c r="AA948" i="2"/>
  <c r="Z948" i="2"/>
  <c r="Y948" i="2"/>
  <c r="S948" i="2"/>
  <c r="O948" i="2"/>
  <c r="P948" i="2" s="1"/>
  <c r="AA947" i="2"/>
  <c r="Z947" i="2"/>
  <c r="Y947" i="2"/>
  <c r="S947" i="2"/>
  <c r="O947" i="2"/>
  <c r="P947" i="2" s="1"/>
  <c r="AA946" i="2"/>
  <c r="Z946" i="2"/>
  <c r="Y946" i="2"/>
  <c r="S946" i="2"/>
  <c r="O946" i="2"/>
  <c r="P946" i="2" s="1"/>
  <c r="AA945" i="2"/>
  <c r="Z945" i="2"/>
  <c r="Y945" i="2"/>
  <c r="S945" i="2"/>
  <c r="O945" i="2"/>
  <c r="P945" i="2" s="1"/>
  <c r="AA944" i="2"/>
  <c r="Z944" i="2"/>
  <c r="Y944" i="2"/>
  <c r="S944" i="2"/>
  <c r="O944" i="2"/>
  <c r="P944" i="2" s="1"/>
  <c r="AA943" i="2"/>
  <c r="Z943" i="2"/>
  <c r="Y943" i="2"/>
  <c r="S943" i="2"/>
  <c r="O943" i="2"/>
  <c r="P943" i="2" s="1"/>
  <c r="AA942" i="2"/>
  <c r="Z942" i="2"/>
  <c r="Y942" i="2"/>
  <c r="S942" i="2"/>
  <c r="O942" i="2"/>
  <c r="P942" i="2" s="1"/>
  <c r="AA941" i="2"/>
  <c r="Z941" i="2"/>
  <c r="Y941" i="2"/>
  <c r="S941" i="2"/>
  <c r="O941" i="2"/>
  <c r="P941" i="2" s="1"/>
  <c r="AA940" i="2"/>
  <c r="Z940" i="2"/>
  <c r="Y940" i="2"/>
  <c r="S940" i="2"/>
  <c r="O940" i="2"/>
  <c r="P940" i="2" s="1"/>
  <c r="AA939" i="2"/>
  <c r="Z939" i="2"/>
  <c r="Y939" i="2"/>
  <c r="S939" i="2"/>
  <c r="O939" i="2"/>
  <c r="P939" i="2" s="1"/>
  <c r="AA938" i="2"/>
  <c r="Z938" i="2"/>
  <c r="Y938" i="2"/>
  <c r="S938" i="2"/>
  <c r="O938" i="2"/>
  <c r="P938" i="2" s="1"/>
  <c r="AA937" i="2"/>
  <c r="Z937" i="2"/>
  <c r="Y937" i="2"/>
  <c r="S937" i="2"/>
  <c r="O937" i="2"/>
  <c r="P937" i="2" s="1"/>
  <c r="AA936" i="2"/>
  <c r="Z936" i="2"/>
  <c r="Y936" i="2"/>
  <c r="S936" i="2"/>
  <c r="O936" i="2"/>
  <c r="P936" i="2" s="1"/>
  <c r="AA935" i="2"/>
  <c r="Z935" i="2"/>
  <c r="Y935" i="2"/>
  <c r="S935" i="2"/>
  <c r="O935" i="2"/>
  <c r="P935" i="2" s="1"/>
  <c r="AA934" i="2"/>
  <c r="Z934" i="2"/>
  <c r="Y934" i="2"/>
  <c r="S934" i="2"/>
  <c r="O934" i="2"/>
  <c r="P934" i="2" s="1"/>
  <c r="AA933" i="2"/>
  <c r="Z933" i="2"/>
  <c r="Y933" i="2"/>
  <c r="S933" i="2"/>
  <c r="O933" i="2"/>
  <c r="P933" i="2" s="1"/>
  <c r="AA932" i="2"/>
  <c r="Z932" i="2"/>
  <c r="Y932" i="2"/>
  <c r="S932" i="2"/>
  <c r="O932" i="2"/>
  <c r="P932" i="2" s="1"/>
  <c r="AA931" i="2"/>
  <c r="Z931" i="2"/>
  <c r="Y931" i="2"/>
  <c r="S931" i="2"/>
  <c r="O931" i="2"/>
  <c r="P931" i="2" s="1"/>
  <c r="AA930" i="2"/>
  <c r="Z930" i="2"/>
  <c r="Y930" i="2"/>
  <c r="S930" i="2"/>
  <c r="O930" i="2"/>
  <c r="P930" i="2" s="1"/>
  <c r="AA929" i="2"/>
  <c r="Z929" i="2"/>
  <c r="Y929" i="2"/>
  <c r="S929" i="2"/>
  <c r="O929" i="2"/>
  <c r="P929" i="2" s="1"/>
  <c r="AA928" i="2"/>
  <c r="Z928" i="2"/>
  <c r="Y928" i="2"/>
  <c r="S928" i="2"/>
  <c r="O928" i="2"/>
  <c r="P928" i="2" s="1"/>
  <c r="AA927" i="2"/>
  <c r="Z927" i="2"/>
  <c r="Y927" i="2"/>
  <c r="S927" i="2"/>
  <c r="O927" i="2"/>
  <c r="P927" i="2" s="1"/>
  <c r="AA926" i="2"/>
  <c r="Z926" i="2"/>
  <c r="Y926" i="2"/>
  <c r="S926" i="2"/>
  <c r="O926" i="2"/>
  <c r="P926" i="2" s="1"/>
  <c r="AA925" i="2"/>
  <c r="Z925" i="2"/>
  <c r="Y925" i="2"/>
  <c r="S925" i="2"/>
  <c r="O925" i="2"/>
  <c r="P925" i="2" s="1"/>
  <c r="AA924" i="2"/>
  <c r="Z924" i="2"/>
  <c r="Y924" i="2"/>
  <c r="S924" i="2"/>
  <c r="O924" i="2"/>
  <c r="P924" i="2" s="1"/>
  <c r="AA923" i="2"/>
  <c r="Z923" i="2"/>
  <c r="Y923" i="2"/>
  <c r="S923" i="2"/>
  <c r="O923" i="2"/>
  <c r="P923" i="2" s="1"/>
  <c r="AA922" i="2"/>
  <c r="Z922" i="2"/>
  <c r="Y922" i="2"/>
  <c r="S922" i="2"/>
  <c r="O922" i="2"/>
  <c r="P922" i="2" s="1"/>
  <c r="AA921" i="2"/>
  <c r="Z921" i="2"/>
  <c r="Y921" i="2"/>
  <c r="S921" i="2"/>
  <c r="O921" i="2"/>
  <c r="P921" i="2" s="1"/>
  <c r="AA920" i="2"/>
  <c r="Z920" i="2"/>
  <c r="Y920" i="2"/>
  <c r="S920" i="2"/>
  <c r="O920" i="2"/>
  <c r="P920" i="2" s="1"/>
  <c r="AA919" i="2"/>
  <c r="Z919" i="2"/>
  <c r="Y919" i="2"/>
  <c r="S919" i="2"/>
  <c r="O919" i="2"/>
  <c r="P919" i="2" s="1"/>
  <c r="AA918" i="2"/>
  <c r="Z918" i="2"/>
  <c r="Y918" i="2"/>
  <c r="S918" i="2"/>
  <c r="O918" i="2"/>
  <c r="P918" i="2" s="1"/>
  <c r="AA917" i="2"/>
  <c r="Z917" i="2"/>
  <c r="Y917" i="2"/>
  <c r="S917" i="2"/>
  <c r="O917" i="2"/>
  <c r="P917" i="2" s="1"/>
  <c r="AA916" i="2"/>
  <c r="Z916" i="2"/>
  <c r="Y916" i="2"/>
  <c r="S916" i="2"/>
  <c r="O916" i="2"/>
  <c r="P916" i="2" s="1"/>
  <c r="AA915" i="2"/>
  <c r="Z915" i="2"/>
  <c r="Y915" i="2"/>
  <c r="S915" i="2"/>
  <c r="O915" i="2"/>
  <c r="P915" i="2" s="1"/>
  <c r="AA914" i="2"/>
  <c r="Z914" i="2"/>
  <c r="Y914" i="2"/>
  <c r="S914" i="2"/>
  <c r="O914" i="2"/>
  <c r="P914" i="2" s="1"/>
  <c r="AA913" i="2"/>
  <c r="Z913" i="2"/>
  <c r="Y913" i="2"/>
  <c r="S913" i="2"/>
  <c r="O913" i="2"/>
  <c r="P913" i="2" s="1"/>
  <c r="AA912" i="2"/>
  <c r="Z912" i="2"/>
  <c r="Y912" i="2"/>
  <c r="S912" i="2"/>
  <c r="O912" i="2"/>
  <c r="P912" i="2" s="1"/>
  <c r="AA911" i="2"/>
  <c r="Z911" i="2"/>
  <c r="Y911" i="2"/>
  <c r="S911" i="2"/>
  <c r="O911" i="2"/>
  <c r="P911" i="2" s="1"/>
  <c r="AA910" i="2"/>
  <c r="Z910" i="2"/>
  <c r="Y910" i="2"/>
  <c r="S910" i="2"/>
  <c r="O910" i="2"/>
  <c r="P910" i="2" s="1"/>
  <c r="AA909" i="2"/>
  <c r="Z909" i="2"/>
  <c r="Y909" i="2"/>
  <c r="S909" i="2"/>
  <c r="O909" i="2"/>
  <c r="P909" i="2" s="1"/>
  <c r="AA908" i="2"/>
  <c r="Z908" i="2"/>
  <c r="Y908" i="2"/>
  <c r="S908" i="2"/>
  <c r="O908" i="2"/>
  <c r="P908" i="2" s="1"/>
  <c r="AA907" i="2"/>
  <c r="Z907" i="2"/>
  <c r="Y907" i="2"/>
  <c r="S907" i="2"/>
  <c r="O907" i="2"/>
  <c r="P907" i="2" s="1"/>
  <c r="AA906" i="2"/>
  <c r="Z906" i="2"/>
  <c r="Y906" i="2"/>
  <c r="S906" i="2"/>
  <c r="O906" i="2"/>
  <c r="P906" i="2" s="1"/>
  <c r="AA905" i="2"/>
  <c r="Z905" i="2"/>
  <c r="Y905" i="2"/>
  <c r="S905" i="2"/>
  <c r="O905" i="2"/>
  <c r="P905" i="2" s="1"/>
  <c r="AA904" i="2"/>
  <c r="Z904" i="2"/>
  <c r="Y904" i="2"/>
  <c r="S904" i="2"/>
  <c r="O904" i="2"/>
  <c r="P904" i="2" s="1"/>
  <c r="AA903" i="2"/>
  <c r="Z903" i="2"/>
  <c r="Y903" i="2"/>
  <c r="S903" i="2"/>
  <c r="O903" i="2"/>
  <c r="P903" i="2" s="1"/>
  <c r="AA902" i="2"/>
  <c r="Z902" i="2"/>
  <c r="Y902" i="2"/>
  <c r="S902" i="2"/>
  <c r="O902" i="2"/>
  <c r="P902" i="2" s="1"/>
  <c r="AA901" i="2"/>
  <c r="Z901" i="2"/>
  <c r="Y901" i="2"/>
  <c r="S901" i="2"/>
  <c r="O901" i="2"/>
  <c r="P901" i="2" s="1"/>
  <c r="AA900" i="2"/>
  <c r="Z900" i="2"/>
  <c r="Y900" i="2"/>
  <c r="S900" i="2"/>
  <c r="O900" i="2"/>
  <c r="P900" i="2" s="1"/>
  <c r="AA899" i="2"/>
  <c r="Z899" i="2"/>
  <c r="Y899" i="2"/>
  <c r="S899" i="2"/>
  <c r="O899" i="2"/>
  <c r="P899" i="2" s="1"/>
  <c r="AA898" i="2"/>
  <c r="Z898" i="2"/>
  <c r="Y898" i="2"/>
  <c r="S898" i="2"/>
  <c r="O898" i="2"/>
  <c r="P898" i="2" s="1"/>
  <c r="AA897" i="2"/>
  <c r="Z897" i="2"/>
  <c r="Y897" i="2"/>
  <c r="S897" i="2"/>
  <c r="O897" i="2"/>
  <c r="P897" i="2" s="1"/>
  <c r="AA896" i="2"/>
  <c r="Z896" i="2"/>
  <c r="Y896" i="2"/>
  <c r="S896" i="2"/>
  <c r="O896" i="2"/>
  <c r="P896" i="2" s="1"/>
  <c r="AA895" i="2"/>
  <c r="Z895" i="2"/>
  <c r="Y895" i="2"/>
  <c r="S895" i="2"/>
  <c r="O895" i="2"/>
  <c r="P895" i="2" s="1"/>
  <c r="AA894" i="2"/>
  <c r="Z894" i="2"/>
  <c r="Y894" i="2"/>
  <c r="S894" i="2"/>
  <c r="O894" i="2"/>
  <c r="P894" i="2" s="1"/>
  <c r="AA893" i="2"/>
  <c r="Z893" i="2"/>
  <c r="Y893" i="2"/>
  <c r="S893" i="2"/>
  <c r="O893" i="2"/>
  <c r="P893" i="2" s="1"/>
  <c r="AA892" i="2"/>
  <c r="Z892" i="2"/>
  <c r="Y892" i="2"/>
  <c r="S892" i="2"/>
  <c r="O892" i="2"/>
  <c r="P892" i="2" s="1"/>
  <c r="AA891" i="2"/>
  <c r="Z891" i="2"/>
  <c r="Y891" i="2"/>
  <c r="S891" i="2"/>
  <c r="O891" i="2"/>
  <c r="P891" i="2" s="1"/>
  <c r="AA890" i="2"/>
  <c r="Z890" i="2"/>
  <c r="Y890" i="2"/>
  <c r="S890" i="2"/>
  <c r="O890" i="2"/>
  <c r="P890" i="2" s="1"/>
  <c r="AA889" i="2"/>
  <c r="Z889" i="2"/>
  <c r="Y889" i="2"/>
  <c r="S889" i="2"/>
  <c r="O889" i="2"/>
  <c r="P889" i="2" s="1"/>
  <c r="AA888" i="2"/>
  <c r="Z888" i="2"/>
  <c r="Y888" i="2"/>
  <c r="S888" i="2"/>
  <c r="O888" i="2"/>
  <c r="P888" i="2" s="1"/>
  <c r="AA887" i="2"/>
  <c r="Z887" i="2"/>
  <c r="Y887" i="2"/>
  <c r="S887" i="2"/>
  <c r="O887" i="2"/>
  <c r="P887" i="2" s="1"/>
  <c r="AA886" i="2"/>
  <c r="Z886" i="2"/>
  <c r="Y886" i="2"/>
  <c r="S886" i="2"/>
  <c r="O886" i="2"/>
  <c r="P886" i="2" s="1"/>
  <c r="AA885" i="2"/>
  <c r="Z885" i="2"/>
  <c r="Y885" i="2"/>
  <c r="S885" i="2"/>
  <c r="O885" i="2"/>
  <c r="P885" i="2" s="1"/>
  <c r="AA884" i="2"/>
  <c r="Z884" i="2"/>
  <c r="Y884" i="2"/>
  <c r="S884" i="2"/>
  <c r="O884" i="2"/>
  <c r="P884" i="2" s="1"/>
  <c r="AA883" i="2"/>
  <c r="Z883" i="2"/>
  <c r="Y883" i="2"/>
  <c r="S883" i="2"/>
  <c r="O883" i="2"/>
  <c r="P883" i="2" s="1"/>
  <c r="AA882" i="2"/>
  <c r="Z882" i="2"/>
  <c r="Y882" i="2"/>
  <c r="S882" i="2"/>
  <c r="O882" i="2"/>
  <c r="P882" i="2" s="1"/>
  <c r="AA881" i="2"/>
  <c r="Z881" i="2"/>
  <c r="Y881" i="2"/>
  <c r="S881" i="2"/>
  <c r="O881" i="2"/>
  <c r="P881" i="2" s="1"/>
  <c r="AA880" i="2"/>
  <c r="Z880" i="2"/>
  <c r="Y880" i="2"/>
  <c r="S880" i="2"/>
  <c r="O880" i="2"/>
  <c r="P880" i="2" s="1"/>
  <c r="AA879" i="2"/>
  <c r="Z879" i="2"/>
  <c r="Y879" i="2"/>
  <c r="S879" i="2"/>
  <c r="O879" i="2"/>
  <c r="P879" i="2" s="1"/>
  <c r="AA878" i="2"/>
  <c r="Z878" i="2"/>
  <c r="Y878" i="2"/>
  <c r="S878" i="2"/>
  <c r="O878" i="2"/>
  <c r="P878" i="2" s="1"/>
  <c r="AA877" i="2"/>
  <c r="Z877" i="2"/>
  <c r="Y877" i="2"/>
  <c r="S877" i="2"/>
  <c r="O877" i="2"/>
  <c r="P877" i="2" s="1"/>
  <c r="AA876" i="2"/>
  <c r="Z876" i="2"/>
  <c r="Y876" i="2"/>
  <c r="S876" i="2"/>
  <c r="O876" i="2"/>
  <c r="P876" i="2" s="1"/>
  <c r="AA875" i="2"/>
  <c r="Z875" i="2"/>
  <c r="Y875" i="2"/>
  <c r="S875" i="2"/>
  <c r="O875" i="2"/>
  <c r="P875" i="2" s="1"/>
  <c r="AA874" i="2"/>
  <c r="Z874" i="2"/>
  <c r="Y874" i="2"/>
  <c r="S874" i="2"/>
  <c r="O874" i="2"/>
  <c r="P874" i="2" s="1"/>
  <c r="AA873" i="2"/>
  <c r="Z873" i="2"/>
  <c r="Y873" i="2"/>
  <c r="S873" i="2"/>
  <c r="O873" i="2"/>
  <c r="P873" i="2" s="1"/>
  <c r="AA872" i="2"/>
  <c r="Z872" i="2"/>
  <c r="Y872" i="2"/>
  <c r="S872" i="2"/>
  <c r="O872" i="2"/>
  <c r="P872" i="2" s="1"/>
  <c r="AA871" i="2"/>
  <c r="Z871" i="2"/>
  <c r="Y871" i="2"/>
  <c r="S871" i="2"/>
  <c r="O871" i="2"/>
  <c r="P871" i="2" s="1"/>
  <c r="AA870" i="2"/>
  <c r="Z870" i="2"/>
  <c r="Y870" i="2"/>
  <c r="S870" i="2"/>
  <c r="O870" i="2"/>
  <c r="P870" i="2" s="1"/>
  <c r="AA869" i="2"/>
  <c r="Z869" i="2"/>
  <c r="Y869" i="2"/>
  <c r="S869" i="2"/>
  <c r="O869" i="2"/>
  <c r="P869" i="2" s="1"/>
  <c r="AA868" i="2"/>
  <c r="Z868" i="2"/>
  <c r="Y868" i="2"/>
  <c r="S868" i="2"/>
  <c r="O868" i="2"/>
  <c r="P868" i="2" s="1"/>
  <c r="AA867" i="2"/>
  <c r="Z867" i="2"/>
  <c r="Y867" i="2"/>
  <c r="S867" i="2"/>
  <c r="O867" i="2"/>
  <c r="P867" i="2" s="1"/>
  <c r="AA866" i="2"/>
  <c r="Z866" i="2"/>
  <c r="Y866" i="2"/>
  <c r="S866" i="2"/>
  <c r="O866" i="2"/>
  <c r="P866" i="2" s="1"/>
  <c r="AA865" i="2"/>
  <c r="Z865" i="2"/>
  <c r="Y865" i="2"/>
  <c r="S865" i="2"/>
  <c r="O865" i="2"/>
  <c r="P865" i="2" s="1"/>
  <c r="AA864" i="2"/>
  <c r="Z864" i="2"/>
  <c r="Y864" i="2"/>
  <c r="S864" i="2"/>
  <c r="O864" i="2"/>
  <c r="P864" i="2" s="1"/>
  <c r="AA863" i="2"/>
  <c r="Z863" i="2"/>
  <c r="Y863" i="2"/>
  <c r="S863" i="2"/>
  <c r="O863" i="2"/>
  <c r="P863" i="2" s="1"/>
  <c r="AA862" i="2"/>
  <c r="Z862" i="2"/>
  <c r="Y862" i="2"/>
  <c r="S862" i="2"/>
  <c r="O862" i="2"/>
  <c r="P862" i="2" s="1"/>
  <c r="AA861" i="2"/>
  <c r="Z861" i="2"/>
  <c r="Y861" i="2"/>
  <c r="S861" i="2"/>
  <c r="O861" i="2"/>
  <c r="P861" i="2" s="1"/>
  <c r="AA860" i="2"/>
  <c r="Z860" i="2"/>
  <c r="Y860" i="2"/>
  <c r="S860" i="2"/>
  <c r="O860" i="2"/>
  <c r="P860" i="2" s="1"/>
  <c r="AA859" i="2"/>
  <c r="Z859" i="2"/>
  <c r="Y859" i="2"/>
  <c r="S859" i="2"/>
  <c r="O859" i="2"/>
  <c r="P859" i="2" s="1"/>
  <c r="AA858" i="2"/>
  <c r="Z858" i="2"/>
  <c r="Y858" i="2"/>
  <c r="S858" i="2"/>
  <c r="O858" i="2"/>
  <c r="P858" i="2" s="1"/>
  <c r="AA857" i="2"/>
  <c r="Z857" i="2"/>
  <c r="Y857" i="2"/>
  <c r="S857" i="2"/>
  <c r="O857" i="2"/>
  <c r="P857" i="2" s="1"/>
  <c r="AA856" i="2"/>
  <c r="Z856" i="2"/>
  <c r="Y856" i="2"/>
  <c r="S856" i="2"/>
  <c r="O856" i="2"/>
  <c r="P856" i="2" s="1"/>
  <c r="AA855" i="2"/>
  <c r="Z855" i="2"/>
  <c r="Y855" i="2"/>
  <c r="S855" i="2"/>
  <c r="O855" i="2"/>
  <c r="P855" i="2" s="1"/>
  <c r="AA854" i="2"/>
  <c r="Z854" i="2"/>
  <c r="Y854" i="2"/>
  <c r="S854" i="2"/>
  <c r="O854" i="2"/>
  <c r="P854" i="2" s="1"/>
  <c r="AA853" i="2"/>
  <c r="Z853" i="2"/>
  <c r="Y853" i="2"/>
  <c r="S853" i="2"/>
  <c r="O853" i="2"/>
  <c r="P853" i="2" s="1"/>
  <c r="AA852" i="2"/>
  <c r="Z852" i="2"/>
  <c r="Y852" i="2"/>
  <c r="S852" i="2"/>
  <c r="O852" i="2"/>
  <c r="P852" i="2" s="1"/>
  <c r="AA851" i="2"/>
  <c r="Z851" i="2"/>
  <c r="Y851" i="2"/>
  <c r="S851" i="2"/>
  <c r="O851" i="2"/>
  <c r="P851" i="2" s="1"/>
  <c r="AA850" i="2"/>
  <c r="Z850" i="2"/>
  <c r="Y850" i="2"/>
  <c r="S850" i="2"/>
  <c r="O850" i="2"/>
  <c r="P850" i="2" s="1"/>
  <c r="AA849" i="2"/>
  <c r="Z849" i="2"/>
  <c r="Y849" i="2"/>
  <c r="S849" i="2"/>
  <c r="O849" i="2"/>
  <c r="P849" i="2" s="1"/>
  <c r="AA848" i="2"/>
  <c r="Z848" i="2"/>
  <c r="Y848" i="2"/>
  <c r="S848" i="2"/>
  <c r="O848" i="2"/>
  <c r="P848" i="2" s="1"/>
  <c r="AA847" i="2"/>
  <c r="Z847" i="2"/>
  <c r="Y847" i="2"/>
  <c r="S847" i="2"/>
  <c r="O847" i="2"/>
  <c r="P847" i="2" s="1"/>
  <c r="AA846" i="2"/>
  <c r="Z846" i="2"/>
  <c r="Y846" i="2"/>
  <c r="S846" i="2"/>
  <c r="O846" i="2"/>
  <c r="P846" i="2" s="1"/>
  <c r="AA845" i="2"/>
  <c r="Z845" i="2"/>
  <c r="Y845" i="2"/>
  <c r="S845" i="2"/>
  <c r="O845" i="2"/>
  <c r="P845" i="2" s="1"/>
  <c r="AA844" i="2"/>
  <c r="Z844" i="2"/>
  <c r="Y844" i="2"/>
  <c r="S844" i="2"/>
  <c r="O844" i="2"/>
  <c r="P844" i="2" s="1"/>
  <c r="AA843" i="2"/>
  <c r="Z843" i="2"/>
  <c r="Y843" i="2"/>
  <c r="S843" i="2"/>
  <c r="P843" i="2"/>
  <c r="O843" i="2"/>
  <c r="AA842" i="2"/>
  <c r="Z842" i="2"/>
  <c r="Y842" i="2"/>
  <c r="S842" i="2"/>
  <c r="O842" i="2"/>
  <c r="P842" i="2" s="1"/>
  <c r="AA841" i="2"/>
  <c r="Z841" i="2"/>
  <c r="Y841" i="2"/>
  <c r="S841" i="2"/>
  <c r="O841" i="2"/>
  <c r="P841" i="2" s="1"/>
  <c r="AA840" i="2"/>
  <c r="Z840" i="2"/>
  <c r="Y840" i="2"/>
  <c r="S840" i="2"/>
  <c r="O840" i="2"/>
  <c r="P840" i="2" s="1"/>
  <c r="AA839" i="2"/>
  <c r="Z839" i="2"/>
  <c r="Y839" i="2"/>
  <c r="S839" i="2"/>
  <c r="O839" i="2"/>
  <c r="P839" i="2" s="1"/>
  <c r="AA838" i="2"/>
  <c r="Z838" i="2"/>
  <c r="Y838" i="2"/>
  <c r="S838" i="2"/>
  <c r="O838" i="2"/>
  <c r="P838" i="2" s="1"/>
  <c r="AA837" i="2"/>
  <c r="Z837" i="2"/>
  <c r="Y837" i="2"/>
  <c r="S837" i="2"/>
  <c r="O837" i="2"/>
  <c r="P837" i="2" s="1"/>
  <c r="AA836" i="2"/>
  <c r="Z836" i="2"/>
  <c r="Y836" i="2"/>
  <c r="S836" i="2"/>
  <c r="O836" i="2"/>
  <c r="P836" i="2" s="1"/>
  <c r="AA835" i="2"/>
  <c r="Z835" i="2"/>
  <c r="Y835" i="2"/>
  <c r="S835" i="2"/>
  <c r="O835" i="2"/>
  <c r="P835" i="2" s="1"/>
  <c r="AA834" i="2"/>
  <c r="Z834" i="2"/>
  <c r="Y834" i="2"/>
  <c r="S834" i="2"/>
  <c r="O834" i="2"/>
  <c r="P834" i="2" s="1"/>
  <c r="AA833" i="2"/>
  <c r="Z833" i="2"/>
  <c r="Y833" i="2"/>
  <c r="S833" i="2"/>
  <c r="O833" i="2"/>
  <c r="P833" i="2" s="1"/>
  <c r="AA832" i="2"/>
  <c r="Z832" i="2"/>
  <c r="Y832" i="2"/>
  <c r="S832" i="2"/>
  <c r="O832" i="2"/>
  <c r="P832" i="2" s="1"/>
  <c r="AA831" i="2"/>
  <c r="Z831" i="2"/>
  <c r="Y831" i="2"/>
  <c r="S831" i="2"/>
  <c r="O831" i="2"/>
  <c r="P831" i="2" s="1"/>
  <c r="AA830" i="2"/>
  <c r="Z830" i="2"/>
  <c r="Y830" i="2"/>
  <c r="S830" i="2"/>
  <c r="O830" i="2"/>
  <c r="P830" i="2" s="1"/>
  <c r="AA829" i="2"/>
  <c r="Z829" i="2"/>
  <c r="Y829" i="2"/>
  <c r="S829" i="2"/>
  <c r="O829" i="2"/>
  <c r="P829" i="2" s="1"/>
  <c r="AA828" i="2"/>
  <c r="Z828" i="2"/>
  <c r="Y828" i="2"/>
  <c r="S828" i="2"/>
  <c r="O828" i="2"/>
  <c r="P828" i="2" s="1"/>
  <c r="AA827" i="2"/>
  <c r="Z827" i="2"/>
  <c r="Y827" i="2"/>
  <c r="S827" i="2"/>
  <c r="O827" i="2"/>
  <c r="P827" i="2" s="1"/>
  <c r="AA826" i="2"/>
  <c r="Z826" i="2"/>
  <c r="Y826" i="2"/>
  <c r="S826" i="2"/>
  <c r="O826" i="2"/>
  <c r="P826" i="2" s="1"/>
  <c r="AA825" i="2"/>
  <c r="Z825" i="2"/>
  <c r="Y825" i="2"/>
  <c r="S825" i="2"/>
  <c r="O825" i="2"/>
  <c r="P825" i="2" s="1"/>
  <c r="AA824" i="2"/>
  <c r="Z824" i="2"/>
  <c r="Y824" i="2"/>
  <c r="S824" i="2"/>
  <c r="O824" i="2"/>
  <c r="P824" i="2" s="1"/>
  <c r="AA823" i="2"/>
  <c r="Z823" i="2"/>
  <c r="Y823" i="2"/>
  <c r="S823" i="2"/>
  <c r="O823" i="2"/>
  <c r="P823" i="2" s="1"/>
  <c r="AA822" i="2"/>
  <c r="Z822" i="2"/>
  <c r="Y822" i="2"/>
  <c r="S822" i="2"/>
  <c r="O822" i="2"/>
  <c r="P822" i="2" s="1"/>
  <c r="AA821" i="2"/>
  <c r="Z821" i="2"/>
  <c r="Y821" i="2"/>
  <c r="S821" i="2"/>
  <c r="O821" i="2"/>
  <c r="P821" i="2" s="1"/>
  <c r="AA820" i="2"/>
  <c r="Z820" i="2"/>
  <c r="Y820" i="2"/>
  <c r="S820" i="2"/>
  <c r="O820" i="2"/>
  <c r="P820" i="2" s="1"/>
  <c r="AA819" i="2"/>
  <c r="Z819" i="2"/>
  <c r="Y819" i="2"/>
  <c r="S819" i="2"/>
  <c r="O819" i="2"/>
  <c r="P819" i="2" s="1"/>
  <c r="AA818" i="2"/>
  <c r="Z818" i="2"/>
  <c r="Y818" i="2"/>
  <c r="S818" i="2"/>
  <c r="O818" i="2"/>
  <c r="P818" i="2" s="1"/>
  <c r="AA817" i="2"/>
  <c r="Z817" i="2"/>
  <c r="Y817" i="2"/>
  <c r="S817" i="2"/>
  <c r="O817" i="2"/>
  <c r="P817" i="2" s="1"/>
  <c r="AA816" i="2"/>
  <c r="Z816" i="2"/>
  <c r="Y816" i="2"/>
  <c r="S816" i="2"/>
  <c r="O816" i="2"/>
  <c r="P816" i="2" s="1"/>
  <c r="AA815" i="2"/>
  <c r="Z815" i="2"/>
  <c r="Y815" i="2"/>
  <c r="S815" i="2"/>
  <c r="O815" i="2"/>
  <c r="P815" i="2" s="1"/>
  <c r="AA814" i="2"/>
  <c r="Z814" i="2"/>
  <c r="Y814" i="2"/>
  <c r="S814" i="2"/>
  <c r="O814" i="2"/>
  <c r="P814" i="2" s="1"/>
  <c r="AA813" i="2"/>
  <c r="Z813" i="2"/>
  <c r="Y813" i="2"/>
  <c r="S813" i="2"/>
  <c r="O813" i="2"/>
  <c r="P813" i="2" s="1"/>
  <c r="AA812" i="2"/>
  <c r="Z812" i="2"/>
  <c r="Y812" i="2"/>
  <c r="S812" i="2"/>
  <c r="O812" i="2"/>
  <c r="P812" i="2" s="1"/>
  <c r="AA811" i="2"/>
  <c r="Z811" i="2"/>
  <c r="Y811" i="2"/>
  <c r="S811" i="2"/>
  <c r="O811" i="2"/>
  <c r="P811" i="2" s="1"/>
  <c r="AA810" i="2"/>
  <c r="Z810" i="2"/>
  <c r="Y810" i="2"/>
  <c r="S810" i="2"/>
  <c r="O810" i="2"/>
  <c r="P810" i="2" s="1"/>
  <c r="AA809" i="2"/>
  <c r="Z809" i="2"/>
  <c r="Y809" i="2"/>
  <c r="S809" i="2"/>
  <c r="O809" i="2"/>
  <c r="P809" i="2" s="1"/>
  <c r="AA808" i="2"/>
  <c r="Z808" i="2"/>
  <c r="Y808" i="2"/>
  <c r="S808" i="2"/>
  <c r="O808" i="2"/>
  <c r="P808" i="2" s="1"/>
  <c r="AA807" i="2"/>
  <c r="Z807" i="2"/>
  <c r="Y807" i="2"/>
  <c r="S807" i="2"/>
  <c r="O807" i="2"/>
  <c r="P807" i="2" s="1"/>
  <c r="AA806" i="2"/>
  <c r="Z806" i="2"/>
  <c r="Y806" i="2"/>
  <c r="S806" i="2"/>
  <c r="O806" i="2"/>
  <c r="P806" i="2" s="1"/>
  <c r="AA805" i="2"/>
  <c r="Z805" i="2"/>
  <c r="Y805" i="2"/>
  <c r="S805" i="2"/>
  <c r="O805" i="2"/>
  <c r="P805" i="2" s="1"/>
  <c r="AA804" i="2"/>
  <c r="Z804" i="2"/>
  <c r="Y804" i="2"/>
  <c r="S804" i="2"/>
  <c r="O804" i="2"/>
  <c r="P804" i="2" s="1"/>
  <c r="AA803" i="2"/>
  <c r="Z803" i="2"/>
  <c r="Y803" i="2"/>
  <c r="S803" i="2"/>
  <c r="O803" i="2"/>
  <c r="P803" i="2" s="1"/>
  <c r="AA802" i="2"/>
  <c r="Z802" i="2"/>
  <c r="Y802" i="2"/>
  <c r="S802" i="2"/>
  <c r="O802" i="2"/>
  <c r="P802" i="2" s="1"/>
  <c r="AA801" i="2"/>
  <c r="Z801" i="2"/>
  <c r="Y801" i="2"/>
  <c r="S801" i="2"/>
  <c r="O801" i="2"/>
  <c r="P801" i="2" s="1"/>
  <c r="AA800" i="2"/>
  <c r="Z800" i="2"/>
  <c r="Y800" i="2"/>
  <c r="S800" i="2"/>
  <c r="O800" i="2"/>
  <c r="P800" i="2" s="1"/>
  <c r="AA799" i="2"/>
  <c r="Z799" i="2"/>
  <c r="Y799" i="2"/>
  <c r="S799" i="2"/>
  <c r="O799" i="2"/>
  <c r="P799" i="2" s="1"/>
  <c r="AA798" i="2"/>
  <c r="Z798" i="2"/>
  <c r="Y798" i="2"/>
  <c r="S798" i="2"/>
  <c r="O798" i="2"/>
  <c r="P798" i="2" s="1"/>
  <c r="AA797" i="2"/>
  <c r="Z797" i="2"/>
  <c r="Y797" i="2"/>
  <c r="S797" i="2"/>
  <c r="O797" i="2"/>
  <c r="P797" i="2" s="1"/>
  <c r="AA796" i="2"/>
  <c r="Z796" i="2"/>
  <c r="Y796" i="2"/>
  <c r="S796" i="2"/>
  <c r="O796" i="2"/>
  <c r="P796" i="2" s="1"/>
  <c r="AA795" i="2"/>
  <c r="Z795" i="2"/>
  <c r="Y795" i="2"/>
  <c r="S795" i="2"/>
  <c r="O795" i="2"/>
  <c r="P795" i="2" s="1"/>
  <c r="AA794" i="2"/>
  <c r="Z794" i="2"/>
  <c r="Y794" i="2"/>
  <c r="S794" i="2"/>
  <c r="O794" i="2"/>
  <c r="P794" i="2" s="1"/>
  <c r="AA793" i="2"/>
  <c r="Z793" i="2"/>
  <c r="Y793" i="2"/>
  <c r="S793" i="2"/>
  <c r="O793" i="2"/>
  <c r="P793" i="2" s="1"/>
  <c r="AA792" i="2"/>
  <c r="Z792" i="2"/>
  <c r="Y792" i="2"/>
  <c r="S792" i="2"/>
  <c r="O792" i="2"/>
  <c r="P792" i="2" s="1"/>
  <c r="AA791" i="2"/>
  <c r="Z791" i="2"/>
  <c r="Y791" i="2"/>
  <c r="S791" i="2"/>
  <c r="O791" i="2"/>
  <c r="P791" i="2" s="1"/>
  <c r="AA790" i="2"/>
  <c r="Z790" i="2"/>
  <c r="Y790" i="2"/>
  <c r="S790" i="2"/>
  <c r="O790" i="2"/>
  <c r="P790" i="2" s="1"/>
  <c r="AA789" i="2"/>
  <c r="Z789" i="2"/>
  <c r="Y789" i="2"/>
  <c r="S789" i="2"/>
  <c r="O789" i="2"/>
  <c r="P789" i="2" s="1"/>
  <c r="AA788" i="2"/>
  <c r="Z788" i="2"/>
  <c r="Y788" i="2"/>
  <c r="S788" i="2"/>
  <c r="O788" i="2"/>
  <c r="P788" i="2" s="1"/>
  <c r="AA787" i="2"/>
  <c r="Z787" i="2"/>
  <c r="Y787" i="2"/>
  <c r="S787" i="2"/>
  <c r="O787" i="2"/>
  <c r="P787" i="2" s="1"/>
  <c r="AA786" i="2"/>
  <c r="Z786" i="2"/>
  <c r="Y786" i="2"/>
  <c r="S786" i="2"/>
  <c r="O786" i="2"/>
  <c r="P786" i="2" s="1"/>
  <c r="AA785" i="2"/>
  <c r="Z785" i="2"/>
  <c r="Y785" i="2"/>
  <c r="S785" i="2"/>
  <c r="O785" i="2"/>
  <c r="P785" i="2" s="1"/>
  <c r="AA784" i="2"/>
  <c r="Z784" i="2"/>
  <c r="Y784" i="2"/>
  <c r="S784" i="2"/>
  <c r="O784" i="2"/>
  <c r="P784" i="2" s="1"/>
  <c r="AA783" i="2"/>
  <c r="Z783" i="2"/>
  <c r="Y783" i="2"/>
  <c r="S783" i="2"/>
  <c r="O783" i="2"/>
  <c r="P783" i="2" s="1"/>
  <c r="AA782" i="2"/>
  <c r="Z782" i="2"/>
  <c r="Y782" i="2"/>
  <c r="S782" i="2"/>
  <c r="O782" i="2"/>
  <c r="P782" i="2" s="1"/>
  <c r="AA781" i="2"/>
  <c r="Z781" i="2"/>
  <c r="Y781" i="2"/>
  <c r="S781" i="2"/>
  <c r="O781" i="2"/>
  <c r="P781" i="2" s="1"/>
  <c r="AA780" i="2"/>
  <c r="Z780" i="2"/>
  <c r="Y780" i="2"/>
  <c r="S780" i="2"/>
  <c r="O780" i="2"/>
  <c r="P780" i="2" s="1"/>
  <c r="AA779" i="2"/>
  <c r="Z779" i="2"/>
  <c r="Y779" i="2"/>
  <c r="S779" i="2"/>
  <c r="O779" i="2"/>
  <c r="P779" i="2" s="1"/>
  <c r="AA778" i="2"/>
  <c r="Z778" i="2"/>
  <c r="Y778" i="2"/>
  <c r="S778" i="2"/>
  <c r="O778" i="2"/>
  <c r="P778" i="2" s="1"/>
  <c r="AA777" i="2"/>
  <c r="Z777" i="2"/>
  <c r="Y777" i="2"/>
  <c r="S777" i="2"/>
  <c r="O777" i="2"/>
  <c r="P777" i="2" s="1"/>
  <c r="AA776" i="2"/>
  <c r="Z776" i="2"/>
  <c r="Y776" i="2"/>
  <c r="S776" i="2"/>
  <c r="O776" i="2"/>
  <c r="P776" i="2" s="1"/>
  <c r="AA775" i="2"/>
  <c r="Z775" i="2"/>
  <c r="Y775" i="2"/>
  <c r="S775" i="2"/>
  <c r="O775" i="2"/>
  <c r="P775" i="2" s="1"/>
  <c r="AA774" i="2"/>
  <c r="Z774" i="2"/>
  <c r="Y774" i="2"/>
  <c r="S774" i="2"/>
  <c r="O774" i="2"/>
  <c r="P774" i="2" s="1"/>
  <c r="AA773" i="2"/>
  <c r="Z773" i="2"/>
  <c r="Y773" i="2"/>
  <c r="S773" i="2"/>
  <c r="O773" i="2"/>
  <c r="P773" i="2" s="1"/>
  <c r="AA772" i="2"/>
  <c r="Z772" i="2"/>
  <c r="Y772" i="2"/>
  <c r="S772" i="2"/>
  <c r="O772" i="2"/>
  <c r="P772" i="2" s="1"/>
  <c r="AA771" i="2"/>
  <c r="Z771" i="2"/>
  <c r="Y771" i="2"/>
  <c r="S771" i="2"/>
  <c r="O771" i="2"/>
  <c r="P771" i="2" s="1"/>
  <c r="AA770" i="2"/>
  <c r="Z770" i="2"/>
  <c r="Y770" i="2"/>
  <c r="S770" i="2"/>
  <c r="O770" i="2"/>
  <c r="P770" i="2" s="1"/>
  <c r="AA769" i="2"/>
  <c r="Z769" i="2"/>
  <c r="Y769" i="2"/>
  <c r="S769" i="2"/>
  <c r="O769" i="2"/>
  <c r="P769" i="2" s="1"/>
  <c r="AA768" i="2"/>
  <c r="Z768" i="2"/>
  <c r="Y768" i="2"/>
  <c r="S768" i="2"/>
  <c r="O768" i="2"/>
  <c r="P768" i="2" s="1"/>
  <c r="AA767" i="2"/>
  <c r="Z767" i="2"/>
  <c r="Y767" i="2"/>
  <c r="S767" i="2"/>
  <c r="O767" i="2"/>
  <c r="P767" i="2" s="1"/>
  <c r="AA766" i="2"/>
  <c r="Z766" i="2"/>
  <c r="Y766" i="2"/>
  <c r="S766" i="2"/>
  <c r="O766" i="2"/>
  <c r="P766" i="2" s="1"/>
  <c r="AA765" i="2"/>
  <c r="Z765" i="2"/>
  <c r="Y765" i="2"/>
  <c r="S765" i="2"/>
  <c r="O765" i="2"/>
  <c r="P765" i="2" s="1"/>
  <c r="AA764" i="2"/>
  <c r="Z764" i="2"/>
  <c r="Y764" i="2"/>
  <c r="S764" i="2"/>
  <c r="O764" i="2"/>
  <c r="P764" i="2" s="1"/>
  <c r="AA763" i="2"/>
  <c r="Z763" i="2"/>
  <c r="Y763" i="2"/>
  <c r="S763" i="2"/>
  <c r="O763" i="2"/>
  <c r="P763" i="2" s="1"/>
  <c r="AA762" i="2"/>
  <c r="Z762" i="2"/>
  <c r="Y762" i="2"/>
  <c r="S762" i="2"/>
  <c r="O762" i="2"/>
  <c r="P762" i="2" s="1"/>
  <c r="AA761" i="2"/>
  <c r="Z761" i="2"/>
  <c r="Y761" i="2"/>
  <c r="S761" i="2"/>
  <c r="O761" i="2"/>
  <c r="P761" i="2" s="1"/>
  <c r="AA760" i="2"/>
  <c r="Z760" i="2"/>
  <c r="Y760" i="2"/>
  <c r="S760" i="2"/>
  <c r="O760" i="2"/>
  <c r="P760" i="2" s="1"/>
  <c r="AA759" i="2"/>
  <c r="Z759" i="2"/>
  <c r="Y759" i="2"/>
  <c r="S759" i="2"/>
  <c r="O759" i="2"/>
  <c r="P759" i="2" s="1"/>
  <c r="AA758" i="2"/>
  <c r="Z758" i="2"/>
  <c r="Y758" i="2"/>
  <c r="S758" i="2"/>
  <c r="O758" i="2"/>
  <c r="P758" i="2" s="1"/>
  <c r="AA757" i="2"/>
  <c r="Z757" i="2"/>
  <c r="Y757" i="2"/>
  <c r="S757" i="2"/>
  <c r="O757" i="2"/>
  <c r="P757" i="2" s="1"/>
  <c r="AA756" i="2"/>
  <c r="Z756" i="2"/>
  <c r="Y756" i="2"/>
  <c r="S756" i="2"/>
  <c r="O756" i="2"/>
  <c r="P756" i="2" s="1"/>
  <c r="AA755" i="2"/>
  <c r="Z755" i="2"/>
  <c r="Y755" i="2"/>
  <c r="S755" i="2"/>
  <c r="O755" i="2"/>
  <c r="P755" i="2" s="1"/>
  <c r="AA754" i="2"/>
  <c r="Z754" i="2"/>
  <c r="Y754" i="2"/>
  <c r="S754" i="2"/>
  <c r="O754" i="2"/>
  <c r="P754" i="2" s="1"/>
  <c r="AA753" i="2"/>
  <c r="Z753" i="2"/>
  <c r="Y753" i="2"/>
  <c r="S753" i="2"/>
  <c r="O753" i="2"/>
  <c r="P753" i="2" s="1"/>
  <c r="AA752" i="2"/>
  <c r="Z752" i="2"/>
  <c r="Y752" i="2"/>
  <c r="S752" i="2"/>
  <c r="O752" i="2"/>
  <c r="P752" i="2" s="1"/>
  <c r="AA751" i="2"/>
  <c r="Z751" i="2"/>
  <c r="Y751" i="2"/>
  <c r="S751" i="2"/>
  <c r="O751" i="2"/>
  <c r="P751" i="2" s="1"/>
  <c r="AA750" i="2"/>
  <c r="Z750" i="2"/>
  <c r="Y750" i="2"/>
  <c r="S750" i="2"/>
  <c r="O750" i="2"/>
  <c r="P750" i="2" s="1"/>
  <c r="AA749" i="2"/>
  <c r="Z749" i="2"/>
  <c r="Y749" i="2"/>
  <c r="S749" i="2"/>
  <c r="O749" i="2"/>
  <c r="P749" i="2" s="1"/>
  <c r="AA748" i="2"/>
  <c r="Z748" i="2"/>
  <c r="Y748" i="2"/>
  <c r="S748" i="2"/>
  <c r="O748" i="2"/>
  <c r="P748" i="2" s="1"/>
  <c r="AA747" i="2"/>
  <c r="Z747" i="2"/>
  <c r="Y747" i="2"/>
  <c r="S747" i="2"/>
  <c r="O747" i="2"/>
  <c r="P747" i="2" s="1"/>
  <c r="AA746" i="2"/>
  <c r="Z746" i="2"/>
  <c r="Y746" i="2"/>
  <c r="S746" i="2"/>
  <c r="O746" i="2"/>
  <c r="P746" i="2" s="1"/>
  <c r="AA745" i="2"/>
  <c r="Z745" i="2"/>
  <c r="Y745" i="2"/>
  <c r="S745" i="2"/>
  <c r="O745" i="2"/>
  <c r="P745" i="2" s="1"/>
  <c r="AA744" i="2"/>
  <c r="Z744" i="2"/>
  <c r="Y744" i="2"/>
  <c r="S744" i="2"/>
  <c r="O744" i="2"/>
  <c r="P744" i="2" s="1"/>
  <c r="AA743" i="2"/>
  <c r="Z743" i="2"/>
  <c r="Y743" i="2"/>
  <c r="S743" i="2"/>
  <c r="O743" i="2"/>
  <c r="P743" i="2" s="1"/>
  <c r="AA742" i="2"/>
  <c r="Z742" i="2"/>
  <c r="Y742" i="2"/>
  <c r="S742" i="2"/>
  <c r="O742" i="2"/>
  <c r="P742" i="2" s="1"/>
  <c r="AA741" i="2"/>
  <c r="Z741" i="2"/>
  <c r="Y741" i="2"/>
  <c r="S741" i="2"/>
  <c r="O741" i="2"/>
  <c r="P741" i="2" s="1"/>
  <c r="AA740" i="2"/>
  <c r="Z740" i="2"/>
  <c r="Y740" i="2"/>
  <c r="S740" i="2"/>
  <c r="O740" i="2"/>
  <c r="P740" i="2" s="1"/>
  <c r="AA739" i="2"/>
  <c r="Z739" i="2"/>
  <c r="Y739" i="2"/>
  <c r="S739" i="2"/>
  <c r="O739" i="2"/>
  <c r="P739" i="2" s="1"/>
  <c r="AA738" i="2"/>
  <c r="Z738" i="2"/>
  <c r="Y738" i="2"/>
  <c r="S738" i="2"/>
  <c r="O738" i="2"/>
  <c r="P738" i="2" s="1"/>
  <c r="AA737" i="2"/>
  <c r="Z737" i="2"/>
  <c r="Y737" i="2"/>
  <c r="S737" i="2"/>
  <c r="O737" i="2"/>
  <c r="P737" i="2" s="1"/>
  <c r="AA736" i="2"/>
  <c r="Z736" i="2"/>
  <c r="Y736" i="2"/>
  <c r="S736" i="2"/>
  <c r="O736" i="2"/>
  <c r="P736" i="2" s="1"/>
  <c r="AA735" i="2"/>
  <c r="Z735" i="2"/>
  <c r="Y735" i="2"/>
  <c r="S735" i="2"/>
  <c r="O735" i="2"/>
  <c r="P735" i="2" s="1"/>
  <c r="AA734" i="2"/>
  <c r="Z734" i="2"/>
  <c r="Y734" i="2"/>
  <c r="S734" i="2"/>
  <c r="O734" i="2"/>
  <c r="P734" i="2" s="1"/>
  <c r="AA733" i="2"/>
  <c r="Z733" i="2"/>
  <c r="Y733" i="2"/>
  <c r="S733" i="2"/>
  <c r="O733" i="2"/>
  <c r="P733" i="2" s="1"/>
  <c r="AA732" i="2"/>
  <c r="Z732" i="2"/>
  <c r="Y732" i="2"/>
  <c r="S732" i="2"/>
  <c r="O732" i="2"/>
  <c r="P732" i="2" s="1"/>
  <c r="AA731" i="2"/>
  <c r="Z731" i="2"/>
  <c r="Y731" i="2"/>
  <c r="S731" i="2"/>
  <c r="O731" i="2"/>
  <c r="P731" i="2" s="1"/>
  <c r="AA730" i="2"/>
  <c r="Z730" i="2"/>
  <c r="Y730" i="2"/>
  <c r="S730" i="2"/>
  <c r="O730" i="2"/>
  <c r="P730" i="2" s="1"/>
  <c r="AA729" i="2"/>
  <c r="Z729" i="2"/>
  <c r="Y729" i="2"/>
  <c r="S729" i="2"/>
  <c r="O729" i="2"/>
  <c r="P729" i="2" s="1"/>
  <c r="AA728" i="2"/>
  <c r="Z728" i="2"/>
  <c r="Y728" i="2"/>
  <c r="S728" i="2"/>
  <c r="O728" i="2"/>
  <c r="P728" i="2" s="1"/>
  <c r="AA727" i="2"/>
  <c r="Z727" i="2"/>
  <c r="Y727" i="2"/>
  <c r="S727" i="2"/>
  <c r="O727" i="2"/>
  <c r="P727" i="2" s="1"/>
  <c r="AA726" i="2"/>
  <c r="Z726" i="2"/>
  <c r="Y726" i="2"/>
  <c r="S726" i="2"/>
  <c r="O726" i="2"/>
  <c r="P726" i="2" s="1"/>
  <c r="AA725" i="2"/>
  <c r="Z725" i="2"/>
  <c r="Y725" i="2"/>
  <c r="S725" i="2"/>
  <c r="O725" i="2"/>
  <c r="P725" i="2" s="1"/>
  <c r="AA724" i="2"/>
  <c r="Z724" i="2"/>
  <c r="Y724" i="2"/>
  <c r="S724" i="2"/>
  <c r="O724" i="2"/>
  <c r="P724" i="2" s="1"/>
  <c r="AA723" i="2"/>
  <c r="Z723" i="2"/>
  <c r="Y723" i="2"/>
  <c r="S723" i="2"/>
  <c r="O723" i="2"/>
  <c r="P723" i="2" s="1"/>
  <c r="AA722" i="2"/>
  <c r="Z722" i="2"/>
  <c r="Y722" i="2"/>
  <c r="S722" i="2"/>
  <c r="O722" i="2"/>
  <c r="P722" i="2" s="1"/>
  <c r="AA721" i="2"/>
  <c r="Z721" i="2"/>
  <c r="Y721" i="2"/>
  <c r="S721" i="2"/>
  <c r="O721" i="2"/>
  <c r="P721" i="2" s="1"/>
  <c r="AA720" i="2"/>
  <c r="Z720" i="2"/>
  <c r="Y720" i="2"/>
  <c r="S720" i="2"/>
  <c r="O720" i="2"/>
  <c r="P720" i="2" s="1"/>
  <c r="AA719" i="2"/>
  <c r="Z719" i="2"/>
  <c r="Y719" i="2"/>
  <c r="S719" i="2"/>
  <c r="O719" i="2"/>
  <c r="P719" i="2" s="1"/>
  <c r="AA718" i="2"/>
  <c r="Z718" i="2"/>
  <c r="Y718" i="2"/>
  <c r="S718" i="2"/>
  <c r="O718" i="2"/>
  <c r="P718" i="2" s="1"/>
  <c r="AA717" i="2"/>
  <c r="Z717" i="2"/>
  <c r="Y717" i="2"/>
  <c r="S717" i="2"/>
  <c r="O717" i="2"/>
  <c r="P717" i="2" s="1"/>
  <c r="AA716" i="2"/>
  <c r="Z716" i="2"/>
  <c r="Y716" i="2"/>
  <c r="S716" i="2"/>
  <c r="O716" i="2"/>
  <c r="P716" i="2" s="1"/>
  <c r="AA715" i="2"/>
  <c r="Z715" i="2"/>
  <c r="Y715" i="2"/>
  <c r="S715" i="2"/>
  <c r="O715" i="2"/>
  <c r="P715" i="2" s="1"/>
  <c r="AA714" i="2"/>
  <c r="Z714" i="2"/>
  <c r="Y714" i="2"/>
  <c r="S714" i="2"/>
  <c r="O714" i="2"/>
  <c r="P714" i="2" s="1"/>
  <c r="AA713" i="2"/>
  <c r="Z713" i="2"/>
  <c r="Y713" i="2"/>
  <c r="S713" i="2"/>
  <c r="O713" i="2"/>
  <c r="P713" i="2" s="1"/>
  <c r="AA712" i="2"/>
  <c r="Z712" i="2"/>
  <c r="Y712" i="2"/>
  <c r="S712" i="2"/>
  <c r="O712" i="2"/>
  <c r="P712" i="2" s="1"/>
  <c r="AA711" i="2"/>
  <c r="Z711" i="2"/>
  <c r="Y711" i="2"/>
  <c r="S711" i="2"/>
  <c r="O711" i="2"/>
  <c r="P711" i="2" s="1"/>
  <c r="AA710" i="2"/>
  <c r="Z710" i="2"/>
  <c r="Y710" i="2"/>
  <c r="S710" i="2"/>
  <c r="O710" i="2"/>
  <c r="P710" i="2" s="1"/>
  <c r="AA709" i="2"/>
  <c r="Z709" i="2"/>
  <c r="Y709" i="2"/>
  <c r="S709" i="2"/>
  <c r="O709" i="2"/>
  <c r="P709" i="2" s="1"/>
  <c r="AA708" i="2"/>
  <c r="Z708" i="2"/>
  <c r="Y708" i="2"/>
  <c r="S708" i="2"/>
  <c r="O708" i="2"/>
  <c r="P708" i="2" s="1"/>
  <c r="AA707" i="2"/>
  <c r="Z707" i="2"/>
  <c r="Y707" i="2"/>
  <c r="S707" i="2"/>
  <c r="O707" i="2"/>
  <c r="P707" i="2" s="1"/>
  <c r="AA706" i="2"/>
  <c r="Z706" i="2"/>
  <c r="Y706" i="2"/>
  <c r="S706" i="2"/>
  <c r="O706" i="2"/>
  <c r="P706" i="2" s="1"/>
  <c r="AA705" i="2"/>
  <c r="Z705" i="2"/>
  <c r="Y705" i="2"/>
  <c r="S705" i="2"/>
  <c r="O705" i="2"/>
  <c r="P705" i="2" s="1"/>
  <c r="AA704" i="2"/>
  <c r="Z704" i="2"/>
  <c r="Y704" i="2"/>
  <c r="S704" i="2"/>
  <c r="O704" i="2"/>
  <c r="P704" i="2" s="1"/>
  <c r="AA703" i="2"/>
  <c r="Z703" i="2"/>
  <c r="Y703" i="2"/>
  <c r="S703" i="2"/>
  <c r="O703" i="2"/>
  <c r="P703" i="2" s="1"/>
  <c r="AA702" i="2"/>
  <c r="Z702" i="2"/>
  <c r="Y702" i="2"/>
  <c r="S702" i="2"/>
  <c r="O702" i="2"/>
  <c r="P702" i="2" s="1"/>
  <c r="AA701" i="2"/>
  <c r="Z701" i="2"/>
  <c r="Y701" i="2"/>
  <c r="S701" i="2"/>
  <c r="O701" i="2"/>
  <c r="P701" i="2" s="1"/>
  <c r="AA700" i="2"/>
  <c r="Z700" i="2"/>
  <c r="Y700" i="2"/>
  <c r="S700" i="2"/>
  <c r="O700" i="2"/>
  <c r="P700" i="2" s="1"/>
  <c r="AA699" i="2"/>
  <c r="Z699" i="2"/>
  <c r="Y699" i="2"/>
  <c r="S699" i="2"/>
  <c r="O699" i="2"/>
  <c r="P699" i="2" s="1"/>
  <c r="AA698" i="2"/>
  <c r="Z698" i="2"/>
  <c r="Y698" i="2"/>
  <c r="S698" i="2"/>
  <c r="O698" i="2"/>
  <c r="P698" i="2" s="1"/>
  <c r="AA697" i="2"/>
  <c r="Z697" i="2"/>
  <c r="Y697" i="2"/>
  <c r="S697" i="2"/>
  <c r="O697" i="2"/>
  <c r="P697" i="2" s="1"/>
  <c r="AA696" i="2"/>
  <c r="Z696" i="2"/>
  <c r="Y696" i="2"/>
  <c r="S696" i="2"/>
  <c r="O696" i="2"/>
  <c r="P696" i="2" s="1"/>
  <c r="AA695" i="2"/>
  <c r="Z695" i="2"/>
  <c r="Y695" i="2"/>
  <c r="S695" i="2"/>
  <c r="O695" i="2"/>
  <c r="P695" i="2" s="1"/>
  <c r="AA694" i="2"/>
  <c r="Z694" i="2"/>
  <c r="Y694" i="2"/>
  <c r="S694" i="2"/>
  <c r="O694" i="2"/>
  <c r="P694" i="2" s="1"/>
  <c r="AA693" i="2"/>
  <c r="Z693" i="2"/>
  <c r="Y693" i="2"/>
  <c r="S693" i="2"/>
  <c r="O693" i="2"/>
  <c r="P693" i="2" s="1"/>
  <c r="AA692" i="2"/>
  <c r="Z692" i="2"/>
  <c r="Y692" i="2"/>
  <c r="S692" i="2"/>
  <c r="O692" i="2"/>
  <c r="P692" i="2" s="1"/>
  <c r="AA691" i="2"/>
  <c r="Z691" i="2"/>
  <c r="Y691" i="2"/>
  <c r="S691" i="2"/>
  <c r="O691" i="2"/>
  <c r="P691" i="2" s="1"/>
  <c r="AA690" i="2"/>
  <c r="Z690" i="2"/>
  <c r="Y690" i="2"/>
  <c r="S690" i="2"/>
  <c r="O690" i="2"/>
  <c r="P690" i="2" s="1"/>
  <c r="AA689" i="2"/>
  <c r="Z689" i="2"/>
  <c r="Y689" i="2"/>
  <c r="S689" i="2"/>
  <c r="O689" i="2"/>
  <c r="P689" i="2" s="1"/>
  <c r="AA688" i="2"/>
  <c r="Z688" i="2"/>
  <c r="Y688" i="2"/>
  <c r="S688" i="2"/>
  <c r="O688" i="2"/>
  <c r="P688" i="2" s="1"/>
  <c r="AA687" i="2"/>
  <c r="Z687" i="2"/>
  <c r="Y687" i="2"/>
  <c r="S687" i="2"/>
  <c r="O687" i="2"/>
  <c r="P687" i="2" s="1"/>
  <c r="AA686" i="2"/>
  <c r="Z686" i="2"/>
  <c r="Y686" i="2"/>
  <c r="S686" i="2"/>
  <c r="O686" i="2"/>
  <c r="P686" i="2" s="1"/>
  <c r="AA685" i="2"/>
  <c r="Z685" i="2"/>
  <c r="Y685" i="2"/>
  <c r="S685" i="2"/>
  <c r="O685" i="2"/>
  <c r="P685" i="2" s="1"/>
  <c r="AA684" i="2"/>
  <c r="Z684" i="2"/>
  <c r="Y684" i="2"/>
  <c r="S684" i="2"/>
  <c r="O684" i="2"/>
  <c r="P684" i="2" s="1"/>
  <c r="AA683" i="2"/>
  <c r="Z683" i="2"/>
  <c r="Y683" i="2"/>
  <c r="S683" i="2"/>
  <c r="O683" i="2"/>
  <c r="P683" i="2" s="1"/>
  <c r="AA682" i="2"/>
  <c r="Z682" i="2"/>
  <c r="Y682" i="2"/>
  <c r="S682" i="2"/>
  <c r="O682" i="2"/>
  <c r="P682" i="2" s="1"/>
  <c r="AA681" i="2"/>
  <c r="Z681" i="2"/>
  <c r="Y681" i="2"/>
  <c r="S681" i="2"/>
  <c r="O681" i="2"/>
  <c r="P681" i="2" s="1"/>
  <c r="AA680" i="2"/>
  <c r="Z680" i="2"/>
  <c r="Y680" i="2"/>
  <c r="S680" i="2"/>
  <c r="O680" i="2"/>
  <c r="P680" i="2" s="1"/>
  <c r="AA679" i="2"/>
  <c r="Z679" i="2"/>
  <c r="Y679" i="2"/>
  <c r="S679" i="2"/>
  <c r="O679" i="2"/>
  <c r="P679" i="2" s="1"/>
  <c r="AA678" i="2"/>
  <c r="Z678" i="2"/>
  <c r="Y678" i="2"/>
  <c r="S678" i="2"/>
  <c r="O678" i="2"/>
  <c r="P678" i="2" s="1"/>
  <c r="AA677" i="2"/>
  <c r="Z677" i="2"/>
  <c r="Y677" i="2"/>
  <c r="S677" i="2"/>
  <c r="O677" i="2"/>
  <c r="P677" i="2" s="1"/>
  <c r="AA676" i="2"/>
  <c r="Z676" i="2"/>
  <c r="Y676" i="2"/>
  <c r="S676" i="2"/>
  <c r="O676" i="2"/>
  <c r="P676" i="2" s="1"/>
  <c r="AA675" i="2"/>
  <c r="Z675" i="2"/>
  <c r="Y675" i="2"/>
  <c r="S675" i="2"/>
  <c r="O675" i="2"/>
  <c r="P675" i="2" s="1"/>
  <c r="AA674" i="2"/>
  <c r="Z674" i="2"/>
  <c r="Y674" i="2"/>
  <c r="S674" i="2"/>
  <c r="O674" i="2"/>
  <c r="P674" i="2" s="1"/>
  <c r="AA673" i="2"/>
  <c r="Z673" i="2"/>
  <c r="Y673" i="2"/>
  <c r="S673" i="2"/>
  <c r="O673" i="2"/>
  <c r="P673" i="2" s="1"/>
  <c r="AA672" i="2"/>
  <c r="Z672" i="2"/>
  <c r="Y672" i="2"/>
  <c r="S672" i="2"/>
  <c r="O672" i="2"/>
  <c r="P672" i="2" s="1"/>
  <c r="AA671" i="2"/>
  <c r="Z671" i="2"/>
  <c r="Y671" i="2"/>
  <c r="S671" i="2"/>
  <c r="O671" i="2"/>
  <c r="P671" i="2" s="1"/>
  <c r="AA670" i="2"/>
  <c r="Z670" i="2"/>
  <c r="Y670" i="2"/>
  <c r="S670" i="2"/>
  <c r="O670" i="2"/>
  <c r="P670" i="2" s="1"/>
  <c r="AA669" i="2"/>
  <c r="Z669" i="2"/>
  <c r="Y669" i="2"/>
  <c r="S669" i="2"/>
  <c r="O669" i="2"/>
  <c r="P669" i="2" s="1"/>
  <c r="AA668" i="2"/>
  <c r="Z668" i="2"/>
  <c r="Y668" i="2"/>
  <c r="S668" i="2"/>
  <c r="O668" i="2"/>
  <c r="P668" i="2" s="1"/>
  <c r="AA667" i="2"/>
  <c r="Z667" i="2"/>
  <c r="Y667" i="2"/>
  <c r="S667" i="2"/>
  <c r="O667" i="2"/>
  <c r="P667" i="2" s="1"/>
  <c r="AA666" i="2"/>
  <c r="Z666" i="2"/>
  <c r="Y666" i="2"/>
  <c r="S666" i="2"/>
  <c r="O666" i="2"/>
  <c r="P666" i="2" s="1"/>
  <c r="AA665" i="2"/>
  <c r="Z665" i="2"/>
  <c r="Y665" i="2"/>
  <c r="S665" i="2"/>
  <c r="O665" i="2"/>
  <c r="P665" i="2" s="1"/>
  <c r="AA664" i="2"/>
  <c r="Z664" i="2"/>
  <c r="Y664" i="2"/>
  <c r="S664" i="2"/>
  <c r="O664" i="2"/>
  <c r="P664" i="2" s="1"/>
  <c r="AA663" i="2"/>
  <c r="Z663" i="2"/>
  <c r="Y663" i="2"/>
  <c r="S663" i="2"/>
  <c r="O663" i="2"/>
  <c r="P663" i="2" s="1"/>
  <c r="AA662" i="2"/>
  <c r="Z662" i="2"/>
  <c r="Y662" i="2"/>
  <c r="S662" i="2"/>
  <c r="O662" i="2"/>
  <c r="P662" i="2" s="1"/>
  <c r="AA661" i="2"/>
  <c r="Z661" i="2"/>
  <c r="Y661" i="2"/>
  <c r="S661" i="2"/>
  <c r="O661" i="2"/>
  <c r="P661" i="2" s="1"/>
  <c r="AA660" i="2"/>
  <c r="Z660" i="2"/>
  <c r="Y660" i="2"/>
  <c r="S660" i="2"/>
  <c r="O660" i="2"/>
  <c r="P660" i="2" s="1"/>
  <c r="AA659" i="2"/>
  <c r="Z659" i="2"/>
  <c r="Y659" i="2"/>
  <c r="S659" i="2"/>
  <c r="O659" i="2"/>
  <c r="P659" i="2" s="1"/>
  <c r="AA658" i="2"/>
  <c r="Z658" i="2"/>
  <c r="Y658" i="2"/>
  <c r="S658" i="2"/>
  <c r="O658" i="2"/>
  <c r="P658" i="2" s="1"/>
  <c r="AA657" i="2"/>
  <c r="Z657" i="2"/>
  <c r="Y657" i="2"/>
  <c r="S657" i="2"/>
  <c r="O657" i="2"/>
  <c r="P657" i="2" s="1"/>
  <c r="AA656" i="2"/>
  <c r="Z656" i="2"/>
  <c r="Y656" i="2"/>
  <c r="S656" i="2"/>
  <c r="O656" i="2"/>
  <c r="P656" i="2" s="1"/>
  <c r="AA655" i="2"/>
  <c r="Z655" i="2"/>
  <c r="Y655" i="2"/>
  <c r="S655" i="2"/>
  <c r="O655" i="2"/>
  <c r="P655" i="2" s="1"/>
  <c r="AA654" i="2"/>
  <c r="Z654" i="2"/>
  <c r="Y654" i="2"/>
  <c r="S654" i="2"/>
  <c r="O654" i="2"/>
  <c r="P654" i="2" s="1"/>
  <c r="AA653" i="2"/>
  <c r="Z653" i="2"/>
  <c r="Y653" i="2"/>
  <c r="S653" i="2"/>
  <c r="O653" i="2"/>
  <c r="P653" i="2" s="1"/>
  <c r="AA652" i="2"/>
  <c r="Z652" i="2"/>
  <c r="Y652" i="2"/>
  <c r="S652" i="2"/>
  <c r="O652" i="2"/>
  <c r="P652" i="2" s="1"/>
  <c r="AA651" i="2"/>
  <c r="Z651" i="2"/>
  <c r="Y651" i="2"/>
  <c r="S651" i="2"/>
  <c r="O651" i="2"/>
  <c r="P651" i="2" s="1"/>
  <c r="AA650" i="2"/>
  <c r="Z650" i="2"/>
  <c r="Y650" i="2"/>
  <c r="S650" i="2"/>
  <c r="O650" i="2"/>
  <c r="P650" i="2" s="1"/>
  <c r="AA649" i="2"/>
  <c r="Z649" i="2"/>
  <c r="Y649" i="2"/>
  <c r="S649" i="2"/>
  <c r="O649" i="2"/>
  <c r="P649" i="2" s="1"/>
  <c r="AA648" i="2"/>
  <c r="Z648" i="2"/>
  <c r="Y648" i="2"/>
  <c r="S648" i="2"/>
  <c r="O648" i="2"/>
  <c r="P648" i="2" s="1"/>
  <c r="AA647" i="2"/>
  <c r="Z647" i="2"/>
  <c r="Y647" i="2"/>
  <c r="S647" i="2"/>
  <c r="O647" i="2"/>
  <c r="P647" i="2" s="1"/>
  <c r="AA646" i="2"/>
  <c r="Z646" i="2"/>
  <c r="Y646" i="2"/>
  <c r="S646" i="2"/>
  <c r="O646" i="2"/>
  <c r="P646" i="2" s="1"/>
  <c r="AA645" i="2"/>
  <c r="Z645" i="2"/>
  <c r="Y645" i="2"/>
  <c r="S645" i="2"/>
  <c r="O645" i="2"/>
  <c r="P645" i="2" s="1"/>
  <c r="AA644" i="2"/>
  <c r="Z644" i="2"/>
  <c r="Y644" i="2"/>
  <c r="S644" i="2"/>
  <c r="O644" i="2"/>
  <c r="P644" i="2" s="1"/>
  <c r="AA643" i="2"/>
  <c r="Z643" i="2"/>
  <c r="Y643" i="2"/>
  <c r="S643" i="2"/>
  <c r="O643" i="2"/>
  <c r="P643" i="2" s="1"/>
  <c r="AA642" i="2"/>
  <c r="Z642" i="2"/>
  <c r="Y642" i="2"/>
  <c r="S642" i="2"/>
  <c r="O642" i="2"/>
  <c r="P642" i="2" s="1"/>
  <c r="AA641" i="2"/>
  <c r="Z641" i="2"/>
  <c r="Y641" i="2"/>
  <c r="S641" i="2"/>
  <c r="O641" i="2"/>
  <c r="P641" i="2" s="1"/>
  <c r="AA640" i="2"/>
  <c r="Z640" i="2"/>
  <c r="Y640" i="2"/>
  <c r="S640" i="2"/>
  <c r="O640" i="2"/>
  <c r="P640" i="2" s="1"/>
  <c r="AA639" i="2"/>
  <c r="Z639" i="2"/>
  <c r="Y639" i="2"/>
  <c r="S639" i="2"/>
  <c r="O639" i="2"/>
  <c r="P639" i="2" s="1"/>
  <c r="AA638" i="2"/>
  <c r="Z638" i="2"/>
  <c r="Y638" i="2"/>
  <c r="S638" i="2"/>
  <c r="O638" i="2"/>
  <c r="P638" i="2" s="1"/>
  <c r="AA637" i="2"/>
  <c r="Z637" i="2"/>
  <c r="Y637" i="2"/>
  <c r="S637" i="2"/>
  <c r="O637" i="2"/>
  <c r="P637" i="2" s="1"/>
  <c r="AA636" i="2"/>
  <c r="Z636" i="2"/>
  <c r="Y636" i="2"/>
  <c r="S636" i="2"/>
  <c r="O636" i="2"/>
  <c r="P636" i="2" s="1"/>
  <c r="AA635" i="2"/>
  <c r="Z635" i="2"/>
  <c r="Y635" i="2"/>
  <c r="S635" i="2"/>
  <c r="O635" i="2"/>
  <c r="P635" i="2" s="1"/>
  <c r="AA634" i="2"/>
  <c r="Z634" i="2"/>
  <c r="Y634" i="2"/>
  <c r="S634" i="2"/>
  <c r="O634" i="2"/>
  <c r="P634" i="2" s="1"/>
  <c r="AA633" i="2"/>
  <c r="Z633" i="2"/>
  <c r="Y633" i="2"/>
  <c r="S633" i="2"/>
  <c r="O633" i="2"/>
  <c r="P633" i="2" s="1"/>
  <c r="AA632" i="2"/>
  <c r="Z632" i="2"/>
  <c r="Y632" i="2"/>
  <c r="S632" i="2"/>
  <c r="O632" i="2"/>
  <c r="P632" i="2" s="1"/>
  <c r="AA631" i="2"/>
  <c r="Z631" i="2"/>
  <c r="Y631" i="2"/>
  <c r="S631" i="2"/>
  <c r="O631" i="2"/>
  <c r="P631" i="2" s="1"/>
  <c r="AA630" i="2"/>
  <c r="Z630" i="2"/>
  <c r="Y630" i="2"/>
  <c r="S630" i="2"/>
  <c r="O630" i="2"/>
  <c r="P630" i="2" s="1"/>
  <c r="AA629" i="2"/>
  <c r="Z629" i="2"/>
  <c r="Y629" i="2"/>
  <c r="S629" i="2"/>
  <c r="O629" i="2"/>
  <c r="P629" i="2" s="1"/>
  <c r="AA628" i="2"/>
  <c r="Z628" i="2"/>
  <c r="Y628" i="2"/>
  <c r="S628" i="2"/>
  <c r="O628" i="2"/>
  <c r="P628" i="2" s="1"/>
  <c r="AA627" i="2"/>
  <c r="Z627" i="2"/>
  <c r="Y627" i="2"/>
  <c r="S627" i="2"/>
  <c r="O627" i="2"/>
  <c r="P627" i="2" s="1"/>
  <c r="AA626" i="2"/>
  <c r="Z626" i="2"/>
  <c r="Y626" i="2"/>
  <c r="S626" i="2"/>
  <c r="O626" i="2"/>
  <c r="P626" i="2" s="1"/>
  <c r="AA625" i="2"/>
  <c r="Z625" i="2"/>
  <c r="Y625" i="2"/>
  <c r="S625" i="2"/>
  <c r="O625" i="2"/>
  <c r="P625" i="2" s="1"/>
  <c r="AA624" i="2"/>
  <c r="Z624" i="2"/>
  <c r="Y624" i="2"/>
  <c r="S624" i="2"/>
  <c r="O624" i="2"/>
  <c r="P624" i="2" s="1"/>
  <c r="AA623" i="2"/>
  <c r="Z623" i="2"/>
  <c r="Y623" i="2"/>
  <c r="S623" i="2"/>
  <c r="O623" i="2"/>
  <c r="P623" i="2" s="1"/>
  <c r="AA622" i="2"/>
  <c r="Z622" i="2"/>
  <c r="Y622" i="2"/>
  <c r="S622" i="2"/>
  <c r="O622" i="2"/>
  <c r="P622" i="2" s="1"/>
  <c r="AA621" i="2"/>
  <c r="Z621" i="2"/>
  <c r="Y621" i="2"/>
  <c r="S621" i="2"/>
  <c r="O621" i="2"/>
  <c r="P621" i="2" s="1"/>
  <c r="AA620" i="2"/>
  <c r="Z620" i="2"/>
  <c r="Y620" i="2"/>
  <c r="S620" i="2"/>
  <c r="O620" i="2"/>
  <c r="P620" i="2" s="1"/>
  <c r="AA619" i="2"/>
  <c r="Z619" i="2"/>
  <c r="Y619" i="2"/>
  <c r="S619" i="2"/>
  <c r="O619" i="2"/>
  <c r="P619" i="2" s="1"/>
  <c r="AA618" i="2"/>
  <c r="Z618" i="2"/>
  <c r="Y618" i="2"/>
  <c r="S618" i="2"/>
  <c r="O618" i="2"/>
  <c r="P618" i="2" s="1"/>
  <c r="AA617" i="2"/>
  <c r="Z617" i="2"/>
  <c r="Y617" i="2"/>
  <c r="S617" i="2"/>
  <c r="O617" i="2"/>
  <c r="P617" i="2" s="1"/>
  <c r="AA616" i="2"/>
  <c r="Z616" i="2"/>
  <c r="Y616" i="2"/>
  <c r="S616" i="2"/>
  <c r="O616" i="2"/>
  <c r="P616" i="2" s="1"/>
  <c r="AA615" i="2"/>
  <c r="Z615" i="2"/>
  <c r="Y615" i="2"/>
  <c r="S615" i="2"/>
  <c r="O615" i="2"/>
  <c r="P615" i="2" s="1"/>
  <c r="AA614" i="2"/>
  <c r="Z614" i="2"/>
  <c r="Y614" i="2"/>
  <c r="S614" i="2"/>
  <c r="O614" i="2"/>
  <c r="P614" i="2" s="1"/>
  <c r="AA613" i="2"/>
  <c r="Z613" i="2"/>
  <c r="Y613" i="2"/>
  <c r="S613" i="2"/>
  <c r="O613" i="2"/>
  <c r="P613" i="2" s="1"/>
  <c r="AA612" i="2"/>
  <c r="Z612" i="2"/>
  <c r="Y612" i="2"/>
  <c r="S612" i="2"/>
  <c r="O612" i="2"/>
  <c r="P612" i="2" s="1"/>
  <c r="AA611" i="2"/>
  <c r="Z611" i="2"/>
  <c r="Y611" i="2"/>
  <c r="S611" i="2"/>
  <c r="O611" i="2"/>
  <c r="P611" i="2" s="1"/>
  <c r="AA610" i="2"/>
  <c r="Z610" i="2"/>
  <c r="Y610" i="2"/>
  <c r="S610" i="2"/>
  <c r="O610" i="2"/>
  <c r="P610" i="2" s="1"/>
  <c r="AA609" i="2"/>
  <c r="Z609" i="2"/>
  <c r="Y609" i="2"/>
  <c r="S609" i="2"/>
  <c r="O609" i="2"/>
  <c r="P609" i="2" s="1"/>
  <c r="AA608" i="2"/>
  <c r="Z608" i="2"/>
  <c r="Y608" i="2"/>
  <c r="S608" i="2"/>
  <c r="O608" i="2"/>
  <c r="P608" i="2" s="1"/>
  <c r="AA607" i="2"/>
  <c r="Z607" i="2"/>
  <c r="Y607" i="2"/>
  <c r="S607" i="2"/>
  <c r="O607" i="2"/>
  <c r="P607" i="2" s="1"/>
  <c r="AA606" i="2"/>
  <c r="Z606" i="2"/>
  <c r="Y606" i="2"/>
  <c r="S606" i="2"/>
  <c r="O606" i="2"/>
  <c r="P606" i="2" s="1"/>
  <c r="AA605" i="2"/>
  <c r="Z605" i="2"/>
  <c r="Y605" i="2"/>
  <c r="S605" i="2"/>
  <c r="O605" i="2"/>
  <c r="P605" i="2" s="1"/>
  <c r="AA604" i="2"/>
  <c r="Z604" i="2"/>
  <c r="Y604" i="2"/>
  <c r="S604" i="2"/>
  <c r="O604" i="2"/>
  <c r="P604" i="2" s="1"/>
  <c r="AA603" i="2"/>
  <c r="Z603" i="2"/>
  <c r="Y603" i="2"/>
  <c r="S603" i="2"/>
  <c r="O603" i="2"/>
  <c r="P603" i="2" s="1"/>
  <c r="AA602" i="2"/>
  <c r="Z602" i="2"/>
  <c r="Y602" i="2"/>
  <c r="S602" i="2"/>
  <c r="O602" i="2"/>
  <c r="P602" i="2" s="1"/>
  <c r="AA601" i="2"/>
  <c r="Z601" i="2"/>
  <c r="Y601" i="2"/>
  <c r="S601" i="2"/>
  <c r="O601" i="2"/>
  <c r="P601" i="2" s="1"/>
  <c r="AA600" i="2"/>
  <c r="Z600" i="2"/>
  <c r="Y600" i="2"/>
  <c r="S600" i="2"/>
  <c r="O600" i="2"/>
  <c r="P600" i="2" s="1"/>
  <c r="AA599" i="2"/>
  <c r="Z599" i="2"/>
  <c r="Y599" i="2"/>
  <c r="S599" i="2"/>
  <c r="O599" i="2"/>
  <c r="P599" i="2" s="1"/>
  <c r="AA598" i="2"/>
  <c r="Z598" i="2"/>
  <c r="Y598" i="2"/>
  <c r="S598" i="2"/>
  <c r="O598" i="2"/>
  <c r="P598" i="2" s="1"/>
  <c r="AA597" i="2"/>
  <c r="Z597" i="2"/>
  <c r="Y597" i="2"/>
  <c r="S597" i="2"/>
  <c r="O597" i="2"/>
  <c r="P597" i="2" s="1"/>
  <c r="AA596" i="2"/>
  <c r="Z596" i="2"/>
  <c r="Y596" i="2"/>
  <c r="S596" i="2"/>
  <c r="O596" i="2"/>
  <c r="P596" i="2" s="1"/>
  <c r="AA595" i="2"/>
  <c r="Z595" i="2"/>
  <c r="Y595" i="2"/>
  <c r="S595" i="2"/>
  <c r="O595" i="2"/>
  <c r="P595" i="2" s="1"/>
  <c r="AA594" i="2"/>
  <c r="Z594" i="2"/>
  <c r="Y594" i="2"/>
  <c r="S594" i="2"/>
  <c r="O594" i="2"/>
  <c r="P594" i="2" s="1"/>
  <c r="AA593" i="2"/>
  <c r="Z593" i="2"/>
  <c r="Y593" i="2"/>
  <c r="S593" i="2"/>
  <c r="O593" i="2"/>
  <c r="P593" i="2" s="1"/>
  <c r="AA592" i="2"/>
  <c r="Z592" i="2"/>
  <c r="Y592" i="2"/>
  <c r="S592" i="2"/>
  <c r="O592" i="2"/>
  <c r="P592" i="2" s="1"/>
  <c r="AA591" i="2"/>
  <c r="Z591" i="2"/>
  <c r="Y591" i="2"/>
  <c r="S591" i="2"/>
  <c r="O591" i="2"/>
  <c r="P591" i="2" s="1"/>
  <c r="AA590" i="2"/>
  <c r="Z590" i="2"/>
  <c r="Y590" i="2"/>
  <c r="S590" i="2"/>
  <c r="O590" i="2"/>
  <c r="P590" i="2" s="1"/>
  <c r="AA589" i="2"/>
  <c r="Z589" i="2"/>
  <c r="Y589" i="2"/>
  <c r="S589" i="2"/>
  <c r="O589" i="2"/>
  <c r="P589" i="2" s="1"/>
  <c r="AA588" i="2"/>
  <c r="Z588" i="2"/>
  <c r="Y588" i="2"/>
  <c r="S588" i="2"/>
  <c r="O588" i="2"/>
  <c r="P588" i="2" s="1"/>
  <c r="AA587" i="2"/>
  <c r="Z587" i="2"/>
  <c r="Y587" i="2"/>
  <c r="S587" i="2"/>
  <c r="O587" i="2"/>
  <c r="P587" i="2" s="1"/>
  <c r="AA586" i="2"/>
  <c r="Z586" i="2"/>
  <c r="Y586" i="2"/>
  <c r="S586" i="2"/>
  <c r="O586" i="2"/>
  <c r="P586" i="2" s="1"/>
  <c r="AA585" i="2"/>
  <c r="Z585" i="2"/>
  <c r="Y585" i="2"/>
  <c r="S585" i="2"/>
  <c r="O585" i="2"/>
  <c r="P585" i="2" s="1"/>
  <c r="AA584" i="2"/>
  <c r="Z584" i="2"/>
  <c r="Y584" i="2"/>
  <c r="S584" i="2"/>
  <c r="O584" i="2"/>
  <c r="P584" i="2" s="1"/>
  <c r="AA583" i="2"/>
  <c r="Z583" i="2"/>
  <c r="Y583" i="2"/>
  <c r="S583" i="2"/>
  <c r="O583" i="2"/>
  <c r="P583" i="2" s="1"/>
  <c r="AA582" i="2"/>
  <c r="Z582" i="2"/>
  <c r="Y582" i="2"/>
  <c r="S582" i="2"/>
  <c r="O582" i="2"/>
  <c r="P582" i="2" s="1"/>
  <c r="AA581" i="2"/>
  <c r="Z581" i="2"/>
  <c r="Y581" i="2"/>
  <c r="S581" i="2"/>
  <c r="O581" i="2"/>
  <c r="P581" i="2" s="1"/>
  <c r="AA580" i="2"/>
  <c r="Z580" i="2"/>
  <c r="Y580" i="2"/>
  <c r="S580" i="2"/>
  <c r="O580" i="2"/>
  <c r="P580" i="2" s="1"/>
  <c r="AA579" i="2"/>
  <c r="Z579" i="2"/>
  <c r="Y579" i="2"/>
  <c r="S579" i="2"/>
  <c r="O579" i="2"/>
  <c r="P579" i="2" s="1"/>
  <c r="AA578" i="2"/>
  <c r="Z578" i="2"/>
  <c r="Y578" i="2"/>
  <c r="S578" i="2"/>
  <c r="O578" i="2"/>
  <c r="P578" i="2" s="1"/>
  <c r="AA577" i="2"/>
  <c r="Z577" i="2"/>
  <c r="Y577" i="2"/>
  <c r="S577" i="2"/>
  <c r="O577" i="2"/>
  <c r="P577" i="2" s="1"/>
  <c r="AA576" i="2"/>
  <c r="Z576" i="2"/>
  <c r="Y576" i="2"/>
  <c r="S576" i="2"/>
  <c r="O576" i="2"/>
  <c r="P576" i="2" s="1"/>
  <c r="AA575" i="2"/>
  <c r="Z575" i="2"/>
  <c r="Y575" i="2"/>
  <c r="S575" i="2"/>
  <c r="O575" i="2"/>
  <c r="P575" i="2" s="1"/>
  <c r="AA574" i="2"/>
  <c r="Z574" i="2"/>
  <c r="Y574" i="2"/>
  <c r="S574" i="2"/>
  <c r="O574" i="2"/>
  <c r="P574" i="2" s="1"/>
  <c r="AA573" i="2"/>
  <c r="Z573" i="2"/>
  <c r="Y573" i="2"/>
  <c r="S573" i="2"/>
  <c r="O573" i="2"/>
  <c r="P573" i="2" s="1"/>
  <c r="AA572" i="2"/>
  <c r="Z572" i="2"/>
  <c r="Y572" i="2"/>
  <c r="S572" i="2"/>
  <c r="O572" i="2"/>
  <c r="P572" i="2" s="1"/>
  <c r="AA571" i="2"/>
  <c r="Z571" i="2"/>
  <c r="Y571" i="2"/>
  <c r="S571" i="2"/>
  <c r="O571" i="2"/>
  <c r="P571" i="2" s="1"/>
  <c r="AA570" i="2"/>
  <c r="Z570" i="2"/>
  <c r="Y570" i="2"/>
  <c r="S570" i="2"/>
  <c r="O570" i="2"/>
  <c r="P570" i="2" s="1"/>
  <c r="AA569" i="2"/>
  <c r="Z569" i="2"/>
  <c r="Y569" i="2"/>
  <c r="S569" i="2"/>
  <c r="O569" i="2"/>
  <c r="P569" i="2" s="1"/>
  <c r="AA568" i="2"/>
  <c r="Z568" i="2"/>
  <c r="Y568" i="2"/>
  <c r="S568" i="2"/>
  <c r="O568" i="2"/>
  <c r="P568" i="2" s="1"/>
  <c r="AA567" i="2"/>
  <c r="Z567" i="2"/>
  <c r="Y567" i="2"/>
  <c r="S567" i="2"/>
  <c r="O567" i="2"/>
  <c r="P567" i="2" s="1"/>
  <c r="AA566" i="2"/>
  <c r="Z566" i="2"/>
  <c r="Y566" i="2"/>
  <c r="S566" i="2"/>
  <c r="O566" i="2"/>
  <c r="P566" i="2" s="1"/>
  <c r="AA565" i="2"/>
  <c r="Z565" i="2"/>
  <c r="Y565" i="2"/>
  <c r="S565" i="2"/>
  <c r="O565" i="2"/>
  <c r="P565" i="2" s="1"/>
  <c r="AA564" i="2"/>
  <c r="Z564" i="2"/>
  <c r="Y564" i="2"/>
  <c r="S564" i="2"/>
  <c r="O564" i="2"/>
  <c r="P564" i="2" s="1"/>
  <c r="AA563" i="2"/>
  <c r="Z563" i="2"/>
  <c r="Y563" i="2"/>
  <c r="S563" i="2"/>
  <c r="O563" i="2"/>
  <c r="P563" i="2" s="1"/>
  <c r="AA562" i="2"/>
  <c r="Z562" i="2"/>
  <c r="Y562" i="2"/>
  <c r="S562" i="2"/>
  <c r="O562" i="2"/>
  <c r="P562" i="2" s="1"/>
  <c r="AA561" i="2"/>
  <c r="Z561" i="2"/>
  <c r="Y561" i="2"/>
  <c r="S561" i="2"/>
  <c r="O561" i="2"/>
  <c r="P561" i="2" s="1"/>
  <c r="AA560" i="2"/>
  <c r="Z560" i="2"/>
  <c r="Y560" i="2"/>
  <c r="S560" i="2"/>
  <c r="O560" i="2"/>
  <c r="P560" i="2" s="1"/>
  <c r="AA559" i="2"/>
  <c r="Z559" i="2"/>
  <c r="Y559" i="2"/>
  <c r="S559" i="2"/>
  <c r="O559" i="2"/>
  <c r="P559" i="2" s="1"/>
  <c r="AA558" i="2"/>
  <c r="Z558" i="2"/>
  <c r="Y558" i="2"/>
  <c r="S558" i="2"/>
  <c r="O558" i="2"/>
  <c r="P558" i="2" s="1"/>
  <c r="AA557" i="2"/>
  <c r="Z557" i="2"/>
  <c r="Y557" i="2"/>
  <c r="S557" i="2"/>
  <c r="O557" i="2"/>
  <c r="P557" i="2" s="1"/>
  <c r="AA556" i="2"/>
  <c r="Z556" i="2"/>
  <c r="Y556" i="2"/>
  <c r="S556" i="2"/>
  <c r="O556" i="2"/>
  <c r="P556" i="2" s="1"/>
  <c r="AA555" i="2"/>
  <c r="Z555" i="2"/>
  <c r="Y555" i="2"/>
  <c r="S555" i="2"/>
  <c r="O555" i="2"/>
  <c r="P555" i="2" s="1"/>
  <c r="AA554" i="2"/>
  <c r="Z554" i="2"/>
  <c r="Y554" i="2"/>
  <c r="S554" i="2"/>
  <c r="O554" i="2"/>
  <c r="P554" i="2" s="1"/>
  <c r="AA553" i="2"/>
  <c r="Z553" i="2"/>
  <c r="Y553" i="2"/>
  <c r="S553" i="2"/>
  <c r="O553" i="2"/>
  <c r="P553" i="2" s="1"/>
  <c r="AA552" i="2"/>
  <c r="Z552" i="2"/>
  <c r="Y552" i="2"/>
  <c r="S552" i="2"/>
  <c r="O552" i="2"/>
  <c r="P552" i="2" s="1"/>
  <c r="AA551" i="2"/>
  <c r="Z551" i="2"/>
  <c r="Y551" i="2"/>
  <c r="S551" i="2"/>
  <c r="O551" i="2"/>
  <c r="P551" i="2" s="1"/>
  <c r="AA550" i="2"/>
  <c r="Z550" i="2"/>
  <c r="Y550" i="2"/>
  <c r="S550" i="2"/>
  <c r="O550" i="2"/>
  <c r="P550" i="2" s="1"/>
  <c r="AA549" i="2"/>
  <c r="Z549" i="2"/>
  <c r="Y549" i="2"/>
  <c r="S549" i="2"/>
  <c r="O549" i="2"/>
  <c r="P549" i="2" s="1"/>
  <c r="AA548" i="2"/>
  <c r="Z548" i="2"/>
  <c r="Y548" i="2"/>
  <c r="S548" i="2"/>
  <c r="O548" i="2"/>
  <c r="P548" i="2" s="1"/>
  <c r="AA547" i="2"/>
  <c r="Z547" i="2"/>
  <c r="Y547" i="2"/>
  <c r="S547" i="2"/>
  <c r="O547" i="2"/>
  <c r="P547" i="2" s="1"/>
  <c r="AA546" i="2"/>
  <c r="Z546" i="2"/>
  <c r="Y546" i="2"/>
  <c r="S546" i="2"/>
  <c r="O546" i="2"/>
  <c r="P546" i="2" s="1"/>
  <c r="AA545" i="2"/>
  <c r="Z545" i="2"/>
  <c r="Y545" i="2"/>
  <c r="S545" i="2"/>
  <c r="O545" i="2"/>
  <c r="P545" i="2" s="1"/>
  <c r="AA544" i="2"/>
  <c r="Z544" i="2"/>
  <c r="Y544" i="2"/>
  <c r="S544" i="2"/>
  <c r="O544" i="2"/>
  <c r="P544" i="2" s="1"/>
  <c r="AA543" i="2"/>
  <c r="Z543" i="2"/>
  <c r="Y543" i="2"/>
  <c r="S543" i="2"/>
  <c r="O543" i="2"/>
  <c r="P543" i="2" s="1"/>
  <c r="AA542" i="2"/>
  <c r="Z542" i="2"/>
  <c r="Y542" i="2"/>
  <c r="S542" i="2"/>
  <c r="O542" i="2"/>
  <c r="P542" i="2" s="1"/>
  <c r="AA541" i="2"/>
  <c r="Z541" i="2"/>
  <c r="Y541" i="2"/>
  <c r="S541" i="2"/>
  <c r="O541" i="2"/>
  <c r="P541" i="2" s="1"/>
  <c r="AA540" i="2"/>
  <c r="Z540" i="2"/>
  <c r="Y540" i="2"/>
  <c r="S540" i="2"/>
  <c r="O540" i="2"/>
  <c r="P540" i="2" s="1"/>
  <c r="AA539" i="2"/>
  <c r="Z539" i="2"/>
  <c r="Y539" i="2"/>
  <c r="S539" i="2"/>
  <c r="O539" i="2"/>
  <c r="P539" i="2" s="1"/>
  <c r="AA538" i="2"/>
  <c r="Z538" i="2"/>
  <c r="Y538" i="2"/>
  <c r="S538" i="2"/>
  <c r="O538" i="2"/>
  <c r="P538" i="2" s="1"/>
  <c r="AA537" i="2"/>
  <c r="Z537" i="2"/>
  <c r="Y537" i="2"/>
  <c r="S537" i="2"/>
  <c r="O537" i="2"/>
  <c r="P537" i="2" s="1"/>
  <c r="AA536" i="2"/>
  <c r="Z536" i="2"/>
  <c r="Y536" i="2"/>
  <c r="S536" i="2"/>
  <c r="O536" i="2"/>
  <c r="P536" i="2" s="1"/>
  <c r="AA535" i="2"/>
  <c r="Z535" i="2"/>
  <c r="Y535" i="2"/>
  <c r="S535" i="2"/>
  <c r="O535" i="2"/>
  <c r="P535" i="2" s="1"/>
  <c r="AA534" i="2"/>
  <c r="Z534" i="2"/>
  <c r="Y534" i="2"/>
  <c r="S534" i="2"/>
  <c r="O534" i="2"/>
  <c r="P534" i="2" s="1"/>
  <c r="AA533" i="2"/>
  <c r="Z533" i="2"/>
  <c r="Y533" i="2"/>
  <c r="S533" i="2"/>
  <c r="O533" i="2"/>
  <c r="P533" i="2" s="1"/>
  <c r="AA532" i="2"/>
  <c r="Z532" i="2"/>
  <c r="Y532" i="2"/>
  <c r="S532" i="2"/>
  <c r="O532" i="2"/>
  <c r="P532" i="2" s="1"/>
  <c r="AA531" i="2"/>
  <c r="Z531" i="2"/>
  <c r="Y531" i="2"/>
  <c r="S531" i="2"/>
  <c r="O531" i="2"/>
  <c r="P531" i="2" s="1"/>
  <c r="AA530" i="2"/>
  <c r="Z530" i="2"/>
  <c r="Y530" i="2"/>
  <c r="S530" i="2"/>
  <c r="O530" i="2"/>
  <c r="P530" i="2" s="1"/>
  <c r="AA529" i="2"/>
  <c r="Z529" i="2"/>
  <c r="Y529" i="2"/>
  <c r="S529" i="2"/>
  <c r="O529" i="2"/>
  <c r="P529" i="2" s="1"/>
  <c r="AA528" i="2"/>
  <c r="Z528" i="2"/>
  <c r="Y528" i="2"/>
  <c r="S528" i="2"/>
  <c r="O528" i="2"/>
  <c r="P528" i="2" s="1"/>
  <c r="AA527" i="2"/>
  <c r="Z527" i="2"/>
  <c r="Y527" i="2"/>
  <c r="S527" i="2"/>
  <c r="O527" i="2"/>
  <c r="P527" i="2" s="1"/>
  <c r="AA526" i="2"/>
  <c r="Z526" i="2"/>
  <c r="Y526" i="2"/>
  <c r="S526" i="2"/>
  <c r="O526" i="2"/>
  <c r="P526" i="2" s="1"/>
  <c r="AA525" i="2"/>
  <c r="Z525" i="2"/>
  <c r="Y525" i="2"/>
  <c r="S525" i="2"/>
  <c r="O525" i="2"/>
  <c r="P525" i="2" s="1"/>
  <c r="AA524" i="2"/>
  <c r="Z524" i="2"/>
  <c r="Y524" i="2"/>
  <c r="S524" i="2"/>
  <c r="O524" i="2"/>
  <c r="P524" i="2" s="1"/>
  <c r="AA523" i="2"/>
  <c r="Z523" i="2"/>
  <c r="Y523" i="2"/>
  <c r="S523" i="2"/>
  <c r="O523" i="2"/>
  <c r="P523" i="2" s="1"/>
  <c r="AA522" i="2"/>
  <c r="Z522" i="2"/>
  <c r="Y522" i="2"/>
  <c r="S522" i="2"/>
  <c r="O522" i="2"/>
  <c r="P522" i="2" s="1"/>
  <c r="AA521" i="2"/>
  <c r="Z521" i="2"/>
  <c r="Y521" i="2"/>
  <c r="S521" i="2"/>
  <c r="O521" i="2"/>
  <c r="P521" i="2" s="1"/>
  <c r="AA520" i="2"/>
  <c r="Z520" i="2"/>
  <c r="Y520" i="2"/>
  <c r="S520" i="2"/>
  <c r="O520" i="2"/>
  <c r="P520" i="2" s="1"/>
  <c r="AA519" i="2"/>
  <c r="Z519" i="2"/>
  <c r="Y519" i="2"/>
  <c r="S519" i="2"/>
  <c r="O519" i="2"/>
  <c r="P519" i="2" s="1"/>
  <c r="AA518" i="2"/>
  <c r="Z518" i="2"/>
  <c r="Y518" i="2"/>
  <c r="S518" i="2"/>
  <c r="O518" i="2"/>
  <c r="P518" i="2" s="1"/>
  <c r="AA517" i="2"/>
  <c r="Z517" i="2"/>
  <c r="Y517" i="2"/>
  <c r="S517" i="2"/>
  <c r="O517" i="2"/>
  <c r="P517" i="2" s="1"/>
  <c r="AA516" i="2"/>
  <c r="Z516" i="2"/>
  <c r="Y516" i="2"/>
  <c r="S516" i="2"/>
  <c r="O516" i="2"/>
  <c r="P516" i="2" s="1"/>
  <c r="AA515" i="2"/>
  <c r="Z515" i="2"/>
  <c r="Y515" i="2"/>
  <c r="S515" i="2"/>
  <c r="O515" i="2"/>
  <c r="P515" i="2" s="1"/>
  <c r="AA514" i="2"/>
  <c r="Z514" i="2"/>
  <c r="Y514" i="2"/>
  <c r="S514" i="2"/>
  <c r="O514" i="2"/>
  <c r="P514" i="2" s="1"/>
  <c r="AA513" i="2"/>
  <c r="Z513" i="2"/>
  <c r="Y513" i="2"/>
  <c r="S513" i="2"/>
  <c r="O513" i="2"/>
  <c r="P513" i="2" s="1"/>
  <c r="AA512" i="2"/>
  <c r="Z512" i="2"/>
  <c r="Y512" i="2"/>
  <c r="S512" i="2"/>
  <c r="O512" i="2"/>
  <c r="P512" i="2" s="1"/>
  <c r="AA511" i="2"/>
  <c r="Z511" i="2"/>
  <c r="Y511" i="2"/>
  <c r="S511" i="2"/>
  <c r="O511" i="2"/>
  <c r="P511" i="2" s="1"/>
  <c r="AA510" i="2"/>
  <c r="Z510" i="2"/>
  <c r="Y510" i="2"/>
  <c r="S510" i="2"/>
  <c r="O510" i="2"/>
  <c r="P510" i="2" s="1"/>
  <c r="AA509" i="2"/>
  <c r="Z509" i="2"/>
  <c r="Y509" i="2"/>
  <c r="S509" i="2"/>
  <c r="O509" i="2"/>
  <c r="P509" i="2" s="1"/>
  <c r="AA508" i="2"/>
  <c r="Z508" i="2"/>
  <c r="Y508" i="2"/>
  <c r="S508" i="2"/>
  <c r="P508" i="2"/>
  <c r="O508" i="2"/>
  <c r="AA507" i="2"/>
  <c r="Z507" i="2"/>
  <c r="Y507" i="2"/>
  <c r="S507" i="2"/>
  <c r="O507" i="2"/>
  <c r="P507" i="2" s="1"/>
  <c r="AA506" i="2"/>
  <c r="Z506" i="2"/>
  <c r="Y506" i="2"/>
  <c r="S506" i="2"/>
  <c r="P506" i="2"/>
  <c r="O506" i="2"/>
  <c r="AA505" i="2"/>
  <c r="Z505" i="2"/>
  <c r="Y505" i="2"/>
  <c r="S505" i="2"/>
  <c r="O505" i="2"/>
  <c r="P505" i="2" s="1"/>
  <c r="AA504" i="2"/>
  <c r="Z504" i="2"/>
  <c r="Y504" i="2"/>
  <c r="S504" i="2"/>
  <c r="O504" i="2"/>
  <c r="P504" i="2" s="1"/>
  <c r="AA503" i="2"/>
  <c r="Z503" i="2"/>
  <c r="Y503" i="2"/>
  <c r="S503" i="2"/>
  <c r="O503" i="2"/>
  <c r="P503" i="2" s="1"/>
  <c r="AA502" i="2"/>
  <c r="Z502" i="2"/>
  <c r="Y502" i="2"/>
  <c r="S502" i="2"/>
  <c r="O502" i="2"/>
  <c r="P502" i="2" s="1"/>
  <c r="AA501" i="2"/>
  <c r="Z501" i="2"/>
  <c r="Y501" i="2"/>
  <c r="S501" i="2"/>
  <c r="O501" i="2"/>
  <c r="P501" i="2" s="1"/>
  <c r="AA500" i="2"/>
  <c r="Z500" i="2"/>
  <c r="Y500" i="2"/>
  <c r="S500" i="2"/>
  <c r="O500" i="2"/>
  <c r="P500" i="2" s="1"/>
  <c r="AA499" i="2"/>
  <c r="Z499" i="2"/>
  <c r="Y499" i="2"/>
  <c r="S499" i="2"/>
  <c r="O499" i="2"/>
  <c r="P499" i="2" s="1"/>
  <c r="AA498" i="2"/>
  <c r="Z498" i="2"/>
  <c r="Y498" i="2"/>
  <c r="S498" i="2"/>
  <c r="O498" i="2"/>
  <c r="P498" i="2" s="1"/>
  <c r="AA497" i="2"/>
  <c r="Z497" i="2"/>
  <c r="Y497" i="2"/>
  <c r="S497" i="2"/>
  <c r="O497" i="2"/>
  <c r="P497" i="2" s="1"/>
  <c r="AA496" i="2"/>
  <c r="Z496" i="2"/>
  <c r="Y496" i="2"/>
  <c r="S496" i="2"/>
  <c r="O496" i="2"/>
  <c r="P496" i="2" s="1"/>
  <c r="AA495" i="2"/>
  <c r="Z495" i="2"/>
  <c r="Y495" i="2"/>
  <c r="S495" i="2"/>
  <c r="O495" i="2"/>
  <c r="P495" i="2" s="1"/>
  <c r="AA494" i="2"/>
  <c r="Z494" i="2"/>
  <c r="Y494" i="2"/>
  <c r="S494" i="2"/>
  <c r="O494" i="2"/>
  <c r="P494" i="2" s="1"/>
  <c r="AA493" i="2"/>
  <c r="Z493" i="2"/>
  <c r="Y493" i="2"/>
  <c r="S493" i="2"/>
  <c r="O493" i="2"/>
  <c r="P493" i="2" s="1"/>
  <c r="AA492" i="2"/>
  <c r="Z492" i="2"/>
  <c r="Y492" i="2"/>
  <c r="S492" i="2"/>
  <c r="O492" i="2"/>
  <c r="P492" i="2" s="1"/>
  <c r="AA491" i="2"/>
  <c r="Z491" i="2"/>
  <c r="Y491" i="2"/>
  <c r="S491" i="2"/>
  <c r="O491" i="2"/>
  <c r="P491" i="2" s="1"/>
  <c r="AA490" i="2"/>
  <c r="Z490" i="2"/>
  <c r="Y490" i="2"/>
  <c r="S490" i="2"/>
  <c r="O490" i="2"/>
  <c r="P490" i="2" s="1"/>
  <c r="AA489" i="2"/>
  <c r="Z489" i="2"/>
  <c r="Y489" i="2"/>
  <c r="S489" i="2"/>
  <c r="O489" i="2"/>
  <c r="P489" i="2" s="1"/>
  <c r="AA488" i="2"/>
  <c r="Z488" i="2"/>
  <c r="Y488" i="2"/>
  <c r="S488" i="2"/>
  <c r="O488" i="2"/>
  <c r="P488" i="2" s="1"/>
  <c r="AA487" i="2"/>
  <c r="Z487" i="2"/>
  <c r="Y487" i="2"/>
  <c r="S487" i="2"/>
  <c r="O487" i="2"/>
  <c r="P487" i="2" s="1"/>
  <c r="AA486" i="2"/>
  <c r="Z486" i="2"/>
  <c r="Y486" i="2"/>
  <c r="S486" i="2"/>
  <c r="O486" i="2"/>
  <c r="P486" i="2" s="1"/>
  <c r="AA485" i="2"/>
  <c r="Z485" i="2"/>
  <c r="Y485" i="2"/>
  <c r="S485" i="2"/>
  <c r="O485" i="2"/>
  <c r="P485" i="2" s="1"/>
  <c r="AA484" i="2"/>
  <c r="Z484" i="2"/>
  <c r="Y484" i="2"/>
  <c r="S484" i="2"/>
  <c r="O484" i="2"/>
  <c r="P484" i="2" s="1"/>
  <c r="AA483" i="2"/>
  <c r="Z483" i="2"/>
  <c r="Y483" i="2"/>
  <c r="S483" i="2"/>
  <c r="O483" i="2"/>
  <c r="P483" i="2" s="1"/>
  <c r="AA482" i="2"/>
  <c r="Z482" i="2"/>
  <c r="Y482" i="2"/>
  <c r="S482" i="2"/>
  <c r="O482" i="2"/>
  <c r="P482" i="2" s="1"/>
  <c r="AA481" i="2"/>
  <c r="Z481" i="2"/>
  <c r="Y481" i="2"/>
  <c r="S481" i="2"/>
  <c r="O481" i="2"/>
  <c r="P481" i="2" s="1"/>
  <c r="AA480" i="2"/>
  <c r="Z480" i="2"/>
  <c r="Y480" i="2"/>
  <c r="S480" i="2"/>
  <c r="O480" i="2"/>
  <c r="P480" i="2" s="1"/>
  <c r="AA479" i="2"/>
  <c r="Z479" i="2"/>
  <c r="Y479" i="2"/>
  <c r="S479" i="2"/>
  <c r="O479" i="2"/>
  <c r="P479" i="2" s="1"/>
  <c r="AA478" i="2"/>
  <c r="Z478" i="2"/>
  <c r="Y478" i="2"/>
  <c r="S478" i="2"/>
  <c r="O478" i="2"/>
  <c r="P478" i="2" s="1"/>
  <c r="AA477" i="2"/>
  <c r="Z477" i="2"/>
  <c r="Y477" i="2"/>
  <c r="S477" i="2"/>
  <c r="O477" i="2"/>
  <c r="P477" i="2" s="1"/>
  <c r="AA476" i="2"/>
  <c r="Z476" i="2"/>
  <c r="Y476" i="2"/>
  <c r="S476" i="2"/>
  <c r="O476" i="2"/>
  <c r="P476" i="2" s="1"/>
  <c r="AA475" i="2"/>
  <c r="Z475" i="2"/>
  <c r="Y475" i="2"/>
  <c r="S475" i="2"/>
  <c r="O475" i="2"/>
  <c r="P475" i="2" s="1"/>
  <c r="AA474" i="2"/>
  <c r="Z474" i="2"/>
  <c r="Y474" i="2"/>
  <c r="S474" i="2"/>
  <c r="O474" i="2"/>
  <c r="P474" i="2" s="1"/>
  <c r="AA473" i="2"/>
  <c r="Z473" i="2"/>
  <c r="Y473" i="2"/>
  <c r="S473" i="2"/>
  <c r="O473" i="2"/>
  <c r="P473" i="2" s="1"/>
  <c r="AA472" i="2"/>
  <c r="Z472" i="2"/>
  <c r="Y472" i="2"/>
  <c r="S472" i="2"/>
  <c r="O472" i="2"/>
  <c r="P472" i="2" s="1"/>
  <c r="AA471" i="2"/>
  <c r="Z471" i="2"/>
  <c r="Y471" i="2"/>
  <c r="S471" i="2"/>
  <c r="O471" i="2"/>
  <c r="P471" i="2" s="1"/>
  <c r="AA470" i="2"/>
  <c r="Z470" i="2"/>
  <c r="Y470" i="2"/>
  <c r="S470" i="2"/>
  <c r="O470" i="2"/>
  <c r="P470" i="2" s="1"/>
  <c r="AA469" i="2"/>
  <c r="Z469" i="2"/>
  <c r="Y469" i="2"/>
  <c r="S469" i="2"/>
  <c r="O469" i="2"/>
  <c r="P469" i="2" s="1"/>
  <c r="AA468" i="2"/>
  <c r="Z468" i="2"/>
  <c r="Y468" i="2"/>
  <c r="S468" i="2"/>
  <c r="O468" i="2"/>
  <c r="P468" i="2" s="1"/>
  <c r="AA467" i="2"/>
  <c r="Z467" i="2"/>
  <c r="Y467" i="2"/>
  <c r="S467" i="2"/>
  <c r="O467" i="2"/>
  <c r="P467" i="2" s="1"/>
  <c r="AA466" i="2"/>
  <c r="Z466" i="2"/>
  <c r="Y466" i="2"/>
  <c r="S466" i="2"/>
  <c r="O466" i="2"/>
  <c r="P466" i="2" s="1"/>
  <c r="AA465" i="2"/>
  <c r="Z465" i="2"/>
  <c r="Y465" i="2"/>
  <c r="S465" i="2"/>
  <c r="O465" i="2"/>
  <c r="P465" i="2" s="1"/>
  <c r="AA464" i="2"/>
  <c r="Z464" i="2"/>
  <c r="Y464" i="2"/>
  <c r="S464" i="2"/>
  <c r="O464" i="2"/>
  <c r="P464" i="2" s="1"/>
  <c r="AA463" i="2"/>
  <c r="Z463" i="2"/>
  <c r="Y463" i="2"/>
  <c r="S463" i="2"/>
  <c r="O463" i="2"/>
  <c r="P463" i="2" s="1"/>
  <c r="AA462" i="2"/>
  <c r="Z462" i="2"/>
  <c r="Y462" i="2"/>
  <c r="S462" i="2"/>
  <c r="O462" i="2"/>
  <c r="P462" i="2" s="1"/>
  <c r="AA461" i="2"/>
  <c r="Z461" i="2"/>
  <c r="Y461" i="2"/>
  <c r="S461" i="2"/>
  <c r="O461" i="2"/>
  <c r="P461" i="2" s="1"/>
  <c r="AA460" i="2"/>
  <c r="Z460" i="2"/>
  <c r="Y460" i="2"/>
  <c r="S460" i="2"/>
  <c r="O460" i="2"/>
  <c r="P460" i="2" s="1"/>
  <c r="AA459" i="2"/>
  <c r="Z459" i="2"/>
  <c r="Y459" i="2"/>
  <c r="S459" i="2"/>
  <c r="O459" i="2"/>
  <c r="P459" i="2" s="1"/>
  <c r="AA458" i="2"/>
  <c r="Z458" i="2"/>
  <c r="Y458" i="2"/>
  <c r="S458" i="2"/>
  <c r="O458" i="2"/>
  <c r="P458" i="2" s="1"/>
  <c r="AA457" i="2"/>
  <c r="Z457" i="2"/>
  <c r="Y457" i="2"/>
  <c r="S457" i="2"/>
  <c r="O457" i="2"/>
  <c r="P457" i="2" s="1"/>
  <c r="AA456" i="2"/>
  <c r="Z456" i="2"/>
  <c r="Y456" i="2"/>
  <c r="S456" i="2"/>
  <c r="O456" i="2"/>
  <c r="P456" i="2" s="1"/>
  <c r="AA455" i="2"/>
  <c r="Z455" i="2"/>
  <c r="Y455" i="2"/>
  <c r="S455" i="2"/>
  <c r="O455" i="2"/>
  <c r="P455" i="2" s="1"/>
  <c r="AA454" i="2"/>
  <c r="Z454" i="2"/>
  <c r="Y454" i="2"/>
  <c r="S454" i="2"/>
  <c r="O454" i="2"/>
  <c r="P454" i="2" s="1"/>
  <c r="AA453" i="2"/>
  <c r="Z453" i="2"/>
  <c r="Y453" i="2"/>
  <c r="S453" i="2"/>
  <c r="O453" i="2"/>
  <c r="P453" i="2" s="1"/>
  <c r="AA452" i="2"/>
  <c r="Z452" i="2"/>
  <c r="Y452" i="2"/>
  <c r="S452" i="2"/>
  <c r="O452" i="2"/>
  <c r="P452" i="2" s="1"/>
  <c r="AA451" i="2"/>
  <c r="Z451" i="2"/>
  <c r="Y451" i="2"/>
  <c r="S451" i="2"/>
  <c r="O451" i="2"/>
  <c r="P451" i="2" s="1"/>
  <c r="AA450" i="2"/>
  <c r="Z450" i="2"/>
  <c r="Y450" i="2"/>
  <c r="S450" i="2"/>
  <c r="O450" i="2"/>
  <c r="P450" i="2" s="1"/>
  <c r="AA449" i="2"/>
  <c r="Z449" i="2"/>
  <c r="Y449" i="2"/>
  <c r="S449" i="2"/>
  <c r="O449" i="2"/>
  <c r="P449" i="2" s="1"/>
  <c r="AA448" i="2"/>
  <c r="Z448" i="2"/>
  <c r="Y448" i="2"/>
  <c r="S448" i="2"/>
  <c r="O448" i="2"/>
  <c r="P448" i="2" s="1"/>
  <c r="AA447" i="2"/>
  <c r="Z447" i="2"/>
  <c r="Y447" i="2"/>
  <c r="S447" i="2"/>
  <c r="O447" i="2"/>
  <c r="P447" i="2" s="1"/>
  <c r="AA446" i="2"/>
  <c r="Z446" i="2"/>
  <c r="Y446" i="2"/>
  <c r="S446" i="2"/>
  <c r="O446" i="2"/>
  <c r="P446" i="2" s="1"/>
  <c r="AA445" i="2"/>
  <c r="Z445" i="2"/>
  <c r="Y445" i="2"/>
  <c r="S445" i="2"/>
  <c r="O445" i="2"/>
  <c r="P445" i="2" s="1"/>
  <c r="AA444" i="2"/>
  <c r="Z444" i="2"/>
  <c r="Y444" i="2"/>
  <c r="S444" i="2"/>
  <c r="O444" i="2"/>
  <c r="P444" i="2" s="1"/>
  <c r="AA443" i="2"/>
  <c r="Z443" i="2"/>
  <c r="Y443" i="2"/>
  <c r="S443" i="2"/>
  <c r="O443" i="2"/>
  <c r="P443" i="2" s="1"/>
  <c r="AA442" i="2"/>
  <c r="Z442" i="2"/>
  <c r="Y442" i="2"/>
  <c r="S442" i="2"/>
  <c r="O442" i="2"/>
  <c r="P442" i="2" s="1"/>
  <c r="AA441" i="2"/>
  <c r="Z441" i="2"/>
  <c r="Y441" i="2"/>
  <c r="S441" i="2"/>
  <c r="O441" i="2"/>
  <c r="P441" i="2" s="1"/>
  <c r="AA440" i="2"/>
  <c r="Z440" i="2"/>
  <c r="Y440" i="2"/>
  <c r="S440" i="2"/>
  <c r="O440" i="2"/>
  <c r="P440" i="2" s="1"/>
  <c r="AA439" i="2"/>
  <c r="Z439" i="2"/>
  <c r="Y439" i="2"/>
  <c r="S439" i="2"/>
  <c r="O439" i="2"/>
  <c r="P439" i="2" s="1"/>
  <c r="AA438" i="2"/>
  <c r="Z438" i="2"/>
  <c r="Y438" i="2"/>
  <c r="S438" i="2"/>
  <c r="O438" i="2"/>
  <c r="P438" i="2" s="1"/>
  <c r="AA437" i="2"/>
  <c r="Z437" i="2"/>
  <c r="Y437" i="2"/>
  <c r="S437" i="2"/>
  <c r="O437" i="2"/>
  <c r="P437" i="2" s="1"/>
  <c r="AA436" i="2"/>
  <c r="Z436" i="2"/>
  <c r="Y436" i="2"/>
  <c r="S436" i="2"/>
  <c r="O436" i="2"/>
  <c r="P436" i="2" s="1"/>
  <c r="AA435" i="2"/>
  <c r="Z435" i="2"/>
  <c r="Y435" i="2"/>
  <c r="S435" i="2"/>
  <c r="O435" i="2"/>
  <c r="P435" i="2" s="1"/>
  <c r="AA434" i="2"/>
  <c r="Z434" i="2"/>
  <c r="Y434" i="2"/>
  <c r="S434" i="2"/>
  <c r="O434" i="2"/>
  <c r="P434" i="2" s="1"/>
  <c r="AA433" i="2"/>
  <c r="Z433" i="2"/>
  <c r="Y433" i="2"/>
  <c r="S433" i="2"/>
  <c r="O433" i="2"/>
  <c r="P433" i="2" s="1"/>
  <c r="AA432" i="2"/>
  <c r="Z432" i="2"/>
  <c r="Y432" i="2"/>
  <c r="S432" i="2"/>
  <c r="O432" i="2"/>
  <c r="P432" i="2" s="1"/>
  <c r="AA431" i="2"/>
  <c r="Z431" i="2"/>
  <c r="Y431" i="2"/>
  <c r="S431" i="2"/>
  <c r="O431" i="2"/>
  <c r="P431" i="2" s="1"/>
  <c r="AA430" i="2"/>
  <c r="Z430" i="2"/>
  <c r="Y430" i="2"/>
  <c r="S430" i="2"/>
  <c r="O430" i="2"/>
  <c r="P430" i="2" s="1"/>
  <c r="AA429" i="2"/>
  <c r="Z429" i="2"/>
  <c r="Y429" i="2"/>
  <c r="S429" i="2"/>
  <c r="O429" i="2"/>
  <c r="P429" i="2" s="1"/>
  <c r="AA428" i="2"/>
  <c r="Z428" i="2"/>
  <c r="Y428" i="2"/>
  <c r="S428" i="2"/>
  <c r="O428" i="2"/>
  <c r="P428" i="2" s="1"/>
  <c r="AA427" i="2"/>
  <c r="Z427" i="2"/>
  <c r="Y427" i="2"/>
  <c r="S427" i="2"/>
  <c r="O427" i="2"/>
  <c r="P427" i="2" s="1"/>
  <c r="AA426" i="2"/>
  <c r="Z426" i="2"/>
  <c r="Y426" i="2"/>
  <c r="S426" i="2"/>
  <c r="O426" i="2"/>
  <c r="P426" i="2" s="1"/>
  <c r="AA425" i="2"/>
  <c r="Z425" i="2"/>
  <c r="Y425" i="2"/>
  <c r="S425" i="2"/>
  <c r="O425" i="2"/>
  <c r="P425" i="2" s="1"/>
  <c r="AA424" i="2"/>
  <c r="Z424" i="2"/>
  <c r="Y424" i="2"/>
  <c r="S424" i="2"/>
  <c r="O424" i="2"/>
  <c r="P424" i="2" s="1"/>
  <c r="AA423" i="2"/>
  <c r="Z423" i="2"/>
  <c r="Y423" i="2"/>
  <c r="S423" i="2"/>
  <c r="O423" i="2"/>
  <c r="P423" i="2" s="1"/>
  <c r="AA422" i="2"/>
  <c r="Z422" i="2"/>
  <c r="Y422" i="2"/>
  <c r="S422" i="2"/>
  <c r="O422" i="2"/>
  <c r="P422" i="2" s="1"/>
  <c r="AA421" i="2"/>
  <c r="Z421" i="2"/>
  <c r="Y421" i="2"/>
  <c r="S421" i="2"/>
  <c r="O421" i="2"/>
  <c r="P421" i="2" s="1"/>
  <c r="AA420" i="2"/>
  <c r="Z420" i="2"/>
  <c r="Y420" i="2"/>
  <c r="S420" i="2"/>
  <c r="O420" i="2"/>
  <c r="P420" i="2" s="1"/>
  <c r="AA419" i="2"/>
  <c r="Z419" i="2"/>
  <c r="Y419" i="2"/>
  <c r="S419" i="2"/>
  <c r="O419" i="2"/>
  <c r="P419" i="2" s="1"/>
  <c r="AA418" i="2"/>
  <c r="Z418" i="2"/>
  <c r="Y418" i="2"/>
  <c r="S418" i="2"/>
  <c r="O418" i="2"/>
  <c r="P418" i="2" s="1"/>
  <c r="AA417" i="2"/>
  <c r="Z417" i="2"/>
  <c r="Y417" i="2"/>
  <c r="S417" i="2"/>
  <c r="O417" i="2"/>
  <c r="P417" i="2" s="1"/>
  <c r="AA416" i="2"/>
  <c r="Z416" i="2"/>
  <c r="Y416" i="2"/>
  <c r="S416" i="2"/>
  <c r="O416" i="2"/>
  <c r="P416" i="2" s="1"/>
  <c r="AA415" i="2"/>
  <c r="Z415" i="2"/>
  <c r="Y415" i="2"/>
  <c r="S415" i="2"/>
  <c r="O415" i="2"/>
  <c r="P415" i="2" s="1"/>
  <c r="AA414" i="2"/>
  <c r="Z414" i="2"/>
  <c r="Y414" i="2"/>
  <c r="S414" i="2"/>
  <c r="O414" i="2"/>
  <c r="P414" i="2" s="1"/>
  <c r="AA413" i="2"/>
  <c r="Z413" i="2"/>
  <c r="Y413" i="2"/>
  <c r="S413" i="2"/>
  <c r="O413" i="2"/>
  <c r="P413" i="2" s="1"/>
  <c r="AA412" i="2"/>
  <c r="Z412" i="2"/>
  <c r="Y412" i="2"/>
  <c r="S412" i="2"/>
  <c r="O412" i="2"/>
  <c r="P412" i="2" s="1"/>
  <c r="AA411" i="2"/>
  <c r="Z411" i="2"/>
  <c r="Y411" i="2"/>
  <c r="S411" i="2"/>
  <c r="O411" i="2"/>
  <c r="P411" i="2" s="1"/>
  <c r="AA410" i="2"/>
  <c r="Z410" i="2"/>
  <c r="Y410" i="2"/>
  <c r="S410" i="2"/>
  <c r="O410" i="2"/>
  <c r="P410" i="2" s="1"/>
  <c r="AA409" i="2"/>
  <c r="Z409" i="2"/>
  <c r="Y409" i="2"/>
  <c r="S409" i="2"/>
  <c r="O409" i="2"/>
  <c r="P409" i="2" s="1"/>
  <c r="AA408" i="2"/>
  <c r="Z408" i="2"/>
  <c r="Y408" i="2"/>
  <c r="S408" i="2"/>
  <c r="O408" i="2"/>
  <c r="P408" i="2" s="1"/>
  <c r="AA407" i="2"/>
  <c r="Z407" i="2"/>
  <c r="Y407" i="2"/>
  <c r="S407" i="2"/>
  <c r="O407" i="2"/>
  <c r="P407" i="2" s="1"/>
  <c r="AA406" i="2"/>
  <c r="Z406" i="2"/>
  <c r="Y406" i="2"/>
  <c r="S406" i="2"/>
  <c r="O406" i="2"/>
  <c r="P406" i="2" s="1"/>
  <c r="AA405" i="2"/>
  <c r="Z405" i="2"/>
  <c r="Y405" i="2"/>
  <c r="S405" i="2"/>
  <c r="O405" i="2"/>
  <c r="P405" i="2" s="1"/>
  <c r="AA404" i="2"/>
  <c r="Z404" i="2"/>
  <c r="Y404" i="2"/>
  <c r="S404" i="2"/>
  <c r="O404" i="2"/>
  <c r="P404" i="2" s="1"/>
  <c r="AA403" i="2"/>
  <c r="Z403" i="2"/>
  <c r="Y403" i="2"/>
  <c r="S403" i="2"/>
  <c r="O403" i="2"/>
  <c r="P403" i="2" s="1"/>
  <c r="AA402" i="2"/>
  <c r="Z402" i="2"/>
  <c r="Y402" i="2"/>
  <c r="S402" i="2"/>
  <c r="O402" i="2"/>
  <c r="P402" i="2" s="1"/>
  <c r="AA401" i="2"/>
  <c r="Z401" i="2"/>
  <c r="Y401" i="2"/>
  <c r="S401" i="2"/>
  <c r="O401" i="2"/>
  <c r="P401" i="2" s="1"/>
  <c r="AA400" i="2"/>
  <c r="Z400" i="2"/>
  <c r="Y400" i="2"/>
  <c r="S400" i="2"/>
  <c r="O400" i="2"/>
  <c r="P400" i="2" s="1"/>
  <c r="AA399" i="2"/>
  <c r="Z399" i="2"/>
  <c r="Y399" i="2"/>
  <c r="S399" i="2"/>
  <c r="O399" i="2"/>
  <c r="P399" i="2" s="1"/>
  <c r="AA398" i="2"/>
  <c r="Z398" i="2"/>
  <c r="Y398" i="2"/>
  <c r="S398" i="2"/>
  <c r="O398" i="2"/>
  <c r="P398" i="2" s="1"/>
  <c r="AA397" i="2"/>
  <c r="Z397" i="2"/>
  <c r="Y397" i="2"/>
  <c r="S397" i="2"/>
  <c r="O397" i="2"/>
  <c r="P397" i="2" s="1"/>
  <c r="AA396" i="2"/>
  <c r="Z396" i="2"/>
  <c r="Y396" i="2"/>
  <c r="S396" i="2"/>
  <c r="O396" i="2"/>
  <c r="P396" i="2" s="1"/>
  <c r="AA395" i="2"/>
  <c r="Z395" i="2"/>
  <c r="Y395" i="2"/>
  <c r="S395" i="2"/>
  <c r="O395" i="2"/>
  <c r="P395" i="2" s="1"/>
  <c r="AA394" i="2"/>
  <c r="Z394" i="2"/>
  <c r="Y394" i="2"/>
  <c r="S394" i="2"/>
  <c r="O394" i="2"/>
  <c r="P394" i="2" s="1"/>
  <c r="AA393" i="2"/>
  <c r="Z393" i="2"/>
  <c r="Y393" i="2"/>
  <c r="S393" i="2"/>
  <c r="O393" i="2"/>
  <c r="P393" i="2" s="1"/>
  <c r="AA392" i="2"/>
  <c r="Z392" i="2"/>
  <c r="Y392" i="2"/>
  <c r="S392" i="2"/>
  <c r="O392" i="2"/>
  <c r="P392" i="2" s="1"/>
  <c r="AA391" i="2"/>
  <c r="Z391" i="2"/>
  <c r="Y391" i="2"/>
  <c r="S391" i="2"/>
  <c r="O391" i="2"/>
  <c r="P391" i="2" s="1"/>
  <c r="AA390" i="2"/>
  <c r="Z390" i="2"/>
  <c r="Y390" i="2"/>
  <c r="S390" i="2"/>
  <c r="O390" i="2"/>
  <c r="P390" i="2" s="1"/>
  <c r="AA389" i="2"/>
  <c r="Z389" i="2"/>
  <c r="Y389" i="2"/>
  <c r="S389" i="2"/>
  <c r="O389" i="2"/>
  <c r="P389" i="2" s="1"/>
  <c r="AA388" i="2"/>
  <c r="Z388" i="2"/>
  <c r="Y388" i="2"/>
  <c r="S388" i="2"/>
  <c r="O388" i="2"/>
  <c r="P388" i="2" s="1"/>
  <c r="AA387" i="2"/>
  <c r="Z387" i="2"/>
  <c r="Y387" i="2"/>
  <c r="S387" i="2"/>
  <c r="O387" i="2"/>
  <c r="P387" i="2" s="1"/>
  <c r="AA386" i="2"/>
  <c r="Z386" i="2"/>
  <c r="Y386" i="2"/>
  <c r="S386" i="2"/>
  <c r="O386" i="2"/>
  <c r="P386" i="2" s="1"/>
  <c r="AA385" i="2"/>
  <c r="Z385" i="2"/>
  <c r="Y385" i="2"/>
  <c r="S385" i="2"/>
  <c r="O385" i="2"/>
  <c r="P385" i="2" s="1"/>
  <c r="AA384" i="2"/>
  <c r="Z384" i="2"/>
  <c r="Y384" i="2"/>
  <c r="S384" i="2"/>
  <c r="O384" i="2"/>
  <c r="P384" i="2" s="1"/>
  <c r="AA383" i="2"/>
  <c r="Z383" i="2"/>
  <c r="Y383" i="2"/>
  <c r="S383" i="2"/>
  <c r="O383" i="2"/>
  <c r="P383" i="2" s="1"/>
  <c r="AA382" i="2"/>
  <c r="Z382" i="2"/>
  <c r="Y382" i="2"/>
  <c r="S382" i="2"/>
  <c r="O382" i="2"/>
  <c r="P382" i="2" s="1"/>
  <c r="AA381" i="2"/>
  <c r="Z381" i="2"/>
  <c r="Y381" i="2"/>
  <c r="S381" i="2"/>
  <c r="O381" i="2"/>
  <c r="P381" i="2" s="1"/>
  <c r="AA380" i="2"/>
  <c r="Z380" i="2"/>
  <c r="Y380" i="2"/>
  <c r="S380" i="2"/>
  <c r="O380" i="2"/>
  <c r="P380" i="2" s="1"/>
  <c r="AA379" i="2"/>
  <c r="Z379" i="2"/>
  <c r="Y379" i="2"/>
  <c r="S379" i="2"/>
  <c r="O379" i="2"/>
  <c r="P379" i="2" s="1"/>
  <c r="AA378" i="2"/>
  <c r="Z378" i="2"/>
  <c r="Y378" i="2"/>
  <c r="S378" i="2"/>
  <c r="O378" i="2"/>
  <c r="P378" i="2" s="1"/>
  <c r="AA377" i="2"/>
  <c r="Z377" i="2"/>
  <c r="Y377" i="2"/>
  <c r="S377" i="2"/>
  <c r="O377" i="2"/>
  <c r="P377" i="2" s="1"/>
  <c r="AA376" i="2"/>
  <c r="Z376" i="2"/>
  <c r="Y376" i="2"/>
  <c r="S376" i="2"/>
  <c r="O376" i="2"/>
  <c r="P376" i="2" s="1"/>
  <c r="AA375" i="2"/>
  <c r="Z375" i="2"/>
  <c r="Y375" i="2"/>
  <c r="S375" i="2"/>
  <c r="O375" i="2"/>
  <c r="P375" i="2" s="1"/>
  <c r="AA374" i="2"/>
  <c r="Z374" i="2"/>
  <c r="Y374" i="2"/>
  <c r="S374" i="2"/>
  <c r="O374" i="2"/>
  <c r="P374" i="2" s="1"/>
  <c r="AA373" i="2"/>
  <c r="Z373" i="2"/>
  <c r="Y373" i="2"/>
  <c r="S373" i="2"/>
  <c r="O373" i="2"/>
  <c r="P373" i="2" s="1"/>
  <c r="AA372" i="2"/>
  <c r="Z372" i="2"/>
  <c r="Y372" i="2"/>
  <c r="S372" i="2"/>
  <c r="O372" i="2"/>
  <c r="P372" i="2" s="1"/>
  <c r="AA371" i="2"/>
  <c r="Z371" i="2"/>
  <c r="Y371" i="2"/>
  <c r="S371" i="2"/>
  <c r="O371" i="2"/>
  <c r="P371" i="2" s="1"/>
  <c r="AA370" i="2"/>
  <c r="Z370" i="2"/>
  <c r="Y370" i="2"/>
  <c r="S370" i="2"/>
  <c r="O370" i="2"/>
  <c r="P370" i="2" s="1"/>
  <c r="AA369" i="2"/>
  <c r="Z369" i="2"/>
  <c r="Y369" i="2"/>
  <c r="S369" i="2"/>
  <c r="O369" i="2"/>
  <c r="P369" i="2" s="1"/>
  <c r="AA368" i="2"/>
  <c r="Z368" i="2"/>
  <c r="Y368" i="2"/>
  <c r="S368" i="2"/>
  <c r="O368" i="2"/>
  <c r="P368" i="2" s="1"/>
  <c r="AA367" i="2"/>
  <c r="Z367" i="2"/>
  <c r="Y367" i="2"/>
  <c r="S367" i="2"/>
  <c r="O367" i="2"/>
  <c r="P367" i="2" s="1"/>
  <c r="AA366" i="2"/>
  <c r="Z366" i="2"/>
  <c r="Y366" i="2"/>
  <c r="S366" i="2"/>
  <c r="O366" i="2"/>
  <c r="P366" i="2" s="1"/>
  <c r="AA365" i="2"/>
  <c r="Z365" i="2"/>
  <c r="Y365" i="2"/>
  <c r="S365" i="2"/>
  <c r="O365" i="2"/>
  <c r="P365" i="2" s="1"/>
  <c r="AA364" i="2"/>
  <c r="Z364" i="2"/>
  <c r="Y364" i="2"/>
  <c r="S364" i="2"/>
  <c r="O364" i="2"/>
  <c r="P364" i="2" s="1"/>
  <c r="AA363" i="2"/>
  <c r="Z363" i="2"/>
  <c r="Y363" i="2"/>
  <c r="S363" i="2"/>
  <c r="O363" i="2"/>
  <c r="P363" i="2" s="1"/>
  <c r="AA362" i="2"/>
  <c r="Z362" i="2"/>
  <c r="Y362" i="2"/>
  <c r="S362" i="2"/>
  <c r="O362" i="2"/>
  <c r="P362" i="2" s="1"/>
  <c r="AA361" i="2"/>
  <c r="Z361" i="2"/>
  <c r="Y361" i="2"/>
  <c r="S361" i="2"/>
  <c r="O361" i="2"/>
  <c r="P361" i="2" s="1"/>
  <c r="AA360" i="2"/>
  <c r="Z360" i="2"/>
  <c r="Y360" i="2"/>
  <c r="S360" i="2"/>
  <c r="O360" i="2"/>
  <c r="P360" i="2" s="1"/>
  <c r="AA359" i="2"/>
  <c r="Z359" i="2"/>
  <c r="Y359" i="2"/>
  <c r="S359" i="2"/>
  <c r="O359" i="2"/>
  <c r="P359" i="2" s="1"/>
  <c r="AA358" i="2"/>
  <c r="Z358" i="2"/>
  <c r="Y358" i="2"/>
  <c r="S358" i="2"/>
  <c r="O358" i="2"/>
  <c r="P358" i="2" s="1"/>
  <c r="AA357" i="2"/>
  <c r="Z357" i="2"/>
  <c r="Y357" i="2"/>
  <c r="S357" i="2"/>
  <c r="O357" i="2"/>
  <c r="P357" i="2" s="1"/>
  <c r="AA356" i="2"/>
  <c r="Z356" i="2"/>
  <c r="Y356" i="2"/>
  <c r="S356" i="2"/>
  <c r="O356" i="2"/>
  <c r="P356" i="2" s="1"/>
  <c r="AA355" i="2"/>
  <c r="Z355" i="2"/>
  <c r="Y355" i="2"/>
  <c r="S355" i="2"/>
  <c r="O355" i="2"/>
  <c r="P355" i="2" s="1"/>
  <c r="AA354" i="2"/>
  <c r="Z354" i="2"/>
  <c r="Y354" i="2"/>
  <c r="S354" i="2"/>
  <c r="O354" i="2"/>
  <c r="P354" i="2" s="1"/>
  <c r="AA353" i="2"/>
  <c r="Z353" i="2"/>
  <c r="Y353" i="2"/>
  <c r="S353" i="2"/>
  <c r="O353" i="2"/>
  <c r="P353" i="2" s="1"/>
  <c r="AA352" i="2"/>
  <c r="Z352" i="2"/>
  <c r="Y352" i="2"/>
  <c r="S352" i="2"/>
  <c r="O352" i="2"/>
  <c r="P352" i="2" s="1"/>
  <c r="AA351" i="2"/>
  <c r="Z351" i="2"/>
  <c r="Y351" i="2"/>
  <c r="S351" i="2"/>
  <c r="O351" i="2"/>
  <c r="P351" i="2" s="1"/>
  <c r="AA350" i="2"/>
  <c r="Z350" i="2"/>
  <c r="Y350" i="2"/>
  <c r="S350" i="2"/>
  <c r="O350" i="2"/>
  <c r="P350" i="2" s="1"/>
  <c r="AA349" i="2"/>
  <c r="Z349" i="2"/>
  <c r="Y349" i="2"/>
  <c r="S349" i="2"/>
  <c r="O349" i="2"/>
  <c r="P349" i="2" s="1"/>
  <c r="AA348" i="2"/>
  <c r="Z348" i="2"/>
  <c r="Y348" i="2"/>
  <c r="S348" i="2"/>
  <c r="O348" i="2"/>
  <c r="P348" i="2" s="1"/>
  <c r="AA347" i="2"/>
  <c r="Z347" i="2"/>
  <c r="Y347" i="2"/>
  <c r="S347" i="2"/>
  <c r="O347" i="2"/>
  <c r="P347" i="2" s="1"/>
  <c r="AA346" i="2"/>
  <c r="Z346" i="2"/>
  <c r="Y346" i="2"/>
  <c r="S346" i="2"/>
  <c r="O346" i="2"/>
  <c r="P346" i="2" s="1"/>
  <c r="AA345" i="2"/>
  <c r="Z345" i="2"/>
  <c r="Y345" i="2"/>
  <c r="S345" i="2"/>
  <c r="O345" i="2"/>
  <c r="P345" i="2" s="1"/>
  <c r="AA344" i="2"/>
  <c r="Z344" i="2"/>
  <c r="Y344" i="2"/>
  <c r="S344" i="2"/>
  <c r="O344" i="2"/>
  <c r="P344" i="2" s="1"/>
  <c r="AA343" i="2"/>
  <c r="Z343" i="2"/>
  <c r="Y343" i="2"/>
  <c r="S343" i="2"/>
  <c r="O343" i="2"/>
  <c r="P343" i="2" s="1"/>
  <c r="AA342" i="2"/>
  <c r="Z342" i="2"/>
  <c r="Y342" i="2"/>
  <c r="S342" i="2"/>
  <c r="O342" i="2"/>
  <c r="P342" i="2" s="1"/>
  <c r="AA341" i="2"/>
  <c r="Z341" i="2"/>
  <c r="Y341" i="2"/>
  <c r="S341" i="2"/>
  <c r="O341" i="2"/>
  <c r="P341" i="2" s="1"/>
  <c r="AA340" i="2"/>
  <c r="Z340" i="2"/>
  <c r="Y340" i="2"/>
  <c r="S340" i="2"/>
  <c r="O340" i="2"/>
  <c r="P340" i="2" s="1"/>
  <c r="AA339" i="2"/>
  <c r="Z339" i="2"/>
  <c r="Y339" i="2"/>
  <c r="S339" i="2"/>
  <c r="O339" i="2"/>
  <c r="P339" i="2" s="1"/>
  <c r="AA338" i="2"/>
  <c r="Z338" i="2"/>
  <c r="Y338" i="2"/>
  <c r="S338" i="2"/>
  <c r="O338" i="2"/>
  <c r="P338" i="2" s="1"/>
  <c r="AA337" i="2"/>
  <c r="Z337" i="2"/>
  <c r="Y337" i="2"/>
  <c r="S337" i="2"/>
  <c r="O337" i="2"/>
  <c r="P337" i="2" s="1"/>
  <c r="AA336" i="2"/>
  <c r="Z336" i="2"/>
  <c r="Y336" i="2"/>
  <c r="S336" i="2"/>
  <c r="O336" i="2"/>
  <c r="P336" i="2" s="1"/>
  <c r="AA335" i="2"/>
  <c r="Z335" i="2"/>
  <c r="Y335" i="2"/>
  <c r="S335" i="2"/>
  <c r="O335" i="2"/>
  <c r="P335" i="2" s="1"/>
  <c r="AA334" i="2"/>
  <c r="Z334" i="2"/>
  <c r="Y334" i="2"/>
  <c r="S334" i="2"/>
  <c r="O334" i="2"/>
  <c r="P334" i="2" s="1"/>
  <c r="AA333" i="2"/>
  <c r="Z333" i="2"/>
  <c r="Y333" i="2"/>
  <c r="S333" i="2"/>
  <c r="O333" i="2"/>
  <c r="P333" i="2" s="1"/>
  <c r="AA332" i="2"/>
  <c r="Z332" i="2"/>
  <c r="Y332" i="2"/>
  <c r="S332" i="2"/>
  <c r="O332" i="2"/>
  <c r="P332" i="2" s="1"/>
  <c r="AA331" i="2"/>
  <c r="Z331" i="2"/>
  <c r="Y331" i="2"/>
  <c r="S331" i="2"/>
  <c r="O331" i="2"/>
  <c r="P331" i="2" s="1"/>
  <c r="AA330" i="2"/>
  <c r="Z330" i="2"/>
  <c r="Y330" i="2"/>
  <c r="S330" i="2"/>
  <c r="O330" i="2"/>
  <c r="P330" i="2" s="1"/>
  <c r="AA329" i="2"/>
  <c r="Z329" i="2"/>
  <c r="Y329" i="2"/>
  <c r="S329" i="2"/>
  <c r="O329" i="2"/>
  <c r="P329" i="2" s="1"/>
  <c r="AA328" i="2"/>
  <c r="Z328" i="2"/>
  <c r="Y328" i="2"/>
  <c r="S328" i="2"/>
  <c r="O328" i="2"/>
  <c r="P328" i="2" s="1"/>
  <c r="AA327" i="2"/>
  <c r="Z327" i="2"/>
  <c r="Y327" i="2"/>
  <c r="S327" i="2"/>
  <c r="O327" i="2"/>
  <c r="P327" i="2" s="1"/>
  <c r="AA326" i="2"/>
  <c r="Z326" i="2"/>
  <c r="Y326" i="2"/>
  <c r="S326" i="2"/>
  <c r="O326" i="2"/>
  <c r="P326" i="2" s="1"/>
  <c r="AA325" i="2"/>
  <c r="Z325" i="2"/>
  <c r="Y325" i="2"/>
  <c r="S325" i="2"/>
  <c r="O325" i="2"/>
  <c r="P325" i="2" s="1"/>
  <c r="AA324" i="2"/>
  <c r="Z324" i="2"/>
  <c r="Y324" i="2"/>
  <c r="S324" i="2"/>
  <c r="O324" i="2"/>
  <c r="P324" i="2" s="1"/>
  <c r="AA323" i="2"/>
  <c r="Z323" i="2"/>
  <c r="Y323" i="2"/>
  <c r="S323" i="2"/>
  <c r="P323" i="2"/>
  <c r="O323" i="2"/>
  <c r="AA322" i="2"/>
  <c r="Z322" i="2"/>
  <c r="Y322" i="2"/>
  <c r="S322" i="2"/>
  <c r="O322" i="2"/>
  <c r="P322" i="2" s="1"/>
  <c r="AA321" i="2"/>
  <c r="Z321" i="2"/>
  <c r="Y321" i="2"/>
  <c r="S321" i="2"/>
  <c r="O321" i="2"/>
  <c r="P321" i="2" s="1"/>
  <c r="AA320" i="2"/>
  <c r="Z320" i="2"/>
  <c r="Y320" i="2"/>
  <c r="S320" i="2"/>
  <c r="O320" i="2"/>
  <c r="P320" i="2" s="1"/>
  <c r="AA319" i="2"/>
  <c r="Z319" i="2"/>
  <c r="Y319" i="2"/>
  <c r="S319" i="2"/>
  <c r="O319" i="2"/>
  <c r="P319" i="2" s="1"/>
  <c r="AA318" i="2"/>
  <c r="Z318" i="2"/>
  <c r="Y318" i="2"/>
  <c r="S318" i="2"/>
  <c r="O318" i="2"/>
  <c r="P318" i="2" s="1"/>
  <c r="AA317" i="2"/>
  <c r="Z317" i="2"/>
  <c r="Y317" i="2"/>
  <c r="S317" i="2"/>
  <c r="O317" i="2"/>
  <c r="P317" i="2" s="1"/>
  <c r="AA316" i="2"/>
  <c r="Z316" i="2"/>
  <c r="Y316" i="2"/>
  <c r="S316" i="2"/>
  <c r="O316" i="2"/>
  <c r="P316" i="2" s="1"/>
  <c r="AA315" i="2"/>
  <c r="Z315" i="2"/>
  <c r="Y315" i="2"/>
  <c r="S315" i="2"/>
  <c r="O315" i="2"/>
  <c r="P315" i="2" s="1"/>
  <c r="AA314" i="2"/>
  <c r="Z314" i="2"/>
  <c r="Y314" i="2"/>
  <c r="S314" i="2"/>
  <c r="O314" i="2"/>
  <c r="P314" i="2" s="1"/>
  <c r="AA313" i="2"/>
  <c r="Z313" i="2"/>
  <c r="Y313" i="2"/>
  <c r="S313" i="2"/>
  <c r="O313" i="2"/>
  <c r="P313" i="2" s="1"/>
  <c r="AA312" i="2"/>
  <c r="Z312" i="2"/>
  <c r="Y312" i="2"/>
  <c r="S312" i="2"/>
  <c r="O312" i="2"/>
  <c r="P312" i="2" s="1"/>
  <c r="AA311" i="2"/>
  <c r="Z311" i="2"/>
  <c r="Y311" i="2"/>
  <c r="S311" i="2"/>
  <c r="O311" i="2"/>
  <c r="P311" i="2" s="1"/>
  <c r="AA310" i="2"/>
  <c r="Z310" i="2"/>
  <c r="Y310" i="2"/>
  <c r="S310" i="2"/>
  <c r="O310" i="2"/>
  <c r="P310" i="2" s="1"/>
  <c r="AA309" i="2"/>
  <c r="Z309" i="2"/>
  <c r="Y309" i="2"/>
  <c r="S309" i="2"/>
  <c r="O309" i="2"/>
  <c r="P309" i="2" s="1"/>
  <c r="AA308" i="2"/>
  <c r="Z308" i="2"/>
  <c r="Y308" i="2"/>
  <c r="S308" i="2"/>
  <c r="O308" i="2"/>
  <c r="P308" i="2" s="1"/>
  <c r="AA307" i="2"/>
  <c r="Z307" i="2"/>
  <c r="Y307" i="2"/>
  <c r="S307" i="2"/>
  <c r="O307" i="2"/>
  <c r="P307" i="2" s="1"/>
  <c r="AA306" i="2"/>
  <c r="Z306" i="2"/>
  <c r="Y306" i="2"/>
  <c r="S306" i="2"/>
  <c r="O306" i="2"/>
  <c r="P306" i="2" s="1"/>
  <c r="AA305" i="2"/>
  <c r="Z305" i="2"/>
  <c r="Y305" i="2"/>
  <c r="S305" i="2"/>
  <c r="O305" i="2"/>
  <c r="P305" i="2" s="1"/>
  <c r="AA304" i="2"/>
  <c r="Z304" i="2"/>
  <c r="Y304" i="2"/>
  <c r="S304" i="2"/>
  <c r="O304" i="2"/>
  <c r="P304" i="2" s="1"/>
  <c r="AA303" i="2"/>
  <c r="Z303" i="2"/>
  <c r="Y303" i="2"/>
  <c r="S303" i="2"/>
  <c r="O303" i="2"/>
  <c r="P303" i="2" s="1"/>
  <c r="AA302" i="2"/>
  <c r="Z302" i="2"/>
  <c r="Y302" i="2"/>
  <c r="S302" i="2"/>
  <c r="O302" i="2"/>
  <c r="P302" i="2" s="1"/>
  <c r="AA301" i="2"/>
  <c r="Z301" i="2"/>
  <c r="Y301" i="2"/>
  <c r="S301" i="2"/>
  <c r="O301" i="2"/>
  <c r="P301" i="2" s="1"/>
  <c r="AA300" i="2"/>
  <c r="Z300" i="2"/>
  <c r="Y300" i="2"/>
  <c r="S300" i="2"/>
  <c r="O300" i="2"/>
  <c r="P300" i="2" s="1"/>
  <c r="AA299" i="2"/>
  <c r="Z299" i="2"/>
  <c r="Y299" i="2"/>
  <c r="S299" i="2"/>
  <c r="O299" i="2"/>
  <c r="P299" i="2" s="1"/>
  <c r="AA298" i="2"/>
  <c r="Z298" i="2"/>
  <c r="Y298" i="2"/>
  <c r="S298" i="2"/>
  <c r="O298" i="2"/>
  <c r="P298" i="2" s="1"/>
  <c r="AA297" i="2"/>
  <c r="Z297" i="2"/>
  <c r="Y297" i="2"/>
  <c r="S297" i="2"/>
  <c r="O297" i="2"/>
  <c r="P297" i="2" s="1"/>
  <c r="AA296" i="2"/>
  <c r="Z296" i="2"/>
  <c r="Y296" i="2"/>
  <c r="S296" i="2"/>
  <c r="O296" i="2"/>
  <c r="P296" i="2" s="1"/>
  <c r="AA295" i="2"/>
  <c r="Z295" i="2"/>
  <c r="Y295" i="2"/>
  <c r="S295" i="2"/>
  <c r="O295" i="2"/>
  <c r="P295" i="2" s="1"/>
  <c r="AA294" i="2"/>
  <c r="Z294" i="2"/>
  <c r="Y294" i="2"/>
  <c r="S294" i="2"/>
  <c r="O294" i="2"/>
  <c r="P294" i="2" s="1"/>
  <c r="AA293" i="2"/>
  <c r="Z293" i="2"/>
  <c r="Y293" i="2"/>
  <c r="S293" i="2"/>
  <c r="O293" i="2"/>
  <c r="P293" i="2" s="1"/>
  <c r="AA292" i="2"/>
  <c r="Z292" i="2"/>
  <c r="Y292" i="2"/>
  <c r="S292" i="2"/>
  <c r="O292" i="2"/>
  <c r="P292" i="2" s="1"/>
  <c r="AA291" i="2"/>
  <c r="Z291" i="2"/>
  <c r="Y291" i="2"/>
  <c r="S291" i="2"/>
  <c r="O291" i="2"/>
  <c r="P291" i="2" s="1"/>
  <c r="AA290" i="2"/>
  <c r="Z290" i="2"/>
  <c r="Y290" i="2"/>
  <c r="S290" i="2"/>
  <c r="O290" i="2"/>
  <c r="P290" i="2" s="1"/>
  <c r="AA289" i="2"/>
  <c r="Z289" i="2"/>
  <c r="Y289" i="2"/>
  <c r="S289" i="2"/>
  <c r="O289" i="2"/>
  <c r="P289" i="2" s="1"/>
  <c r="AA288" i="2"/>
  <c r="Z288" i="2"/>
  <c r="Y288" i="2"/>
  <c r="S288" i="2"/>
  <c r="O288" i="2"/>
  <c r="P288" i="2" s="1"/>
  <c r="AA287" i="2"/>
  <c r="Z287" i="2"/>
  <c r="Y287" i="2"/>
  <c r="S287" i="2"/>
  <c r="O287" i="2"/>
  <c r="P287" i="2" s="1"/>
  <c r="AA286" i="2"/>
  <c r="Z286" i="2"/>
  <c r="Y286" i="2"/>
  <c r="S286" i="2"/>
  <c r="O286" i="2"/>
  <c r="P286" i="2" s="1"/>
  <c r="AA285" i="2"/>
  <c r="Z285" i="2"/>
  <c r="Y285" i="2"/>
  <c r="S285" i="2"/>
  <c r="O285" i="2"/>
  <c r="P285" i="2" s="1"/>
  <c r="AA284" i="2"/>
  <c r="Z284" i="2"/>
  <c r="Y284" i="2"/>
  <c r="S284" i="2"/>
  <c r="O284" i="2"/>
  <c r="P284" i="2" s="1"/>
  <c r="AA283" i="2"/>
  <c r="Z283" i="2"/>
  <c r="Y283" i="2"/>
  <c r="S283" i="2"/>
  <c r="O283" i="2"/>
  <c r="P283" i="2" s="1"/>
  <c r="AA282" i="2"/>
  <c r="Z282" i="2"/>
  <c r="Y282" i="2"/>
  <c r="S282" i="2"/>
  <c r="O282" i="2"/>
  <c r="P282" i="2" s="1"/>
  <c r="AA281" i="2"/>
  <c r="Z281" i="2"/>
  <c r="Y281" i="2"/>
  <c r="S281" i="2"/>
  <c r="O281" i="2"/>
  <c r="P281" i="2" s="1"/>
  <c r="AA280" i="2"/>
  <c r="Z280" i="2"/>
  <c r="Y280" i="2"/>
  <c r="S280" i="2"/>
  <c r="O280" i="2"/>
  <c r="P280" i="2" s="1"/>
  <c r="AA279" i="2"/>
  <c r="Z279" i="2"/>
  <c r="Y279" i="2"/>
  <c r="S279" i="2"/>
  <c r="O279" i="2"/>
  <c r="P279" i="2" s="1"/>
  <c r="AA278" i="2"/>
  <c r="Z278" i="2"/>
  <c r="Y278" i="2"/>
  <c r="S278" i="2"/>
  <c r="O278" i="2"/>
  <c r="P278" i="2" s="1"/>
  <c r="AA277" i="2"/>
  <c r="Z277" i="2"/>
  <c r="Y277" i="2"/>
  <c r="S277" i="2"/>
  <c r="O277" i="2"/>
  <c r="P277" i="2" s="1"/>
  <c r="AA276" i="2"/>
  <c r="Z276" i="2"/>
  <c r="Y276" i="2"/>
  <c r="S276" i="2"/>
  <c r="O276" i="2"/>
  <c r="P276" i="2" s="1"/>
  <c r="AA275" i="2"/>
  <c r="Z275" i="2"/>
  <c r="Y275" i="2"/>
  <c r="S275" i="2"/>
  <c r="O275" i="2"/>
  <c r="P275" i="2" s="1"/>
  <c r="AA274" i="2"/>
  <c r="Z274" i="2"/>
  <c r="Y274" i="2"/>
  <c r="S274" i="2"/>
  <c r="O274" i="2"/>
  <c r="P274" i="2" s="1"/>
  <c r="AA273" i="2"/>
  <c r="Z273" i="2"/>
  <c r="Y273" i="2"/>
  <c r="S273" i="2"/>
  <c r="O273" i="2"/>
  <c r="P273" i="2" s="1"/>
  <c r="AA272" i="2"/>
  <c r="Z272" i="2"/>
  <c r="Y272" i="2"/>
  <c r="S272" i="2"/>
  <c r="O272" i="2"/>
  <c r="P272" i="2" s="1"/>
  <c r="AA271" i="2"/>
  <c r="Z271" i="2"/>
  <c r="Y271" i="2"/>
  <c r="S271" i="2"/>
  <c r="O271" i="2"/>
  <c r="P271" i="2" s="1"/>
  <c r="AA270" i="2"/>
  <c r="Z270" i="2"/>
  <c r="Y270" i="2"/>
  <c r="S270" i="2"/>
  <c r="O270" i="2"/>
  <c r="P270" i="2" s="1"/>
  <c r="AA269" i="2"/>
  <c r="Z269" i="2"/>
  <c r="Y269" i="2"/>
  <c r="S269" i="2"/>
  <c r="O269" i="2"/>
  <c r="P269" i="2" s="1"/>
  <c r="AA268" i="2"/>
  <c r="Z268" i="2"/>
  <c r="Y268" i="2"/>
  <c r="S268" i="2"/>
  <c r="O268" i="2"/>
  <c r="P268" i="2" s="1"/>
  <c r="AA267" i="2"/>
  <c r="Z267" i="2"/>
  <c r="Y267" i="2"/>
  <c r="S267" i="2"/>
  <c r="O267" i="2"/>
  <c r="P267" i="2" s="1"/>
  <c r="AA266" i="2"/>
  <c r="Z266" i="2"/>
  <c r="Y266" i="2"/>
  <c r="S266" i="2"/>
  <c r="O266" i="2"/>
  <c r="P266" i="2" s="1"/>
  <c r="AA265" i="2"/>
  <c r="Z265" i="2"/>
  <c r="Y265" i="2"/>
  <c r="S265" i="2"/>
  <c r="O265" i="2"/>
  <c r="P265" i="2" s="1"/>
  <c r="AA264" i="2"/>
  <c r="Z264" i="2"/>
  <c r="Y264" i="2"/>
  <c r="S264" i="2"/>
  <c r="O264" i="2"/>
  <c r="P264" i="2" s="1"/>
  <c r="AA263" i="2"/>
  <c r="Z263" i="2"/>
  <c r="Y263" i="2"/>
  <c r="S263" i="2"/>
  <c r="O263" i="2"/>
  <c r="P263" i="2" s="1"/>
  <c r="AA262" i="2"/>
  <c r="Z262" i="2"/>
  <c r="Y262" i="2"/>
  <c r="S262" i="2"/>
  <c r="O262" i="2"/>
  <c r="P262" i="2" s="1"/>
  <c r="AA261" i="2"/>
  <c r="Z261" i="2"/>
  <c r="Y261" i="2"/>
  <c r="S261" i="2"/>
  <c r="O261" i="2"/>
  <c r="P261" i="2" s="1"/>
  <c r="AA260" i="2"/>
  <c r="Z260" i="2"/>
  <c r="Y260" i="2"/>
  <c r="S260" i="2"/>
  <c r="O260" i="2"/>
  <c r="P260" i="2" s="1"/>
  <c r="AA259" i="2"/>
  <c r="Z259" i="2"/>
  <c r="Y259" i="2"/>
  <c r="S259" i="2"/>
  <c r="O259" i="2"/>
  <c r="P259" i="2" s="1"/>
  <c r="AA258" i="2"/>
  <c r="Z258" i="2"/>
  <c r="Y258" i="2"/>
  <c r="S258" i="2"/>
  <c r="O258" i="2"/>
  <c r="P258" i="2" s="1"/>
  <c r="AA257" i="2"/>
  <c r="Z257" i="2"/>
  <c r="Y257" i="2"/>
  <c r="S257" i="2"/>
  <c r="O257" i="2"/>
  <c r="P257" i="2" s="1"/>
  <c r="AA256" i="2"/>
  <c r="Z256" i="2"/>
  <c r="Y256" i="2"/>
  <c r="S256" i="2"/>
  <c r="O256" i="2"/>
  <c r="P256" i="2" s="1"/>
  <c r="AA255" i="2"/>
  <c r="Z255" i="2"/>
  <c r="Y255" i="2"/>
  <c r="S255" i="2"/>
  <c r="O255" i="2"/>
  <c r="P255" i="2" s="1"/>
  <c r="AA254" i="2"/>
  <c r="Z254" i="2"/>
  <c r="Y254" i="2"/>
  <c r="S254" i="2"/>
  <c r="O254" i="2"/>
  <c r="P254" i="2" s="1"/>
  <c r="AA253" i="2"/>
  <c r="Z253" i="2"/>
  <c r="Y253" i="2"/>
  <c r="S253" i="2"/>
  <c r="O253" i="2"/>
  <c r="P253" i="2" s="1"/>
  <c r="AA252" i="2"/>
  <c r="Z252" i="2"/>
  <c r="Y252" i="2"/>
  <c r="S252" i="2"/>
  <c r="O252" i="2"/>
  <c r="P252" i="2" s="1"/>
  <c r="AA251" i="2"/>
  <c r="Z251" i="2"/>
  <c r="Y251" i="2"/>
  <c r="S251" i="2"/>
  <c r="O251" i="2"/>
  <c r="P251" i="2" s="1"/>
  <c r="AA250" i="2"/>
  <c r="Z250" i="2"/>
  <c r="Y250" i="2"/>
  <c r="S250" i="2"/>
  <c r="O250" i="2"/>
  <c r="P250" i="2" s="1"/>
  <c r="AA249" i="2"/>
  <c r="Z249" i="2"/>
  <c r="Y249" i="2"/>
  <c r="S249" i="2"/>
  <c r="O249" i="2"/>
  <c r="P249" i="2" s="1"/>
  <c r="AA248" i="2"/>
  <c r="Z248" i="2"/>
  <c r="Y248" i="2"/>
  <c r="S248" i="2"/>
  <c r="O248" i="2"/>
  <c r="P248" i="2" s="1"/>
  <c r="AA247" i="2"/>
  <c r="Z247" i="2"/>
  <c r="Y247" i="2"/>
  <c r="S247" i="2"/>
  <c r="O247" i="2"/>
  <c r="P247" i="2" s="1"/>
  <c r="AA246" i="2"/>
  <c r="Z246" i="2"/>
  <c r="Y246" i="2"/>
  <c r="S246" i="2"/>
  <c r="O246" i="2"/>
  <c r="P246" i="2" s="1"/>
  <c r="AA245" i="2"/>
  <c r="Z245" i="2"/>
  <c r="Y245" i="2"/>
  <c r="S245" i="2"/>
  <c r="O245" i="2"/>
  <c r="P245" i="2" s="1"/>
  <c r="AA244" i="2"/>
  <c r="Z244" i="2"/>
  <c r="Y244" i="2"/>
  <c r="S244" i="2"/>
  <c r="O244" i="2"/>
  <c r="P244" i="2" s="1"/>
  <c r="AA243" i="2"/>
  <c r="Z243" i="2"/>
  <c r="Y243" i="2"/>
  <c r="S243" i="2"/>
  <c r="O243" i="2"/>
  <c r="P243" i="2" s="1"/>
  <c r="AA242" i="2"/>
  <c r="Z242" i="2"/>
  <c r="Y242" i="2"/>
  <c r="S242" i="2"/>
  <c r="O242" i="2"/>
  <c r="P242" i="2" s="1"/>
  <c r="AA241" i="2"/>
  <c r="Z241" i="2"/>
  <c r="Y241" i="2"/>
  <c r="S241" i="2"/>
  <c r="O241" i="2"/>
  <c r="P241" i="2" s="1"/>
  <c r="AA240" i="2"/>
  <c r="Z240" i="2"/>
  <c r="Y240" i="2"/>
  <c r="S240" i="2"/>
  <c r="O240" i="2"/>
  <c r="P240" i="2" s="1"/>
  <c r="AA239" i="2"/>
  <c r="Z239" i="2"/>
  <c r="Y239" i="2"/>
  <c r="S239" i="2"/>
  <c r="O239" i="2"/>
  <c r="P239" i="2" s="1"/>
  <c r="AA238" i="2"/>
  <c r="Z238" i="2"/>
  <c r="Y238" i="2"/>
  <c r="S238" i="2"/>
  <c r="O238" i="2"/>
  <c r="P238" i="2" s="1"/>
  <c r="AA237" i="2"/>
  <c r="Z237" i="2"/>
  <c r="Y237" i="2"/>
  <c r="S237" i="2"/>
  <c r="O237" i="2"/>
  <c r="P237" i="2" s="1"/>
  <c r="AA236" i="2"/>
  <c r="Z236" i="2"/>
  <c r="Y236" i="2"/>
  <c r="S236" i="2"/>
  <c r="O236" i="2"/>
  <c r="P236" i="2" s="1"/>
  <c r="AA235" i="2"/>
  <c r="Z235" i="2"/>
  <c r="Y235" i="2"/>
  <c r="S235" i="2"/>
  <c r="O235" i="2"/>
  <c r="P235" i="2" s="1"/>
  <c r="AA234" i="2"/>
  <c r="Z234" i="2"/>
  <c r="Y234" i="2"/>
  <c r="S234" i="2"/>
  <c r="O234" i="2"/>
  <c r="P234" i="2" s="1"/>
  <c r="AA233" i="2"/>
  <c r="Z233" i="2"/>
  <c r="Y233" i="2"/>
  <c r="S233" i="2"/>
  <c r="O233" i="2"/>
  <c r="P233" i="2" s="1"/>
  <c r="AA232" i="2"/>
  <c r="Z232" i="2"/>
  <c r="Y232" i="2"/>
  <c r="S232" i="2"/>
  <c r="O232" i="2"/>
  <c r="P232" i="2" s="1"/>
  <c r="AA231" i="2"/>
  <c r="Z231" i="2"/>
  <c r="Y231" i="2"/>
  <c r="S231" i="2"/>
  <c r="O231" i="2"/>
  <c r="P231" i="2" s="1"/>
  <c r="AA230" i="2"/>
  <c r="Z230" i="2"/>
  <c r="Y230" i="2"/>
  <c r="S230" i="2"/>
  <c r="O230" i="2"/>
  <c r="P230" i="2" s="1"/>
  <c r="AA229" i="2"/>
  <c r="Z229" i="2"/>
  <c r="Y229" i="2"/>
  <c r="S229" i="2"/>
  <c r="O229" i="2"/>
  <c r="P229" i="2" s="1"/>
  <c r="AA228" i="2"/>
  <c r="Z228" i="2"/>
  <c r="Y228" i="2"/>
  <c r="S228" i="2"/>
  <c r="O228" i="2"/>
  <c r="P228" i="2" s="1"/>
  <c r="AA227" i="2"/>
  <c r="Z227" i="2"/>
  <c r="Y227" i="2"/>
  <c r="S227" i="2"/>
  <c r="O227" i="2"/>
  <c r="P227" i="2" s="1"/>
  <c r="AA226" i="2"/>
  <c r="Z226" i="2"/>
  <c r="Y226" i="2"/>
  <c r="S226" i="2"/>
  <c r="O226" i="2"/>
  <c r="P226" i="2" s="1"/>
  <c r="AA225" i="2"/>
  <c r="Z225" i="2"/>
  <c r="Y225" i="2"/>
  <c r="S225" i="2"/>
  <c r="O225" i="2"/>
  <c r="P225" i="2" s="1"/>
  <c r="AA224" i="2"/>
  <c r="Z224" i="2"/>
  <c r="Y224" i="2"/>
  <c r="S224" i="2"/>
  <c r="O224" i="2"/>
  <c r="P224" i="2" s="1"/>
  <c r="AA223" i="2"/>
  <c r="Z223" i="2"/>
  <c r="Y223" i="2"/>
  <c r="S223" i="2"/>
  <c r="O223" i="2"/>
  <c r="P223" i="2" s="1"/>
  <c r="AA222" i="2"/>
  <c r="Z222" i="2"/>
  <c r="Y222" i="2"/>
  <c r="S222" i="2"/>
  <c r="O222" i="2"/>
  <c r="P222" i="2" s="1"/>
  <c r="AA221" i="2"/>
  <c r="Z221" i="2"/>
  <c r="Y221" i="2"/>
  <c r="S221" i="2"/>
  <c r="O221" i="2"/>
  <c r="P221" i="2" s="1"/>
  <c r="AA220" i="2"/>
  <c r="Z220" i="2"/>
  <c r="Y220" i="2"/>
  <c r="S220" i="2"/>
  <c r="O220" i="2"/>
  <c r="P220" i="2" s="1"/>
  <c r="AA219" i="2"/>
  <c r="Z219" i="2"/>
  <c r="Y219" i="2"/>
  <c r="S219" i="2"/>
  <c r="O219" i="2"/>
  <c r="P219" i="2" s="1"/>
  <c r="AA218" i="2"/>
  <c r="Z218" i="2"/>
  <c r="Y218" i="2"/>
  <c r="S218" i="2"/>
  <c r="O218" i="2"/>
  <c r="P218" i="2" s="1"/>
  <c r="AA217" i="2"/>
  <c r="Z217" i="2"/>
  <c r="Y217" i="2"/>
  <c r="S217" i="2"/>
  <c r="O217" i="2"/>
  <c r="P217" i="2" s="1"/>
  <c r="AA216" i="2"/>
  <c r="Z216" i="2"/>
  <c r="Y216" i="2"/>
  <c r="S216" i="2"/>
  <c r="O216" i="2"/>
  <c r="P216" i="2" s="1"/>
  <c r="AA215" i="2"/>
  <c r="Z215" i="2"/>
  <c r="Y215" i="2"/>
  <c r="S215" i="2"/>
  <c r="O215" i="2"/>
  <c r="P215" i="2" s="1"/>
  <c r="AA214" i="2"/>
  <c r="Z214" i="2"/>
  <c r="Y214" i="2"/>
  <c r="S214" i="2"/>
  <c r="O214" i="2"/>
  <c r="P214" i="2" s="1"/>
  <c r="AA213" i="2"/>
  <c r="Z213" i="2"/>
  <c r="Y213" i="2"/>
  <c r="S213" i="2"/>
  <c r="O213" i="2"/>
  <c r="P213" i="2" s="1"/>
  <c r="AA212" i="2"/>
  <c r="Z212" i="2"/>
  <c r="Y212" i="2"/>
  <c r="S212" i="2"/>
  <c r="O212" i="2"/>
  <c r="P212" i="2" s="1"/>
  <c r="AA211" i="2"/>
  <c r="Z211" i="2"/>
  <c r="Y211" i="2"/>
  <c r="S211" i="2"/>
  <c r="O211" i="2"/>
  <c r="P211" i="2" s="1"/>
  <c r="AA210" i="2"/>
  <c r="Z210" i="2"/>
  <c r="Y210" i="2"/>
  <c r="S210" i="2"/>
  <c r="O210" i="2"/>
  <c r="P210" i="2" s="1"/>
  <c r="AA209" i="2"/>
  <c r="Z209" i="2"/>
  <c r="Y209" i="2"/>
  <c r="S209" i="2"/>
  <c r="O209" i="2"/>
  <c r="P209" i="2" s="1"/>
  <c r="AA208" i="2"/>
  <c r="Z208" i="2"/>
  <c r="Y208" i="2"/>
  <c r="S208" i="2"/>
  <c r="O208" i="2"/>
  <c r="P208" i="2" s="1"/>
  <c r="AA207" i="2"/>
  <c r="Z207" i="2"/>
  <c r="Y207" i="2"/>
  <c r="S207" i="2"/>
  <c r="O207" i="2"/>
  <c r="P207" i="2" s="1"/>
  <c r="AA206" i="2"/>
  <c r="Z206" i="2"/>
  <c r="Y206" i="2"/>
  <c r="S206" i="2"/>
  <c r="O206" i="2"/>
  <c r="P206" i="2" s="1"/>
  <c r="AA205" i="2"/>
  <c r="Z205" i="2"/>
  <c r="Y205" i="2"/>
  <c r="S205" i="2"/>
  <c r="O205" i="2"/>
  <c r="P205" i="2" s="1"/>
  <c r="AA204" i="2"/>
  <c r="Z204" i="2"/>
  <c r="Y204" i="2"/>
  <c r="S204" i="2"/>
  <c r="O204" i="2"/>
  <c r="P204" i="2" s="1"/>
  <c r="AA203" i="2"/>
  <c r="Z203" i="2"/>
  <c r="Y203" i="2"/>
  <c r="S203" i="2"/>
  <c r="O203" i="2"/>
  <c r="P203" i="2" s="1"/>
  <c r="AA202" i="2"/>
  <c r="Z202" i="2"/>
  <c r="Y202" i="2"/>
  <c r="S202" i="2"/>
  <c r="O202" i="2"/>
  <c r="P202" i="2" s="1"/>
  <c r="AA201" i="2"/>
  <c r="Z201" i="2"/>
  <c r="Y201" i="2"/>
  <c r="S201" i="2"/>
  <c r="O201" i="2"/>
  <c r="P201" i="2" s="1"/>
  <c r="AA200" i="2"/>
  <c r="Z200" i="2"/>
  <c r="Y200" i="2"/>
  <c r="S200" i="2"/>
  <c r="O200" i="2"/>
  <c r="P200" i="2" s="1"/>
  <c r="AA199" i="2"/>
  <c r="Z199" i="2"/>
  <c r="Y199" i="2"/>
  <c r="S199" i="2"/>
  <c r="O199" i="2"/>
  <c r="P199" i="2" s="1"/>
  <c r="AA198" i="2"/>
  <c r="Z198" i="2"/>
  <c r="Y198" i="2"/>
  <c r="S198" i="2"/>
  <c r="O198" i="2"/>
  <c r="P198" i="2" s="1"/>
  <c r="AA197" i="2"/>
  <c r="Z197" i="2"/>
  <c r="Y197" i="2"/>
  <c r="S197" i="2"/>
  <c r="O197" i="2"/>
  <c r="P197" i="2" s="1"/>
  <c r="AA196" i="2"/>
  <c r="Z196" i="2"/>
  <c r="Y196" i="2"/>
  <c r="S196" i="2"/>
  <c r="O196" i="2"/>
  <c r="P196" i="2" s="1"/>
  <c r="AA195" i="2"/>
  <c r="Z195" i="2"/>
  <c r="Y195" i="2"/>
  <c r="S195" i="2"/>
  <c r="O195" i="2"/>
  <c r="P195" i="2" s="1"/>
  <c r="AA194" i="2"/>
  <c r="Z194" i="2"/>
  <c r="Y194" i="2"/>
  <c r="S194" i="2"/>
  <c r="O194" i="2"/>
  <c r="P194" i="2" s="1"/>
  <c r="AA193" i="2"/>
  <c r="Z193" i="2"/>
  <c r="Y193" i="2"/>
  <c r="S193" i="2"/>
  <c r="O193" i="2"/>
  <c r="P193" i="2" s="1"/>
  <c r="AA192" i="2"/>
  <c r="Z192" i="2"/>
  <c r="Y192" i="2"/>
  <c r="S192" i="2"/>
  <c r="O192" i="2"/>
  <c r="P192" i="2" s="1"/>
  <c r="AA191" i="2"/>
  <c r="Z191" i="2"/>
  <c r="Y191" i="2"/>
  <c r="S191" i="2"/>
  <c r="O191" i="2"/>
  <c r="P191" i="2" s="1"/>
  <c r="AA190" i="2"/>
  <c r="Z190" i="2"/>
  <c r="Y190" i="2"/>
  <c r="S190" i="2"/>
  <c r="O190" i="2"/>
  <c r="P190" i="2" s="1"/>
  <c r="AA189" i="2"/>
  <c r="Z189" i="2"/>
  <c r="Y189" i="2"/>
  <c r="S189" i="2"/>
  <c r="O189" i="2"/>
  <c r="P189" i="2" s="1"/>
  <c r="AA188" i="2"/>
  <c r="Z188" i="2"/>
  <c r="Y188" i="2"/>
  <c r="S188" i="2"/>
  <c r="O188" i="2"/>
  <c r="P188" i="2" s="1"/>
  <c r="AA187" i="2"/>
  <c r="Z187" i="2"/>
  <c r="Y187" i="2"/>
  <c r="S187" i="2"/>
  <c r="O187" i="2"/>
  <c r="P187" i="2" s="1"/>
  <c r="AA186" i="2"/>
  <c r="Z186" i="2"/>
  <c r="Y186" i="2"/>
  <c r="S186" i="2"/>
  <c r="O186" i="2"/>
  <c r="P186" i="2" s="1"/>
  <c r="AA185" i="2"/>
  <c r="Z185" i="2"/>
  <c r="Y185" i="2"/>
  <c r="S185" i="2"/>
  <c r="O185" i="2"/>
  <c r="P185" i="2" s="1"/>
  <c r="AA184" i="2"/>
  <c r="Z184" i="2"/>
  <c r="Y184" i="2"/>
  <c r="S184" i="2"/>
  <c r="O184" i="2"/>
  <c r="P184" i="2" s="1"/>
  <c r="AA183" i="2"/>
  <c r="Z183" i="2"/>
  <c r="Y183" i="2"/>
  <c r="S183" i="2"/>
  <c r="O183" i="2"/>
  <c r="P183" i="2" s="1"/>
  <c r="AA182" i="2"/>
  <c r="Z182" i="2"/>
  <c r="Y182" i="2"/>
  <c r="S182" i="2"/>
  <c r="O182" i="2"/>
  <c r="P182" i="2" s="1"/>
  <c r="AA181" i="2"/>
  <c r="Z181" i="2"/>
  <c r="Y181" i="2"/>
  <c r="S181" i="2"/>
  <c r="O181" i="2"/>
  <c r="P181" i="2" s="1"/>
  <c r="AA180" i="2"/>
  <c r="Z180" i="2"/>
  <c r="Y180" i="2"/>
  <c r="S180" i="2"/>
  <c r="O180" i="2"/>
  <c r="P180" i="2" s="1"/>
  <c r="AA179" i="2"/>
  <c r="Z179" i="2"/>
  <c r="Y179" i="2"/>
  <c r="S179" i="2"/>
  <c r="O179" i="2"/>
  <c r="P179" i="2" s="1"/>
  <c r="AA178" i="2"/>
  <c r="Z178" i="2"/>
  <c r="Y178" i="2"/>
  <c r="S178" i="2"/>
  <c r="O178" i="2"/>
  <c r="P178" i="2" s="1"/>
  <c r="AA177" i="2"/>
  <c r="Z177" i="2"/>
  <c r="Y177" i="2"/>
  <c r="S177" i="2"/>
  <c r="O177" i="2"/>
  <c r="P177" i="2" s="1"/>
  <c r="AA176" i="2"/>
  <c r="Z176" i="2"/>
  <c r="Y176" i="2"/>
  <c r="S176" i="2"/>
  <c r="O176" i="2"/>
  <c r="P176" i="2" s="1"/>
  <c r="AA175" i="2"/>
  <c r="Z175" i="2"/>
  <c r="Y175" i="2"/>
  <c r="S175" i="2"/>
  <c r="O175" i="2"/>
  <c r="P175" i="2" s="1"/>
  <c r="AA174" i="2"/>
  <c r="Z174" i="2"/>
  <c r="Y174" i="2"/>
  <c r="S174" i="2"/>
  <c r="O174" i="2"/>
  <c r="P174" i="2" s="1"/>
  <c r="AA173" i="2"/>
  <c r="Z173" i="2"/>
  <c r="Y173" i="2"/>
  <c r="S173" i="2"/>
  <c r="O173" i="2"/>
  <c r="P173" i="2" s="1"/>
  <c r="AA172" i="2"/>
  <c r="Z172" i="2"/>
  <c r="Y172" i="2"/>
  <c r="S172" i="2"/>
  <c r="O172" i="2"/>
  <c r="P172" i="2" s="1"/>
  <c r="AA171" i="2"/>
  <c r="Z171" i="2"/>
  <c r="Y171" i="2"/>
  <c r="S171" i="2"/>
  <c r="O171" i="2"/>
  <c r="P171" i="2" s="1"/>
  <c r="AA170" i="2"/>
  <c r="Z170" i="2"/>
  <c r="Y170" i="2"/>
  <c r="S170" i="2"/>
  <c r="O170" i="2"/>
  <c r="P170" i="2" s="1"/>
  <c r="AA169" i="2"/>
  <c r="Z169" i="2"/>
  <c r="Y169" i="2"/>
  <c r="S169" i="2"/>
  <c r="O169" i="2"/>
  <c r="P169" i="2" s="1"/>
  <c r="AA168" i="2"/>
  <c r="Z168" i="2"/>
  <c r="Y168" i="2"/>
  <c r="S168" i="2"/>
  <c r="O168" i="2"/>
  <c r="P168" i="2" s="1"/>
  <c r="AA167" i="2"/>
  <c r="Z167" i="2"/>
  <c r="Y167" i="2"/>
  <c r="S167" i="2"/>
  <c r="O167" i="2"/>
  <c r="P167" i="2" s="1"/>
  <c r="AA166" i="2"/>
  <c r="Z166" i="2"/>
  <c r="Y166" i="2"/>
  <c r="S166" i="2"/>
  <c r="O166" i="2"/>
  <c r="P166" i="2" s="1"/>
  <c r="AA165" i="2"/>
  <c r="Z165" i="2"/>
  <c r="Y165" i="2"/>
  <c r="S165" i="2"/>
  <c r="O165" i="2"/>
  <c r="P165" i="2" s="1"/>
  <c r="AA164" i="2"/>
  <c r="Z164" i="2"/>
  <c r="Y164" i="2"/>
  <c r="S164" i="2"/>
  <c r="O164" i="2"/>
  <c r="P164" i="2" s="1"/>
  <c r="AA163" i="2"/>
  <c r="Z163" i="2"/>
  <c r="Y163" i="2"/>
  <c r="S163" i="2"/>
  <c r="O163" i="2"/>
  <c r="P163" i="2" s="1"/>
  <c r="AA162" i="2"/>
  <c r="Z162" i="2"/>
  <c r="Y162" i="2"/>
  <c r="S162" i="2"/>
  <c r="O162" i="2"/>
  <c r="P162" i="2" s="1"/>
  <c r="AA161" i="2"/>
  <c r="Z161" i="2"/>
  <c r="Y161" i="2"/>
  <c r="S161" i="2"/>
  <c r="O161" i="2"/>
  <c r="P161" i="2" s="1"/>
  <c r="AA160" i="2"/>
  <c r="Z160" i="2"/>
  <c r="Y160" i="2"/>
  <c r="S160" i="2"/>
  <c r="O160" i="2"/>
  <c r="P160" i="2" s="1"/>
  <c r="AA159" i="2"/>
  <c r="Z159" i="2"/>
  <c r="Y159" i="2"/>
  <c r="S159" i="2"/>
  <c r="O159" i="2"/>
  <c r="P159" i="2" s="1"/>
  <c r="AA158" i="2"/>
  <c r="Z158" i="2"/>
  <c r="Y158" i="2"/>
  <c r="S158" i="2"/>
  <c r="O158" i="2"/>
  <c r="P158" i="2" s="1"/>
  <c r="AA157" i="2"/>
  <c r="Z157" i="2"/>
  <c r="Y157" i="2"/>
  <c r="S157" i="2"/>
  <c r="O157" i="2"/>
  <c r="P157" i="2" s="1"/>
  <c r="AA156" i="2"/>
  <c r="Z156" i="2"/>
  <c r="Y156" i="2"/>
  <c r="S156" i="2"/>
  <c r="O156" i="2"/>
  <c r="P156" i="2" s="1"/>
  <c r="AA155" i="2"/>
  <c r="Z155" i="2"/>
  <c r="Y155" i="2"/>
  <c r="S155" i="2"/>
  <c r="O155" i="2"/>
  <c r="P155" i="2" s="1"/>
  <c r="AA154" i="2"/>
  <c r="Z154" i="2"/>
  <c r="Y154" i="2"/>
  <c r="S154" i="2"/>
  <c r="O154" i="2"/>
  <c r="P154" i="2" s="1"/>
  <c r="AA153" i="2"/>
  <c r="Z153" i="2"/>
  <c r="Y153" i="2"/>
  <c r="S153" i="2"/>
  <c r="O153" i="2"/>
  <c r="P153" i="2" s="1"/>
  <c r="AA152" i="2"/>
  <c r="Z152" i="2"/>
  <c r="Y152" i="2"/>
  <c r="S152" i="2"/>
  <c r="O152" i="2"/>
  <c r="P152" i="2" s="1"/>
  <c r="AA151" i="2"/>
  <c r="Z151" i="2"/>
  <c r="Y151" i="2"/>
  <c r="S151" i="2"/>
  <c r="O151" i="2"/>
  <c r="P151" i="2" s="1"/>
  <c r="AA150" i="2"/>
  <c r="Z150" i="2"/>
  <c r="Y150" i="2"/>
  <c r="S150" i="2"/>
  <c r="O150" i="2"/>
  <c r="P150" i="2" s="1"/>
  <c r="AA149" i="2"/>
  <c r="Z149" i="2"/>
  <c r="Y149" i="2"/>
  <c r="S149" i="2"/>
  <c r="O149" i="2"/>
  <c r="P149" i="2" s="1"/>
  <c r="AA148" i="2"/>
  <c r="Z148" i="2"/>
  <c r="Y148" i="2"/>
  <c r="S148" i="2"/>
  <c r="O148" i="2"/>
  <c r="P148" i="2" s="1"/>
  <c r="AA147" i="2"/>
  <c r="Z147" i="2"/>
  <c r="Y147" i="2"/>
  <c r="S147" i="2"/>
  <c r="O147" i="2"/>
  <c r="P147" i="2" s="1"/>
  <c r="AA146" i="2"/>
  <c r="Z146" i="2"/>
  <c r="Y146" i="2"/>
  <c r="S146" i="2"/>
  <c r="O146" i="2"/>
  <c r="P146" i="2" s="1"/>
  <c r="AA145" i="2"/>
  <c r="Z145" i="2"/>
  <c r="Y145" i="2"/>
  <c r="S145" i="2"/>
  <c r="O145" i="2"/>
  <c r="P145" i="2" s="1"/>
  <c r="AA144" i="2"/>
  <c r="Z144" i="2"/>
  <c r="Y144" i="2"/>
  <c r="S144" i="2"/>
  <c r="O144" i="2"/>
  <c r="P144" i="2" s="1"/>
  <c r="AA143" i="2"/>
  <c r="Z143" i="2"/>
  <c r="Y143" i="2"/>
  <c r="S143" i="2"/>
  <c r="O143" i="2"/>
  <c r="P143" i="2" s="1"/>
  <c r="AA142" i="2"/>
  <c r="Z142" i="2"/>
  <c r="Y142" i="2"/>
  <c r="S142" i="2"/>
  <c r="O142" i="2"/>
  <c r="P142" i="2" s="1"/>
  <c r="AA141" i="2"/>
  <c r="Z141" i="2"/>
  <c r="Y141" i="2"/>
  <c r="S141" i="2"/>
  <c r="O141" i="2"/>
  <c r="P141" i="2" s="1"/>
  <c r="AA140" i="2"/>
  <c r="Z140" i="2"/>
  <c r="Y140" i="2"/>
  <c r="S140" i="2"/>
  <c r="O140" i="2"/>
  <c r="P140" i="2" s="1"/>
  <c r="AA139" i="2"/>
  <c r="Z139" i="2"/>
  <c r="Y139" i="2"/>
  <c r="S139" i="2"/>
  <c r="O139" i="2"/>
  <c r="P139" i="2" s="1"/>
  <c r="AA138" i="2"/>
  <c r="Z138" i="2"/>
  <c r="Y138" i="2"/>
  <c r="S138" i="2"/>
  <c r="O138" i="2"/>
  <c r="P138" i="2" s="1"/>
  <c r="AA137" i="2"/>
  <c r="Z137" i="2"/>
  <c r="Y137" i="2"/>
  <c r="S137" i="2"/>
  <c r="O137" i="2"/>
  <c r="P137" i="2" s="1"/>
  <c r="AA136" i="2"/>
  <c r="Z136" i="2"/>
  <c r="Y136" i="2"/>
  <c r="S136" i="2"/>
  <c r="O136" i="2"/>
  <c r="P136" i="2" s="1"/>
  <c r="AA135" i="2"/>
  <c r="Z135" i="2"/>
  <c r="Y135" i="2"/>
  <c r="S135" i="2"/>
  <c r="O135" i="2"/>
  <c r="P135" i="2" s="1"/>
  <c r="AA134" i="2"/>
  <c r="Z134" i="2"/>
  <c r="Y134" i="2"/>
  <c r="S134" i="2"/>
  <c r="O134" i="2"/>
  <c r="P134" i="2" s="1"/>
  <c r="AA133" i="2"/>
  <c r="Z133" i="2"/>
  <c r="Y133" i="2"/>
  <c r="S133" i="2"/>
  <c r="O133" i="2"/>
  <c r="P133" i="2" s="1"/>
  <c r="AA132" i="2"/>
  <c r="Z132" i="2"/>
  <c r="Y132" i="2"/>
  <c r="S132" i="2"/>
  <c r="O132" i="2"/>
  <c r="P132" i="2" s="1"/>
  <c r="AA131" i="2"/>
  <c r="Z131" i="2"/>
  <c r="Y131" i="2"/>
  <c r="S131" i="2"/>
  <c r="O131" i="2"/>
  <c r="P131" i="2" s="1"/>
  <c r="AA130" i="2"/>
  <c r="Z130" i="2"/>
  <c r="Y130" i="2"/>
  <c r="S130" i="2"/>
  <c r="O130" i="2"/>
  <c r="P130" i="2" s="1"/>
  <c r="AA129" i="2"/>
  <c r="Z129" i="2"/>
  <c r="Y129" i="2"/>
  <c r="S129" i="2"/>
  <c r="O129" i="2"/>
  <c r="P129" i="2" s="1"/>
  <c r="AA128" i="2"/>
  <c r="Z128" i="2"/>
  <c r="Y128" i="2"/>
  <c r="S128" i="2"/>
  <c r="O128" i="2"/>
  <c r="P128" i="2" s="1"/>
  <c r="AA127" i="2"/>
  <c r="Z127" i="2"/>
  <c r="Y127" i="2"/>
  <c r="S127" i="2"/>
  <c r="O127" i="2"/>
  <c r="P127" i="2" s="1"/>
  <c r="AA126" i="2"/>
  <c r="Z126" i="2"/>
  <c r="Y126" i="2"/>
  <c r="S126" i="2"/>
  <c r="O126" i="2"/>
  <c r="P126" i="2" s="1"/>
  <c r="AA125" i="2"/>
  <c r="Z125" i="2"/>
  <c r="Y125" i="2"/>
  <c r="S125" i="2"/>
  <c r="O125" i="2"/>
  <c r="P125" i="2" s="1"/>
  <c r="AA124" i="2"/>
  <c r="Z124" i="2"/>
  <c r="Y124" i="2"/>
  <c r="S124" i="2"/>
  <c r="O124" i="2"/>
  <c r="P124" i="2" s="1"/>
  <c r="AA123" i="2"/>
  <c r="Z123" i="2"/>
  <c r="Y123" i="2"/>
  <c r="S123" i="2"/>
  <c r="O123" i="2"/>
  <c r="P123" i="2" s="1"/>
  <c r="AA122" i="2"/>
  <c r="Z122" i="2"/>
  <c r="Y122" i="2"/>
  <c r="S122" i="2"/>
  <c r="O122" i="2"/>
  <c r="P122" i="2" s="1"/>
  <c r="AA121" i="2"/>
  <c r="Z121" i="2"/>
  <c r="Y121" i="2"/>
  <c r="S121" i="2"/>
  <c r="O121" i="2"/>
  <c r="P121" i="2" s="1"/>
  <c r="AA120" i="2"/>
  <c r="Z120" i="2"/>
  <c r="Y120" i="2"/>
  <c r="S120" i="2"/>
  <c r="O120" i="2"/>
  <c r="P120" i="2" s="1"/>
  <c r="AA119" i="2"/>
  <c r="Z119" i="2"/>
  <c r="Y119" i="2"/>
  <c r="S119" i="2"/>
  <c r="O119" i="2"/>
  <c r="P119" i="2" s="1"/>
  <c r="AA118" i="2"/>
  <c r="Z118" i="2"/>
  <c r="Y118" i="2"/>
  <c r="S118" i="2"/>
  <c r="O118" i="2"/>
  <c r="P118" i="2" s="1"/>
  <c r="AA117" i="2"/>
  <c r="Z117" i="2"/>
  <c r="Y117" i="2"/>
  <c r="S117" i="2"/>
  <c r="O117" i="2"/>
  <c r="P117" i="2" s="1"/>
  <c r="AA116" i="2"/>
  <c r="Z116" i="2"/>
  <c r="Y116" i="2"/>
  <c r="S116" i="2"/>
  <c r="O116" i="2"/>
  <c r="P116" i="2" s="1"/>
  <c r="AA115" i="2"/>
  <c r="Z115" i="2"/>
  <c r="Y115" i="2"/>
  <c r="S115" i="2"/>
  <c r="O115" i="2"/>
  <c r="P115" i="2" s="1"/>
  <c r="AA114" i="2"/>
  <c r="Z114" i="2"/>
  <c r="Y114" i="2"/>
  <c r="S114" i="2"/>
  <c r="O114" i="2"/>
  <c r="P114" i="2" s="1"/>
  <c r="AA113" i="2"/>
  <c r="Z113" i="2"/>
  <c r="Y113" i="2"/>
  <c r="S113" i="2"/>
  <c r="O113" i="2"/>
  <c r="P113" i="2" s="1"/>
  <c r="AA112" i="2"/>
  <c r="Z112" i="2"/>
  <c r="Y112" i="2"/>
  <c r="S112" i="2"/>
  <c r="O112" i="2"/>
  <c r="P112" i="2" s="1"/>
  <c r="AA111" i="2"/>
  <c r="Z111" i="2"/>
  <c r="Y111" i="2"/>
  <c r="S111" i="2"/>
  <c r="O111" i="2"/>
  <c r="P111" i="2" s="1"/>
  <c r="AA110" i="2"/>
  <c r="Z110" i="2"/>
  <c r="Y110" i="2"/>
  <c r="S110" i="2"/>
  <c r="O110" i="2"/>
  <c r="P110" i="2" s="1"/>
  <c r="AA109" i="2"/>
  <c r="Z109" i="2"/>
  <c r="Y109" i="2"/>
  <c r="S109" i="2"/>
  <c r="O109" i="2"/>
  <c r="P109" i="2" s="1"/>
  <c r="AA108" i="2"/>
  <c r="Z108" i="2"/>
  <c r="Y108" i="2"/>
  <c r="S108" i="2"/>
  <c r="O108" i="2"/>
  <c r="P108" i="2" s="1"/>
  <c r="AA107" i="2"/>
  <c r="Z107" i="2"/>
  <c r="Y107" i="2"/>
  <c r="S107" i="2"/>
  <c r="O107" i="2"/>
  <c r="P107" i="2" s="1"/>
  <c r="AA106" i="2"/>
  <c r="Z106" i="2"/>
  <c r="Y106" i="2"/>
  <c r="S106" i="2"/>
  <c r="O106" i="2"/>
  <c r="P106" i="2" s="1"/>
  <c r="AA105" i="2"/>
  <c r="Z105" i="2"/>
  <c r="Y105" i="2"/>
  <c r="S105" i="2"/>
  <c r="O105" i="2"/>
  <c r="P105" i="2" s="1"/>
  <c r="AA104" i="2"/>
  <c r="Z104" i="2"/>
  <c r="Y104" i="2"/>
  <c r="S104" i="2"/>
  <c r="O104" i="2"/>
  <c r="P104" i="2" s="1"/>
  <c r="AA103" i="2"/>
  <c r="Z103" i="2"/>
  <c r="Y103" i="2"/>
  <c r="S103" i="2"/>
  <c r="O103" i="2"/>
  <c r="P103" i="2" s="1"/>
  <c r="AA102" i="2"/>
  <c r="Z102" i="2"/>
  <c r="Y102" i="2"/>
  <c r="S102" i="2"/>
  <c r="O102" i="2"/>
  <c r="P102" i="2" s="1"/>
  <c r="AA101" i="2"/>
  <c r="Z101" i="2"/>
  <c r="Y101" i="2"/>
  <c r="S101" i="2"/>
  <c r="O101" i="2"/>
  <c r="P101" i="2" s="1"/>
  <c r="AA100" i="2"/>
  <c r="Z100" i="2"/>
  <c r="Y100" i="2"/>
  <c r="S100" i="2"/>
  <c r="O100" i="2"/>
  <c r="P100" i="2" s="1"/>
  <c r="AA99" i="2"/>
  <c r="Z99" i="2"/>
  <c r="Y99" i="2"/>
  <c r="S99" i="2"/>
  <c r="O99" i="2"/>
  <c r="P99" i="2" s="1"/>
  <c r="AA98" i="2"/>
  <c r="Z98" i="2"/>
  <c r="Y98" i="2"/>
  <c r="S98" i="2"/>
  <c r="O98" i="2"/>
  <c r="P98" i="2" s="1"/>
  <c r="AA97" i="2"/>
  <c r="Z97" i="2"/>
  <c r="Y97" i="2"/>
  <c r="S97" i="2"/>
  <c r="O97" i="2"/>
  <c r="P97" i="2" s="1"/>
  <c r="AA96" i="2"/>
  <c r="Z96" i="2"/>
  <c r="Y96" i="2"/>
  <c r="S96" i="2"/>
  <c r="O96" i="2"/>
  <c r="P96" i="2" s="1"/>
  <c r="AA95" i="2"/>
  <c r="Z95" i="2"/>
  <c r="Y95" i="2"/>
  <c r="S95" i="2"/>
  <c r="O95" i="2"/>
  <c r="P95" i="2" s="1"/>
  <c r="AA94" i="2"/>
  <c r="Z94" i="2"/>
  <c r="Y94" i="2"/>
  <c r="S94" i="2"/>
  <c r="O94" i="2"/>
  <c r="P94" i="2" s="1"/>
  <c r="AA93" i="2"/>
  <c r="Z93" i="2"/>
  <c r="Y93" i="2"/>
  <c r="S93" i="2"/>
  <c r="O93" i="2"/>
  <c r="P93" i="2" s="1"/>
  <c r="AA92" i="2"/>
  <c r="Z92" i="2"/>
  <c r="Y92" i="2"/>
  <c r="S92" i="2"/>
  <c r="O92" i="2"/>
  <c r="P92" i="2" s="1"/>
  <c r="AA91" i="2"/>
  <c r="Z91" i="2"/>
  <c r="Y91" i="2"/>
  <c r="S91" i="2"/>
  <c r="O91" i="2"/>
  <c r="P91" i="2" s="1"/>
  <c r="AA90" i="2"/>
  <c r="Z90" i="2"/>
  <c r="Y90" i="2"/>
  <c r="S90" i="2"/>
  <c r="O90" i="2"/>
  <c r="P90" i="2" s="1"/>
  <c r="AA89" i="2"/>
  <c r="Z89" i="2"/>
  <c r="Y89" i="2"/>
  <c r="S89" i="2"/>
  <c r="O89" i="2"/>
  <c r="P89" i="2" s="1"/>
  <c r="AA88" i="2"/>
  <c r="Z88" i="2"/>
  <c r="Y88" i="2"/>
  <c r="S88" i="2"/>
  <c r="O88" i="2"/>
  <c r="P88" i="2" s="1"/>
  <c r="AA87" i="2"/>
  <c r="Z87" i="2"/>
  <c r="Y87" i="2"/>
  <c r="S87" i="2"/>
  <c r="O87" i="2"/>
  <c r="P87" i="2" s="1"/>
  <c r="AA86" i="2"/>
  <c r="Z86" i="2"/>
  <c r="Y86" i="2"/>
  <c r="S86" i="2"/>
  <c r="O86" i="2"/>
  <c r="P86" i="2" s="1"/>
  <c r="AA85" i="2"/>
  <c r="Z85" i="2"/>
  <c r="Y85" i="2"/>
  <c r="S85" i="2"/>
  <c r="O85" i="2"/>
  <c r="P85" i="2" s="1"/>
  <c r="AA84" i="2"/>
  <c r="Z84" i="2"/>
  <c r="Y84" i="2"/>
  <c r="S84" i="2"/>
  <c r="O84" i="2"/>
  <c r="P84" i="2" s="1"/>
  <c r="AA83" i="2"/>
  <c r="Z83" i="2"/>
  <c r="Y83" i="2"/>
  <c r="S83" i="2"/>
  <c r="O83" i="2"/>
  <c r="P83" i="2" s="1"/>
  <c r="AA82" i="2"/>
  <c r="Z82" i="2"/>
  <c r="Y82" i="2"/>
  <c r="S82" i="2"/>
  <c r="O82" i="2"/>
  <c r="P82" i="2" s="1"/>
  <c r="AA81" i="2"/>
  <c r="Z81" i="2"/>
  <c r="Y81" i="2"/>
  <c r="S81" i="2"/>
  <c r="O81" i="2"/>
  <c r="P81" i="2" s="1"/>
  <c r="AA80" i="2"/>
  <c r="Z80" i="2"/>
  <c r="Y80" i="2"/>
  <c r="S80" i="2"/>
  <c r="O80" i="2"/>
  <c r="P80" i="2" s="1"/>
  <c r="AA79" i="2"/>
  <c r="Z79" i="2"/>
  <c r="Y79" i="2"/>
  <c r="S79" i="2"/>
  <c r="O79" i="2"/>
  <c r="P79" i="2" s="1"/>
  <c r="AA78" i="2"/>
  <c r="Z78" i="2"/>
  <c r="Y78" i="2"/>
  <c r="S78" i="2"/>
  <c r="O78" i="2"/>
  <c r="P78" i="2" s="1"/>
  <c r="AA77" i="2"/>
  <c r="Z77" i="2"/>
  <c r="Y77" i="2"/>
  <c r="S77" i="2"/>
  <c r="O77" i="2"/>
  <c r="P77" i="2" s="1"/>
  <c r="AA76" i="2"/>
  <c r="Z76" i="2"/>
  <c r="Y76" i="2"/>
  <c r="S76" i="2"/>
  <c r="O76" i="2"/>
  <c r="P76" i="2" s="1"/>
  <c r="AA75" i="2"/>
  <c r="Z75" i="2"/>
  <c r="Y75" i="2"/>
  <c r="S75" i="2"/>
  <c r="O75" i="2"/>
  <c r="P75" i="2" s="1"/>
  <c r="AA74" i="2"/>
  <c r="Z74" i="2"/>
  <c r="Y74" i="2"/>
  <c r="S74" i="2"/>
  <c r="O74" i="2"/>
  <c r="P74" i="2" s="1"/>
  <c r="AA73" i="2"/>
  <c r="Z73" i="2"/>
  <c r="Y73" i="2"/>
  <c r="S73" i="2"/>
  <c r="O73" i="2"/>
  <c r="P73" i="2" s="1"/>
  <c r="AA72" i="2"/>
  <c r="Z72" i="2"/>
  <c r="Y72" i="2"/>
  <c r="S72" i="2"/>
  <c r="O72" i="2"/>
  <c r="P72" i="2" s="1"/>
  <c r="AA71" i="2"/>
  <c r="Z71" i="2"/>
  <c r="Y71" i="2"/>
  <c r="S71" i="2"/>
  <c r="O71" i="2"/>
  <c r="P71" i="2" s="1"/>
  <c r="AA70" i="2"/>
  <c r="Z70" i="2"/>
  <c r="Y70" i="2"/>
  <c r="S70" i="2"/>
  <c r="O70" i="2"/>
  <c r="P70" i="2" s="1"/>
  <c r="AA69" i="2"/>
  <c r="Z69" i="2"/>
  <c r="Y69" i="2"/>
  <c r="S69" i="2"/>
  <c r="O69" i="2"/>
  <c r="P69" i="2" s="1"/>
  <c r="AA68" i="2"/>
  <c r="Z68" i="2"/>
  <c r="Y68" i="2"/>
  <c r="S68" i="2"/>
  <c r="P68" i="2"/>
  <c r="O68" i="2"/>
  <c r="AA67" i="2"/>
  <c r="Z67" i="2"/>
  <c r="Y67" i="2"/>
  <c r="S67" i="2"/>
  <c r="O67" i="2"/>
  <c r="P67" i="2" s="1"/>
  <c r="AA66" i="2"/>
  <c r="Z66" i="2"/>
  <c r="Y66" i="2"/>
  <c r="S66" i="2"/>
  <c r="O66" i="2"/>
  <c r="P66" i="2" s="1"/>
  <c r="AA65" i="2"/>
  <c r="Z65" i="2"/>
  <c r="Y65" i="2"/>
  <c r="S65" i="2"/>
  <c r="O65" i="2"/>
  <c r="P65" i="2" s="1"/>
  <c r="AA64" i="2"/>
  <c r="Z64" i="2"/>
  <c r="Y64" i="2"/>
  <c r="S64" i="2"/>
  <c r="O64" i="2"/>
  <c r="P64" i="2" s="1"/>
  <c r="AA63" i="2"/>
  <c r="Z63" i="2"/>
  <c r="Y63" i="2"/>
  <c r="S63" i="2"/>
  <c r="O63" i="2"/>
  <c r="P63" i="2" s="1"/>
  <c r="AA62" i="2"/>
  <c r="Z62" i="2"/>
  <c r="Y62" i="2"/>
  <c r="S62" i="2"/>
  <c r="O62" i="2"/>
  <c r="P62" i="2" s="1"/>
  <c r="AA61" i="2"/>
  <c r="Z61" i="2"/>
  <c r="Y61" i="2"/>
  <c r="S61" i="2"/>
  <c r="O61" i="2"/>
  <c r="P61" i="2" s="1"/>
  <c r="AA60" i="2"/>
  <c r="Z60" i="2"/>
  <c r="Y60" i="2"/>
  <c r="S60" i="2"/>
  <c r="O60" i="2"/>
  <c r="P60" i="2" s="1"/>
  <c r="AA59" i="2"/>
  <c r="Z59" i="2"/>
  <c r="Y59" i="2"/>
  <c r="S59" i="2"/>
  <c r="O59" i="2"/>
  <c r="P59" i="2" s="1"/>
  <c r="AA58" i="2"/>
  <c r="Z58" i="2"/>
  <c r="Y58" i="2"/>
  <c r="S58" i="2"/>
  <c r="O58" i="2"/>
  <c r="P58" i="2" s="1"/>
  <c r="AA57" i="2"/>
  <c r="Z57" i="2"/>
  <c r="Y57" i="2"/>
  <c r="S57" i="2"/>
  <c r="O57" i="2"/>
  <c r="P57" i="2" s="1"/>
  <c r="AA56" i="2"/>
  <c r="Z56" i="2"/>
  <c r="Y56" i="2"/>
  <c r="S56" i="2"/>
  <c r="O56" i="2"/>
  <c r="P56" i="2" s="1"/>
  <c r="AA55" i="2"/>
  <c r="Z55" i="2"/>
  <c r="Y55" i="2"/>
  <c r="S55" i="2"/>
  <c r="O55" i="2"/>
  <c r="P55" i="2" s="1"/>
  <c r="AA54" i="2"/>
  <c r="Z54" i="2"/>
  <c r="Y54" i="2"/>
  <c r="S54" i="2"/>
  <c r="O54" i="2"/>
  <c r="P54" i="2" s="1"/>
  <c r="AA53" i="2"/>
  <c r="Z53" i="2"/>
  <c r="Y53" i="2"/>
  <c r="S53" i="2"/>
  <c r="O53" i="2"/>
  <c r="P53" i="2" s="1"/>
  <c r="AA52" i="2"/>
  <c r="Z52" i="2"/>
  <c r="Y52" i="2"/>
  <c r="S52" i="2"/>
  <c r="O52" i="2"/>
  <c r="P52" i="2" s="1"/>
  <c r="AA51" i="2"/>
  <c r="Z51" i="2"/>
  <c r="Y51" i="2"/>
  <c r="S51" i="2"/>
  <c r="O51" i="2"/>
  <c r="P51" i="2" s="1"/>
  <c r="AA50" i="2"/>
  <c r="Z50" i="2"/>
  <c r="Y50" i="2"/>
  <c r="S50" i="2"/>
  <c r="O50" i="2"/>
  <c r="P50" i="2" s="1"/>
  <c r="AA49" i="2"/>
  <c r="Z49" i="2"/>
  <c r="Y49" i="2"/>
  <c r="S49" i="2"/>
  <c r="O49" i="2"/>
  <c r="P49" i="2" s="1"/>
  <c r="AA48" i="2"/>
  <c r="Z48" i="2"/>
  <c r="Y48" i="2"/>
  <c r="S48" i="2"/>
  <c r="O48" i="2"/>
  <c r="P48" i="2" s="1"/>
  <c r="AA47" i="2"/>
  <c r="Z47" i="2"/>
  <c r="Y47" i="2"/>
  <c r="S47" i="2"/>
  <c r="O47" i="2"/>
  <c r="P47" i="2" s="1"/>
  <c r="AA46" i="2"/>
  <c r="Z46" i="2"/>
  <c r="Y46" i="2"/>
  <c r="S46" i="2"/>
  <c r="O46" i="2"/>
  <c r="P46" i="2" s="1"/>
  <c r="AA45" i="2"/>
  <c r="Z45" i="2"/>
  <c r="Y45" i="2"/>
  <c r="S45" i="2"/>
  <c r="O45" i="2"/>
  <c r="P45" i="2" s="1"/>
  <c r="AA44" i="2"/>
  <c r="Z44" i="2"/>
  <c r="Y44" i="2"/>
  <c r="S44" i="2"/>
  <c r="O44" i="2"/>
  <c r="P44" i="2" s="1"/>
  <c r="AA43" i="2"/>
  <c r="Z43" i="2"/>
  <c r="Y43" i="2"/>
  <c r="S43" i="2"/>
  <c r="O43" i="2"/>
  <c r="P43" i="2" s="1"/>
  <c r="AA42" i="2"/>
  <c r="Z42" i="2"/>
  <c r="Y42" i="2"/>
  <c r="S42" i="2"/>
  <c r="O42" i="2"/>
  <c r="P42" i="2" s="1"/>
  <c r="AA41" i="2"/>
  <c r="Z41" i="2"/>
  <c r="Y41" i="2"/>
  <c r="S41" i="2"/>
  <c r="O41" i="2"/>
  <c r="P41" i="2" s="1"/>
  <c r="AA40" i="2"/>
  <c r="Z40" i="2"/>
  <c r="Y40" i="2"/>
  <c r="S40" i="2"/>
  <c r="O40" i="2"/>
  <c r="P40" i="2" s="1"/>
  <c r="AA39" i="2"/>
  <c r="Z39" i="2"/>
  <c r="Y39" i="2"/>
  <c r="S39" i="2"/>
  <c r="O39" i="2"/>
  <c r="P39" i="2" s="1"/>
  <c r="AA38" i="2"/>
  <c r="Z38" i="2"/>
  <c r="Y38" i="2"/>
  <c r="S38" i="2"/>
  <c r="O38" i="2"/>
  <c r="P38" i="2" s="1"/>
  <c r="AA37" i="2"/>
  <c r="Z37" i="2"/>
  <c r="Y37" i="2"/>
  <c r="S37" i="2"/>
  <c r="O37" i="2"/>
  <c r="P37" i="2" s="1"/>
  <c r="AA36" i="2"/>
  <c r="Z36" i="2"/>
  <c r="Y36" i="2"/>
  <c r="S36" i="2"/>
  <c r="O36" i="2"/>
  <c r="P36" i="2" s="1"/>
  <c r="AA35" i="2"/>
  <c r="Z35" i="2"/>
  <c r="Y35" i="2"/>
  <c r="S35" i="2"/>
  <c r="O35" i="2"/>
  <c r="P35" i="2" s="1"/>
  <c r="AA34" i="2"/>
  <c r="Z34" i="2"/>
  <c r="Y34" i="2"/>
  <c r="S34" i="2"/>
  <c r="O34" i="2"/>
  <c r="P34" i="2" s="1"/>
  <c r="AA33" i="2"/>
  <c r="Z33" i="2"/>
  <c r="Y33" i="2"/>
  <c r="S33" i="2"/>
  <c r="O33" i="2"/>
  <c r="P33" i="2" s="1"/>
  <c r="AA32" i="2"/>
  <c r="Z32" i="2"/>
  <c r="Y32" i="2"/>
  <c r="S32" i="2"/>
  <c r="O32" i="2"/>
  <c r="P32" i="2" s="1"/>
  <c r="AA31" i="2"/>
  <c r="Z31" i="2"/>
  <c r="Y31" i="2"/>
  <c r="S31" i="2"/>
  <c r="O31" i="2"/>
  <c r="P31" i="2" s="1"/>
  <c r="AA30" i="2"/>
  <c r="Z30" i="2"/>
  <c r="Y30" i="2"/>
  <c r="S30" i="2"/>
  <c r="O30" i="2"/>
  <c r="P30" i="2" s="1"/>
  <c r="AA29" i="2"/>
  <c r="Z29" i="2"/>
  <c r="Y29" i="2"/>
  <c r="S29" i="2"/>
  <c r="O29" i="2"/>
  <c r="P29" i="2" s="1"/>
  <c r="AA28" i="2"/>
  <c r="Z28" i="2"/>
  <c r="Y28" i="2"/>
  <c r="S28" i="2"/>
  <c r="O28" i="2"/>
  <c r="P28" i="2" s="1"/>
  <c r="AA27" i="2"/>
  <c r="Z27" i="2"/>
  <c r="Y27" i="2"/>
  <c r="S27" i="2"/>
  <c r="O27" i="2"/>
  <c r="P27" i="2" s="1"/>
  <c r="AA26" i="2"/>
  <c r="Z26" i="2"/>
  <c r="Y26" i="2"/>
  <c r="S26" i="2"/>
  <c r="O26" i="2"/>
  <c r="P26" i="2" s="1"/>
  <c r="AA25" i="2"/>
  <c r="Z25" i="2"/>
  <c r="Y25" i="2"/>
  <c r="S25" i="2"/>
  <c r="O25" i="2"/>
  <c r="P25" i="2" s="1"/>
  <c r="AA24" i="2"/>
  <c r="Z24" i="2"/>
  <c r="Y24" i="2"/>
  <c r="S24" i="2"/>
  <c r="O24" i="2"/>
  <c r="P24" i="2" s="1"/>
  <c r="AA23" i="2"/>
  <c r="Z23" i="2"/>
  <c r="Y23" i="2"/>
  <c r="S23" i="2"/>
  <c r="O23" i="2"/>
  <c r="P23" i="2" s="1"/>
  <c r="AA22" i="2"/>
  <c r="Z22" i="2"/>
  <c r="Y22" i="2"/>
  <c r="S22" i="2"/>
  <c r="O22" i="2"/>
  <c r="P22" i="2" s="1"/>
  <c r="AA21" i="2"/>
  <c r="Z21" i="2"/>
  <c r="Y21" i="2"/>
  <c r="S21" i="2"/>
  <c r="O21" i="2"/>
  <c r="P21" i="2" s="1"/>
  <c r="AA20" i="2"/>
  <c r="Z20" i="2"/>
  <c r="Y20" i="2"/>
  <c r="S20" i="2"/>
  <c r="O20" i="2"/>
  <c r="P20" i="2" s="1"/>
  <c r="AA19" i="2"/>
  <c r="Z19" i="2"/>
  <c r="Y19" i="2"/>
  <c r="S19" i="2"/>
  <c r="O19" i="2"/>
  <c r="P19" i="2" s="1"/>
  <c r="AA18" i="2"/>
  <c r="Z18" i="2"/>
  <c r="Y18" i="2"/>
  <c r="S18" i="2"/>
  <c r="O18" i="2"/>
  <c r="P18" i="2" s="1"/>
  <c r="AA17" i="2"/>
  <c r="Z17" i="2"/>
  <c r="Y17" i="2"/>
  <c r="S17" i="2"/>
  <c r="O17" i="2"/>
  <c r="P17" i="2" s="1"/>
  <c r="AA16" i="2"/>
  <c r="Z16" i="2"/>
  <c r="Y16" i="2"/>
  <c r="S16" i="2"/>
  <c r="O16" i="2"/>
  <c r="P16" i="2" s="1"/>
  <c r="AA15" i="2"/>
  <c r="Z15" i="2"/>
  <c r="Y15" i="2"/>
  <c r="S15" i="2"/>
  <c r="O15" i="2"/>
  <c r="P15" i="2" s="1"/>
  <c r="AA14" i="2"/>
  <c r="Z14" i="2"/>
  <c r="Y14" i="2"/>
  <c r="S14" i="2"/>
  <c r="O14" i="2"/>
  <c r="P14" i="2" s="1"/>
  <c r="AA13" i="2"/>
  <c r="Z13" i="2"/>
  <c r="Y13" i="2"/>
  <c r="S13" i="2"/>
  <c r="O13" i="2"/>
  <c r="P13" i="2" s="1"/>
  <c r="AA12" i="2"/>
  <c r="Z12" i="2"/>
  <c r="Y12" i="2"/>
  <c r="S12" i="2"/>
  <c r="O12" i="2"/>
  <c r="P12" i="2" s="1"/>
  <c r="AA11" i="2"/>
  <c r="Z11" i="2"/>
  <c r="Y11" i="2"/>
  <c r="S11" i="2"/>
  <c r="O11" i="2"/>
  <c r="P11" i="2" s="1"/>
  <c r="AA10" i="2"/>
  <c r="Z10" i="2"/>
  <c r="Y10" i="2"/>
  <c r="S10" i="2"/>
  <c r="O10" i="2"/>
  <c r="P10" i="2" s="1"/>
  <c r="AA9" i="2"/>
  <c r="Z9" i="2"/>
  <c r="Y9" i="2"/>
  <c r="S9" i="2"/>
  <c r="O9" i="2"/>
  <c r="P9" i="2" s="1"/>
  <c r="AA8" i="2"/>
  <c r="Z8" i="2"/>
  <c r="Y8" i="2"/>
  <c r="S8" i="2"/>
  <c r="O8" i="2"/>
  <c r="P8" i="2" s="1"/>
  <c r="AA7" i="2"/>
  <c r="Z7" i="2"/>
  <c r="Y7" i="2"/>
  <c r="S7" i="2"/>
  <c r="O7" i="2"/>
  <c r="P7" i="2" s="1"/>
  <c r="AA6" i="2"/>
  <c r="Z6" i="2"/>
  <c r="Y6" i="2"/>
  <c r="S6" i="2"/>
  <c r="O6" i="2"/>
  <c r="P6" i="2" s="1"/>
  <c r="AA5" i="2"/>
  <c r="Z5" i="2"/>
  <c r="Y5" i="2"/>
  <c r="S5" i="2"/>
  <c r="O5" i="2"/>
  <c r="P5" i="2" s="1"/>
  <c r="AA4" i="2"/>
  <c r="Z4" i="2"/>
  <c r="Y4" i="2"/>
  <c r="S4" i="2"/>
  <c r="O4" i="2"/>
  <c r="P4" i="2" s="1"/>
  <c r="AA3" i="2"/>
  <c r="Z3" i="2"/>
  <c r="Y3" i="2"/>
  <c r="S3" i="2"/>
  <c r="O3" i="2"/>
  <c r="P3" i="2" s="1"/>
  <c r="AA2" i="2"/>
  <c r="Z2" i="2"/>
  <c r="Y2" i="2"/>
  <c r="S2" i="2"/>
  <c r="O2" i="2"/>
  <c r="P2" i="2" s="1"/>
  <c r="T8" i="1" l="1"/>
</calcChain>
</file>

<file path=xl/sharedStrings.xml><?xml version="1.0" encoding="utf-8"?>
<sst xmlns="http://schemas.openxmlformats.org/spreadsheetml/2006/main" count="45138" uniqueCount="4997">
  <si>
    <t>Order ID</t>
  </si>
  <si>
    <t>Order Date</t>
  </si>
  <si>
    <t>Ship Date</t>
  </si>
  <si>
    <t>Customer Name</t>
  </si>
  <si>
    <t>Region</t>
  </si>
  <si>
    <t>Country</t>
  </si>
  <si>
    <t>Product Category</t>
  </si>
  <si>
    <t>Product Name</t>
  </si>
  <si>
    <t>Supplier</t>
  </si>
  <si>
    <t>Quantity Ordered</t>
  </si>
  <si>
    <t>Unit Cost ($)</t>
  </si>
  <si>
    <t>Unit Price ($)</t>
  </si>
  <si>
    <t>Total Sales ($)</t>
  </si>
  <si>
    <t>Total Cost ($)</t>
  </si>
  <si>
    <t>Profit ($)</t>
  </si>
  <si>
    <t>Shipping Mode</t>
  </si>
  <si>
    <t>Delivery Status</t>
  </si>
  <si>
    <t>Days to Ship</t>
  </si>
  <si>
    <t>Warehouse</t>
  </si>
  <si>
    <t>Stock Level</t>
  </si>
  <si>
    <t>Damaged Goods</t>
  </si>
  <si>
    <t>Notes</t>
  </si>
  <si>
    <t>ORD-3035</t>
  </si>
  <si>
    <t>05/04/2023</t>
  </si>
  <si>
    <t>19/09/2023</t>
  </si>
  <si>
    <t>Customer_7098</t>
  </si>
  <si>
    <t>East Africa</t>
  </si>
  <si>
    <t>Tanzania</t>
  </si>
  <si>
    <t>Health &amp; Beauty</t>
  </si>
  <si>
    <t>Hand Sanitizer</t>
  </si>
  <si>
    <t>IndoAfrica Imports</t>
  </si>
  <si>
    <t>Express</t>
  </si>
  <si>
    <t>Late</t>
  </si>
  <si>
    <t>Accra WH-2</t>
  </si>
  <si>
    <t>ORD-2679</t>
  </si>
  <si>
    <t>21/10/2023</t>
  </si>
  <si>
    <t>22/05/2023</t>
  </si>
  <si>
    <t>Customer_4752</t>
  </si>
  <si>
    <t>Kenya</t>
  </si>
  <si>
    <t>Electronics</t>
  </si>
  <si>
    <t>Smart TV 42inch</t>
  </si>
  <si>
    <t>SahelGoods SA</t>
  </si>
  <si>
    <t>Economy</t>
  </si>
  <si>
    <t>Nairobi WH-3</t>
  </si>
  <si>
    <t>ORD-2587</t>
  </si>
  <si>
    <t>27/09/2023</t>
  </si>
  <si>
    <t>21/01/2023</t>
  </si>
  <si>
    <t>Customer_6311</t>
  </si>
  <si>
    <t>North Africa</t>
  </si>
  <si>
    <t>Libya</t>
  </si>
  <si>
    <t>Agriculture Inputs</t>
  </si>
  <si>
    <t>Sprayer 16L</t>
  </si>
  <si>
    <t>Overnight</t>
  </si>
  <si>
    <t>Dakar WH-6</t>
  </si>
  <si>
    <t>ORD-2747</t>
  </si>
  <si>
    <t>28/02/2023</t>
  </si>
  <si>
    <t>24/03/2023</t>
  </si>
  <si>
    <t>Customer_4413</t>
  </si>
  <si>
    <t>West Africa</t>
  </si>
  <si>
    <t>Benin</t>
  </si>
  <si>
    <t>Industrial Equipment</t>
  </si>
  <si>
    <t>Power Saw</t>
  </si>
  <si>
    <t>MegaSupply Inc</t>
  </si>
  <si>
    <t>On Time</t>
  </si>
  <si>
    <t>ORD-3232</t>
  </si>
  <si>
    <t>24/02/2023</t>
  </si>
  <si>
    <t>01-11-2023</t>
  </si>
  <si>
    <t>Customer_793</t>
  </si>
  <si>
    <t>Southern Africa</t>
  </si>
  <si>
    <t>Zambia</t>
  </si>
  <si>
    <t>Automotive Parts</t>
  </si>
  <si>
    <t>Spark Plugs Set</t>
  </si>
  <si>
    <t>SunSource Ltd</t>
  </si>
  <si>
    <t>ORD-3428</t>
  </si>
  <si>
    <t>23/12/2023</t>
  </si>
  <si>
    <t>01/11/2023</t>
  </si>
  <si>
    <t>Customer_2632</t>
  </si>
  <si>
    <t>Uganda</t>
  </si>
  <si>
    <t>Home Appliances</t>
  </si>
  <si>
    <t>Gas Cooker</t>
  </si>
  <si>
    <t>ORD-2490</t>
  </si>
  <si>
    <t>17/09/2023</t>
  </si>
  <si>
    <t>22/03/2023</t>
  </si>
  <si>
    <t>Customer_5903</t>
  </si>
  <si>
    <t>Air Filter</t>
  </si>
  <si>
    <t>NileSupply Egypt</t>
  </si>
  <si>
    <t>Cairo WH-4</t>
  </si>
  <si>
    <t>?</t>
  </si>
  <si>
    <t>ORD-2538</t>
  </si>
  <si>
    <t>17/12/2024</t>
  </si>
  <si>
    <t>03-07-2023</t>
  </si>
  <si>
    <t>Customer_7115</t>
  </si>
  <si>
    <t>Rwanda</t>
  </si>
  <si>
    <t>Clothing</t>
  </si>
  <si>
    <t>Corporate Suit</t>
  </si>
  <si>
    <t>Standard</t>
  </si>
  <si>
    <t>ORD-2614</t>
  </si>
  <si>
    <t>20/10/2023</t>
  </si>
  <si>
    <t>17/04/2023</t>
  </si>
  <si>
    <t>Customer_3614</t>
  </si>
  <si>
    <t>Central Africa</t>
  </si>
  <si>
    <t>Congo</t>
  </si>
  <si>
    <t>ORD-3064</t>
  </si>
  <si>
    <t>06/10/2023</t>
  </si>
  <si>
    <t>22/04/2023</t>
  </si>
  <si>
    <t>Customer_6544</t>
  </si>
  <si>
    <t>Gabon</t>
  </si>
  <si>
    <t>NPK Fertilizer 50kg</t>
  </si>
  <si>
    <t>ORD-2047</t>
  </si>
  <si>
    <t>13/06/2023</t>
  </si>
  <si>
    <t>Customer_2743</t>
  </si>
  <si>
    <t>Hair Relaxer Kit</t>
  </si>
  <si>
    <t>Joburg WH-5</t>
  </si>
  <si>
    <t>ORD-2643</t>
  </si>
  <si>
    <t>28/04/2023</t>
  </si>
  <si>
    <t>Customer_1447</t>
  </si>
  <si>
    <t>Ghana</t>
  </si>
  <si>
    <t>Irrigation Pipe 50m</t>
  </si>
  <si>
    <t>FastTrack Logistics</t>
  </si>
  <si>
    <t>ORD-3339</t>
  </si>
  <si>
    <t>27/10/2023</t>
  </si>
  <si>
    <t>Customer_1890</t>
  </si>
  <si>
    <t>Nigeria</t>
  </si>
  <si>
    <t>Standing Fan</t>
  </si>
  <si>
    <t>PrimeGoods Africa</t>
  </si>
  <si>
    <t>ORD-3248</t>
  </si>
  <si>
    <t>09/09/2023</t>
  </si>
  <si>
    <t>03-18-2023</t>
  </si>
  <si>
    <t>Customer_5224</t>
  </si>
  <si>
    <t>Food &amp; Beverages</t>
  </si>
  <si>
    <t>Sugar 10kg</t>
  </si>
  <si>
    <t>ORD-2129</t>
  </si>
  <si>
    <t>16/09/2023</t>
  </si>
  <si>
    <t>11/08/2023</t>
  </si>
  <si>
    <t>Customer_680</t>
  </si>
  <si>
    <t>Herbicide 5L</t>
  </si>
  <si>
    <t>ORD-3696</t>
  </si>
  <si>
    <t>07/01/2023</t>
  </si>
  <si>
    <t>08/02/2023</t>
  </si>
  <si>
    <t>Customer_5320</t>
  </si>
  <si>
    <t>Rain Jacket</t>
  </si>
  <si>
    <t>EastConnect Co</t>
  </si>
  <si>
    <t>ORD-3351</t>
  </si>
  <si>
    <t>19/04/2024</t>
  </si>
  <si>
    <t>09/06/2024</t>
  </si>
  <si>
    <t>Customer_3464</t>
  </si>
  <si>
    <t>Botswana</t>
  </si>
  <si>
    <t>Mobile Phone Y12</t>
  </si>
  <si>
    <t>ORD-2388</t>
  </si>
  <si>
    <t>23/06/2023</t>
  </si>
  <si>
    <t>08/03/2023</t>
  </si>
  <si>
    <t>Customer_8111</t>
  </si>
  <si>
    <t>Tomato Paste Case</t>
  </si>
  <si>
    <t>GlobalTrade NG</t>
  </si>
  <si>
    <t>ORD-3877</t>
  </si>
  <si>
    <t>16/01/2023</t>
  </si>
  <si>
    <t>01/05/2023</t>
  </si>
  <si>
    <t>Customer_8789</t>
  </si>
  <si>
    <t>Lagos WH-1</t>
  </si>
  <si>
    <t>ORD-2854</t>
  </si>
  <si>
    <t>05/12/2024</t>
  </si>
  <si>
    <t>07/07/2024</t>
  </si>
  <si>
    <t>Customer_4255</t>
  </si>
  <si>
    <t>South Africa</t>
  </si>
  <si>
    <t>Angle Grinder</t>
  </si>
  <si>
    <t>ORD-3831</t>
  </si>
  <si>
    <t>27/11/2023</t>
  </si>
  <si>
    <t>Customer_2254</t>
  </si>
  <si>
    <t>Powdered Milk 2kg</t>
  </si>
  <si>
    <t>ORD-2151</t>
  </si>
  <si>
    <t>24/05/2024</t>
  </si>
  <si>
    <t>08/04/2024</t>
  </si>
  <si>
    <t>Customer_1407</t>
  </si>
  <si>
    <t>Vegetable Seedlings</t>
  </si>
  <si>
    <t>ORD-2594</t>
  </si>
  <si>
    <t>14/08/2023</t>
  </si>
  <si>
    <t>18/08/2023</t>
  </si>
  <si>
    <t>Customer_8375</t>
  </si>
  <si>
    <t>Iron Box</t>
  </si>
  <si>
    <t>ORD-3615</t>
  </si>
  <si>
    <t>2023-12-28</t>
  </si>
  <si>
    <t>11/03/2023</t>
  </si>
  <si>
    <t>Customer_3134</t>
  </si>
  <si>
    <t>Tunisia</t>
  </si>
  <si>
    <t>Ladies Dress</t>
  </si>
  <si>
    <t>ORD-2469</t>
  </si>
  <si>
    <t>01/07/2023</t>
  </si>
  <si>
    <t>21/05/2023</t>
  </si>
  <si>
    <t>Customer_6504</t>
  </si>
  <si>
    <t>Sports &amp; Fitness</t>
  </si>
  <si>
    <t>Jump Rope</t>
  </si>
  <si>
    <t>AtlanticTrade GH</t>
  </si>
  <si>
    <t>ORD-3117</t>
  </si>
  <si>
    <t>21/11/2023</t>
  </si>
  <si>
    <t>14/09/2023</t>
  </si>
  <si>
    <t>Customer_3963</t>
  </si>
  <si>
    <t>ORD-3185</t>
  </si>
  <si>
    <t>05/03/2024</t>
  </si>
  <si>
    <t>17/02/2024</t>
  </si>
  <si>
    <t>Customer_9059</t>
  </si>
  <si>
    <t>ORD-2603</t>
  </si>
  <si>
    <t>20/10/2024</t>
  </si>
  <si>
    <t>09/08/2024</t>
  </si>
  <si>
    <t>Customer_2482</t>
  </si>
  <si>
    <t>ORD-3926</t>
  </si>
  <si>
    <t>26/04/2024</t>
  </si>
  <si>
    <t>13/04/2024</t>
  </si>
  <si>
    <t>Customer_7843</t>
  </si>
  <si>
    <t>ORD-2510</t>
  </si>
  <si>
    <t>11/02/2023</t>
  </si>
  <si>
    <t>07/10/2023</t>
  </si>
  <si>
    <t>Customer_9583</t>
  </si>
  <si>
    <t>Toothpaste Pack</t>
  </si>
  <si>
    <t>ORD-3468</t>
  </si>
  <si>
    <t>15/01/2023</t>
  </si>
  <si>
    <t>05/09/2023</t>
  </si>
  <si>
    <t>Customer_3872</t>
  </si>
  <si>
    <t>Office Supplies</t>
  </si>
  <si>
    <t>Notebooks 50pk</t>
  </si>
  <si>
    <t>ORD-3784</t>
  </si>
  <si>
    <t>01/01/2024</t>
  </si>
  <si>
    <t>28/11/2024</t>
  </si>
  <si>
    <t>Customer_5499</t>
  </si>
  <si>
    <t>Egypt</t>
  </si>
  <si>
    <t>ORD-2642</t>
  </si>
  <si>
    <t>04/04/2023</t>
  </si>
  <si>
    <t>24/11/2023</t>
  </si>
  <si>
    <t>Customer_2294</t>
  </si>
  <si>
    <t>Ethiopia</t>
  </si>
  <si>
    <t>Air Compressor</t>
  </si>
  <si>
    <t>ORD-2774</t>
  </si>
  <si>
    <t>10/02/2023</t>
  </si>
  <si>
    <t>September 2023</t>
  </si>
  <si>
    <t>Customer_6720</t>
  </si>
  <si>
    <t>ORD-2489</t>
  </si>
  <si>
    <t>02/03/2024</t>
  </si>
  <si>
    <t>21/12/2024</t>
  </si>
  <si>
    <t>Customer_570</t>
  </si>
  <si>
    <t>DRC</t>
  </si>
  <si>
    <t>Engine Oil 4L</t>
  </si>
  <si>
    <t>QuickShip Co</t>
  </si>
  <si>
    <t>ORD-3773</t>
  </si>
  <si>
    <t>21/08/2023</t>
  </si>
  <si>
    <t>10/10/2023</t>
  </si>
  <si>
    <t>Customer_1046</t>
  </si>
  <si>
    <t>ORD-2106</t>
  </si>
  <si>
    <t>15/04/2024</t>
  </si>
  <si>
    <t>02/04/2024</t>
  </si>
  <si>
    <t>Customer_3104</t>
  </si>
  <si>
    <t>Zimbabwe</t>
  </si>
  <si>
    <t>ORD-3653</t>
  </si>
  <si>
    <t>18/04/2023</t>
  </si>
  <si>
    <t>Customer_7640</t>
  </si>
  <si>
    <t>KENYA</t>
  </si>
  <si>
    <t>Vitamin C Tablets</t>
  </si>
  <si>
    <t>ORD-2841</t>
  </si>
  <si>
    <t>14/08/2024</t>
  </si>
  <si>
    <t>14/02/2024</t>
  </si>
  <si>
    <t>Customer_9549</t>
  </si>
  <si>
    <t>Senegal</t>
  </si>
  <si>
    <t>Maize Seeds 10kg</t>
  </si>
  <si>
    <t>ORD-3464</t>
  </si>
  <si>
    <t>22/10/2023</t>
  </si>
  <si>
    <t>17/01/2023</t>
  </si>
  <si>
    <t>Customer_7611</t>
  </si>
  <si>
    <t>Water Pump 2HP</t>
  </si>
  <si>
    <t>ORD-2052</t>
  </si>
  <si>
    <t>22/01/2024</t>
  </si>
  <si>
    <t>2023-01-19</t>
  </si>
  <si>
    <t>Customer_2087</t>
  </si>
  <si>
    <t>Algeria</t>
  </si>
  <si>
    <t>Dumbbells 5kg Pair</t>
  </si>
  <si>
    <t>ORD-3975</t>
  </si>
  <si>
    <t>19/10/2023</t>
  </si>
  <si>
    <t>17/05/2023</t>
  </si>
  <si>
    <t>Customer_2960</t>
  </si>
  <si>
    <t>Mozambique</t>
  </si>
  <si>
    <t>ORD-2064</t>
  </si>
  <si>
    <t>18/09/2023</t>
  </si>
  <si>
    <t>24/06/2023</t>
  </si>
  <si>
    <t>Customer_3956</t>
  </si>
  <si>
    <t>Morocco</t>
  </si>
  <si>
    <t>Drip Tape 100m</t>
  </si>
  <si>
    <t>ORD-2758</t>
  </si>
  <si>
    <t>09/03/2024</t>
  </si>
  <si>
    <t>13/11/2024</t>
  </si>
  <si>
    <t>Customer_3960</t>
  </si>
  <si>
    <t>ORD-2733</t>
  </si>
  <si>
    <t>23/05/2023</t>
  </si>
  <si>
    <t>14/04/2023</t>
  </si>
  <si>
    <t>Customer_4580</t>
  </si>
  <si>
    <t>C. Africa</t>
  </si>
  <si>
    <t>Filing Cabinet</t>
  </si>
  <si>
    <t>AfroParts Ltd</t>
  </si>
  <si>
    <t>ORD-2244</t>
  </si>
  <si>
    <t>21/12/2023</t>
  </si>
  <si>
    <t>23/11/2023</t>
  </si>
  <si>
    <t>Customer_8637</t>
  </si>
  <si>
    <t>ORD-3217</t>
  </si>
  <si>
    <t>26/01/2023</t>
  </si>
  <si>
    <t>02/01/2023</t>
  </si>
  <si>
    <t>Customer_6766</t>
  </si>
  <si>
    <t>Men Polo Shirt</t>
  </si>
  <si>
    <t>ORD-2333</t>
  </si>
  <si>
    <t>27/05/2024</t>
  </si>
  <si>
    <t>07/03/2024</t>
  </si>
  <si>
    <t>Customer_4876</t>
  </si>
  <si>
    <t>ORD-2600</t>
  </si>
  <si>
    <t>26/08/2023</t>
  </si>
  <si>
    <t>07/09/2023</t>
  </si>
  <si>
    <t>Customer_6537</t>
  </si>
  <si>
    <t>Cycling Helmet</t>
  </si>
  <si>
    <t>ORD-3210</t>
  </si>
  <si>
    <t>11/09/2023</t>
  </si>
  <si>
    <t>03/07/2023</t>
  </si>
  <si>
    <t>Customer_9211</t>
  </si>
  <si>
    <t>Rice 50kg Bag</t>
  </si>
  <si>
    <t>ORD-3656</t>
  </si>
  <si>
    <t>16/03/2024</t>
  </si>
  <si>
    <t>2023/04/05</t>
  </si>
  <si>
    <t>Customer_7828</t>
  </si>
  <si>
    <t>Ankara Fabric 6yds</t>
  </si>
  <si>
    <t>ORD-2365</t>
  </si>
  <si>
    <t>16/02/2023</t>
  </si>
  <si>
    <t>13/01/2023</t>
  </si>
  <si>
    <t>Customer_9172</t>
  </si>
  <si>
    <t>ORD-2880</t>
  </si>
  <si>
    <t>07/03/2023</t>
  </si>
  <si>
    <t>05/12/2023</t>
  </si>
  <si>
    <t>Customer_1550</t>
  </si>
  <si>
    <t>Cameroon</t>
  </si>
  <si>
    <t>ORD-2500</t>
  </si>
  <si>
    <t>16/06/2023</t>
  </si>
  <si>
    <t>20/06/2023</t>
  </si>
  <si>
    <t>Customer_2569</t>
  </si>
  <si>
    <t>Desk Organizer</t>
  </si>
  <si>
    <t>ORD-2102</t>
  </si>
  <si>
    <t>20/09/2023</t>
  </si>
  <si>
    <t>21/06/2023</t>
  </si>
  <si>
    <t>Customer_9884</t>
  </si>
  <si>
    <t>Printer Ink Cartridge</t>
  </si>
  <si>
    <t>ORD-3641</t>
  </si>
  <si>
    <t>15/12/2023</t>
  </si>
  <si>
    <t>18/01/2023</t>
  </si>
  <si>
    <t>Customer_7854</t>
  </si>
  <si>
    <t>Canned Sardines Box</t>
  </si>
  <si>
    <t>ORD-3716</t>
  </si>
  <si>
    <t>15/03/2023</t>
  </si>
  <si>
    <t>18/10/2023</t>
  </si>
  <si>
    <t>Customer_3943</t>
  </si>
  <si>
    <t>ORD-2451</t>
  </si>
  <si>
    <t>16/04/2023</t>
  </si>
  <si>
    <t>07/07/2023</t>
  </si>
  <si>
    <t>Customer_8496</t>
  </si>
  <si>
    <t>Digital Camera</t>
  </si>
  <si>
    <t>ORD-2275</t>
  </si>
  <si>
    <t>05/03/2023</t>
  </si>
  <si>
    <t>23/02/2023</t>
  </si>
  <si>
    <t>Customer_4646</t>
  </si>
  <si>
    <t>E.Africa</t>
  </si>
  <si>
    <t>Yoga Mat</t>
  </si>
  <si>
    <t>ORD-2456</t>
  </si>
  <si>
    <t>04/03/2023</t>
  </si>
  <si>
    <t>04/05/2023</t>
  </si>
  <si>
    <t>Customer_7952</t>
  </si>
  <si>
    <t>Swimming Goggles</t>
  </si>
  <si>
    <t>ORD-3512</t>
  </si>
  <si>
    <t>15/02/2023</t>
  </si>
  <si>
    <t>Customer_4507</t>
  </si>
  <si>
    <t>Football Size 5</t>
  </si>
  <si>
    <t>ORD-3665</t>
  </si>
  <si>
    <t>19/05/2024</t>
  </si>
  <si>
    <t>03/02/2024</t>
  </si>
  <si>
    <t>Customer_1741</t>
  </si>
  <si>
    <t>ORD-2616</t>
  </si>
  <si>
    <t>04/10/2023</t>
  </si>
  <si>
    <t>Customer_4193</t>
  </si>
  <si>
    <t>ORD-2764</t>
  </si>
  <si>
    <t>2023-06-08</t>
  </si>
  <si>
    <t>26/07/2023</t>
  </si>
  <si>
    <t>Customer_5334</t>
  </si>
  <si>
    <t>ORD-2651</t>
  </si>
  <si>
    <t>18/11/2023</t>
  </si>
  <si>
    <t>Customer_9644</t>
  </si>
  <si>
    <t>Windscreen Wipers</t>
  </si>
  <si>
    <t>ORD-3334</t>
  </si>
  <si>
    <t>20/11/2024</t>
  </si>
  <si>
    <t>14/01/2024</t>
  </si>
  <si>
    <t>Customer_9730</t>
  </si>
  <si>
    <t>ORD-3964</t>
  </si>
  <si>
    <t>16/03/2023</t>
  </si>
  <si>
    <t>09/10/2023</t>
  </si>
  <si>
    <t>Customer_9720</t>
  </si>
  <si>
    <t>ORD-3691</t>
  </si>
  <si>
    <t>14/12/2023</t>
  </si>
  <si>
    <t>28/05/2023</t>
  </si>
  <si>
    <t>Customer_5439</t>
  </si>
  <si>
    <t>ORD-2403</t>
  </si>
  <si>
    <t>19/03/2023</t>
  </si>
  <si>
    <t>Customer_8252</t>
  </si>
  <si>
    <t>Concrete Mixer</t>
  </si>
  <si>
    <t>ORD-2800</t>
  </si>
  <si>
    <t>18/03/2023</t>
  </si>
  <si>
    <t>2023/02/14</t>
  </si>
  <si>
    <t>Customer_5995</t>
  </si>
  <si>
    <t>ORD-3407</t>
  </si>
  <si>
    <t>09/05/2023</t>
  </si>
  <si>
    <t>17/12/2023</t>
  </si>
  <si>
    <t>Customer_1274</t>
  </si>
  <si>
    <t>ORD-2377</t>
  </si>
  <si>
    <t>26/10/2023</t>
  </si>
  <si>
    <t>Customer_7271</t>
  </si>
  <si>
    <t>Bluetooth Speaker</t>
  </si>
  <si>
    <t>ORD-3679</t>
  </si>
  <si>
    <t>17/10/2024</t>
  </si>
  <si>
    <t>28/02/2024</t>
  </si>
  <si>
    <t>Customer_3922</t>
  </si>
  <si>
    <t>Côte d'Ivoire</t>
  </si>
  <si>
    <t>ORD-3744</t>
  </si>
  <si>
    <t>11/06/2023</t>
  </si>
  <si>
    <t>Customer_9786</t>
  </si>
  <si>
    <t>ORD-2416</t>
  </si>
  <si>
    <t>09/01/2023</t>
  </si>
  <si>
    <t>27/02/2023</t>
  </si>
  <si>
    <t>Customer_3983</t>
  </si>
  <si>
    <t>Microwave Oven</t>
  </si>
  <si>
    <t>ORD-3551</t>
  </si>
  <si>
    <t>10/05/2023</t>
  </si>
  <si>
    <t>Customer_1017</t>
  </si>
  <si>
    <t>CÔTE D'IVOIRE</t>
  </si>
  <si>
    <t>ORD-3488</t>
  </si>
  <si>
    <t>05/01/2023</t>
  </si>
  <si>
    <t>14/06/2023</t>
  </si>
  <si>
    <t>Customer_4439</t>
  </si>
  <si>
    <t>ORD-3746</t>
  </si>
  <si>
    <t>06/11/2023</t>
  </si>
  <si>
    <t>Customer_1736</t>
  </si>
  <si>
    <t>Basketball</t>
  </si>
  <si>
    <t>ORD-2902</t>
  </si>
  <si>
    <t>04/06/2023</t>
  </si>
  <si>
    <t>13/03/2023</t>
  </si>
  <si>
    <t>Customer_6647</t>
  </si>
  <si>
    <t>ORD-3963</t>
  </si>
  <si>
    <t>Customer_2785</t>
  </si>
  <si>
    <t>ORD-3279</t>
  </si>
  <si>
    <t>Customer_402</t>
  </si>
  <si>
    <t>Brake Pads Set</t>
  </si>
  <si>
    <t>ORD-2019</t>
  </si>
  <si>
    <t>06/05/2023</t>
  </si>
  <si>
    <t>01/03/2023</t>
  </si>
  <si>
    <t>Customer_4779</t>
  </si>
  <si>
    <t>GABON</t>
  </si>
  <si>
    <t>ORD-3049</t>
  </si>
  <si>
    <t>02-10-2023</t>
  </si>
  <si>
    <t>20/08/2023</t>
  </si>
  <si>
    <t>Customer_4877</t>
  </si>
  <si>
    <t>on time</t>
  </si>
  <si>
    <t>ORD-3989</t>
  </si>
  <si>
    <t>10/04/2023</t>
  </si>
  <si>
    <t>18/05/2023</t>
  </si>
  <si>
    <t>Customer_1495</t>
  </si>
  <si>
    <t>ORD-3422</t>
  </si>
  <si>
    <t>Customer_4441</t>
  </si>
  <si>
    <t>ORD-3450</t>
  </si>
  <si>
    <t>04/08/2023</t>
  </si>
  <si>
    <t>Customer_145</t>
  </si>
  <si>
    <t>ORD-2210</t>
  </si>
  <si>
    <t>14/05/2023</t>
  </si>
  <si>
    <t>05/10/2023</t>
  </si>
  <si>
    <t>Customer_4276</t>
  </si>
  <si>
    <t>ORD-2927</t>
  </si>
  <si>
    <t>11/04/2024</t>
  </si>
  <si>
    <t>26/11/2024</t>
  </si>
  <si>
    <t>Customer_335</t>
  </si>
  <si>
    <t>ORD-3508</t>
  </si>
  <si>
    <t>15/09/2023</t>
  </si>
  <si>
    <t>Customer_3045</t>
  </si>
  <si>
    <t>Solar Charger</t>
  </si>
  <si>
    <t>ORD-3329</t>
  </si>
  <si>
    <t>05/05/2023</t>
  </si>
  <si>
    <t>Customer_6806</t>
  </si>
  <si>
    <t>Blender Pro</t>
  </si>
  <si>
    <t>ORD-2831</t>
  </si>
  <si>
    <t>28/08/2023</t>
  </si>
  <si>
    <t>23/01/2023</t>
  </si>
  <si>
    <t>Sports Sneakers</t>
  </si>
  <si>
    <t>ORD-3892</t>
  </si>
  <si>
    <t>11/07/2023</t>
  </si>
  <si>
    <t>08/12/2023</t>
  </si>
  <si>
    <t>Customer_8772</t>
  </si>
  <si>
    <t>ORD-3297</t>
  </si>
  <si>
    <t>09/07/2024</t>
  </si>
  <si>
    <t>16/09/2024</t>
  </si>
  <si>
    <t>Customer_4590</t>
  </si>
  <si>
    <t>Whiteboard Marker Set</t>
  </si>
  <si>
    <t>ORD-2781</t>
  </si>
  <si>
    <t>10/12/2023</t>
  </si>
  <si>
    <t>Customer_5604</t>
  </si>
  <si>
    <t>ORD-3314</t>
  </si>
  <si>
    <t>07/06/2024</t>
  </si>
  <si>
    <t>Customer_996</t>
  </si>
  <si>
    <t>TUNISIA</t>
  </si>
  <si>
    <t>ORD-2815</t>
  </si>
  <si>
    <t>06/11/2024</t>
  </si>
  <si>
    <t>12/02/2024</t>
  </si>
  <si>
    <t>Customer_5541</t>
  </si>
  <si>
    <t>east africa</t>
  </si>
  <si>
    <t>Eye Drops 10ml</t>
  </si>
  <si>
    <t>ORD-2689</t>
  </si>
  <si>
    <t>02/11/2023</t>
  </si>
  <si>
    <t>04/12/2023</t>
  </si>
  <si>
    <t>Customer_450</t>
  </si>
  <si>
    <t>ORD-3537</t>
  </si>
  <si>
    <t>14/11/2023</t>
  </si>
  <si>
    <t>Customer_3434</t>
  </si>
  <si>
    <t xml:space="preserve">   Basketball   </t>
  </si>
  <si>
    <t>ORD-3706</t>
  </si>
  <si>
    <t>12/10/2023</t>
  </si>
  <si>
    <t>2023/08/12</t>
  </si>
  <si>
    <t>Customer_505</t>
  </si>
  <si>
    <t>Cooking Oil 5L</t>
  </si>
  <si>
    <t>ORD-2661</t>
  </si>
  <si>
    <t>23/03/2023</t>
  </si>
  <si>
    <t>Customer_1416</t>
  </si>
  <si>
    <t>Ballpoint Pens Box</t>
  </si>
  <si>
    <t>ORD-3595</t>
  </si>
  <si>
    <t>Customer_2877</t>
  </si>
  <si>
    <t>Wireless Router</t>
  </si>
  <si>
    <t>ORD-3361</t>
  </si>
  <si>
    <t>25/03/2023</t>
  </si>
  <si>
    <t>Customer_7570</t>
  </si>
  <si>
    <t>ORD-3075</t>
  </si>
  <si>
    <t>17/08/2023</t>
  </si>
  <si>
    <t>16/07/2023</t>
  </si>
  <si>
    <t>Customer_2285</t>
  </si>
  <si>
    <t>ORD-2332</t>
  </si>
  <si>
    <t>13/04/2023</t>
  </si>
  <si>
    <t>Customer_3831</t>
  </si>
  <si>
    <t>Chad</t>
  </si>
  <si>
    <t>Industrial Generator 10kVA</t>
  </si>
  <si>
    <t>primegoods africa</t>
  </si>
  <si>
    <t>ORD-3802</t>
  </si>
  <si>
    <t>January 2023</t>
  </si>
  <si>
    <t>Customer_6825</t>
  </si>
  <si>
    <t>ORD-3096</t>
  </si>
  <si>
    <t>2023-08-02</t>
  </si>
  <si>
    <t>Customer_8666</t>
  </si>
  <si>
    <t>ORD-3938</t>
  </si>
  <si>
    <t>04-02-2023</t>
  </si>
  <si>
    <t>17/11/2024</t>
  </si>
  <si>
    <t>Customer_1286</t>
  </si>
  <si>
    <t>ORD-2148</t>
  </si>
  <si>
    <t>14/09/2024</t>
  </si>
  <si>
    <t>23/01/2024</t>
  </si>
  <si>
    <t>Customer_8895</t>
  </si>
  <si>
    <t>ORD-3093</t>
  </si>
  <si>
    <t>01/09/2023</t>
  </si>
  <si>
    <t>Customer_8218</t>
  </si>
  <si>
    <t>ORD-2751</t>
  </si>
  <si>
    <t>21/09/2023</t>
  </si>
  <si>
    <t>Customer_862</t>
  </si>
  <si>
    <t>Tennis Racket</t>
  </si>
  <si>
    <t>ORD-3613</t>
  </si>
  <si>
    <t>06-14-2023</t>
  </si>
  <si>
    <t>18/07/2023</t>
  </si>
  <si>
    <t>Customer_9670</t>
  </si>
  <si>
    <t>ORD-2108</t>
  </si>
  <si>
    <t xml:space="preserve">   Customer_3849   </t>
  </si>
  <si>
    <t>BENIN</t>
  </si>
  <si>
    <t>ORD-2111</t>
  </si>
  <si>
    <t>28/08/2024</t>
  </si>
  <si>
    <t>Customer_9454</t>
  </si>
  <si>
    <t>Water Dispenser</t>
  </si>
  <si>
    <t>ORD-2838</t>
  </si>
  <si>
    <t>26/03/2023</t>
  </si>
  <si>
    <t>Customer_6380</t>
  </si>
  <si>
    <t>ORD-2913</t>
  </si>
  <si>
    <t>13/08/2023</t>
  </si>
  <si>
    <t>Customer_7777</t>
  </si>
  <si>
    <t>Face Cream SPF50</t>
  </si>
  <si>
    <t>ORD-3793</t>
  </si>
  <si>
    <t>10/03/2023</t>
  </si>
  <si>
    <t>03/04/2023</t>
  </si>
  <si>
    <t>Customer_2275</t>
  </si>
  <si>
    <t>ORD-3081</t>
  </si>
  <si>
    <t>14/02/2023</t>
  </si>
  <si>
    <t>Customer_9498</t>
  </si>
  <si>
    <t>ORD-2833</t>
  </si>
  <si>
    <t>26/06/2023</t>
  </si>
  <si>
    <t>Customer_5429</t>
  </si>
  <si>
    <t>ORD-2585</t>
  </si>
  <si>
    <t>09/07/2023</t>
  </si>
  <si>
    <t>25/01/2023</t>
  </si>
  <si>
    <t>Customer_8779</t>
  </si>
  <si>
    <t>ORD-2551</t>
  </si>
  <si>
    <t>13/07/2023</t>
  </si>
  <si>
    <t>01/12/2023</t>
  </si>
  <si>
    <t>Customer_2542</t>
  </si>
  <si>
    <t>ORD-3917</t>
  </si>
  <si>
    <t>27/04/2023</t>
  </si>
  <si>
    <t>10/01/2023</t>
  </si>
  <si>
    <t>Customer_5017</t>
  </si>
  <si>
    <t xml:space="preserve">   Congo   </t>
  </si>
  <si>
    <t>ORD-3425</t>
  </si>
  <si>
    <t>11/12/2024</t>
  </si>
  <si>
    <t>14/04/2024</t>
  </si>
  <si>
    <t>Customer_7491</t>
  </si>
  <si>
    <t>ORD-2983</t>
  </si>
  <si>
    <t>11/12/2023</t>
  </si>
  <si>
    <t>Customer_5582</t>
  </si>
  <si>
    <t>ORD-2079</t>
  </si>
  <si>
    <t>15/05/2023</t>
  </si>
  <si>
    <t>Customer_692</t>
  </si>
  <si>
    <t>ORD-2317</t>
  </si>
  <si>
    <t>25/11/2023</t>
  </si>
  <si>
    <t>Customer_5958</t>
  </si>
  <si>
    <t>ORD-2911</t>
  </si>
  <si>
    <t>05/07/2023</t>
  </si>
  <si>
    <t>Customer_2202</t>
  </si>
  <si>
    <t>ORD-4010</t>
  </si>
  <si>
    <t>2023/02/01</t>
  </si>
  <si>
    <t>04/12/2024</t>
  </si>
  <si>
    <t>Customer_4421</t>
  </si>
  <si>
    <t>Car Battery 12V</t>
  </si>
  <si>
    <t>ORD-3942</t>
  </si>
  <si>
    <t>19/07/2023</t>
  </si>
  <si>
    <t>June 2023</t>
  </si>
  <si>
    <t>Customer_8204</t>
  </si>
  <si>
    <t>Washing Machine</t>
  </si>
  <si>
    <t>ORD-2972</t>
  </si>
  <si>
    <t>27/07/2023</t>
  </si>
  <si>
    <t>Customer_1070</t>
  </si>
  <si>
    <t>ORD-2068</t>
  </si>
  <si>
    <t>05/06/2023</t>
  </si>
  <si>
    <t>21/03/2023</t>
  </si>
  <si>
    <t>Customer_8002</t>
  </si>
  <si>
    <t>ORD-3749</t>
  </si>
  <si>
    <t>12/09/2023</t>
  </si>
  <si>
    <t>Customer_5246</t>
  </si>
  <si>
    <t>ORD-3233</t>
  </si>
  <si>
    <t>27/12/2023</t>
  </si>
  <si>
    <t>11/04/2023</t>
  </si>
  <si>
    <t>Customer_9868</t>
  </si>
  <si>
    <t>School Uniform</t>
  </si>
  <si>
    <t>ORD-3888</t>
  </si>
  <si>
    <t>28/03/2023</t>
  </si>
  <si>
    <t>Customer_6668</t>
  </si>
  <si>
    <t>Laptop Pro X</t>
  </si>
  <si>
    <t>ORD-3688</t>
  </si>
  <si>
    <t>01/01/2023</t>
  </si>
  <si>
    <t>25/07/2023</t>
  </si>
  <si>
    <t>Customer_4845</t>
  </si>
  <si>
    <t>ORD-3943</t>
  </si>
  <si>
    <t>17/07/2023</t>
  </si>
  <si>
    <t>Customer_7137</t>
  </si>
  <si>
    <t>ORD-3756</t>
  </si>
  <si>
    <t>06/12/2023</t>
  </si>
  <si>
    <t>15/11/2023</t>
  </si>
  <si>
    <t>Customer_7215</t>
  </si>
  <si>
    <t>ORD-3837</t>
  </si>
  <si>
    <t>Customer_3703</t>
  </si>
  <si>
    <t>ORD-3895</t>
  </si>
  <si>
    <t>02/03/2023</t>
  </si>
  <si>
    <t>Customer_4593</t>
  </si>
  <si>
    <t>Tablet 10inch</t>
  </si>
  <si>
    <t>ORD-2939</t>
  </si>
  <si>
    <t>Customer_6014</t>
  </si>
  <si>
    <t>ORD-2479</t>
  </si>
  <si>
    <t>07/11/2023</t>
  </si>
  <si>
    <t>Customer_8134</t>
  </si>
  <si>
    <t>ORD-2300</t>
  </si>
  <si>
    <t>July 2023</t>
  </si>
  <si>
    <t>August 2023</t>
  </si>
  <si>
    <t>Customer_1853</t>
  </si>
  <si>
    <t>Antibacterial Soap</t>
  </si>
  <si>
    <t>ORD-2398</t>
  </si>
  <si>
    <t>13/02/2023</t>
  </si>
  <si>
    <t>Customer_391</t>
  </si>
  <si>
    <t>ORD-2380</t>
  </si>
  <si>
    <t>Customer_8138</t>
  </si>
  <si>
    <t>ORD-2765</t>
  </si>
  <si>
    <t>Customer_6116</t>
  </si>
  <si>
    <t>ORD-3426</t>
  </si>
  <si>
    <t>Customer_6335</t>
  </si>
  <si>
    <t>A4 Paper Ream</t>
  </si>
  <si>
    <t>ORD-2134</t>
  </si>
  <si>
    <t>Customer_6935</t>
  </si>
  <si>
    <t xml:space="preserve">  Economy  </t>
  </si>
  <si>
    <t>ORD-3320</t>
  </si>
  <si>
    <t>Customer_1216</t>
  </si>
  <si>
    <t>ORD-3950</t>
  </si>
  <si>
    <t>26/02/2023</t>
  </si>
  <si>
    <t>Customer_4059</t>
  </si>
  <si>
    <t>ORD-2678</t>
  </si>
  <si>
    <t>20/02/2023</t>
  </si>
  <si>
    <t>Customer_7775</t>
  </si>
  <si>
    <t>SOUTHERN AFRICA</t>
  </si>
  <si>
    <t>--</t>
  </si>
  <si>
    <t>ORD-3960</t>
  </si>
  <si>
    <t>Customer_6636</t>
  </si>
  <si>
    <t>ORD-2960</t>
  </si>
  <si>
    <t>03/12/2023</t>
  </si>
  <si>
    <t>28/01/2023</t>
  </si>
  <si>
    <t>Customer_5658</t>
  </si>
  <si>
    <t>Noodles Pack</t>
  </si>
  <si>
    <t>ORD-3525</t>
  </si>
  <si>
    <t>04/07/2023</t>
  </si>
  <si>
    <t>17/06/2023</t>
  </si>
  <si>
    <t>Customer_6672</t>
  </si>
  <si>
    <t>TANZANIA</t>
  </si>
  <si>
    <t>ORD-2937</t>
  </si>
  <si>
    <t>24/12/2023</t>
  </si>
  <si>
    <t>03/05/2023</t>
  </si>
  <si>
    <t>Customer_2578</t>
  </si>
  <si>
    <t>Malaria Test Kits</t>
  </si>
  <si>
    <t>ORD-3787</t>
  </si>
  <si>
    <t>06/06/2023</t>
  </si>
  <si>
    <t>Customer_4295</t>
  </si>
  <si>
    <t>ORD-3009</t>
  </si>
  <si>
    <t>10/07/2023</t>
  </si>
  <si>
    <t>10-27-2023</t>
  </si>
  <si>
    <t>Customer_3419</t>
  </si>
  <si>
    <t>ORD-3900</t>
  </si>
  <si>
    <t>18/02/2023</t>
  </si>
  <si>
    <t>Customer_2110</t>
  </si>
  <si>
    <t>Stapler Kit</t>
  </si>
  <si>
    <t>ORD-2029</t>
  </si>
  <si>
    <t>15/11/2024</t>
  </si>
  <si>
    <t>01/09/2024</t>
  </si>
  <si>
    <t>Customer_9961</t>
  </si>
  <si>
    <t>ORD-2556</t>
  </si>
  <si>
    <t>27/11/2024</t>
  </si>
  <si>
    <t>12/03/2024</t>
  </si>
  <si>
    <t>Customer_2918</t>
  </si>
  <si>
    <t>Pesticide Concentrate</t>
  </si>
  <si>
    <t>ORD-2460</t>
  </si>
  <si>
    <t>09/02/2023</t>
  </si>
  <si>
    <t>Customer_3718</t>
  </si>
  <si>
    <t>ORD-2811</t>
  </si>
  <si>
    <t>Customer_8459</t>
  </si>
  <si>
    <t>ORD-3239</t>
  </si>
  <si>
    <t>02/02/2023</t>
  </si>
  <si>
    <t>14/10/2023</t>
  </si>
  <si>
    <t>Customer_5718</t>
  </si>
  <si>
    <t>ORD-3256</t>
  </si>
  <si>
    <t>Customer_8486</t>
  </si>
  <si>
    <t>ORD-2925</t>
  </si>
  <si>
    <t>08/01/2023</t>
  </si>
  <si>
    <t>26/09/2023</t>
  </si>
  <si>
    <t>Customer_757</t>
  </si>
  <si>
    <t>ORD-3588</t>
  </si>
  <si>
    <t>06/02/2023</t>
  </si>
  <si>
    <t>Customer_4349</t>
  </si>
  <si>
    <t>MOROCCO</t>
  </si>
  <si>
    <t>ORD-3199</t>
  </si>
  <si>
    <t>13/09/2023</t>
  </si>
  <si>
    <t>Customer_2706</t>
  </si>
  <si>
    <t>delayed</t>
  </si>
  <si>
    <t>ORD-2624</t>
  </si>
  <si>
    <t>23/10/2023</t>
  </si>
  <si>
    <t>Customer_9680</t>
  </si>
  <si>
    <t>ORD-3921</t>
  </si>
  <si>
    <t>Customer_3650</t>
  </si>
  <si>
    <t>ORD-2577</t>
  </si>
  <si>
    <t>25/05/2023</t>
  </si>
  <si>
    <t>16/11/2023</t>
  </si>
  <si>
    <t>Customer_4523</t>
  </si>
  <si>
    <t>ORD-3690</t>
  </si>
  <si>
    <t>2023-08-27</t>
  </si>
  <si>
    <t>Customer_1113</t>
  </si>
  <si>
    <t>ORD-3902</t>
  </si>
  <si>
    <t>19/01/2024</t>
  </si>
  <si>
    <t>Customer_5571</t>
  </si>
  <si>
    <t>ORD-2808</t>
  </si>
  <si>
    <t>02/10/2023</t>
  </si>
  <si>
    <t>Customer_7909</t>
  </si>
  <si>
    <t>ORD-2605</t>
  </si>
  <si>
    <t>13/05/2023</t>
  </si>
  <si>
    <t>04/02/2023</t>
  </si>
  <si>
    <t>Customer_6081</t>
  </si>
  <si>
    <t>Welding Machine</t>
  </si>
  <si>
    <t>ORD-3995</t>
  </si>
  <si>
    <t>22/12/2024</t>
  </si>
  <si>
    <t>Customer_5070</t>
  </si>
  <si>
    <t>ORD-3577</t>
  </si>
  <si>
    <t>27/08/2023</t>
  </si>
  <si>
    <t>03/06/2023</t>
  </si>
  <si>
    <t>Customer_4633</t>
  </si>
  <si>
    <t>quick ship co</t>
  </si>
  <si>
    <t>ORD-2516</t>
  </si>
  <si>
    <t>02/12/2024</t>
  </si>
  <si>
    <t>17/06/2024</t>
  </si>
  <si>
    <t>Customer_9225</t>
  </si>
  <si>
    <t>ORD-2998</t>
  </si>
  <si>
    <t>19/12/2023</t>
  </si>
  <si>
    <t>2023-02-16</t>
  </si>
  <si>
    <t>Customer_4127</t>
  </si>
  <si>
    <t>ORD-2755</t>
  </si>
  <si>
    <t>03/08/2024</t>
  </si>
  <si>
    <t>12/11/2024</t>
  </si>
  <si>
    <t>Customer_3346</t>
  </si>
  <si>
    <t>ORD-2400</t>
  </si>
  <si>
    <t>28/12/2023</t>
  </si>
  <si>
    <t>Customer_3554</t>
  </si>
  <si>
    <t>ORD-2552</t>
  </si>
  <si>
    <t>19/01/2023</t>
  </si>
  <si>
    <t>Customer_7447</t>
  </si>
  <si>
    <t>ORD-3138</t>
  </si>
  <si>
    <t>24/06/2024</t>
  </si>
  <si>
    <t>17/05/2024</t>
  </si>
  <si>
    <t>Customer_4393</t>
  </si>
  <si>
    <t>Flour 25kg</t>
  </si>
  <si>
    <t>ORD-2782</t>
  </si>
  <si>
    <t>Customer_883</t>
  </si>
  <si>
    <t>ORD-3528</t>
  </si>
  <si>
    <t>13/10/2024</t>
  </si>
  <si>
    <t>11/11/2024</t>
  </si>
  <si>
    <t>Customer_2467</t>
  </si>
  <si>
    <t>ORD-2265</t>
  </si>
  <si>
    <t>22/02/2023</t>
  </si>
  <si>
    <t>09/08/2023</t>
  </si>
  <si>
    <t>Customer_4008</t>
  </si>
  <si>
    <t>Radiator Coolant</t>
  </si>
  <si>
    <t>ON TIME</t>
  </si>
  <si>
    <t>ORD-3644</t>
  </si>
  <si>
    <t>Customer_8713</t>
  </si>
  <si>
    <t xml:space="preserve">   Egypt   </t>
  </si>
  <si>
    <t>ORD-2266</t>
  </si>
  <si>
    <t>02-07-2023</t>
  </si>
  <si>
    <t>02/12/2023</t>
  </si>
  <si>
    <t>Customer_569</t>
  </si>
  <si>
    <t>ORD-2526</t>
  </si>
  <si>
    <t>27/06/2023</t>
  </si>
  <si>
    <t>Customer_7304</t>
  </si>
  <si>
    <t>Drill Press</t>
  </si>
  <si>
    <t>ORD-2207</t>
  </si>
  <si>
    <t>Customer_9126</t>
  </si>
  <si>
    <t>ORD-2366</t>
  </si>
  <si>
    <t>01/02/2024</t>
  </si>
  <si>
    <t>Customer_2159</t>
  </si>
  <si>
    <t>Refrigerator 200L</t>
  </si>
  <si>
    <t>ORD-2186</t>
  </si>
  <si>
    <t>Customer_430</t>
  </si>
  <si>
    <t>ORD-2262</t>
  </si>
  <si>
    <t>Customer_868</t>
  </si>
  <si>
    <t>ORD-2621</t>
  </si>
  <si>
    <t>November 2023</t>
  </si>
  <si>
    <t>01/07/2024</t>
  </si>
  <si>
    <t>Customer_7950</t>
  </si>
  <si>
    <t>ORD-3128</t>
  </si>
  <si>
    <t>15/10/2023</t>
  </si>
  <si>
    <t>Customer_7506</t>
  </si>
  <si>
    <t>ORD-3599</t>
  </si>
  <si>
    <t>15/06/2023</t>
  </si>
  <si>
    <t>Customer_790</t>
  </si>
  <si>
    <t>ORD-2743</t>
  </si>
  <si>
    <t>15/07/2023</t>
  </si>
  <si>
    <t>Customer_2413</t>
  </si>
  <si>
    <t>ORD-3188</t>
  </si>
  <si>
    <t>24/10/2024</t>
  </si>
  <si>
    <t>Customer_6252</t>
  </si>
  <si>
    <t>ORD-3974</t>
  </si>
  <si>
    <t>03/03/2023</t>
  </si>
  <si>
    <t>Customer_2590</t>
  </si>
  <si>
    <t>ORD-3445</t>
  </si>
  <si>
    <t>06/03/2023</t>
  </si>
  <si>
    <t>Customer_6010</t>
  </si>
  <si>
    <t>Late Delivery</t>
  </si>
  <si>
    <t>ORD-2601</t>
  </si>
  <si>
    <t>Customer_5940</t>
  </si>
  <si>
    <t>ORD-2077</t>
  </si>
  <si>
    <t>Customer_5951</t>
  </si>
  <si>
    <t>ORD-3316</t>
  </si>
  <si>
    <t>04/07/2024</t>
  </si>
  <si>
    <t>20/03/2024</t>
  </si>
  <si>
    <t>Customer_3822</t>
  </si>
  <si>
    <t>ORD-2647</t>
  </si>
  <si>
    <t>Customer_2233</t>
  </si>
  <si>
    <t>ORD-2636</t>
  </si>
  <si>
    <t>2023/02/13</t>
  </si>
  <si>
    <t>Customer_2944</t>
  </si>
  <si>
    <t>ORD-3108</t>
  </si>
  <si>
    <t>Customer_9798</t>
  </si>
  <si>
    <t>ORD-3220</t>
  </si>
  <si>
    <t>10/11/2023</t>
  </si>
  <si>
    <t>Customer_6290</t>
  </si>
  <si>
    <t>ORD-3241</t>
  </si>
  <si>
    <t>11/01/2023</t>
  </si>
  <si>
    <t>Customer_3798</t>
  </si>
  <si>
    <t>ORD-3257</t>
  </si>
  <si>
    <t>Customer_9661</t>
  </si>
  <si>
    <t>ORD-3741</t>
  </si>
  <si>
    <t>10-17-2023</t>
  </si>
  <si>
    <t>Customer_5684</t>
  </si>
  <si>
    <t>ORD-2225</t>
  </si>
  <si>
    <t>2023/12/01</t>
  </si>
  <si>
    <t>Customer_8698</t>
  </si>
  <si>
    <t>ORD-2036</t>
  </si>
  <si>
    <t>01/06/2023</t>
  </si>
  <si>
    <t>2023/02/22</t>
  </si>
  <si>
    <t>Customer_6727</t>
  </si>
  <si>
    <t>ORD-2984</t>
  </si>
  <si>
    <t>Customer_4081</t>
  </si>
  <si>
    <t>ORD-2115</t>
  </si>
  <si>
    <t>07/05/2024</t>
  </si>
  <si>
    <t>Customer_6576</t>
  </si>
  <si>
    <t xml:space="preserve">  Late  </t>
  </si>
  <si>
    <t>ORD-3338</t>
  </si>
  <si>
    <t>Customer_2028</t>
  </si>
  <si>
    <t>ORD-3420</t>
  </si>
  <si>
    <t>Customer_5283</t>
  </si>
  <si>
    <t>ORD-2700</t>
  </si>
  <si>
    <t>03/09/2023</t>
  </si>
  <si>
    <t>Customer_9420</t>
  </si>
  <si>
    <t>ORD-2990</t>
  </si>
  <si>
    <t>01/10/2024</t>
  </si>
  <si>
    <t>26/01/2024</t>
  </si>
  <si>
    <t>Customer_8269</t>
  </si>
  <si>
    <t>ORD-2103</t>
  </si>
  <si>
    <t>April 2023</t>
  </si>
  <si>
    <t>Customer_8040</t>
  </si>
  <si>
    <t>ORD-2059</t>
  </si>
  <si>
    <t>Customer_5100</t>
  </si>
  <si>
    <t>ORD-3273</t>
  </si>
  <si>
    <t>Customer_1563</t>
  </si>
  <si>
    <t>ORD-2352</t>
  </si>
  <si>
    <t>03/11/2023</t>
  </si>
  <si>
    <t>Customer_3886</t>
  </si>
  <si>
    <t>ORD-3792</t>
  </si>
  <si>
    <t>03-03-2023</t>
  </si>
  <si>
    <t>Customer_8610</t>
  </si>
  <si>
    <t>ORD-2302</t>
  </si>
  <si>
    <t>03/01/2023</t>
  </si>
  <si>
    <t>Customer_4208</t>
  </si>
  <si>
    <t>ORD-2644</t>
  </si>
  <si>
    <t>Customer_9234</t>
  </si>
  <si>
    <t>ORD-2062</t>
  </si>
  <si>
    <t>03/01/2024</t>
  </si>
  <si>
    <t>06/02/2024</t>
  </si>
  <si>
    <t>Customer_357</t>
  </si>
  <si>
    <t>ORD-2076</t>
  </si>
  <si>
    <t>12/12/2023</t>
  </si>
  <si>
    <t>Customer_1035</t>
  </si>
  <si>
    <t>ORD-3076</t>
  </si>
  <si>
    <t>02/09/2023</t>
  </si>
  <si>
    <t>Customer_7369</t>
  </si>
  <si>
    <t>ORD-3250</t>
  </si>
  <si>
    <t>Customer_2932</t>
  </si>
  <si>
    <t>ORD-3258</t>
  </si>
  <si>
    <t>07/12/2023</t>
  </si>
  <si>
    <t>21/02/2023</t>
  </si>
  <si>
    <t>Customer_7138</t>
  </si>
  <si>
    <t>ORD-2640</t>
  </si>
  <si>
    <t>28/07/2023</t>
  </si>
  <si>
    <t>06/01/2023</t>
  </si>
  <si>
    <t>Customer_749</t>
  </si>
  <si>
    <t xml:space="preserve">   Late   </t>
  </si>
  <si>
    <t>ORD-2443</t>
  </si>
  <si>
    <t>Customer_389</t>
  </si>
  <si>
    <t>Delayed</t>
  </si>
  <si>
    <t>ORD-2718</t>
  </si>
  <si>
    <t>Customer_1548</t>
  </si>
  <si>
    <t>ORD-2369</t>
  </si>
  <si>
    <t>Customer_3308</t>
  </si>
  <si>
    <t>ORD-3752</t>
  </si>
  <si>
    <t>17/10/2023</t>
  </si>
  <si>
    <t>Customer_1804</t>
  </si>
  <si>
    <t>ORD-2188</t>
  </si>
  <si>
    <t>Customer_6076</t>
  </si>
  <si>
    <t>EGYPT</t>
  </si>
  <si>
    <t>ORD-2055</t>
  </si>
  <si>
    <t>Customer_6142</t>
  </si>
  <si>
    <t>ORD-3779</t>
  </si>
  <si>
    <t>02-18-2023</t>
  </si>
  <si>
    <t>Customer_1531</t>
  </si>
  <si>
    <t>ORD-3456</t>
  </si>
  <si>
    <t>Customer_758</t>
  </si>
  <si>
    <t>ORD-2777</t>
  </si>
  <si>
    <t>01/02/2023</t>
  </si>
  <si>
    <t>Customer_7265</t>
  </si>
  <si>
    <t>n.a.</t>
  </si>
  <si>
    <t>ORD-3055</t>
  </si>
  <si>
    <t>24/08/2023</t>
  </si>
  <si>
    <t>Customer_8526</t>
  </si>
  <si>
    <t>ORD-3557</t>
  </si>
  <si>
    <t>Customer_8567</t>
  </si>
  <si>
    <t>ORD-3828</t>
  </si>
  <si>
    <t>28/09/2024</t>
  </si>
  <si>
    <t>08/02/2024</t>
  </si>
  <si>
    <t>Customer_6185</t>
  </si>
  <si>
    <t xml:space="preserve">   Cameroon   </t>
  </si>
  <si>
    <t>ORD-3573</t>
  </si>
  <si>
    <t>17/03/2023</t>
  </si>
  <si>
    <t>Customer_5249</t>
  </si>
  <si>
    <t>ORD-3127</t>
  </si>
  <si>
    <t>Customer_7310</t>
  </si>
  <si>
    <t>ORD-2741</t>
  </si>
  <si>
    <t>Customer_6269</t>
  </si>
  <si>
    <t>ORD-3786</t>
  </si>
  <si>
    <t>26/02/2024</t>
  </si>
  <si>
    <t>Customer_5282</t>
  </si>
  <si>
    <t>ORD-2771</t>
  </si>
  <si>
    <t>22/09/2023</t>
  </si>
  <si>
    <t>14/07/2023</t>
  </si>
  <si>
    <t>Customer_4292</t>
  </si>
  <si>
    <t>ORD-2646</t>
  </si>
  <si>
    <t>2023-07-05</t>
  </si>
  <si>
    <t>12/01/2023</t>
  </si>
  <si>
    <t>Customer_4202</t>
  </si>
  <si>
    <t>ORD-2638</t>
  </si>
  <si>
    <t>25/06/2024</t>
  </si>
  <si>
    <t>Customer_7672</t>
  </si>
  <si>
    <t>ORD-3685</t>
  </si>
  <si>
    <t>Customer_3048</t>
  </si>
  <si>
    <t>ORD-3830</t>
  </si>
  <si>
    <t>12/08/2023</t>
  </si>
  <si>
    <t>Customer_8391</t>
  </si>
  <si>
    <t>ORD-2695</t>
  </si>
  <si>
    <t>Customer_2866</t>
  </si>
  <si>
    <t>Clutch Disc</t>
  </si>
  <si>
    <t>sahelgoods sa</t>
  </si>
  <si>
    <t>ORD-2082</t>
  </si>
  <si>
    <t>12/11/2023</t>
  </si>
  <si>
    <t>2023-11-26</t>
  </si>
  <si>
    <t>Customer_2196</t>
  </si>
  <si>
    <t xml:space="preserve">   Economy   </t>
  </si>
  <si>
    <t>ORD-3648</t>
  </si>
  <si>
    <t>10/04/2024</t>
  </si>
  <si>
    <t>04/05/2024</t>
  </si>
  <si>
    <t>Customer_2011</t>
  </si>
  <si>
    <t>fasttrack logistics</t>
  </si>
  <si>
    <t>ORD-3893</t>
  </si>
  <si>
    <t>Customer_5083</t>
  </si>
  <si>
    <t>ORD-3227</t>
  </si>
  <si>
    <t>05/11/2023</t>
  </si>
  <si>
    <t>Customer_1558</t>
  </si>
  <si>
    <t>ORD-2465</t>
  </si>
  <si>
    <t>05/02/2023</t>
  </si>
  <si>
    <t>Customer_3725</t>
  </si>
  <si>
    <t>ORD-2425</t>
  </si>
  <si>
    <t>23/07/2023</t>
  </si>
  <si>
    <t>Customer_1568</t>
  </si>
  <si>
    <t>ORD-2501</t>
  </si>
  <si>
    <t>25/04/2024</t>
  </si>
  <si>
    <t>Customer_8990</t>
  </si>
  <si>
    <t>ORD-2730</t>
  </si>
  <si>
    <t>08/08/2023</t>
  </si>
  <si>
    <t>Customer_5437</t>
  </si>
  <si>
    <t>ORD-2659</t>
  </si>
  <si>
    <t>12/05/2023</t>
  </si>
  <si>
    <t>20/05/2023</t>
  </si>
  <si>
    <t>Customer_9331</t>
  </si>
  <si>
    <t>ORD-2093</t>
  </si>
  <si>
    <t>04/01/2023</t>
  </si>
  <si>
    <t>Customer_8161</t>
  </si>
  <si>
    <t>ORD-2590</t>
  </si>
  <si>
    <t>Customer_4626</t>
  </si>
  <si>
    <t>ORD-2809</t>
  </si>
  <si>
    <t>Customer_6638</t>
  </si>
  <si>
    <t>primegoods</t>
  </si>
  <si>
    <t>ORD-2444</t>
  </si>
  <si>
    <t>07/08/2024</t>
  </si>
  <si>
    <t>2023-05-19</t>
  </si>
  <si>
    <t>Customer_186</t>
  </si>
  <si>
    <t>ORD-2146</t>
  </si>
  <si>
    <t>15/02/2024</t>
  </si>
  <si>
    <t>October 2023</t>
  </si>
  <si>
    <t>Customer_9480</t>
  </si>
  <si>
    <t>ORD-3492</t>
  </si>
  <si>
    <t>Customer_9502</t>
  </si>
  <si>
    <t>ORD-2948</t>
  </si>
  <si>
    <t>Customer_4332</t>
  </si>
  <si>
    <t>ORD-3659</t>
  </si>
  <si>
    <t>24/01/2024</t>
  </si>
  <si>
    <t>04/06/2024</t>
  </si>
  <si>
    <t>Customer_4005</t>
  </si>
  <si>
    <t>ORD-3740</t>
  </si>
  <si>
    <t>27/05/2023</t>
  </si>
  <si>
    <t>Customer_5845</t>
  </si>
  <si>
    <t>ORD-2254</t>
  </si>
  <si>
    <t>08/05/2023</t>
  </si>
  <si>
    <t>Customer_6098</t>
  </si>
  <si>
    <t>ORD-2882</t>
  </si>
  <si>
    <t>Customer_2354</t>
  </si>
  <si>
    <t>ORD-2164</t>
  </si>
  <si>
    <t>Customer_5022</t>
  </si>
  <si>
    <t>atlantictrade gh</t>
  </si>
  <si>
    <t>ORD-2383</t>
  </si>
  <si>
    <t>Customer_1391</t>
  </si>
  <si>
    <t>ORD-3552</t>
  </si>
  <si>
    <t>13/12/2023</t>
  </si>
  <si>
    <t>Customer_188</t>
  </si>
  <si>
    <t>ORD-3887</t>
  </si>
  <si>
    <t>07/04/2023</t>
  </si>
  <si>
    <t>Customer_2259</t>
  </si>
  <si>
    <t>ORD-3967</t>
  </si>
  <si>
    <t>17/07/2024</t>
  </si>
  <si>
    <t>22/02/2024</t>
  </si>
  <si>
    <t>Customer_2499</t>
  </si>
  <si>
    <t>ORD-3288</t>
  </si>
  <si>
    <t>28/06/2024</t>
  </si>
  <si>
    <t>Customer_7762</t>
  </si>
  <si>
    <t>ORD-2086</t>
  </si>
  <si>
    <t>07/09/2024</t>
  </si>
  <si>
    <t>21/10/2024</t>
  </si>
  <si>
    <t>Customer_6385</t>
  </si>
  <si>
    <t>ORD-2421</t>
  </si>
  <si>
    <t>20/01/2023</t>
  </si>
  <si>
    <t>Customer_7073</t>
  </si>
  <si>
    <t>ORD-3711</t>
  </si>
  <si>
    <t>22/11/2024</t>
  </si>
  <si>
    <t>11/07/2024</t>
  </si>
  <si>
    <t>Customer_6366</t>
  </si>
  <si>
    <t>ORD-2141</t>
  </si>
  <si>
    <t>22/07/2023</t>
  </si>
  <si>
    <t>March 2023</t>
  </si>
  <si>
    <t>Customer_6704</t>
  </si>
  <si>
    <t>Eco</t>
  </si>
  <si>
    <t>ORD-3244</t>
  </si>
  <si>
    <t>10/09/2023</t>
  </si>
  <si>
    <t>Customer_3932</t>
  </si>
  <si>
    <t>ORD-2017</t>
  </si>
  <si>
    <t>08/12/2024</t>
  </si>
  <si>
    <t>Customer_2739</t>
  </si>
  <si>
    <t>ORD-2391</t>
  </si>
  <si>
    <t>21/04/2023</t>
  </si>
  <si>
    <t>Customer_9885</t>
  </si>
  <si>
    <t>ORD-2504</t>
  </si>
  <si>
    <t>Customer_7385</t>
  </si>
  <si>
    <t>ORD-3349</t>
  </si>
  <si>
    <t>24/04/2023</t>
  </si>
  <si>
    <t>Customer_3544</t>
  </si>
  <si>
    <t>ORD-2763</t>
  </si>
  <si>
    <t>25/09/2023</t>
  </si>
  <si>
    <t>Customer_6558</t>
  </si>
  <si>
    <t>ORD-2592</t>
  </si>
  <si>
    <t>Customer_8891</t>
  </si>
  <si>
    <t>ORD-3923</t>
  </si>
  <si>
    <t>21/11/2024</t>
  </si>
  <si>
    <t>ORD-3692</t>
  </si>
  <si>
    <t>22/07/2024</t>
  </si>
  <si>
    <t>Customer_7919</t>
  </si>
  <si>
    <t>ORD-2705</t>
  </si>
  <si>
    <t>17/11/2023</t>
  </si>
  <si>
    <t>Customer_3317</t>
  </si>
  <si>
    <t>ORD-3722</t>
  </si>
  <si>
    <t>18/06/2023</t>
  </si>
  <si>
    <t>Customer_9241</t>
  </si>
  <si>
    <t>ORD-2060</t>
  </si>
  <si>
    <t>03/10/2023</t>
  </si>
  <si>
    <t>Customer_9272</t>
  </si>
  <si>
    <t>ORD-2723</t>
  </si>
  <si>
    <t>16/10/2023</t>
  </si>
  <si>
    <t>Customer_9097</t>
  </si>
  <si>
    <t>ORD-3979</t>
  </si>
  <si>
    <t>Customer_777</t>
  </si>
  <si>
    <t>ORD-3984</t>
  </si>
  <si>
    <t>26/05/2023</t>
  </si>
  <si>
    <t>Customer_2220</t>
  </si>
  <si>
    <t>ORD-3941</t>
  </si>
  <si>
    <t>2023/09/01</t>
  </si>
  <si>
    <t>Customer_6815</t>
  </si>
  <si>
    <t>ORD-2641</t>
  </si>
  <si>
    <t>ORD-3436</t>
  </si>
  <si>
    <t>08/05/2024</t>
  </si>
  <si>
    <t>01/03/2024</t>
  </si>
  <si>
    <t>Customer_6423</t>
  </si>
  <si>
    <t>Quick Ship Co</t>
  </si>
  <si>
    <t>ORD-2804</t>
  </si>
  <si>
    <t>18/12/2024</t>
  </si>
  <si>
    <t>Customer_9513</t>
  </si>
  <si>
    <t>ORD-2303</t>
  </si>
  <si>
    <t>2023/07/13</t>
  </si>
  <si>
    <t>ORD-3139</t>
  </si>
  <si>
    <t>07/06/2023</t>
  </si>
  <si>
    <t>Customer_3259</t>
  </si>
  <si>
    <t>ORD-3650</t>
  </si>
  <si>
    <t>03/07/2024</t>
  </si>
  <si>
    <t>Customer_9526</t>
  </si>
  <si>
    <t>ORD-3794</t>
  </si>
  <si>
    <t>17/03/2024</t>
  </si>
  <si>
    <t>Customer_8379</t>
  </si>
  <si>
    <t>ORD-3987</t>
  </si>
  <si>
    <t>12/10/2024</t>
  </si>
  <si>
    <t>Customer_5312</t>
  </si>
  <si>
    <t>ORD-2180</t>
  </si>
  <si>
    <t>26/11/2023</t>
  </si>
  <si>
    <t>Customer_9306</t>
  </si>
  <si>
    <t>ORD-3159</t>
  </si>
  <si>
    <t>22/06/2023</t>
  </si>
  <si>
    <t>Customer_1811</t>
  </si>
  <si>
    <t>ORD-3854</t>
  </si>
  <si>
    <t>19/06/2023</t>
  </si>
  <si>
    <t>Customer_6824</t>
  </si>
  <si>
    <t>ORD-3001</t>
  </si>
  <si>
    <t>26/12/2024</t>
  </si>
  <si>
    <t>Customer_1115</t>
  </si>
  <si>
    <t>ORD-2934</t>
  </si>
  <si>
    <t>12/07/2023</t>
  </si>
  <si>
    <t>Customer_547</t>
  </si>
  <si>
    <t>ORD-2540</t>
  </si>
  <si>
    <t>28/11/2023</t>
  </si>
  <si>
    <t>Customer_7727</t>
  </si>
  <si>
    <t>ORD-3378</t>
  </si>
  <si>
    <t>Customer_886</t>
  </si>
  <si>
    <t>ORD-3340</t>
  </si>
  <si>
    <t>18/12/2023</t>
  </si>
  <si>
    <t>Customer_4882</t>
  </si>
  <si>
    <t>ORD-2953</t>
  </si>
  <si>
    <t>22/06/2024</t>
  </si>
  <si>
    <t>24/09/2024</t>
  </si>
  <si>
    <t>Customer_2140</t>
  </si>
  <si>
    <t>ORD-3936</t>
  </si>
  <si>
    <t>08/11/2023</t>
  </si>
  <si>
    <t>Customer_8091</t>
  </si>
  <si>
    <t>ORD-3119</t>
  </si>
  <si>
    <t>10/06/2023</t>
  </si>
  <si>
    <t>16/08/2023</t>
  </si>
  <si>
    <t>Customer_1238</t>
  </si>
  <si>
    <t>ORD-3209</t>
  </si>
  <si>
    <t>11/10/2023</t>
  </si>
  <si>
    <t>ORD-2666</t>
  </si>
  <si>
    <t>28/03/2024</t>
  </si>
  <si>
    <t>26/06/2024</t>
  </si>
  <si>
    <t>Customer_1293</t>
  </si>
  <si>
    <t>ORD-3395</t>
  </si>
  <si>
    <t>11/05/2023</t>
  </si>
  <si>
    <t>Customer_3142</t>
  </si>
  <si>
    <t>ORD-2727</t>
  </si>
  <si>
    <t>Customer_2727</t>
  </si>
  <si>
    <t>globaltrade ng</t>
  </si>
  <si>
    <t>ORD-3394</t>
  </si>
  <si>
    <t>12/03/2023</t>
  </si>
  <si>
    <t>24/07/2023</t>
  </si>
  <si>
    <t>Customer_7726</t>
  </si>
  <si>
    <t>ORD-2769</t>
  </si>
  <si>
    <t>26/03/2024</t>
  </si>
  <si>
    <t>18/11/2024</t>
  </si>
  <si>
    <t>Customer_7376</t>
  </si>
  <si>
    <t>ORD-3596</t>
  </si>
  <si>
    <t>13/03/2024</t>
  </si>
  <si>
    <t>Customer_3607</t>
  </si>
  <si>
    <t xml:space="preserve">  DRC  </t>
  </si>
  <si>
    <t>ORD-3276</t>
  </si>
  <si>
    <t>Customer_9837</t>
  </si>
  <si>
    <t>ORD-2270</t>
  </si>
  <si>
    <t>14/03/2023</t>
  </si>
  <si>
    <t>Customer_8636</t>
  </si>
  <si>
    <t>ORD-2728</t>
  </si>
  <si>
    <t>25/10/2023</t>
  </si>
  <si>
    <t>Customer_6490</t>
  </si>
  <si>
    <t>ORD-2750</t>
  </si>
  <si>
    <t>28/09/2023</t>
  </si>
  <si>
    <t>14/01/2023</t>
  </si>
  <si>
    <t>Customer_2941</t>
  </si>
  <si>
    <t>ORD-2842</t>
  </si>
  <si>
    <t>Customer_829</t>
  </si>
  <si>
    <t>ORD-2040</t>
  </si>
  <si>
    <t>Customer_1715</t>
  </si>
  <si>
    <t>ORD-3235</t>
  </si>
  <si>
    <t>01/05/2024</t>
  </si>
  <si>
    <t>04/10/2024</t>
  </si>
  <si>
    <t>Customer_3075</t>
  </si>
  <si>
    <t>ORD-2916</t>
  </si>
  <si>
    <t>09-20-2023</t>
  </si>
  <si>
    <t>06/08/2023</t>
  </si>
  <si>
    <t>Customer_8307</t>
  </si>
  <si>
    <t>ORD-2349</t>
  </si>
  <si>
    <t>20/04/2024</t>
  </si>
  <si>
    <t>23/08/2024</t>
  </si>
  <si>
    <t>Customer_7587</t>
  </si>
  <si>
    <t>ORD-3053</t>
  </si>
  <si>
    <t>Customer_1499</t>
  </si>
  <si>
    <t>ORD-3167</t>
  </si>
  <si>
    <t>Customer_2252</t>
  </si>
  <si>
    <t>ORD-2110</t>
  </si>
  <si>
    <t>2023-10-02</t>
  </si>
  <si>
    <t>Customer_5738</t>
  </si>
  <si>
    <t>ORD-2796</t>
  </si>
  <si>
    <t>Customer_9510</t>
  </si>
  <si>
    <t>ORD-3481</t>
  </si>
  <si>
    <t>Customer_7676</t>
  </si>
  <si>
    <t>ORD-3666</t>
  </si>
  <si>
    <t>ORD-3221</t>
  </si>
  <si>
    <t>17/01/2024</t>
  </si>
  <si>
    <t>08/07/2024</t>
  </si>
  <si>
    <t>Customer_3827</t>
  </si>
  <si>
    <t>ORD-2001</t>
  </si>
  <si>
    <t>20/12/2024</t>
  </si>
  <si>
    <t>Customer_9740</t>
  </si>
  <si>
    <t>ORD-3098</t>
  </si>
  <si>
    <t>15/08/2023</t>
  </si>
  <si>
    <t>Customer_7014</t>
  </si>
  <si>
    <t>ORD-2573</t>
  </si>
  <si>
    <t>19/05/2023</t>
  </si>
  <si>
    <t>01/04/2023</t>
  </si>
  <si>
    <t>Customer_9114</t>
  </si>
  <si>
    <t>ORD-3971</t>
  </si>
  <si>
    <t>20/12/2023</t>
  </si>
  <si>
    <t>12/02/2023</t>
  </si>
  <si>
    <t>Customer_4026</t>
  </si>
  <si>
    <t>ORD-2830</t>
  </si>
  <si>
    <t>Customer_670</t>
  </si>
  <si>
    <t>ORD-3695</t>
  </si>
  <si>
    <t>13/06/2024</t>
  </si>
  <si>
    <t>Customer_394</t>
  </si>
  <si>
    <t>ORD-3310</t>
  </si>
  <si>
    <t>24/09/2023</t>
  </si>
  <si>
    <t>Customer_347</t>
  </si>
  <si>
    <t>#ERROR</t>
  </si>
  <si>
    <t>ORD-2316</t>
  </si>
  <si>
    <t>24/11/2024</t>
  </si>
  <si>
    <t>22/10/2024</t>
  </si>
  <si>
    <t>Customer_223</t>
  </si>
  <si>
    <t>ORD-3993</t>
  </si>
  <si>
    <t>Customer_6013</t>
  </si>
  <si>
    <t>ORD-3296</t>
  </si>
  <si>
    <t>Customer_4635</t>
  </si>
  <si>
    <t>ORD-2131</t>
  </si>
  <si>
    <t>05/08/2023</t>
  </si>
  <si>
    <t>Customer_2541</t>
  </si>
  <si>
    <t>ORD-3203</t>
  </si>
  <si>
    <t>09/04/2023</t>
  </si>
  <si>
    <t>Customer_4805</t>
  </si>
  <si>
    <t>ORD-3408</t>
  </si>
  <si>
    <t>20/07/2023</t>
  </si>
  <si>
    <t>Customer_5239</t>
  </si>
  <si>
    <t>ORD-2622</t>
  </si>
  <si>
    <t>08/10/2023</t>
  </si>
  <si>
    <t>Customer_9198</t>
  </si>
  <si>
    <t>ORD-2284</t>
  </si>
  <si>
    <t>Customer_9414</t>
  </si>
  <si>
    <t>ORD-2805</t>
  </si>
  <si>
    <t>2023-04-27</t>
  </si>
  <si>
    <t>Customer_6631</t>
  </si>
  <si>
    <t>Afroparts</t>
  </si>
  <si>
    <t>ORD-3966</t>
  </si>
  <si>
    <t>Customer_4746</t>
  </si>
  <si>
    <t>ORD-2411</t>
  </si>
  <si>
    <t>Customer_8687</t>
  </si>
  <si>
    <t>ORD-2989</t>
  </si>
  <si>
    <t>07/08/2023</t>
  </si>
  <si>
    <t>Customer_1732</t>
  </si>
  <si>
    <t>ORD-2986</t>
  </si>
  <si>
    <t>2023-01-13</t>
  </si>
  <si>
    <t>Customer_6756</t>
  </si>
  <si>
    <t>ORD-2691</t>
  </si>
  <si>
    <t>10/11/2024</t>
  </si>
  <si>
    <t>18/09/2024</t>
  </si>
  <si>
    <t>Customer_9327</t>
  </si>
  <si>
    <t>ORD-3932</t>
  </si>
  <si>
    <t>Customer_7417</t>
  </si>
  <si>
    <t>ORD-3074</t>
  </si>
  <si>
    <t>25/04/2023</t>
  </si>
  <si>
    <t>Customer_6353</t>
  </si>
  <si>
    <t>ORD-3689</t>
  </si>
  <si>
    <t>03/11/2024</t>
  </si>
  <si>
    <t>2023-01-18</t>
  </si>
  <si>
    <t>Customer_5105</t>
  </si>
  <si>
    <t>ORD-3238</t>
  </si>
  <si>
    <t>08/04/2023</t>
  </si>
  <si>
    <t>Customer_5850</t>
  </si>
  <si>
    <t>ORD-2193</t>
  </si>
  <si>
    <t>2023/06/13</t>
  </si>
  <si>
    <t>Customer_2556</t>
  </si>
  <si>
    <t>ORD-2901</t>
  </si>
  <si>
    <t>Customer_121</t>
  </si>
  <si>
    <t>ORD-3355</t>
  </si>
  <si>
    <t>09/05/2024</t>
  </si>
  <si>
    <t>Customer_3347</t>
  </si>
  <si>
    <t>ORD-3337</t>
  </si>
  <si>
    <t>Customer_3236</t>
  </si>
  <si>
    <t>ORD-2877</t>
  </si>
  <si>
    <t>Customer_8549</t>
  </si>
  <si>
    <t>ORD-3947</t>
  </si>
  <si>
    <t>16/05/2023</t>
  </si>
  <si>
    <t>Customer_3282</t>
  </si>
  <si>
    <t>ORD-3813</t>
  </si>
  <si>
    <t>12/09/2024</t>
  </si>
  <si>
    <t>ORD-3190</t>
  </si>
  <si>
    <t>02/06/2023</t>
  </si>
  <si>
    <t>Customer_9901</t>
  </si>
  <si>
    <t>ORD-3859</t>
  </si>
  <si>
    <t>Customer_3400</t>
  </si>
  <si>
    <t>ORD-3680</t>
  </si>
  <si>
    <t>2023/07/26</t>
  </si>
  <si>
    <t>Customer_8216</t>
  </si>
  <si>
    <t>ORD-3675</t>
  </si>
  <si>
    <t>21/02/2024</t>
  </si>
  <si>
    <t>Customer_2832</t>
  </si>
  <si>
    <t>ORD-3978</t>
  </si>
  <si>
    <t>Customer_5711</t>
  </si>
  <si>
    <t>ORD-3778</t>
  </si>
  <si>
    <t>16/05/2024</t>
  </si>
  <si>
    <t>Customer_5366</t>
  </si>
  <si>
    <t>ORD-3380</t>
  </si>
  <si>
    <t>Customer_7661</t>
  </si>
  <si>
    <t>ORD-3852</t>
  </si>
  <si>
    <t>12/01/2024</t>
  </si>
  <si>
    <t>08/03/2024</t>
  </si>
  <si>
    <t>Customer_530</t>
  </si>
  <si>
    <t>ORD-3684</t>
  </si>
  <si>
    <t>Customer_4018</t>
  </si>
  <si>
    <t>CHAD</t>
  </si>
  <si>
    <t>ORD-2054</t>
  </si>
  <si>
    <t>Customer_7657</t>
  </si>
  <si>
    <t>ORD-3038</t>
  </si>
  <si>
    <t>Customer_3126</t>
  </si>
  <si>
    <t>ORD-3768</t>
  </si>
  <si>
    <t>25/08/2023</t>
  </si>
  <si>
    <t>Customer_673</t>
  </si>
  <si>
    <t>ORD-3389</t>
  </si>
  <si>
    <t>Customer_7325</t>
  </si>
  <si>
    <t>ORD-2239</t>
  </si>
  <si>
    <t>Customer_3753</t>
  </si>
  <si>
    <t>ORD-2749</t>
  </si>
  <si>
    <t>Customer_4731</t>
  </si>
  <si>
    <t>ORD-3356</t>
  </si>
  <si>
    <t>Customer_6067</t>
  </si>
  <si>
    <t>ORD-3364</t>
  </si>
  <si>
    <t>Customer_4345</t>
  </si>
  <si>
    <t>ORD-2660</t>
  </si>
  <si>
    <t>Customer_8541</t>
  </si>
  <si>
    <t>ORD-2023</t>
  </si>
  <si>
    <t>23/04/2024</t>
  </si>
  <si>
    <t>Customer_3404</t>
  </si>
  <si>
    <t>ORD-3028</t>
  </si>
  <si>
    <t>Customer_3139</t>
  </si>
  <si>
    <t>ORD-2982</t>
  </si>
  <si>
    <t>Customer_5827</t>
  </si>
  <si>
    <t>ORD-3129</t>
  </si>
  <si>
    <t>Customer_9476</t>
  </si>
  <si>
    <t>ORD-3842</t>
  </si>
  <si>
    <t>02/04/2023</t>
  </si>
  <si>
    <t>Customer_4438</t>
  </si>
  <si>
    <t>ORD-2045</t>
  </si>
  <si>
    <t>Customer_622</t>
  </si>
  <si>
    <t>ORD-3215</t>
  </si>
  <si>
    <t>19/02/2023</t>
  </si>
  <si>
    <t>Customer_4757</t>
  </si>
  <si>
    <t>ORD-3087</t>
  </si>
  <si>
    <t>Customer_2388</t>
  </si>
  <si>
    <t>Work Boots</t>
  </si>
  <si>
    <t>ORD-2276</t>
  </si>
  <si>
    <t>13/10/2023</t>
  </si>
  <si>
    <t>11/11/2023</t>
  </si>
  <si>
    <t>Customer_952</t>
  </si>
  <si>
    <t>ORD-2917</t>
  </si>
  <si>
    <t>Customer_6400</t>
  </si>
  <si>
    <t>ORD-3635</t>
  </si>
  <si>
    <t>2023/12/13</t>
  </si>
  <si>
    <t>2023-05-14</t>
  </si>
  <si>
    <t>Customer_6211</t>
  </si>
  <si>
    <t>ORD-3732</t>
  </si>
  <si>
    <t>02/08/2023</t>
  </si>
  <si>
    <t>Customer_5327</t>
  </si>
  <si>
    <t>ORD-3590</t>
  </si>
  <si>
    <t>Customer_6538</t>
  </si>
  <si>
    <t>ORD-2976</t>
  </si>
  <si>
    <t>28/12/2024</t>
  </si>
  <si>
    <t>26/09/2024</t>
  </si>
  <si>
    <t>Customer_5746</t>
  </si>
  <si>
    <t>ORD-3247</t>
  </si>
  <si>
    <t>15/07/2024</t>
  </si>
  <si>
    <t>Customer_1969</t>
  </si>
  <si>
    <t>ORD-2690</t>
  </si>
  <si>
    <t>Customer_5186</t>
  </si>
  <si>
    <t>ORD-3396</t>
  </si>
  <si>
    <t>2023/05/21</t>
  </si>
  <si>
    <t>Customer_4299</t>
  </si>
  <si>
    <t>ORD-2471</t>
  </si>
  <si>
    <t>24/10/2023</t>
  </si>
  <si>
    <t>Customer_8030</t>
  </si>
  <si>
    <t>ORD-2392</t>
  </si>
  <si>
    <t>10/08/2023</t>
  </si>
  <si>
    <t>Customer_8195</t>
  </si>
  <si>
    <t>ORD-3322</t>
  </si>
  <si>
    <t>19/03/2024</t>
  </si>
  <si>
    <t>01-10-2023</t>
  </si>
  <si>
    <t>Customer_7763</t>
  </si>
  <si>
    <t>ORD-2406</t>
  </si>
  <si>
    <t>Customer_7830</t>
  </si>
  <si>
    <t>ORD-3305</t>
  </si>
  <si>
    <t>03/08/2023</t>
  </si>
  <si>
    <t>Customer_2103</t>
  </si>
  <si>
    <t>ORD-3750</t>
  </si>
  <si>
    <t>Customer_8406</t>
  </si>
  <si>
    <t>ORD-3777</t>
  </si>
  <si>
    <t>2023-09-08</t>
  </si>
  <si>
    <t>Customer_7724</t>
  </si>
  <si>
    <t>ORD-2322</t>
  </si>
  <si>
    <t>Customer_3042</t>
  </si>
  <si>
    <t>ORD-2648</t>
  </si>
  <si>
    <t>ORD-3884</t>
  </si>
  <si>
    <t>Customer_5107</t>
  </si>
  <si>
    <t>ORD-2970</t>
  </si>
  <si>
    <t>2023-12-19</t>
  </si>
  <si>
    <t>Customer_816</t>
  </si>
  <si>
    <t>ORD-3177</t>
  </si>
  <si>
    <t>23/08/2023</t>
  </si>
  <si>
    <t>Customer_4525</t>
  </si>
  <si>
    <t>ORD-3561</t>
  </si>
  <si>
    <t>2023/04/09</t>
  </si>
  <si>
    <t>Customer_4108</t>
  </si>
  <si>
    <t>ORD-2219</t>
  </si>
  <si>
    <t>Customer_3310</t>
  </si>
  <si>
    <t>ORD-3934</t>
  </si>
  <si>
    <t>Customer_9276</t>
  </si>
  <si>
    <t>ORD-3751</t>
  </si>
  <si>
    <t>27/08/2024</t>
  </si>
  <si>
    <t>02/09/2024</t>
  </si>
  <si>
    <t>Customer_4073</t>
  </si>
  <si>
    <t>ORD-3287</t>
  </si>
  <si>
    <t>18/07/2024</t>
  </si>
  <si>
    <t>27/02/2024</t>
  </si>
  <si>
    <t>Customer_1481</t>
  </si>
  <si>
    <t>ORD-3584</t>
  </si>
  <si>
    <t>20/02/2024</t>
  </si>
  <si>
    <t>Customer_3407</t>
  </si>
  <si>
    <t>ORD-2130</t>
  </si>
  <si>
    <t>Customer_2418</t>
  </si>
  <si>
    <t>ORD-3807</t>
  </si>
  <si>
    <t>19/11/2023</t>
  </si>
  <si>
    <t>Customer_3558</t>
  </si>
  <si>
    <t>ORD-2897</t>
  </si>
  <si>
    <t>19/07/2024</t>
  </si>
  <si>
    <t>Customer_2847</t>
  </si>
  <si>
    <t>ORD-3042</t>
  </si>
  <si>
    <t>Customer_5184</t>
  </si>
  <si>
    <t>CONGO</t>
  </si>
  <si>
    <t>ORD-2128</t>
  </si>
  <si>
    <t>12/07/2024</t>
  </si>
  <si>
    <t>Customer_1767</t>
  </si>
  <si>
    <t>ORD-2926</t>
  </si>
  <si>
    <t>Customer_9611</t>
  </si>
  <si>
    <t>ORD-2415</t>
  </si>
  <si>
    <t>15/04/2023</t>
  </si>
  <si>
    <t>ORD-3940</t>
  </si>
  <si>
    <t>09/11/2023</t>
  </si>
  <si>
    <t>2023/12/11</t>
  </si>
  <si>
    <t>Customer_7691</t>
  </si>
  <si>
    <t>ORD-3401</t>
  </si>
  <si>
    <t>22/01/2023</t>
  </si>
  <si>
    <t>Customer_8162</t>
  </si>
  <si>
    <t>ORD-3547</t>
  </si>
  <si>
    <t>Customer_9524</t>
  </si>
  <si>
    <t>ORD-2028</t>
  </si>
  <si>
    <t>ORD-2105</t>
  </si>
  <si>
    <t>Customer_8692</t>
  </si>
  <si>
    <t>N.Africa</t>
  </si>
  <si>
    <t>ORD-2190</t>
  </si>
  <si>
    <t>24/12/2024</t>
  </si>
  <si>
    <t>26/05/2024</t>
  </si>
  <si>
    <t>Customer_4474</t>
  </si>
  <si>
    <t>ORD-2906</t>
  </si>
  <si>
    <t>Customer_7530</t>
  </si>
  <si>
    <t>ORD-3284</t>
  </si>
  <si>
    <t>Customer_6173</t>
  </si>
  <si>
    <t xml:space="preserve">   On Time   </t>
  </si>
  <si>
    <t>ORD-3901</t>
  </si>
  <si>
    <t>18/05/2024</t>
  </si>
  <si>
    <t>19/08/2024</t>
  </si>
  <si>
    <t>Customer_1406</t>
  </si>
  <si>
    <t>ORD-2509</t>
  </si>
  <si>
    <t>Customer_709</t>
  </si>
  <si>
    <t>ORD-3961</t>
  </si>
  <si>
    <t>23/04/2023</t>
  </si>
  <si>
    <t>Customer_3472</t>
  </si>
  <si>
    <t>ORD-2889</t>
  </si>
  <si>
    <t>14/12/2024</t>
  </si>
  <si>
    <t>03/05/2024</t>
  </si>
  <si>
    <t>Customer_9801</t>
  </si>
  <si>
    <t>ORD-3499</t>
  </si>
  <si>
    <t>Customer_9259</t>
  </si>
  <si>
    <t>ORD-2271</t>
  </si>
  <si>
    <t>Customer_6102</t>
  </si>
  <si>
    <t>ETHIOPIA</t>
  </si>
  <si>
    <t>ORD-3121</t>
  </si>
  <si>
    <t>25/02/2023</t>
  </si>
  <si>
    <t>Customer_316</t>
  </si>
  <si>
    <t>ORD-3309</t>
  </si>
  <si>
    <t>24/01/2023</t>
  </si>
  <si>
    <t>Customer_743</t>
  </si>
  <si>
    <t>ORD-2599</t>
  </si>
  <si>
    <t>Customer_4621</t>
  </si>
  <si>
    <t>on-time</t>
  </si>
  <si>
    <t>ORD-2887</t>
  </si>
  <si>
    <t>Customer_9340</t>
  </si>
  <si>
    <t>ORD-3032</t>
  </si>
  <si>
    <t>Customer_9646</t>
  </si>
  <si>
    <t>ORD-2707</t>
  </si>
  <si>
    <t>25/01/2024</t>
  </si>
  <si>
    <t>03/06/2024</t>
  </si>
  <si>
    <t>Customer_8723</t>
  </si>
  <si>
    <t>ORD-2375</t>
  </si>
  <si>
    <t>Customer_1321</t>
  </si>
  <si>
    <t>ORD-2977</t>
  </si>
  <si>
    <t>04/09/2023</t>
  </si>
  <si>
    <t>Customer_2547</t>
  </si>
  <si>
    <t>O/N</t>
  </si>
  <si>
    <t>ORD-3462</t>
  </si>
  <si>
    <t>Customer_7740</t>
  </si>
  <si>
    <t>ORD-3759</t>
  </si>
  <si>
    <t>2023-03-20</t>
  </si>
  <si>
    <t>2023/12/27</t>
  </si>
  <si>
    <t>Customer_117</t>
  </si>
  <si>
    <t>CAMEROON</t>
  </si>
  <si>
    <t>ORD-2581</t>
  </si>
  <si>
    <t>Customer_1032</t>
  </si>
  <si>
    <t>ORD-2627</t>
  </si>
  <si>
    <t>Customer_5020</t>
  </si>
  <si>
    <t>ORD-3841</t>
  </si>
  <si>
    <t>21/07/2023</t>
  </si>
  <si>
    <t xml:space="preserve">   Lagos WH-1   </t>
  </si>
  <si>
    <t>ORD-2477</t>
  </si>
  <si>
    <t>Customer_1379</t>
  </si>
  <si>
    <t>ORD-2031</t>
  </si>
  <si>
    <t>19/10/2024</t>
  </si>
  <si>
    <t>Customer_390</t>
  </si>
  <si>
    <t>ORD-2634</t>
  </si>
  <si>
    <t>Customer_9221</t>
  </si>
  <si>
    <t>ORD-3674</t>
  </si>
  <si>
    <t>27/03/2023</t>
  </si>
  <si>
    <t>Customer_7774</t>
  </si>
  <si>
    <t>ORD-3864</t>
  </si>
  <si>
    <t>2023-11-07</t>
  </si>
  <si>
    <t>Customer_6364</t>
  </si>
  <si>
    <t>ORD-3715</t>
  </si>
  <si>
    <t>Customer_7051</t>
  </si>
  <si>
    <t>ORD-3181</t>
  </si>
  <si>
    <t>Customer_9648</t>
  </si>
  <si>
    <t>ORD-2287</t>
  </si>
  <si>
    <t>20/11/2023</t>
  </si>
  <si>
    <t>Customer_8044</t>
  </si>
  <si>
    <t>ORD-2999</t>
  </si>
  <si>
    <t>01-14-2023</t>
  </si>
  <si>
    <t>Customer_208</t>
  </si>
  <si>
    <t xml:space="preserve">  Southern Africa  </t>
  </si>
  <si>
    <t>ORD-2461</t>
  </si>
  <si>
    <t>Customer_7571</t>
  </si>
  <si>
    <t>ORD-3385</t>
  </si>
  <si>
    <t>28/10/2023</t>
  </si>
  <si>
    <t>Customer_6009</t>
  </si>
  <si>
    <t>ORD-2009</t>
  </si>
  <si>
    <t>Customer_4725</t>
  </si>
  <si>
    <t>ORD-2120</t>
  </si>
  <si>
    <t>Customer_8674</t>
  </si>
  <si>
    <t>ORD-3045</t>
  </si>
  <si>
    <t>Customer_6249</t>
  </si>
  <si>
    <t>ORD-3304</t>
  </si>
  <si>
    <t>01/12/2024</t>
  </si>
  <si>
    <t>05-27-2023</t>
  </si>
  <si>
    <t>Customer_6434</t>
  </si>
  <si>
    <t>ORD-3261</t>
  </si>
  <si>
    <t>19/12/2024</t>
  </si>
  <si>
    <t>Customer_4720</t>
  </si>
  <si>
    <t>ORD-2044</t>
  </si>
  <si>
    <t>Customer_4827</t>
  </si>
  <si>
    <t>ORD-3333</t>
  </si>
  <si>
    <t>Customer_2293</t>
  </si>
  <si>
    <t>nilesupply egypt</t>
  </si>
  <si>
    <t>ORD-3578</t>
  </si>
  <si>
    <t>25/06/2023</t>
  </si>
  <si>
    <t>Customer_4047</t>
  </si>
  <si>
    <t>ORD-2282</t>
  </si>
  <si>
    <t>Customer_8701</t>
  </si>
  <si>
    <t>ORD-3388</t>
  </si>
  <si>
    <t>20/03/2023</t>
  </si>
  <si>
    <t>Customer_6698</t>
  </si>
  <si>
    <t>ORD-3939</t>
  </si>
  <si>
    <t>16/12/2023</t>
  </si>
  <si>
    <t>Customer_1126</t>
  </si>
  <si>
    <t>ORD-2006</t>
  </si>
  <si>
    <t>28/04/2024</t>
  </si>
  <si>
    <t>11-05-2023</t>
  </si>
  <si>
    <t>Customer_6026</t>
  </si>
  <si>
    <t>ORD-3062</t>
  </si>
  <si>
    <t>ORD-3720</t>
  </si>
  <si>
    <t>ORD-3299</t>
  </si>
  <si>
    <t>Customer_3944</t>
  </si>
  <si>
    <t>ORD-3527</t>
  </si>
  <si>
    <t>Customer_7883</t>
  </si>
  <si>
    <t>ORD-2454</t>
  </si>
  <si>
    <t>Customer_4702</t>
  </si>
  <si>
    <t>ORD-2048</t>
  </si>
  <si>
    <t>2023-12-18</t>
  </si>
  <si>
    <t>megasupply inc</t>
  </si>
  <si>
    <t>ORD-2189</t>
  </si>
  <si>
    <t>26/04/2023</t>
  </si>
  <si>
    <t>Customer_4886</t>
  </si>
  <si>
    <t>ORD-3672</t>
  </si>
  <si>
    <t>Customer_5525</t>
  </si>
  <si>
    <t>ORD-3494</t>
  </si>
  <si>
    <t>2023-11-01</t>
  </si>
  <si>
    <t>Customer_7083</t>
  </si>
  <si>
    <t>ORD-3000</t>
  </si>
  <si>
    <t>Customer_1672</t>
  </si>
  <si>
    <t>ORD-3627</t>
  </si>
  <si>
    <t>12/04/2023</t>
  </si>
  <si>
    <t>Customer_1191</t>
  </si>
  <si>
    <t>ORD-3370</t>
  </si>
  <si>
    <t>Customer_9743</t>
  </si>
  <si>
    <t>ORD-2236</t>
  </si>
  <si>
    <t>Customer_446</t>
  </si>
  <si>
    <t>sunsource ltd</t>
  </si>
  <si>
    <t>ORD-3103</t>
  </si>
  <si>
    <t>Customer_1562</t>
  </si>
  <si>
    <t>ORD-3931</t>
  </si>
  <si>
    <t>ORD-3788</t>
  </si>
  <si>
    <t>December 2023</t>
  </si>
  <si>
    <t>22/09/2024</t>
  </si>
  <si>
    <t>Customer_4329</t>
  </si>
  <si>
    <t>afroparts ltd</t>
  </si>
  <si>
    <t>ORD-3924</t>
  </si>
  <si>
    <t>Customer_689</t>
  </si>
  <si>
    <t>ORD-3815</t>
  </si>
  <si>
    <t>Customer_3699</t>
  </si>
  <si>
    <t>ORD-3372</t>
  </si>
  <si>
    <t>Customer_9897</t>
  </si>
  <si>
    <t>SENEGAL</t>
  </si>
  <si>
    <t>ORD-3211</t>
  </si>
  <si>
    <t>Customer_7703</t>
  </si>
  <si>
    <t>ORD-2085</t>
  </si>
  <si>
    <t>Customer_9752</t>
  </si>
  <si>
    <t>ORD-2589</t>
  </si>
  <si>
    <t>Customer_9514</t>
  </si>
  <si>
    <t>NORTH AFRICA</t>
  </si>
  <si>
    <t>ORD-2412</t>
  </si>
  <si>
    <t>Customer_3961</t>
  </si>
  <si>
    <t>ORD-3037</t>
  </si>
  <si>
    <t>2023-09-05</t>
  </si>
  <si>
    <t>Customer_5299</t>
  </si>
  <si>
    <t>ORD-2539</t>
  </si>
  <si>
    <t>Customer_534</t>
  </si>
  <si>
    <t>ORD-2969</t>
  </si>
  <si>
    <t>Customer_8598</t>
  </si>
  <si>
    <t>ORD-3341</t>
  </si>
  <si>
    <t>16/04/2024</t>
  </si>
  <si>
    <t>14/05/2024</t>
  </si>
  <si>
    <t>Customer_4204</t>
  </si>
  <si>
    <t>ORD-3264</t>
  </si>
  <si>
    <t>ORD-3757</t>
  </si>
  <si>
    <t>Customer_1661</t>
  </si>
  <si>
    <t>ORD-2936</t>
  </si>
  <si>
    <t>Customer_2907</t>
  </si>
  <si>
    <t>ORD-2057</t>
  </si>
  <si>
    <t>Customer_5158</t>
  </si>
  <si>
    <t>ORD-2279</t>
  </si>
  <si>
    <t>Customer_4381</t>
  </si>
  <si>
    <t>ORD-2035</t>
  </si>
  <si>
    <t>03/02/2023</t>
  </si>
  <si>
    <t>Customer_178</t>
  </si>
  <si>
    <t>ORD-3152</t>
  </si>
  <si>
    <t>08/10/2024</t>
  </si>
  <si>
    <t>Customer_4099</t>
  </si>
  <si>
    <t>ORD-3298</t>
  </si>
  <si>
    <t>Customer_3304</t>
  </si>
  <si>
    <t>ORD-3379</t>
  </si>
  <si>
    <t>Customer_5313</t>
  </si>
  <si>
    <t>ORD-2963</t>
  </si>
  <si>
    <t>Customer_6956</t>
  </si>
  <si>
    <t>South Africa Region</t>
  </si>
  <si>
    <t>ORD-2363</t>
  </si>
  <si>
    <t>Customer_5731</t>
  </si>
  <si>
    <t>ORD-3745</t>
  </si>
  <si>
    <t>07/02/2023</t>
  </si>
  <si>
    <t>Customer_4512</t>
  </si>
  <si>
    <t>ORD-3448</t>
  </si>
  <si>
    <t xml:space="preserve">   Customer_1040   </t>
  </si>
  <si>
    <t>ORD-2856</t>
  </si>
  <si>
    <t>Customer_5622</t>
  </si>
  <si>
    <t>ORD-2507</t>
  </si>
  <si>
    <t>Customer_8681</t>
  </si>
  <si>
    <t>ORD-3875</t>
  </si>
  <si>
    <t>ORD-3415</t>
  </si>
  <si>
    <t>26/12/2023</t>
  </si>
  <si>
    <t>27/01/2023</t>
  </si>
  <si>
    <t>Customer_2647</t>
  </si>
  <si>
    <t>ORD-2235</t>
  </si>
  <si>
    <t>28/05/2024</t>
  </si>
  <si>
    <t>Customer_6933</t>
  </si>
  <si>
    <t>overnight</t>
  </si>
  <si>
    <t>ORD-2206</t>
  </si>
  <si>
    <t>Customer_5917</t>
  </si>
  <si>
    <t>ORD-3409</t>
  </si>
  <si>
    <t>Customer_5302</t>
  </si>
  <si>
    <t>ORD-3289</t>
  </si>
  <si>
    <t>Customer_9814</t>
  </si>
  <si>
    <t>ORD-3643</t>
  </si>
  <si>
    <t>13/11/2023</t>
  </si>
  <si>
    <t>Customer_3682</t>
  </si>
  <si>
    <t>ORD-2104</t>
  </si>
  <si>
    <t>Customer_8741</t>
  </si>
  <si>
    <t>ORD-3418</t>
  </si>
  <si>
    <t>ORD-2202</t>
  </si>
  <si>
    <t>Customer_1455</t>
  </si>
  <si>
    <t>ORD-3620</t>
  </si>
  <si>
    <t>12/06/2023</t>
  </si>
  <si>
    <t>Customer_4416</t>
  </si>
  <si>
    <t>ORD-2261</t>
  </si>
  <si>
    <t>Customer_5660</t>
  </si>
  <si>
    <t>ORD-3229</t>
  </si>
  <si>
    <t>20/09/2024</t>
  </si>
  <si>
    <t>ORD-3789</t>
  </si>
  <si>
    <t>06/09/2023</t>
  </si>
  <si>
    <t>Customer_7851</t>
  </si>
  <si>
    <t>ORD-3570</t>
  </si>
  <si>
    <t>Customer_5436</t>
  </si>
  <si>
    <t>ORD-2915</t>
  </si>
  <si>
    <t>Customer_3453</t>
  </si>
  <si>
    <t>ORD-3500</t>
  </si>
  <si>
    <t>Customer_4220</t>
  </si>
  <si>
    <t>ORD-3524</t>
  </si>
  <si>
    <t>02/08/2024</t>
  </si>
  <si>
    <t>25/12/2024</t>
  </si>
  <si>
    <t>Customer_5765</t>
  </si>
  <si>
    <t xml:space="preserve">  Joburg WH-5  </t>
  </si>
  <si>
    <t>ORD-3609</t>
  </si>
  <si>
    <t>Customer_6159</t>
  </si>
  <si>
    <t>ORD-2251</t>
  </si>
  <si>
    <t>04/09/2024</t>
  </si>
  <si>
    <t>17/04/2024</t>
  </si>
  <si>
    <t>Customer_3412</t>
  </si>
  <si>
    <t>ORD-2593</t>
  </si>
  <si>
    <t>07/04/2024</t>
  </si>
  <si>
    <t>Customer_3267</t>
  </si>
  <si>
    <t>ORD-2699</t>
  </si>
  <si>
    <t>Customer_7764</t>
  </si>
  <si>
    <t>ORD-2560</t>
  </si>
  <si>
    <t>Customer_191</t>
  </si>
  <si>
    <t>ORD-2255</t>
  </si>
  <si>
    <t>Customer_5821</t>
  </si>
  <si>
    <t>ORD-2886</t>
  </si>
  <si>
    <t>Customer_935</t>
  </si>
  <si>
    <t>ORD-3823</t>
  </si>
  <si>
    <t>Customer_7981</t>
  </si>
  <si>
    <t>ORD-2101</t>
  </si>
  <si>
    <t>Customer_7630</t>
  </si>
  <si>
    <t>ORD-3325</t>
  </si>
  <si>
    <t>2023/06/28</t>
  </si>
  <si>
    <t>Customer_2157</t>
  </si>
  <si>
    <t>ORD-3514</t>
  </si>
  <si>
    <t>2023/02/28</t>
  </si>
  <si>
    <t>Customer_6151</t>
  </si>
  <si>
    <t>ORD-3736</t>
  </si>
  <si>
    <t>Customer_8665</t>
  </si>
  <si>
    <t>ORD-3455</t>
  </si>
  <si>
    <t>ORD-3553</t>
  </si>
  <si>
    <t>ORD-3061</t>
  </si>
  <si>
    <t>Customer_6675</t>
  </si>
  <si>
    <t>ORD-2583</t>
  </si>
  <si>
    <t>2023-01-25</t>
  </si>
  <si>
    <t>Customer_7274</t>
  </si>
  <si>
    <t>quickship co</t>
  </si>
  <si>
    <t>ORD-2039</t>
  </si>
  <si>
    <t>Customer_759</t>
  </si>
  <si>
    <t>ORD-3883</t>
  </si>
  <si>
    <t>Customer_8004</t>
  </si>
  <si>
    <t>ORD-2632</t>
  </si>
  <si>
    <t>Customer_8803</t>
  </si>
  <si>
    <t>ORD-2702</t>
  </si>
  <si>
    <t>Customer_9940</t>
  </si>
  <si>
    <t>ORD-3015</t>
  </si>
  <si>
    <t>Customer_6045</t>
  </si>
  <si>
    <t>ORD-3202</t>
  </si>
  <si>
    <t>Customer_8559</t>
  </si>
  <si>
    <t>ORD-3122</t>
  </si>
  <si>
    <t>Customer_722</t>
  </si>
  <si>
    <t>ORD-2258</t>
  </si>
  <si>
    <t>04/01/2024</t>
  </si>
  <si>
    <t>ORD-2466</t>
  </si>
  <si>
    <t>Customer_5554</t>
  </si>
  <si>
    <t>ORD-2951</t>
  </si>
  <si>
    <t>09/03/2023</t>
  </si>
  <si>
    <t>Customer_8578</t>
  </si>
  <si>
    <t>ORD-3156</t>
  </si>
  <si>
    <t>Customer_2676</t>
  </si>
  <si>
    <t>ORD-3207</t>
  </si>
  <si>
    <t>Customer_6283</t>
  </si>
  <si>
    <t>ORD-2653</t>
  </si>
  <si>
    <t>Customer_5792</t>
  </si>
  <si>
    <t>ORD-3920</t>
  </si>
  <si>
    <t>23/06/2024</t>
  </si>
  <si>
    <t>Customer_8046</t>
  </si>
  <si>
    <t>ORD-3451</t>
  </si>
  <si>
    <t>Customer_377</t>
  </si>
  <si>
    <t>ORD-3434</t>
  </si>
  <si>
    <t>2023/06/15</t>
  </si>
  <si>
    <t>Customer_707</t>
  </si>
  <si>
    <t>ORD-2879</t>
  </si>
  <si>
    <t>23/09/2024</t>
  </si>
  <si>
    <t>Customer_3263</t>
  </si>
  <si>
    <t xml:space="preserve">  IndoAfrica Imports  </t>
  </si>
  <si>
    <t>N/A</t>
  </si>
  <si>
    <t>ORD-2649</t>
  </si>
  <si>
    <t>Customer_615</t>
  </si>
  <si>
    <t>ORD-2021</t>
  </si>
  <si>
    <t>Customer_9392</t>
  </si>
  <si>
    <t>ORD-3704</t>
  </si>
  <si>
    <t>2023/12/08</t>
  </si>
  <si>
    <t>Customer_3269</t>
  </si>
  <si>
    <t>ORD-3833</t>
  </si>
  <si>
    <t>02/10/2024</t>
  </si>
  <si>
    <t>Customer_7838</t>
  </si>
  <si>
    <t>ORD-3969</t>
  </si>
  <si>
    <t>Customer_7437</t>
  </si>
  <si>
    <t>ORD-3359</t>
  </si>
  <si>
    <t>Customer_7431</t>
  </si>
  <si>
    <t>ORD-3317</t>
  </si>
  <si>
    <t>08-15-2023</t>
  </si>
  <si>
    <t>Customer_6955</t>
  </si>
  <si>
    <t>ORD-3365</t>
  </si>
  <si>
    <t>02/11/2024</t>
  </si>
  <si>
    <t>09/04/2024</t>
  </si>
  <si>
    <t>Customer_8152</t>
  </si>
  <si>
    <t>ORD-3856</t>
  </si>
  <si>
    <t>Customer_4915</t>
  </si>
  <si>
    <t>ORD-2116</t>
  </si>
  <si>
    <t>Customer_963</t>
  </si>
  <si>
    <t>ORD-3039</t>
  </si>
  <si>
    <t>Customer_3485</t>
  </si>
  <si>
    <t>ORD-3065</t>
  </si>
  <si>
    <t>Customer_5736</t>
  </si>
  <si>
    <t>ORD-2745</t>
  </si>
  <si>
    <t>Customer_4448</t>
  </si>
  <si>
    <t>ORD-3862</t>
  </si>
  <si>
    <t>Customer_627</t>
  </si>
  <si>
    <t>ORD-2768</t>
  </si>
  <si>
    <t>Customer_5383</t>
  </si>
  <si>
    <t>ORD-2272</t>
  </si>
  <si>
    <t>TBD</t>
  </si>
  <si>
    <t>ORD-2069</t>
  </si>
  <si>
    <t xml:space="preserve">   Southern Africa   </t>
  </si>
  <si>
    <t>ORD-2929</t>
  </si>
  <si>
    <t>01/08/2024</t>
  </si>
  <si>
    <t>22/05/2024</t>
  </si>
  <si>
    <t>Customer_3265</t>
  </si>
  <si>
    <t>ORD-4008</t>
  </si>
  <si>
    <t>2023/01/07</t>
  </si>
  <si>
    <t>Customer_2984</t>
  </si>
  <si>
    <t>ORD-4006</t>
  </si>
  <si>
    <t>Customer_7401</t>
  </si>
  <si>
    <t>ORD-3236</t>
  </si>
  <si>
    <t>09-13-2023</t>
  </si>
  <si>
    <t>Customer_9447</t>
  </si>
  <si>
    <t>ORD-2478</t>
  </si>
  <si>
    <t>Customer_4308</t>
  </si>
  <si>
    <t>ORD-2072</t>
  </si>
  <si>
    <t>04/11/2023</t>
  </si>
  <si>
    <t>Customer_4098</t>
  </si>
  <si>
    <t xml:space="preserve">   Windscreen Wipers   </t>
  </si>
  <si>
    <t>ORD-3976</t>
  </si>
  <si>
    <t>20/08/2024</t>
  </si>
  <si>
    <t>Customer_4778</t>
  </si>
  <si>
    <t>ORD-2979</t>
  </si>
  <si>
    <t>23/12/2024</t>
  </si>
  <si>
    <t>Customer_2619</t>
  </si>
  <si>
    <t>ORD-3269</t>
  </si>
  <si>
    <t>Customer_9153</t>
  </si>
  <si>
    <t>ORD-3335</t>
  </si>
  <si>
    <t>Customer_4422</t>
  </si>
  <si>
    <t>ORD-3896</t>
  </si>
  <si>
    <t>02-02-2023</t>
  </si>
  <si>
    <t>Customer_8836</t>
  </si>
  <si>
    <t>ORD-3699</t>
  </si>
  <si>
    <t>Customer_8116</t>
  </si>
  <si>
    <t>ORD-3125</t>
  </si>
  <si>
    <t>24/05/2023</t>
  </si>
  <si>
    <t>ORD-2156</t>
  </si>
  <si>
    <t>Customer_2084</t>
  </si>
  <si>
    <t>ORD-3068</t>
  </si>
  <si>
    <t>2023-03-19</t>
  </si>
  <si>
    <t>Customer_4466</t>
  </si>
  <si>
    <t>ORD-3721</t>
  </si>
  <si>
    <t>Customer_4451</t>
  </si>
  <si>
    <t>ORD-2027</t>
  </si>
  <si>
    <t>Customer_5728</t>
  </si>
  <si>
    <t>ORD-3057</t>
  </si>
  <si>
    <t>Customer_8296</t>
  </si>
  <si>
    <t>ORD-2499</t>
  </si>
  <si>
    <t>Customer_2900</t>
  </si>
  <si>
    <t>ORD-3710</t>
  </si>
  <si>
    <t>Customer_9295</t>
  </si>
  <si>
    <t>ORD-2197</t>
  </si>
  <si>
    <t>02-01-2023</t>
  </si>
  <si>
    <t>Customer_4307</t>
  </si>
  <si>
    <t>ORD-2143</t>
  </si>
  <si>
    <t>Customer_2994</t>
  </si>
  <si>
    <t>ORD-2470</t>
  </si>
  <si>
    <t>Customer_634</t>
  </si>
  <si>
    <t>ORD-2329</t>
  </si>
  <si>
    <t>Customer_8807</t>
  </si>
  <si>
    <t>ORD-3535</t>
  </si>
  <si>
    <t>Customer_2191</t>
  </si>
  <si>
    <t>ORD-2144</t>
  </si>
  <si>
    <t>25/12/2023</t>
  </si>
  <si>
    <t>Customer_4591</t>
  </si>
  <si>
    <t>ORD-2167</t>
  </si>
  <si>
    <t>Customer_3667</t>
  </si>
  <si>
    <t>ORD-2635</t>
  </si>
  <si>
    <t>Customer_7733</t>
  </si>
  <si>
    <t>ORD-3381</t>
  </si>
  <si>
    <t>19/09/2024</t>
  </si>
  <si>
    <t>Customer_8777</t>
  </si>
  <si>
    <t>ORD-3404</t>
  </si>
  <si>
    <t>Customer_9217</t>
  </si>
  <si>
    <t>ORD-3021</t>
  </si>
  <si>
    <t>09/01/2024</t>
  </si>
  <si>
    <t>03/04/2024</t>
  </si>
  <si>
    <t>Customer_4033</t>
  </si>
  <si>
    <t>ORD-3992</t>
  </si>
  <si>
    <t>18/01/2024</t>
  </si>
  <si>
    <t>15/12/2024</t>
  </si>
  <si>
    <t>Customer_4031</t>
  </si>
  <si>
    <t>ORD-3881</t>
  </si>
  <si>
    <t>06/04/2023</t>
  </si>
  <si>
    <t>Customer_4952</t>
  </si>
  <si>
    <t>GHANA</t>
  </si>
  <si>
    <t>ORD-3708</t>
  </si>
  <si>
    <t>Customer_2026</t>
  </si>
  <si>
    <t>ORD-2033</t>
  </si>
  <si>
    <t>Customer_4863</t>
  </si>
  <si>
    <t>ORD-2778</t>
  </si>
  <si>
    <t>Customer_6826</t>
  </si>
  <si>
    <t>ORD-3872</t>
  </si>
  <si>
    <t>ORD-2178</t>
  </si>
  <si>
    <t>25/11/2024</t>
  </si>
  <si>
    <t>Customer_9028</t>
  </si>
  <si>
    <t>FastTrack</t>
  </si>
  <si>
    <t>ORD-3213</t>
  </si>
  <si>
    <t>2023/07/02</t>
  </si>
  <si>
    <t>13/01/2024</t>
  </si>
  <si>
    <t>Customer_2505</t>
  </si>
  <si>
    <t>ORD-3678</t>
  </si>
  <si>
    <t>ORD-3205</t>
  </si>
  <si>
    <t>Customer_8907</t>
  </si>
  <si>
    <t>ORD-3416</t>
  </si>
  <si>
    <t>Customer_1469</t>
  </si>
  <si>
    <t>ORD-2283</t>
  </si>
  <si>
    <t>Customer_488</t>
  </si>
  <si>
    <t>ORD-2826</t>
  </si>
  <si>
    <t>19/08/2023</t>
  </si>
  <si>
    <t>22/12/2023</t>
  </si>
  <si>
    <t>Customer_1628</t>
  </si>
  <si>
    <t>ORD-3700</t>
  </si>
  <si>
    <t>Customer_9338</t>
  </si>
  <si>
    <t>ORD-3387</t>
  </si>
  <si>
    <t>13/12/2024</t>
  </si>
  <si>
    <t>Customer_8734</t>
  </si>
  <si>
    <t>ORD-3132</t>
  </si>
  <si>
    <t>Customer_6700</t>
  </si>
  <si>
    <t>ORD-2067</t>
  </si>
  <si>
    <t>Customer_8676</t>
  </si>
  <si>
    <t>ORD-2618</t>
  </si>
  <si>
    <t>Customer_2376</t>
  </si>
  <si>
    <t>ORD-2319</t>
  </si>
  <si>
    <t>Customer_369</t>
  </si>
  <si>
    <t>ORD-2355</t>
  </si>
  <si>
    <t>27/03/2024</t>
  </si>
  <si>
    <t>Customer_3032</t>
  </si>
  <si>
    <t>ORD-3423</t>
  </si>
  <si>
    <t>Customer_7469</t>
  </si>
  <si>
    <t>ORD-3168</t>
  </si>
  <si>
    <t>08/11/2024</t>
  </si>
  <si>
    <t>10-22-2023</t>
  </si>
  <si>
    <t>Customer_7484</t>
  </si>
  <si>
    <t>ORD-3767</t>
  </si>
  <si>
    <t>02/05/2024</t>
  </si>
  <si>
    <t>Customer_421</t>
  </si>
  <si>
    <t>ORD-3559</t>
  </si>
  <si>
    <t>Customer_8348</t>
  </si>
  <si>
    <t>ORD-3861</t>
  </si>
  <si>
    <t>Customer_4476</t>
  </si>
  <si>
    <t>ORD-3312</t>
  </si>
  <si>
    <t>Customer_5803</t>
  </si>
  <si>
    <t>ORD-2836</t>
  </si>
  <si>
    <t>Customer_2715</t>
  </si>
  <si>
    <t>ORD-3100</t>
  </si>
  <si>
    <t>Customer_3524</t>
  </si>
  <si>
    <t>ORD-2922</t>
  </si>
  <si>
    <t>01/11/2024</t>
  </si>
  <si>
    <t>Customer_9304</t>
  </si>
  <si>
    <t>ORD-3295</t>
  </si>
  <si>
    <t>Customer_6678</t>
  </si>
  <si>
    <t>ORD-2502</t>
  </si>
  <si>
    <t>Customer_3532</t>
  </si>
  <si>
    <t>ORD-3562</t>
  </si>
  <si>
    <t>February 2023</t>
  </si>
  <si>
    <t>Customer_691</t>
  </si>
  <si>
    <t>ORD-2483</t>
  </si>
  <si>
    <t>Customer_8879</t>
  </si>
  <si>
    <t>ZAMBIA</t>
  </si>
  <si>
    <t>ORD-3952</t>
  </si>
  <si>
    <t>Customer_8392</t>
  </si>
  <si>
    <t>ORD-2980</t>
  </si>
  <si>
    <t>01/06/2024</t>
  </si>
  <si>
    <t>Customer_788</t>
  </si>
  <si>
    <t>ORD-2607</t>
  </si>
  <si>
    <t>Customer_3100</t>
  </si>
  <si>
    <t>ORD-3095</t>
  </si>
  <si>
    <t>Customer_6334</t>
  </si>
  <si>
    <t>ORD-2896</t>
  </si>
  <si>
    <t>Customer_8935</t>
  </si>
  <si>
    <t>ORD-2088</t>
  </si>
  <si>
    <t>Customer_152</t>
  </si>
  <si>
    <t>ORD-2094</t>
  </si>
  <si>
    <t>Customer_193</t>
  </si>
  <si>
    <t>ORD-2431</t>
  </si>
  <si>
    <t>Customer_1235</t>
  </si>
  <si>
    <t>ORD-3495</t>
  </si>
  <si>
    <t>Customer_2405</t>
  </si>
  <si>
    <t>ORD-2724</t>
  </si>
  <si>
    <t>Customer_1268</t>
  </si>
  <si>
    <t>ORD-3591</t>
  </si>
  <si>
    <t>Customer_3337</t>
  </si>
  <si>
    <t>ORD-2668</t>
  </si>
  <si>
    <t>Customer_8064</t>
  </si>
  <si>
    <t>ORD-3621</t>
  </si>
  <si>
    <t>Customer_8168</t>
  </si>
  <si>
    <t>ORD-3403</t>
  </si>
  <si>
    <t>Customer_6243</t>
  </si>
  <si>
    <t>ORD-2731</t>
  </si>
  <si>
    <t>25/10/2024</t>
  </si>
  <si>
    <t>09/12/2024</t>
  </si>
  <si>
    <t>Customer_2697</t>
  </si>
  <si>
    <t>ORD-2496</t>
  </si>
  <si>
    <t>Customer_2838</t>
  </si>
  <si>
    <t>ORD-3393</t>
  </si>
  <si>
    <t>Customer_3370</t>
  </si>
  <si>
    <t>ORD-2654</t>
  </si>
  <si>
    <t>02/07/2023</t>
  </si>
  <si>
    <t>Customer_4104</t>
  </si>
  <si>
    <t>ORD-2548</t>
  </si>
  <si>
    <t>Customer_3382</t>
  </si>
  <si>
    <t>ORD-2124</t>
  </si>
  <si>
    <t>Customer_6823</t>
  </si>
  <si>
    <t>ORD-3594</t>
  </si>
  <si>
    <t>Customer_8893</t>
  </si>
  <si>
    <t>ZIMBABWE</t>
  </si>
  <si>
    <t>ORD-2379</t>
  </si>
  <si>
    <t>Customer_292</t>
  </si>
  <si>
    <t>ORD-2222</t>
  </si>
  <si>
    <t>04/11/2024</t>
  </si>
  <si>
    <t>Customer_5663</t>
  </si>
  <si>
    <t>late</t>
  </si>
  <si>
    <t>ORD-3593</t>
  </si>
  <si>
    <t>Customer_865</t>
  </si>
  <si>
    <t>ORD-2645</t>
  </si>
  <si>
    <t>Customer_6229</t>
  </si>
  <si>
    <t>ORD-3781</t>
  </si>
  <si>
    <t>Customer_3043</t>
  </si>
  <si>
    <t>Std</t>
  </si>
  <si>
    <t>ORD-2503</t>
  </si>
  <si>
    <t>27/10/2024</t>
  </si>
  <si>
    <t>Customer_8038</t>
  </si>
  <si>
    <t>ORD-2874</t>
  </si>
  <si>
    <t>Customer_8821</t>
  </si>
  <si>
    <t>ORD-3918</t>
  </si>
  <si>
    <t>Customer_1002</t>
  </si>
  <si>
    <t>ORD-3457</t>
  </si>
  <si>
    <t>Customer_6890</t>
  </si>
  <si>
    <t>ORD-2610</t>
  </si>
  <si>
    <t>Customer_6143</t>
  </si>
  <si>
    <t>ORD-2566</t>
  </si>
  <si>
    <t>Customer_6642</t>
  </si>
  <si>
    <t>ORD-3472</t>
  </si>
  <si>
    <t>08/08/2024</t>
  </si>
  <si>
    <t>Customer_5795</t>
  </si>
  <si>
    <t>ORD-3390</t>
  </si>
  <si>
    <t>Customer_7069</t>
  </si>
  <si>
    <t>ORD-3763</t>
  </si>
  <si>
    <t>03/10/2024</t>
  </si>
  <si>
    <t>Customer_9050</t>
  </si>
  <si>
    <t>West-Africa</t>
  </si>
  <si>
    <t>ORD-3079</t>
  </si>
  <si>
    <t>Customer_226</t>
  </si>
  <si>
    <t>ORD-2339</t>
  </si>
  <si>
    <t>Customer_6531</t>
  </si>
  <si>
    <t>ORD-3107</t>
  </si>
  <si>
    <t>Customer_9634</t>
  </si>
  <si>
    <t>ORD-3899</t>
  </si>
  <si>
    <t>Customer_5567</t>
  </si>
  <si>
    <t>ORD-3925</t>
  </si>
  <si>
    <t>Customer_9273</t>
  </si>
  <si>
    <t>ORD-2673</t>
  </si>
  <si>
    <t>Customer_4450</t>
  </si>
  <si>
    <t>ORD-3006</t>
  </si>
  <si>
    <t>ORD-3206</t>
  </si>
  <si>
    <t>ORD-2145</t>
  </si>
  <si>
    <t>ORD-2523</t>
  </si>
  <si>
    <t>Customer_3797</t>
  </si>
  <si>
    <t>ORD-3791</t>
  </si>
  <si>
    <t>28/06/2023</t>
  </si>
  <si>
    <t>Customer_2458</t>
  </si>
  <si>
    <t>ORD-3443</t>
  </si>
  <si>
    <t>Customer_5546</t>
  </si>
  <si>
    <t>ORD-2558</t>
  </si>
  <si>
    <t>Customer_1479</t>
  </si>
  <si>
    <t>ORD-2397</t>
  </si>
  <si>
    <t>22/08/2023</t>
  </si>
  <si>
    <t>Customer_3435</t>
  </si>
  <si>
    <t>ORD-2597</t>
  </si>
  <si>
    <t>Customer_9704</t>
  </si>
  <si>
    <t>ORD-2010</t>
  </si>
  <si>
    <t>Customer_3888</t>
  </si>
  <si>
    <t>ORD-2789</t>
  </si>
  <si>
    <t>2023-06-10</t>
  </si>
  <si>
    <t>Customer_297</t>
  </si>
  <si>
    <t>ORD-3113</t>
  </si>
  <si>
    <t>Customer_8851</t>
  </si>
  <si>
    <t>ORD-2342</t>
  </si>
  <si>
    <t>Customer_6674</t>
  </si>
  <si>
    <t>ORD-3405</t>
  </si>
  <si>
    <t>ORD-2810</t>
  </si>
  <si>
    <t>21/03/2024</t>
  </si>
  <si>
    <t>Customer_2023</t>
  </si>
  <si>
    <t>ORD-3034</t>
  </si>
  <si>
    <t>2023/11/27</t>
  </si>
  <si>
    <t>Customer_7375</t>
  </si>
  <si>
    <t>ORD-3262</t>
  </si>
  <si>
    <t>Customer_7634</t>
  </si>
  <si>
    <t>ORD-2780</t>
  </si>
  <si>
    <t>Customer_9907</t>
  </si>
  <si>
    <t>ORD-2729</t>
  </si>
  <si>
    <t>09-17-2023</t>
  </si>
  <si>
    <t>Customer_5149</t>
  </si>
  <si>
    <t>ORD-2860</t>
  </si>
  <si>
    <t>ORD-2905</t>
  </si>
  <si>
    <t>Customer_1856</t>
  </si>
  <si>
    <t>ORD-2157</t>
  </si>
  <si>
    <t>Customer_3970</t>
  </si>
  <si>
    <t>ORD-3504</t>
  </si>
  <si>
    <t>Customer_3834</t>
  </si>
  <si>
    <t>MOZAMBIQUE</t>
  </si>
  <si>
    <t>LATE</t>
  </si>
  <si>
    <t>ORD-2432</t>
  </si>
  <si>
    <t>Customer_6469</t>
  </si>
  <si>
    <t>ORD-2437</t>
  </si>
  <si>
    <t>ORD-3171</t>
  </si>
  <si>
    <t>Customer_3450</t>
  </si>
  <si>
    <t>RWANDA</t>
  </si>
  <si>
    <t>ORD-3951</t>
  </si>
  <si>
    <t>Customer_2649</t>
  </si>
  <si>
    <t>ORD-2525</t>
  </si>
  <si>
    <t>2023/11/08</t>
  </si>
  <si>
    <t>Customer_5310</t>
  </si>
  <si>
    <t>ORD-3398</t>
  </si>
  <si>
    <t>07/05/2023</t>
  </si>
  <si>
    <t>Customer_4937</t>
  </si>
  <si>
    <t>ORD-2372</t>
  </si>
  <si>
    <t>2023-03-23</t>
  </si>
  <si>
    <t>Customer_143</t>
  </si>
  <si>
    <t xml:space="preserve">  Agriculture Inputs  </t>
  </si>
  <si>
    <t>ORD-2211</t>
  </si>
  <si>
    <t>Customer_7968</t>
  </si>
  <si>
    <t>ORD-2065</t>
  </si>
  <si>
    <t>2023/06/23</t>
  </si>
  <si>
    <t>Customer_1368</t>
  </si>
  <si>
    <t>ORD-3585</t>
  </si>
  <si>
    <t>Customer_3560</t>
  </si>
  <si>
    <t>ORD-4009</t>
  </si>
  <si>
    <t>13/09/2024</t>
  </si>
  <si>
    <t>Customer_8592</t>
  </si>
  <si>
    <t>ORD-2011</t>
  </si>
  <si>
    <t>Customer_6929</t>
  </si>
  <si>
    <t>ORD-2172</t>
  </si>
  <si>
    <t>Customer_679</t>
  </si>
  <si>
    <t>ORD-3402</t>
  </si>
  <si>
    <t>02/01/2024</t>
  </si>
  <si>
    <t>05/01/2024</t>
  </si>
  <si>
    <t>Customer_3965</t>
  </si>
  <si>
    <t>ORD-3354</t>
  </si>
  <si>
    <t>Customer_9664</t>
  </si>
  <si>
    <t>ORD-2790</t>
  </si>
  <si>
    <t>Customer_4847</t>
  </si>
  <si>
    <t>ORD-3579</t>
  </si>
  <si>
    <t>L8</t>
  </si>
  <si>
    <t>ORD-2519</t>
  </si>
  <si>
    <t>Customer_7360</t>
  </si>
  <si>
    <t>ORD-3628</t>
  </si>
  <si>
    <t>Customer_995</t>
  </si>
  <si>
    <t>ORD-3019</t>
  </si>
  <si>
    <t>08-20-2023</t>
  </si>
  <si>
    <t>Customer_3510</t>
  </si>
  <si>
    <t>ORD-2446</t>
  </si>
  <si>
    <t>Customer_2546</t>
  </si>
  <si>
    <t>ORD-2433</t>
  </si>
  <si>
    <t>Customer_2935</t>
  </si>
  <si>
    <t>ORD-2762</t>
  </si>
  <si>
    <t>05/08/2024</t>
  </si>
  <si>
    <t>Customer_6816</t>
  </si>
  <si>
    <t>ORD-2698</t>
  </si>
  <si>
    <t>Customer_3409</t>
  </si>
  <si>
    <t>economy</t>
  </si>
  <si>
    <t>Ontime</t>
  </si>
  <si>
    <t>ORD-3868</t>
  </si>
  <si>
    <t>Customer_2812</t>
  </si>
  <si>
    <t>ORD-3853</t>
  </si>
  <si>
    <t>Customer_4728</t>
  </si>
  <si>
    <t>ORD-2588</t>
  </si>
  <si>
    <t>ORD-2100</t>
  </si>
  <si>
    <t>06/07/2023</t>
  </si>
  <si>
    <t>Customer_1095</t>
  </si>
  <si>
    <t>ORD-3541</t>
  </si>
  <si>
    <t>Customer_2134</t>
  </si>
  <si>
    <t>ORD-3838</t>
  </si>
  <si>
    <t>Customer_6844</t>
  </si>
  <si>
    <t>ORD-3581</t>
  </si>
  <si>
    <t>Customer_1627</t>
  </si>
  <si>
    <t>ORD-3150</t>
  </si>
  <si>
    <t>27/06/2024</t>
  </si>
  <si>
    <t xml:space="preserve">  Customer_4531  </t>
  </si>
  <si>
    <t>ORD-3438</t>
  </si>
  <si>
    <t>12/08/2024</t>
  </si>
  <si>
    <t>Customer_9926</t>
  </si>
  <si>
    <t>ORD-3658</t>
  </si>
  <si>
    <t>Customer_2102</t>
  </si>
  <si>
    <t>ORD-2694</t>
  </si>
  <si>
    <t>Customer_8856</t>
  </si>
  <si>
    <t>ORD-3606</t>
  </si>
  <si>
    <t>22/08/2024</t>
  </si>
  <si>
    <t>Customer_6432</t>
  </si>
  <si>
    <t>ORD-3567</t>
  </si>
  <si>
    <t>Customer_7181</t>
  </si>
  <si>
    <t>unknown</t>
  </si>
  <si>
    <t>ORD-3946</t>
  </si>
  <si>
    <t>20/06/2024</t>
  </si>
  <si>
    <t>ORD-3352</t>
  </si>
  <si>
    <t>Customer_5722</t>
  </si>
  <si>
    <t>ORD-3160</t>
  </si>
  <si>
    <t>Customer_6491</t>
  </si>
  <si>
    <t>ORD-3701</t>
  </si>
  <si>
    <t>Customer_7487</t>
  </si>
  <si>
    <t>ORD-2257</t>
  </si>
  <si>
    <t>Customer_3451</t>
  </si>
  <si>
    <t>ORD-2304</t>
  </si>
  <si>
    <t>27/04/2024</t>
  </si>
  <si>
    <t>06/09/2024</t>
  </si>
  <si>
    <t>Customer_7852</t>
  </si>
  <si>
    <t>ORD-3986</t>
  </si>
  <si>
    <t>Customer_2321</t>
  </si>
  <si>
    <t>ORD-2224</t>
  </si>
  <si>
    <t>Customer_7525</t>
  </si>
  <si>
    <t>ORD-3764</t>
  </si>
  <si>
    <t>Customer_354</t>
  </si>
  <si>
    <t>ORD-2132</t>
  </si>
  <si>
    <t>Customer_9155</t>
  </si>
  <si>
    <t>ORD-2910</t>
  </si>
  <si>
    <t>Customer_7248</t>
  </si>
  <si>
    <t>ORD-2350</t>
  </si>
  <si>
    <t>Customer_6312</t>
  </si>
  <si>
    <t>ORD-2633</t>
  </si>
  <si>
    <t>Customer_126</t>
  </si>
  <si>
    <t>ORD-3622</t>
  </si>
  <si>
    <t>Customer_8886</t>
  </si>
  <si>
    <t>ORD-2338</t>
  </si>
  <si>
    <t>Customer_8192</t>
  </si>
  <si>
    <t>ORD-2020</t>
  </si>
  <si>
    <t>Customer_3813</t>
  </si>
  <si>
    <t>ORD-3638</t>
  </si>
  <si>
    <t>Customer_1401</t>
  </si>
  <si>
    <t>ORD-2147</t>
  </si>
  <si>
    <t>Customer_7252</t>
  </si>
  <si>
    <t>ORD-2455</t>
  </si>
  <si>
    <t>Customer_1132</t>
  </si>
  <si>
    <t>ORD-2772</t>
  </si>
  <si>
    <t>Customer_2369</t>
  </si>
  <si>
    <t>ORD-3136</t>
  </si>
  <si>
    <t>ORD-2353</t>
  </si>
  <si>
    <t>Customer_9599</t>
  </si>
  <si>
    <t>ORD-2993</t>
  </si>
  <si>
    <t>Customer_522</t>
  </si>
  <si>
    <t>ORD-3301</t>
  </si>
  <si>
    <t>ORD-3598</t>
  </si>
  <si>
    <t>Customer_6650</t>
  </si>
  <si>
    <t>ORD-3184</t>
  </si>
  <si>
    <t>Customer_4159</t>
  </si>
  <si>
    <t>ORD-2468</t>
  </si>
  <si>
    <t>Customer_3992</t>
  </si>
  <si>
    <t>ORD-3582</t>
  </si>
  <si>
    <t>Customer_8437</t>
  </si>
  <si>
    <t>ORD-2821</t>
  </si>
  <si>
    <t>Customer_2088</t>
  </si>
  <si>
    <t>ORD-2041</t>
  </si>
  <si>
    <t>Customer_543</t>
  </si>
  <si>
    <t>ORD-2158</t>
  </si>
  <si>
    <t>Customer_953</t>
  </si>
  <si>
    <t>ORD-3343</t>
  </si>
  <si>
    <t>Customer_6006</t>
  </si>
  <si>
    <t>ORD-3467</t>
  </si>
  <si>
    <t>Customer_5962</t>
  </si>
  <si>
    <t>ORD-2546</t>
  </si>
  <si>
    <t>Customer_8849</t>
  </si>
  <si>
    <t>ORD-2360</t>
  </si>
  <si>
    <t>Customer_8495</t>
  </si>
  <si>
    <t>ORD-2537</t>
  </si>
  <si>
    <t>Customer_9355</t>
  </si>
  <si>
    <t>ORD-3907</t>
  </si>
  <si>
    <t>Customer_957</t>
  </si>
  <si>
    <t>ORD-3071</t>
  </si>
  <si>
    <t>Customer_5378</t>
  </si>
  <si>
    <t>ORD-3300</t>
  </si>
  <si>
    <t>ORD-3067</t>
  </si>
  <si>
    <t>Customer_3490</t>
  </si>
  <si>
    <t>ORD-3612</t>
  </si>
  <si>
    <t>2023/06/05</t>
  </si>
  <si>
    <t>Customer_3773</t>
  </si>
  <si>
    <t>ORD-2760</t>
  </si>
  <si>
    <t>Customer_7249</t>
  </si>
  <si>
    <t>indoafrica imports</t>
  </si>
  <si>
    <t>ORD-3106</t>
  </si>
  <si>
    <t>Customer_3845</t>
  </si>
  <si>
    <t>W. Africa</t>
  </si>
  <si>
    <t>ORD-2738</t>
  </si>
  <si>
    <t>Customer_8355</t>
  </si>
  <si>
    <t>ORD-3610</t>
  </si>
  <si>
    <t>19/06/2024</t>
  </si>
  <si>
    <t>04/04/2024</t>
  </si>
  <si>
    <t>ORD-3040</t>
  </si>
  <si>
    <t>Customer_6611</t>
  </si>
  <si>
    <t>ORD-2209</t>
  </si>
  <si>
    <t>Customer_8484</t>
  </si>
  <si>
    <t>ORD-2799</t>
  </si>
  <si>
    <t>Customer_6160</t>
  </si>
  <si>
    <t>ORD-3192</t>
  </si>
  <si>
    <t>02-15-2023</t>
  </si>
  <si>
    <t>Customer_5404</t>
  </si>
  <si>
    <t>ORD-3465</t>
  </si>
  <si>
    <t>19/04/2023</t>
  </si>
  <si>
    <t>Customer_1473</t>
  </si>
  <si>
    <t>ORD-2529</t>
  </si>
  <si>
    <t>Customer_9305</t>
  </si>
  <si>
    <t>ORD-3729</t>
  </si>
  <si>
    <t>Customer_9047</t>
  </si>
  <si>
    <t xml:space="preserve">   Sports Sneakers   </t>
  </si>
  <si>
    <t>STANDARD</t>
  </si>
  <si>
    <t>ORD-2389</t>
  </si>
  <si>
    <t>Customer_2010</t>
  </si>
  <si>
    <t>ORD-2448</t>
  </si>
  <si>
    <t>ORD-3827</t>
  </si>
  <si>
    <t>Customer_3207</t>
  </si>
  <si>
    <t>ORD-3548</t>
  </si>
  <si>
    <t>Customer_4640</t>
  </si>
  <si>
    <t>ORD-2829</t>
  </si>
  <si>
    <t>Customer_5882</t>
  </si>
  <si>
    <t>ORD-3657</t>
  </si>
  <si>
    <t>Customer_8199</t>
  </si>
  <si>
    <t>ORD-2766</t>
  </si>
  <si>
    <t>Customer_4949</t>
  </si>
  <si>
    <t>ORD-3834</t>
  </si>
  <si>
    <t>Customer_4537</t>
  </si>
  <si>
    <t>ORD-2667</t>
  </si>
  <si>
    <t>Customer_164</t>
  </si>
  <si>
    <t>ORD-3607</t>
  </si>
  <si>
    <t>Customer_3352</t>
  </si>
  <si>
    <t>ORD-2038</t>
  </si>
  <si>
    <t>2023/05/27</t>
  </si>
  <si>
    <t>Customer_8847</t>
  </si>
  <si>
    <t>ORD-3084</t>
  </si>
  <si>
    <t>Customer_4709</t>
  </si>
  <si>
    <t>ORD-3044</t>
  </si>
  <si>
    <t>06/07/2024</t>
  </si>
  <si>
    <t>Customer_4069</t>
  </si>
  <si>
    <t>ORD-2122</t>
  </si>
  <si>
    <t>Customer_7162</t>
  </si>
  <si>
    <t>ORD-3174</t>
  </si>
  <si>
    <t xml:space="preserve">   SahelGoods SA   </t>
  </si>
  <si>
    <t>ORD-3597</t>
  </si>
  <si>
    <t>Customer_2284</t>
  </si>
  <si>
    <t>ORD-3515</t>
  </si>
  <si>
    <t>18/08/2024</t>
  </si>
  <si>
    <t>06/04/2024</t>
  </si>
  <si>
    <t>Customer_4500</t>
  </si>
  <si>
    <t>ORD-3324</t>
  </si>
  <si>
    <t>Customer_2841</t>
  </si>
  <si>
    <t>ORD-2273</t>
  </si>
  <si>
    <t>Customer_2521</t>
  </si>
  <si>
    <t xml:space="preserve">   North Africa   </t>
  </si>
  <si>
    <t>ORD-2720</t>
  </si>
  <si>
    <t>Customer_6170</t>
  </si>
  <si>
    <t>ORD-2114</t>
  </si>
  <si>
    <t>Customer_5215</t>
  </si>
  <si>
    <t>ORD-4007</t>
  </si>
  <si>
    <t>Customer_9385</t>
  </si>
  <si>
    <t>ORD-3681</t>
  </si>
  <si>
    <t>Customer_3882</t>
  </si>
  <si>
    <t>ORD-3345</t>
  </si>
  <si>
    <t>ORD-2987</t>
  </si>
  <si>
    <t>Customer_3823</t>
  </si>
  <si>
    <t>ORD-3440</t>
  </si>
  <si>
    <t>Customer_1083</t>
  </si>
  <si>
    <t>ORD-3572</t>
  </si>
  <si>
    <t>2023-01-23</t>
  </si>
  <si>
    <t>Customer_8635</t>
  </si>
  <si>
    <t>ORD-3176</t>
  </si>
  <si>
    <t>ORD-3461</t>
  </si>
  <si>
    <t>01/08/2023</t>
  </si>
  <si>
    <t>Customer_6921</t>
  </si>
  <si>
    <t>ORD-3321</t>
  </si>
  <si>
    <t>ORD-2725</t>
  </si>
  <si>
    <t>09/06/2023</t>
  </si>
  <si>
    <t>Customer_2498</t>
  </si>
  <si>
    <t>ORD-3362</t>
  </si>
  <si>
    <t>Customer_3751</t>
  </si>
  <si>
    <t>ORD-2541</t>
  </si>
  <si>
    <t>Customer_524</t>
  </si>
  <si>
    <t>ORD-3146</t>
  </si>
  <si>
    <t>06/10/2024</t>
  </si>
  <si>
    <t>14/03/2024</t>
  </si>
  <si>
    <t>ORD-2637</t>
  </si>
  <si>
    <t>Customer_1252</t>
  </si>
  <si>
    <t>ORD-2083</t>
  </si>
  <si>
    <t>Customer_2414</t>
  </si>
  <si>
    <t xml:space="preserve">  Overnight  </t>
  </si>
  <si>
    <t>ORD-2263</t>
  </si>
  <si>
    <t>Customer_9054</t>
  </si>
  <si>
    <t>ORD-2113</t>
  </si>
  <si>
    <t>05/07/2024</t>
  </si>
  <si>
    <t>Customer_7991</t>
  </si>
  <si>
    <t>ORD-2162</t>
  </si>
  <si>
    <t>07-06-2023</t>
  </si>
  <si>
    <t>Customer_8453</t>
  </si>
  <si>
    <t>ORD-3114</t>
  </si>
  <si>
    <t>Customer_9771</t>
  </si>
  <si>
    <t>ORD-3453</t>
  </si>
  <si>
    <t>Customer_1233</t>
  </si>
  <si>
    <t>ORD-3565</t>
  </si>
  <si>
    <t>Customer_8203</t>
  </si>
  <si>
    <t xml:space="preserve">   Central Africa   </t>
  </si>
  <si>
    <t>ORD-2309</t>
  </si>
  <si>
    <t>Customer_7427</t>
  </si>
  <si>
    <t>ORD-3713</t>
  </si>
  <si>
    <t>Customer_6649</t>
  </si>
  <si>
    <t>ORD-3482</t>
  </si>
  <si>
    <t>Customer_3715</t>
  </si>
  <si>
    <t>Customer_317</t>
  </si>
  <si>
    <t>ORD-3104</t>
  </si>
  <si>
    <t>Customer_5999</t>
  </si>
  <si>
    <t>ORD-3589</t>
  </si>
  <si>
    <t>2023/11/06</t>
  </si>
  <si>
    <t>Customer_4133</t>
  </si>
  <si>
    <t>ORD-2140</t>
  </si>
  <si>
    <t>Customer_7239</t>
  </si>
  <si>
    <t>ORD-3397</t>
  </si>
  <si>
    <t>Customer_9260</t>
  </si>
  <si>
    <t>ORD-2467</t>
  </si>
  <si>
    <t>Customer_2933</t>
  </si>
  <si>
    <t>ORD-3903</t>
  </si>
  <si>
    <t>Customer_3930</t>
  </si>
  <si>
    <t>ORD-2900</t>
  </si>
  <si>
    <t>Customer_911</t>
  </si>
  <si>
    <t>ORD-3824</t>
  </si>
  <si>
    <t>Customer_7195</t>
  </si>
  <si>
    <t>ORD-2823</t>
  </si>
  <si>
    <t>16/07/2024</t>
  </si>
  <si>
    <t>Customer_4408</t>
  </si>
  <si>
    <t>ORD-3683</t>
  </si>
  <si>
    <t>Customer_5469</t>
  </si>
  <si>
    <t>ORD-2898</t>
  </si>
  <si>
    <t>Customer_1193</t>
  </si>
  <si>
    <t>ORD-3915</t>
  </si>
  <si>
    <t>Customer_6198</t>
  </si>
  <si>
    <t>ORD-3758</t>
  </si>
  <si>
    <t>Customer_5482</t>
  </si>
  <si>
    <t>ORD-2297</t>
  </si>
  <si>
    <t>Customer_8729</t>
  </si>
  <si>
    <t>ORD-3486</t>
  </si>
  <si>
    <t xml:space="preserve">  Customer_9096  </t>
  </si>
  <si>
    <t>ORD-3406</t>
  </si>
  <si>
    <t>02/05/2023</t>
  </si>
  <si>
    <t>Customer_4048</t>
  </si>
  <si>
    <t>ORD-2828</t>
  </si>
  <si>
    <t>Customer_8264</t>
  </si>
  <si>
    <t>ORD-2343</t>
  </si>
  <si>
    <t>Customer_7767</t>
  </si>
  <si>
    <t>ORD-2374</t>
  </si>
  <si>
    <t>Customer_8985</t>
  </si>
  <si>
    <t>ORD-2973</t>
  </si>
  <si>
    <t>17/02/2023</t>
  </si>
  <si>
    <t>09/12/2023</t>
  </si>
  <si>
    <t>Customer_1209</t>
  </si>
  <si>
    <t>EXPRESS</t>
  </si>
  <si>
    <t>ORD-2232</t>
  </si>
  <si>
    <t>27/09/2024</t>
  </si>
  <si>
    <t>25/05/2024</t>
  </si>
  <si>
    <t>Customer_5207</t>
  </si>
  <si>
    <t>ORD-3131</t>
  </si>
  <si>
    <t>Customer_2807</t>
  </si>
  <si>
    <t>ORD-3516</t>
  </si>
  <si>
    <t>2023/09/02</t>
  </si>
  <si>
    <t>Customer_4711</t>
  </si>
  <si>
    <t>ORD-2855</t>
  </si>
  <si>
    <t>Customer_8330</t>
  </si>
  <si>
    <t>ORD-3092</t>
  </si>
  <si>
    <t>Customer_2356</t>
  </si>
  <si>
    <t>ORD-3891</t>
  </si>
  <si>
    <t>Customer_958</t>
  </si>
  <si>
    <t>ORD-2109</t>
  </si>
  <si>
    <t>Customer_3902</t>
  </si>
  <si>
    <t>CentralAfrica</t>
  </si>
  <si>
    <t>ORD-3543</t>
  </si>
  <si>
    <t>Customer_195</t>
  </si>
  <si>
    <t>ORD-2827</t>
  </si>
  <si>
    <t>26/07/2024</t>
  </si>
  <si>
    <t>15/10/2024</t>
  </si>
  <si>
    <t>Customer_2760</t>
  </si>
  <si>
    <t>ORD-3130</t>
  </si>
  <si>
    <t>Customer_9428</t>
  </si>
  <si>
    <t>ORD-3386</t>
  </si>
  <si>
    <t>25/09/2024</t>
  </si>
  <si>
    <t>Customer_181</t>
  </si>
  <si>
    <t>ORD-2943</t>
  </si>
  <si>
    <t>07/02/2024</t>
  </si>
  <si>
    <t>Customer_9193</t>
  </si>
  <si>
    <t>ORD-3505</t>
  </si>
  <si>
    <t>Customer_2993</t>
  </si>
  <si>
    <t>2023/05/02</t>
  </si>
  <si>
    <t>ORD-2292</t>
  </si>
  <si>
    <t>Customer_9093</t>
  </si>
  <si>
    <t>ORD-2226</t>
  </si>
  <si>
    <t>08/06/2023</t>
  </si>
  <si>
    <t>Customer_5062</t>
  </si>
  <si>
    <t>ORD-3822</t>
  </si>
  <si>
    <t>Customer_1333</t>
  </si>
  <si>
    <t>ORD-3145</t>
  </si>
  <si>
    <t>Customer_9741</t>
  </si>
  <si>
    <t>ORD-2183</t>
  </si>
  <si>
    <t>Customer_7823</t>
  </si>
  <si>
    <t>ORD-2269</t>
  </si>
  <si>
    <t>Customer_1342</t>
  </si>
  <si>
    <t>ORD-2212</t>
  </si>
  <si>
    <t>Customer_2943</t>
  </si>
  <si>
    <t>ORD-3518</t>
  </si>
  <si>
    <t>Customer_212</t>
  </si>
  <si>
    <t>nil</t>
  </si>
  <si>
    <t>ORD-2753</t>
  </si>
  <si>
    <t>10/03/2024</t>
  </si>
  <si>
    <t>Customer_7644</t>
  </si>
  <si>
    <t>ORD-3118</t>
  </si>
  <si>
    <t>2023/01/14</t>
  </si>
  <si>
    <t>Customer_4241</t>
  </si>
  <si>
    <t>ORD-3566</t>
  </si>
  <si>
    <t>Customer_9082</t>
  </si>
  <si>
    <t>ORD-2121</t>
  </si>
  <si>
    <t>Customer_9110</t>
  </si>
  <si>
    <t>ORD-3805</t>
  </si>
  <si>
    <t>07-27-2023</t>
  </si>
  <si>
    <t>Customer_3399</t>
  </si>
  <si>
    <t>ORD-3575</t>
  </si>
  <si>
    <t>28/07/2024</t>
  </si>
  <si>
    <t>Customer_343</t>
  </si>
  <si>
    <t>ORD-3080</t>
  </si>
  <si>
    <t>Customer_3764</t>
  </si>
  <si>
    <t>ORD-2555</t>
  </si>
  <si>
    <t>C.Africa</t>
  </si>
  <si>
    <t>ORD-3904</t>
  </si>
  <si>
    <t>Customer_3422</t>
  </si>
  <si>
    <t>ORD-3910</t>
  </si>
  <si>
    <t>03/03/2024</t>
  </si>
  <si>
    <t>Customer_4003</t>
  </si>
  <si>
    <t>ORD-3724</t>
  </si>
  <si>
    <t>Customer_6062</t>
  </si>
  <si>
    <t>ORD-2843</t>
  </si>
  <si>
    <t>Customer_9934</t>
  </si>
  <si>
    <t>ORD-2426</t>
  </si>
  <si>
    <t>22/11/2023</t>
  </si>
  <si>
    <t>Customer_6463</t>
  </si>
  <si>
    <t>ORD-2837</t>
  </si>
  <si>
    <t>Customer_7217</t>
  </si>
  <si>
    <t>ORD-2484</t>
  </si>
  <si>
    <t>07-11-2023</t>
  </si>
  <si>
    <t>Customer_5735</t>
  </si>
  <si>
    <t>ORD-2163</t>
  </si>
  <si>
    <t>Customer_8488</t>
  </si>
  <si>
    <t>ORD-2514</t>
  </si>
  <si>
    <t>Customer_5900</t>
  </si>
  <si>
    <t>ORD-3626</t>
  </si>
  <si>
    <t>23/09/2023</t>
  </si>
  <si>
    <t>Customer_1534</t>
  </si>
  <si>
    <t>ORD-2681</t>
  </si>
  <si>
    <t>Customer_9460</t>
  </si>
  <si>
    <t>ORD-3252</t>
  </si>
  <si>
    <t>Customer_7446</t>
  </si>
  <si>
    <t xml:space="preserve">   Sports &amp; Fitness   </t>
  </si>
  <si>
    <t>ORD-2834</t>
  </si>
  <si>
    <t>Customer_1277</t>
  </si>
  <si>
    <t>ORD-3733</t>
  </si>
  <si>
    <t>27/07/2024</t>
  </si>
  <si>
    <t>Customer_495</t>
  </si>
  <si>
    <t>ORD-3012</t>
  </si>
  <si>
    <t>Customer_3737</t>
  </si>
  <si>
    <t>ORD-3503</t>
  </si>
  <si>
    <t>Customer_748</t>
  </si>
  <si>
    <t>ORD-3755</t>
  </si>
  <si>
    <t>05/10/2024</t>
  </si>
  <si>
    <t>Customer_872</t>
  </si>
  <si>
    <t>ORD-3228</t>
  </si>
  <si>
    <t>Customer_5452</t>
  </si>
  <si>
    <t>ORD-3686</t>
  </si>
  <si>
    <t>Customer_8119</t>
  </si>
  <si>
    <t>ORD-3889</t>
  </si>
  <si>
    <t>Customer_9450</t>
  </si>
  <si>
    <t>ORD-3654</t>
  </si>
  <si>
    <t>Customer_5607</t>
  </si>
  <si>
    <t xml:space="preserve">  Angle Grinder  </t>
  </si>
  <si>
    <t>ORD-2095</t>
  </si>
  <si>
    <t>08-27-2023</t>
  </si>
  <si>
    <t>Customer_4913</t>
  </si>
  <si>
    <t>ORD-2137</t>
  </si>
  <si>
    <t>Customer_4968</t>
  </si>
  <si>
    <t>ORD-2159</t>
  </si>
  <si>
    <t>Customer_1894</t>
  </si>
  <si>
    <t>ORD-2214</t>
  </si>
  <si>
    <t>ORD-2534</t>
  </si>
  <si>
    <t>Customer_4987</t>
  </si>
  <si>
    <t>ORD-2710</t>
  </si>
  <si>
    <t>Customer_6572</t>
  </si>
  <si>
    <t>ORD-2794</t>
  </si>
  <si>
    <t>Customer_4796</t>
  </si>
  <si>
    <t>ORD-2795</t>
  </si>
  <si>
    <t>Customer_6397</t>
  </si>
  <si>
    <t>ORD-3078</t>
  </si>
  <si>
    <t>Customer_822</t>
  </si>
  <si>
    <t>ORD-2097</t>
  </si>
  <si>
    <t>Customer_2074</t>
  </si>
  <si>
    <t>ORD-2971</t>
  </si>
  <si>
    <t>10/02/2024</t>
  </si>
  <si>
    <t>Customer_8233</t>
  </si>
  <si>
    <t>ORD-3944</t>
  </si>
  <si>
    <t>Customer_1728</t>
  </si>
  <si>
    <t>ORD-2264</t>
  </si>
  <si>
    <t>Customer_1537</t>
  </si>
  <si>
    <t>ORD-2381</t>
  </si>
  <si>
    <t>10/01/2024</t>
  </si>
  <si>
    <t>05/02/2024</t>
  </si>
  <si>
    <t>Customer_5924</t>
  </si>
  <si>
    <t>ORD-2964</t>
  </si>
  <si>
    <t>Customer_6563</t>
  </si>
  <si>
    <t>ORD-2414</t>
  </si>
  <si>
    <t>Customer_3796</t>
  </si>
  <si>
    <t>ORD-2803</t>
  </si>
  <si>
    <t>Customer_8191</t>
  </si>
  <si>
    <t>standard</t>
  </si>
  <si>
    <t>ORD-3542</t>
  </si>
  <si>
    <t>Customer_6900</t>
  </si>
  <si>
    <t>EastAfrica</t>
  </si>
  <si>
    <t>ORD-2238</t>
  </si>
  <si>
    <t>Customer_4821</t>
  </si>
  <si>
    <t>ORD-2869</t>
  </si>
  <si>
    <t>23/07/2024</t>
  </si>
  <si>
    <t>Customer_7682</t>
  </si>
  <si>
    <t>ORD-2662</t>
  </si>
  <si>
    <t>Customer_4978</t>
  </si>
  <si>
    <t>ORD-3526</t>
  </si>
  <si>
    <t>Customer_7219</t>
  </si>
  <si>
    <t>ORD-3400</t>
  </si>
  <si>
    <t>Customer_2672</t>
  </si>
  <si>
    <t>ORD-2626</t>
  </si>
  <si>
    <t>Customer_9529</t>
  </si>
  <si>
    <t>ORD-2051</t>
  </si>
  <si>
    <t>Customer_2325</t>
  </si>
  <si>
    <t>ORD-3676</t>
  </si>
  <si>
    <t>08/07/2023</t>
  </si>
  <si>
    <t>Customer_1788</t>
  </si>
  <si>
    <t>ORD-2684</t>
  </si>
  <si>
    <t>Customer_490</t>
  </si>
  <si>
    <t>ORD-2022</t>
  </si>
  <si>
    <t>Customer_8340</t>
  </si>
  <si>
    <t>ORD-3149</t>
  </si>
  <si>
    <t>Customer_5119</t>
  </si>
  <si>
    <t>ORD-3660</t>
  </si>
  <si>
    <t>07/12/2024</t>
  </si>
  <si>
    <t>ORD-3811</t>
  </si>
  <si>
    <t>10/10/2024</t>
  </si>
  <si>
    <t>Customer_1790</t>
  </si>
  <si>
    <t>ORD-2025</t>
  </si>
  <si>
    <t>ORD-3195</t>
  </si>
  <si>
    <t>Customer_1919</t>
  </si>
  <si>
    <t>ORD-2135</t>
  </si>
  <si>
    <t>04-07-2023</t>
  </si>
  <si>
    <t>ORD-2996</t>
  </si>
  <si>
    <t>2023/03/25</t>
  </si>
  <si>
    <t>15/09/2024</t>
  </si>
  <si>
    <t>Customer_3505</t>
  </si>
  <si>
    <t>ORD-3760</t>
  </si>
  <si>
    <t>Customer_361</t>
  </si>
  <si>
    <t>ORD-3668</t>
  </si>
  <si>
    <t>Customer_7670</t>
  </si>
  <si>
    <t>ORD-3155</t>
  </si>
  <si>
    <t>2023-03-17</t>
  </si>
  <si>
    <t>Customer_1623</t>
  </si>
  <si>
    <t>ALGERIA</t>
  </si>
  <si>
    <t>ORD-2493</t>
  </si>
  <si>
    <t>Customer_6383</t>
  </si>
  <si>
    <t>ORD-2176</t>
  </si>
  <si>
    <t>Customer_8745</t>
  </si>
  <si>
    <t>ORD-2213</t>
  </si>
  <si>
    <t>Customer_7444</t>
  </si>
  <si>
    <t xml:space="preserve">  North Africa  </t>
  </si>
  <si>
    <t>ORD-3115</t>
  </si>
  <si>
    <t>Customer_6616</t>
  </si>
  <si>
    <t>ORD-3949</t>
  </si>
  <si>
    <t>Customer_2864</t>
  </si>
  <si>
    <t>ORD-2950</t>
  </si>
  <si>
    <t>Customer_5724</t>
  </si>
  <si>
    <t>ORD-2169</t>
  </si>
  <si>
    <t>Customer_1631</t>
  </si>
  <si>
    <t>ORD-2013</t>
  </si>
  <si>
    <t>Customer_4198</t>
  </si>
  <si>
    <t>ORD-3687</t>
  </si>
  <si>
    <t xml:space="preserve">  Customer_3487  </t>
  </si>
  <si>
    <t>ORD-2839</t>
  </si>
  <si>
    <t>10/09/2024</t>
  </si>
  <si>
    <t>Customer_5969</t>
  </si>
  <si>
    <t>ORD-2419</t>
  </si>
  <si>
    <t>Customer_3957</t>
  </si>
  <si>
    <t>ORD-2307</t>
  </si>
  <si>
    <t>Customer_237</t>
  </si>
  <si>
    <t>central africa</t>
  </si>
  <si>
    <t>ORD-2472</t>
  </si>
  <si>
    <t>Customer_8154</t>
  </si>
  <si>
    <t>ORD-2089</t>
  </si>
  <si>
    <t>Customer_1444</t>
  </si>
  <si>
    <t xml:space="preserve">  Windscreen Wipers  </t>
  </si>
  <si>
    <t>ORD-2230</t>
  </si>
  <si>
    <t>Customer_7413</t>
  </si>
  <si>
    <t>ORD-3531</t>
  </si>
  <si>
    <t xml:space="preserve">   Customer_9443   </t>
  </si>
  <si>
    <t>ORD-3958</t>
  </si>
  <si>
    <t>Customer_1603</t>
  </si>
  <si>
    <t>ORD-2170</t>
  </si>
  <si>
    <t>Customer_6075</t>
  </si>
  <si>
    <t>ORD-3662</t>
  </si>
  <si>
    <t>May 2023</t>
  </si>
  <si>
    <t>Customer_776</t>
  </si>
  <si>
    <t>ORD-2912</t>
  </si>
  <si>
    <t>Customer_656</t>
  </si>
  <si>
    <t>ORD-3619</t>
  </si>
  <si>
    <t>Customer_9475</t>
  </si>
  <si>
    <t>ORD-3491</t>
  </si>
  <si>
    <t>Customer_3234</t>
  </si>
  <si>
    <t>ECONOMY</t>
  </si>
  <si>
    <t>ORD-2314</t>
  </si>
  <si>
    <t>18/04/2024</t>
  </si>
  <si>
    <t>20/07/2024</t>
  </si>
  <si>
    <t>Customer_6452</t>
  </si>
  <si>
    <t>ORD-2957</t>
  </si>
  <si>
    <t>Customer_9980</t>
  </si>
  <si>
    <t>ORD-2324</t>
  </si>
  <si>
    <t>09/10/2024</t>
  </si>
  <si>
    <t>ORD-3124</t>
  </si>
  <si>
    <t>25/08/2024</t>
  </si>
  <si>
    <t>Customer_6431</t>
  </si>
  <si>
    <t>ORD-2250</t>
  </si>
  <si>
    <t>Customer_3262</t>
  </si>
  <si>
    <t>ORD-3703</t>
  </si>
  <si>
    <t>Customer_4829</t>
  </si>
  <si>
    <t>ORD-3878</t>
  </si>
  <si>
    <t>Customer_8808</t>
  </si>
  <si>
    <t>ORD-2543</t>
  </si>
  <si>
    <t>Customer_9457</t>
  </si>
  <si>
    <t>ORD-2133</t>
  </si>
  <si>
    <t>Customer_1214</t>
  </si>
  <si>
    <t>ORD-3972</t>
  </si>
  <si>
    <t>Customer_2483</t>
  </si>
  <si>
    <t>ORD-3603</t>
  </si>
  <si>
    <t>Customer_8230</t>
  </si>
  <si>
    <t>ORD-3661</t>
  </si>
  <si>
    <t>Customer_5137</t>
  </si>
  <si>
    <t>ORD-3849</t>
  </si>
  <si>
    <t>Customer_9911</t>
  </si>
  <si>
    <t>ORD-2895</t>
  </si>
  <si>
    <t>Customer_9873</t>
  </si>
  <si>
    <t>ORD-3367</t>
  </si>
  <si>
    <t>Customer_4353</t>
  </si>
  <si>
    <t>ORD-3954</t>
  </si>
  <si>
    <t>Customer_2954</t>
  </si>
  <si>
    <t>ORD-2142</t>
  </si>
  <si>
    <t>Customer_3398</t>
  </si>
  <si>
    <t>ORD-2756</t>
  </si>
  <si>
    <t>Customer_2471</t>
  </si>
  <si>
    <t>ORD-3020</t>
  </si>
  <si>
    <t>ORD-3754</t>
  </si>
  <si>
    <t>Customer_4895</t>
  </si>
  <si>
    <t>ORD-3618</t>
  </si>
  <si>
    <t>Customer_8771</t>
  </si>
  <si>
    <t>ORD-2550</t>
  </si>
  <si>
    <t>Customer_9390</t>
  </si>
  <si>
    <t>ORD-2715</t>
  </si>
  <si>
    <t>28/10/2024</t>
  </si>
  <si>
    <t>Customer_6039</t>
  </si>
  <si>
    <t>ORD-3739</t>
  </si>
  <si>
    <t xml:space="preserve">   Morocco   </t>
  </si>
  <si>
    <t>ORD-2480</t>
  </si>
  <si>
    <t>21/01/2024</t>
  </si>
  <si>
    <t>Customer_6315</t>
  </si>
  <si>
    <t>ORD-3182</t>
  </si>
  <si>
    <t>Customer_4256</t>
  </si>
  <si>
    <t>ORD-3523</t>
  </si>
  <si>
    <t>Customer_7526</t>
  </si>
  <si>
    <t>ORD-3204</t>
  </si>
  <si>
    <t>2023-12-16</t>
  </si>
  <si>
    <t>Customer_5745</t>
  </si>
  <si>
    <t>ORD-3664</t>
  </si>
  <si>
    <t>Customer_6520</t>
  </si>
  <si>
    <t>ORD-2797</t>
  </si>
  <si>
    <t>Customer_1005</t>
  </si>
  <si>
    <t>ORD-3330</t>
  </si>
  <si>
    <t>Customer_8840</t>
  </si>
  <si>
    <t>ORD-2708</t>
  </si>
  <si>
    <t>Customer_5367</t>
  </si>
  <si>
    <t>ORD-2299</t>
  </si>
  <si>
    <t>Customer_7528</t>
  </si>
  <si>
    <t>ORD-2136</t>
  </si>
  <si>
    <t>Customer_6096</t>
  </si>
  <si>
    <t>ORD-3026</t>
  </si>
  <si>
    <t>21/08/2024</t>
  </si>
  <si>
    <t>Customer_3585</t>
  </si>
  <si>
    <t>ORD-3429</t>
  </si>
  <si>
    <t>06/05/2024</t>
  </si>
  <si>
    <t>Customer_2072</t>
  </si>
  <si>
    <t>ORD-2851</t>
  </si>
  <si>
    <t>Customer_821</t>
  </si>
  <si>
    <t>ORD-2719</t>
  </si>
  <si>
    <t>Customer_9632</t>
  </si>
  <si>
    <t>ORD-2327</t>
  </si>
  <si>
    <t>ORD-3268</t>
  </si>
  <si>
    <t>2023-06-01</t>
  </si>
  <si>
    <t>Customer_3663</t>
  </si>
  <si>
    <t>ORD-4004</t>
  </si>
  <si>
    <t>Customer_8934</t>
  </si>
  <si>
    <t>ORD-2962</t>
  </si>
  <si>
    <t>01/10/2023</t>
  </si>
  <si>
    <t>Customer_5667</t>
  </si>
  <si>
    <t>ORD-3157</t>
  </si>
  <si>
    <t>Customer_5473</t>
  </si>
  <si>
    <t>ORD-2091</t>
  </si>
  <si>
    <t>Customer_6950</t>
  </si>
  <si>
    <t>ORD-3223</t>
  </si>
  <si>
    <t>20/04/2023</t>
  </si>
  <si>
    <t>Customer_7287</t>
  </si>
  <si>
    <t>ORD-2008</t>
  </si>
  <si>
    <t>Customer_1412</t>
  </si>
  <si>
    <t>BOTSWANA</t>
  </si>
  <si>
    <t>ORD-3172</t>
  </si>
  <si>
    <t>Customer_2690</t>
  </si>
  <si>
    <t>ORD-2892</t>
  </si>
  <si>
    <t>28/01/2024</t>
  </si>
  <si>
    <t>Customer_751</t>
  </si>
  <si>
    <t>ORD-3077</t>
  </si>
  <si>
    <t>13/05/2024</t>
  </si>
  <si>
    <t>Customer_4028</t>
  </si>
  <si>
    <t>ORD-2492</t>
  </si>
  <si>
    <t>Customer_1556</t>
  </si>
  <si>
    <t>ORD-3586</t>
  </si>
  <si>
    <t>Customer_8588</t>
  </si>
  <si>
    <t>ORD-2675</t>
  </si>
  <si>
    <t>Customer_3291</t>
  </si>
  <si>
    <t>ORD-2018</t>
  </si>
  <si>
    <t>express</t>
  </si>
  <si>
    <t>ORD-2571</t>
  </si>
  <si>
    <t>ORD-3237</t>
  </si>
  <si>
    <t>2023-11-23</t>
  </si>
  <si>
    <t>Customer_5814</t>
  </si>
  <si>
    <t>ORD-3876</t>
  </si>
  <si>
    <t>Customer_7134</t>
  </si>
  <si>
    <t>ORD-3663</t>
  </si>
  <si>
    <t>Customer_7099</t>
  </si>
  <si>
    <t>ORD-3208</t>
  </si>
  <si>
    <t>Customer_529</t>
  </si>
  <si>
    <t>ORD-3277</t>
  </si>
  <si>
    <t>Customer_7668</t>
  </si>
  <si>
    <t>ORD-3047</t>
  </si>
  <si>
    <t>Customer_5345</t>
  </si>
  <si>
    <t>ORD-3460</t>
  </si>
  <si>
    <t>Customer_7573</t>
  </si>
  <si>
    <t>ORD-2907</t>
  </si>
  <si>
    <t>Customer_1325</t>
  </si>
  <si>
    <t>ORD-2394</t>
  </si>
  <si>
    <t>Customer_3444</t>
  </si>
  <si>
    <t>ORD-2312</t>
  </si>
  <si>
    <t>Customer_9096</t>
  </si>
  <si>
    <t>ORD-3102</t>
  </si>
  <si>
    <t>Customer_8527</t>
  </si>
  <si>
    <t>ORD-2968</t>
  </si>
  <si>
    <t>Customer_4581</t>
  </si>
  <si>
    <t>ORD-2716</t>
  </si>
  <si>
    <t>Customer_946</t>
  </si>
  <si>
    <t>ORD-2582</t>
  </si>
  <si>
    <t>Customer_5037</t>
  </si>
  <si>
    <t>ORD-2650</t>
  </si>
  <si>
    <t>Customer_8460</t>
  </si>
  <si>
    <t>ORD-3810</t>
  </si>
  <si>
    <t>ORD-3353</t>
  </si>
  <si>
    <t>Customer_4286</t>
  </si>
  <si>
    <t>ORD-3748</t>
  </si>
  <si>
    <t>21/09/2024</t>
  </si>
  <si>
    <t>Customer_1925</t>
  </si>
  <si>
    <t>ORD-3022</t>
  </si>
  <si>
    <t>01-08-2023</t>
  </si>
  <si>
    <t>ORD-3014</t>
  </si>
  <si>
    <t>Customer_6989</t>
  </si>
  <si>
    <t>ORD-3709</t>
  </si>
  <si>
    <t>Customer_5726</t>
  </si>
  <si>
    <t>ORD-2615</t>
  </si>
  <si>
    <t>Customer_5977</t>
  </si>
  <si>
    <t>ORD-3376</t>
  </si>
  <si>
    <t>Customer_1385</t>
  </si>
  <si>
    <t>ORD-3253</t>
  </si>
  <si>
    <t>Customer_6161</t>
  </si>
  <si>
    <t>ORD-3945</t>
  </si>
  <si>
    <t>Customer_9710</t>
  </si>
  <si>
    <t>ORD-3041</t>
  </si>
  <si>
    <t>Customer_9085</t>
  </si>
  <si>
    <t>ORD-3480</t>
  </si>
  <si>
    <t>Customer_279</t>
  </si>
  <si>
    <t>ORD-3623</t>
  </si>
  <si>
    <t>Customer_6023</t>
  </si>
  <si>
    <t>ORD-3382</t>
  </si>
  <si>
    <t>11/02/2024</t>
  </si>
  <si>
    <t>Customer_3421</t>
  </si>
  <si>
    <t>ORD-2981</t>
  </si>
  <si>
    <t>05/04/2024</t>
  </si>
  <si>
    <t>Customer_978</t>
  </si>
  <si>
    <t>ORD-3858</t>
  </si>
  <si>
    <t>12/06/2024</t>
  </si>
  <si>
    <t>Customer_9836</t>
  </si>
  <si>
    <t>ORD-2709</t>
  </si>
  <si>
    <t>Customer_8399</t>
  </si>
  <si>
    <t>ORD-3796</t>
  </si>
  <si>
    <t>Customer_8867</t>
  </si>
  <si>
    <t>ORD-3008</t>
  </si>
  <si>
    <t>Customer_4010</t>
  </si>
  <si>
    <t>ORD-2354</t>
  </si>
  <si>
    <t>ORD-3970</t>
  </si>
  <si>
    <t>Customer_3253</t>
  </si>
  <si>
    <t xml:space="preserve">  EastAfrica  </t>
  </si>
  <si>
    <t>UGANDA</t>
  </si>
  <si>
    <t>ORD-3384</t>
  </si>
  <si>
    <t>Customer_1311</t>
  </si>
  <si>
    <t>ORD-3506</t>
  </si>
  <si>
    <t>15/03/2024</t>
  </si>
  <si>
    <t>Customer_200</t>
  </si>
  <si>
    <t>ORD-3520</t>
  </si>
  <si>
    <t>Customer_3133</t>
  </si>
  <si>
    <t>ORD-2242</t>
  </si>
  <si>
    <t>Customer_9686</t>
  </si>
  <si>
    <t>ORD-2579</t>
  </si>
  <si>
    <t>Customer_9423</t>
  </si>
  <si>
    <t>ORD-3413</t>
  </si>
  <si>
    <t>11/10/2024</t>
  </si>
  <si>
    <t>Customer_8540</t>
  </si>
  <si>
    <t>ORD-3060</t>
  </si>
  <si>
    <t>Customer_5927</t>
  </si>
  <si>
    <t>ORD-2179</t>
  </si>
  <si>
    <t>Customer_2901</t>
  </si>
  <si>
    <t>ORD-2453</t>
  </si>
  <si>
    <t>Customer_2200</t>
  </si>
  <si>
    <t>ORD-3865</t>
  </si>
  <si>
    <t>Customer_2824</t>
  </si>
  <si>
    <t xml:space="preserve">  Nigeria  </t>
  </si>
  <si>
    <t>ORD-3845</t>
  </si>
  <si>
    <t>Customer_9847</t>
  </si>
  <si>
    <t>ORD-2735</t>
  </si>
  <si>
    <t>Customer_2015</t>
  </si>
  <si>
    <t>ORD-2318</t>
  </si>
  <si>
    <t>Customer_6077</t>
  </si>
  <si>
    <t>ORD-2628</t>
  </si>
  <si>
    <t>Customer_4696</t>
  </si>
  <si>
    <t>ORD-2475</t>
  </si>
  <si>
    <t>Customer_7110</t>
  </si>
  <si>
    <t>ORD-2440</t>
  </si>
  <si>
    <t>Customer_1443</t>
  </si>
  <si>
    <t>ORD-3005</t>
  </si>
  <si>
    <t>Customer_5905</t>
  </si>
  <si>
    <t>ORD-2474</t>
  </si>
  <si>
    <t>09/02/2024</t>
  </si>
  <si>
    <t>ORD-2291</t>
  </si>
  <si>
    <t>Customer_2733</t>
  </si>
  <si>
    <t>ORD-3652</t>
  </si>
  <si>
    <t>Customer_8970</t>
  </si>
  <si>
    <t>ORD-3311</t>
  </si>
  <si>
    <t>Customer_2127</t>
  </si>
  <si>
    <t>ORD-3521</t>
  </si>
  <si>
    <t>09/09/2024</t>
  </si>
  <si>
    <t>Customer_831</t>
  </si>
  <si>
    <t>ORD-2863</t>
  </si>
  <si>
    <t>Customer_9534</t>
  </si>
  <si>
    <t>ORD-2657</t>
  </si>
  <si>
    <t>Customer_5980</t>
  </si>
  <si>
    <t>ORD-3908</t>
  </si>
  <si>
    <t>Customer_3076</t>
  </si>
  <si>
    <t>ORD-2185</t>
  </si>
  <si>
    <t>Customer_7792</t>
  </si>
  <si>
    <t>ORD-3116</t>
  </si>
  <si>
    <t>Customer_4447</t>
  </si>
  <si>
    <t>ORD-3033</t>
  </si>
  <si>
    <t>Customer_765</t>
  </si>
  <si>
    <t>ORD-3604</t>
  </si>
  <si>
    <t>Customer_8301</t>
  </si>
  <si>
    <t>ORD-2409</t>
  </si>
  <si>
    <t>14/07/2024</t>
  </si>
  <si>
    <t>Customer_4488</t>
  </si>
  <si>
    <t>ORD-2441</t>
  </si>
  <si>
    <t>2023-12-21</t>
  </si>
  <si>
    <t>Customer_1020</t>
  </si>
  <si>
    <t>Exp</t>
  </si>
  <si>
    <t>ORD-3717</t>
  </si>
  <si>
    <t>Customer_7671</t>
  </si>
  <si>
    <t>ORD-2875</t>
  </si>
  <si>
    <t>2023/07/10</t>
  </si>
  <si>
    <t>18/02/2024</t>
  </si>
  <si>
    <t>ORD-2070</t>
  </si>
  <si>
    <t>Customer_2188</t>
  </si>
  <si>
    <t>ORD-2522</t>
  </si>
  <si>
    <t>Customer_9734</t>
  </si>
  <si>
    <t>ORD-2175</t>
  </si>
  <si>
    <t>Customer_5214</t>
  </si>
  <si>
    <t xml:space="preserve">  Standard  </t>
  </si>
  <si>
    <t>ORD-3801</t>
  </si>
  <si>
    <t>QUICKSHIP</t>
  </si>
  <si>
    <t>ORD-2359</t>
  </si>
  <si>
    <t>Customer_6206</t>
  </si>
  <si>
    <t>ORD-3651</t>
  </si>
  <si>
    <t>2023/06/04</t>
  </si>
  <si>
    <t>Customer_9835</t>
  </si>
  <si>
    <t>ORD-2742</t>
  </si>
  <si>
    <t>Customer_5996</t>
  </si>
  <si>
    <t>ORD-3502</t>
  </si>
  <si>
    <t>Customer_6526</t>
  </si>
  <si>
    <t>ORD-2532</t>
  </si>
  <si>
    <t>Customer_9180</t>
  </si>
  <si>
    <t>ORD-3363</t>
  </si>
  <si>
    <t>Customer_5600</t>
  </si>
  <si>
    <t>ORD-2703</t>
  </si>
  <si>
    <t>Customer_6086</t>
  </si>
  <si>
    <t>ORD-3058</t>
  </si>
  <si>
    <t>Customer_5474</t>
  </si>
  <si>
    <t>ORD-2464</t>
  </si>
  <si>
    <t>15/01/2024</t>
  </si>
  <si>
    <t>Customer_9989</t>
  </si>
  <si>
    <t>ORD-2521</t>
  </si>
  <si>
    <t>Customer_3851</t>
  </si>
  <si>
    <t>ORD-2721</t>
  </si>
  <si>
    <t>Customer_3465</t>
  </si>
  <si>
    <t>ORD-3484</t>
  </si>
  <si>
    <t>2023-02-20</t>
  </si>
  <si>
    <t>Customer_9067</t>
  </si>
  <si>
    <t>ORD-3869</t>
  </si>
  <si>
    <t>Customer_1538</t>
  </si>
  <si>
    <t>ORD-3536</t>
  </si>
  <si>
    <t>07-13-2023</t>
  </si>
  <si>
    <t>Customer_2911</t>
  </si>
  <si>
    <t>ORD-3024</t>
  </si>
  <si>
    <t>ORD-3646</t>
  </si>
  <si>
    <t>Customer_8452</t>
  </si>
  <si>
    <t>ORD-2564</t>
  </si>
  <si>
    <t>Customer_4351</t>
  </si>
  <si>
    <t>09-19-2023</t>
  </si>
  <si>
    <t>ORD-2807</t>
  </si>
  <si>
    <t>Customer_3631</t>
  </si>
  <si>
    <t>ORD-2498</t>
  </si>
  <si>
    <t>Customer_3105</t>
  </si>
  <si>
    <t>ORD-3158</t>
  </si>
  <si>
    <t>2023/10/07</t>
  </si>
  <si>
    <t>Customer_5918</t>
  </si>
  <si>
    <t>ORD-2191</t>
  </si>
  <si>
    <t>ORD-2447</t>
  </si>
  <si>
    <t>Customer_6034</t>
  </si>
  <si>
    <t>ORD-2908</t>
  </si>
  <si>
    <t>23/02/2024</t>
  </si>
  <si>
    <t>Customer_4357</t>
  </si>
  <si>
    <t>ORD-3212</t>
  </si>
  <si>
    <t>Customer_2030</t>
  </si>
  <si>
    <t>ORD-2533</t>
  </si>
  <si>
    <t>11/05/2024</t>
  </si>
  <si>
    <t>Customer_4615</t>
  </si>
  <si>
    <t>ORD-4003</t>
  </si>
  <si>
    <t>Customer_1512</t>
  </si>
  <si>
    <t>ORD-2285</t>
  </si>
  <si>
    <t>Customer_7906</t>
  </si>
  <si>
    <t>ORD-2177</t>
  </si>
  <si>
    <t>Customer_2641</t>
  </si>
  <si>
    <t>ORD-3981</t>
  </si>
  <si>
    <t>Customer_2573</t>
  </si>
  <si>
    <t>eastconnect co</t>
  </si>
  <si>
    <t>ORD-3558</t>
  </si>
  <si>
    <t>10/05/2024</t>
  </si>
  <si>
    <t>Customer_7785</t>
  </si>
  <si>
    <t>ORD-3151</t>
  </si>
  <si>
    <t>Customer_9285</t>
  </si>
  <si>
    <t>ORD-3630</t>
  </si>
  <si>
    <t>ORD-2201</t>
  </si>
  <si>
    <t>Customer_4304</t>
  </si>
  <si>
    <t>ORD-2904</t>
  </si>
  <si>
    <t>Customer_6820</t>
  </si>
  <si>
    <t>ORD-2429</t>
  </si>
  <si>
    <t>Customer_8182</t>
  </si>
  <si>
    <t>ORD-3198</t>
  </si>
  <si>
    <t>ORD-2923</t>
  </si>
  <si>
    <t>Customer_298</t>
  </si>
  <si>
    <t>ORD-2014</t>
  </si>
  <si>
    <t>2023-10-01</t>
  </si>
  <si>
    <t>Customer_5502</t>
  </si>
  <si>
    <t>ORD-3097</t>
  </si>
  <si>
    <t>Customer_4054</t>
  </si>
  <si>
    <t>ORD-2382</t>
  </si>
  <si>
    <t>Customer_2842</t>
  </si>
  <si>
    <t>ORD-3808</t>
  </si>
  <si>
    <t>Customer_2620</t>
  </si>
  <si>
    <t>ORD-2921</t>
  </si>
  <si>
    <t>01-12-2023</t>
  </si>
  <si>
    <t>ORD-2985</t>
  </si>
  <si>
    <t>Customer_9604</t>
  </si>
  <si>
    <t>ORD-2891</t>
  </si>
  <si>
    <t>Customer_3677</t>
  </si>
  <si>
    <t>ORD-3050</t>
  </si>
  <si>
    <t>Customer_8826</t>
  </si>
  <si>
    <t>ORD-2817</t>
  </si>
  <si>
    <t>Customer_6346</t>
  </si>
  <si>
    <t>ORD-3043</t>
  </si>
  <si>
    <t>Customer_5596</t>
  </si>
  <si>
    <t>ORD-3023</t>
  </si>
  <si>
    <t>2023-08-05</t>
  </si>
  <si>
    <t>Customer_3322</t>
  </si>
  <si>
    <t>ORD-3072</t>
  </si>
  <si>
    <t>Customer_1215</t>
  </si>
  <si>
    <t xml:space="preserve">  Ghana  </t>
  </si>
  <si>
    <t>ORD-2840</t>
  </si>
  <si>
    <t>25/03/2024</t>
  </si>
  <si>
    <t>Customer_4571</t>
  </si>
  <si>
    <t>ORD-2545</t>
  </si>
  <si>
    <t>Customer_5939</t>
  </si>
  <si>
    <t>west africa</t>
  </si>
  <si>
    <t>ORD-2408</t>
  </si>
  <si>
    <t>2023/11/23</t>
  </si>
  <si>
    <t>ORD-3091</t>
  </si>
  <si>
    <t>2023/04/02</t>
  </si>
  <si>
    <t>Customer_8725</t>
  </si>
  <si>
    <t>ORD-3255</t>
  </si>
  <si>
    <t>Customer_9258</t>
  </si>
  <si>
    <t>ORD-2053</t>
  </si>
  <si>
    <t>Customer_3193</t>
  </si>
  <si>
    <t>ORD-2259</t>
  </si>
  <si>
    <t>Customer_6046</t>
  </si>
  <si>
    <t>ORD-2215</t>
  </si>
  <si>
    <t>Customer_4576</t>
  </si>
  <si>
    <t>ORD-2494</t>
  </si>
  <si>
    <t>Customer_9525</t>
  </si>
  <si>
    <t>ORD-2168</t>
  </si>
  <si>
    <t>ORD-3099</t>
  </si>
  <si>
    <t>Customer_9189</t>
  </si>
  <si>
    <t>ORD-3110</t>
  </si>
  <si>
    <t>Customer_6746</t>
  </si>
  <si>
    <t>ORD-3851</t>
  </si>
  <si>
    <t>Customer_3688</t>
  </si>
  <si>
    <t>ORD-2536</t>
  </si>
  <si>
    <t>Customer_7768</t>
  </si>
  <si>
    <t>ORD-2194</t>
  </si>
  <si>
    <t>ORD-2090</t>
  </si>
  <si>
    <t>14/10/2024</t>
  </si>
  <si>
    <t>Customer_6693</t>
  </si>
  <si>
    <t>ORD-3633</t>
  </si>
  <si>
    <t>2023/02/16</t>
  </si>
  <si>
    <t>Customer_7175</t>
  </si>
  <si>
    <t>ORD-2325</t>
  </si>
  <si>
    <t>Customer_1844</t>
  </si>
  <si>
    <t>ORD-3004</t>
  </si>
  <si>
    <t>Customer_7161</t>
  </si>
  <si>
    <t>ORD-3569</t>
  </si>
  <si>
    <t>Customer_645</t>
  </si>
  <si>
    <t>ORD-3474</t>
  </si>
  <si>
    <t>ORD-3350</t>
  </si>
  <si>
    <t>Customer_8049</t>
  </si>
  <si>
    <t>ORD-2932</t>
  </si>
  <si>
    <t>13/07/2024</t>
  </si>
  <si>
    <t>Customer_9232</t>
  </si>
  <si>
    <t>ORD-3048</t>
  </si>
  <si>
    <t>Customer_8829</t>
  </si>
  <si>
    <t>ORD-2775</t>
  </si>
  <si>
    <t>Customer_6854</t>
  </si>
  <si>
    <t>ORD-2371</t>
  </si>
  <si>
    <t>Customer_6146</t>
  </si>
  <si>
    <t>ORD-3452</t>
  </si>
  <si>
    <t>Customer_4524</t>
  </si>
  <si>
    <t>ORD-3120</t>
  </si>
  <si>
    <t>ORD-3088</t>
  </si>
  <si>
    <t>Customer_1171</t>
  </si>
  <si>
    <t>ORD-3605</t>
  </si>
  <si>
    <t>Customer_4452</t>
  </si>
  <si>
    <t>ORD-2554</t>
  </si>
  <si>
    <t>Customer_2974</t>
  </si>
  <si>
    <t>ORD-2126</t>
  </si>
  <si>
    <t>2023/12/22</t>
  </si>
  <si>
    <t>Customer_7063</t>
  </si>
  <si>
    <t>ORD-2161</t>
  </si>
  <si>
    <t>10-13-2023</t>
  </si>
  <si>
    <t>Customer_405</t>
  </si>
  <si>
    <t>ORD-3290</t>
  </si>
  <si>
    <t>ORD-3766</t>
  </si>
  <si>
    <t>27/12/2024</t>
  </si>
  <si>
    <t>ORD-2941</t>
  </si>
  <si>
    <t>Customer_2631</t>
  </si>
  <si>
    <t>ORD-2664</t>
  </si>
  <si>
    <t>Customer_4705</t>
  </si>
  <si>
    <t>ORD-2439</t>
  </si>
  <si>
    <t>14/11/2024</t>
  </si>
  <si>
    <t>Customer_2355</t>
  </si>
  <si>
    <t>ORD-3101</t>
  </si>
  <si>
    <t>Customer_8602</t>
  </si>
  <si>
    <t>ORD-2373</t>
  </si>
  <si>
    <t>Customer_6147</t>
  </si>
  <si>
    <t>ORD-2289</t>
  </si>
  <si>
    <t>Customer_7208</t>
  </si>
  <si>
    <t>ORD-3424</t>
  </si>
  <si>
    <t>Customer_1947</t>
  </si>
  <si>
    <t>ORD-3433</t>
  </si>
  <si>
    <t>ORD-2061</t>
  </si>
  <si>
    <t>Customer_3814</t>
  </si>
  <si>
    <t>ORD-2003</t>
  </si>
  <si>
    <t>Customer_7337</t>
  </si>
  <si>
    <t>ORD-2786</t>
  </si>
  <si>
    <t>Customer_7142</t>
  </si>
  <si>
    <t>ORD-2311</t>
  </si>
  <si>
    <t>11/06/2024</t>
  </si>
  <si>
    <t>Customer_5271</t>
  </si>
  <si>
    <t>ORD-2604</t>
  </si>
  <si>
    <t>Customer_1574</t>
  </si>
  <si>
    <t>ORD-3366</t>
  </si>
  <si>
    <t>Customer_8973</t>
  </si>
  <si>
    <t>ORD-3965</t>
  </si>
  <si>
    <t>Customer_5533</t>
  </si>
  <si>
    <t>ORD-3111</t>
  </si>
  <si>
    <t>Customer_4090</t>
  </si>
  <si>
    <t>ORD-3850</t>
  </si>
  <si>
    <t>Customer_365</t>
  </si>
  <si>
    <t>ORD-3871</t>
  </si>
  <si>
    <t>Customer_2712</t>
  </si>
  <si>
    <t>ORD-2850</t>
  </si>
  <si>
    <t>Customer_1312</t>
  </si>
  <si>
    <t>ORD-2368</t>
  </si>
  <si>
    <t>Customer_447</t>
  </si>
  <si>
    <t>ORD-3222</t>
  </si>
  <si>
    <t>Customer_8944</t>
  </si>
  <si>
    <t>ORD-3126</t>
  </si>
  <si>
    <t>Customer_7973</t>
  </si>
  <si>
    <t>ORD-3391</t>
  </si>
  <si>
    <t>2023/11/11</t>
  </si>
  <si>
    <t>Customer_2585</t>
  </si>
  <si>
    <t>ORD-2527</t>
  </si>
  <si>
    <t>Customer_5463</t>
  </si>
  <si>
    <t>ORD-2779</t>
  </si>
  <si>
    <t>Customer_8487</t>
  </si>
  <si>
    <t>ORD-3069</t>
  </si>
  <si>
    <t>ORD-3996</t>
  </si>
  <si>
    <t>2023/04/19</t>
  </si>
  <si>
    <t>Customer_4087</t>
  </si>
  <si>
    <t>ORD-3469</t>
  </si>
  <si>
    <t>Customer_341</t>
  </si>
  <si>
    <t>ORD-2125</t>
  </si>
  <si>
    <t>Customer_469</t>
  </si>
  <si>
    <t>ORD-3383</t>
  </si>
  <si>
    <t>2023/08/25</t>
  </si>
  <si>
    <t>Customer_9365</t>
  </si>
  <si>
    <t>ORD-2671</t>
  </si>
  <si>
    <t>Customer_646</t>
  </si>
  <si>
    <t>ORD-2362</t>
  </si>
  <si>
    <t>14/06/2024</t>
  </si>
  <si>
    <t>Customer_3141</t>
  </si>
  <si>
    <t>ORD-3669</t>
  </si>
  <si>
    <t>Customer_6492</t>
  </si>
  <si>
    <t>ORD-3771</t>
  </si>
  <si>
    <t>Customer_7293</t>
  </si>
  <si>
    <t>ORD-3496</t>
  </si>
  <si>
    <t>Customer_7179</t>
  </si>
  <si>
    <t>ORD-3600</t>
  </si>
  <si>
    <t>10/08/2024</t>
  </si>
  <si>
    <t>Customer_838</t>
  </si>
  <si>
    <t>ORD-2919</t>
  </si>
  <si>
    <t>Customer_7362</t>
  </si>
  <si>
    <t>ORD-2274</t>
  </si>
  <si>
    <t>Customer_4761</t>
  </si>
  <si>
    <t>ORD-2192</t>
  </si>
  <si>
    <t>Customer_8339</t>
  </si>
  <si>
    <t>ORD-2298</t>
  </si>
  <si>
    <t>ORD-2174</t>
  </si>
  <si>
    <t>Customer_2530</t>
  </si>
  <si>
    <t>ORD-2203</t>
  </si>
  <si>
    <t>Customer_4430</t>
  </si>
  <si>
    <t>ORD-2997</t>
  </si>
  <si>
    <t>Customer_8229</t>
  </si>
  <si>
    <t>ORD-3025</t>
  </si>
  <si>
    <t>Customer_2185</t>
  </si>
  <si>
    <t>ORD-3804</t>
  </si>
  <si>
    <t>Customer_1756</t>
  </si>
  <si>
    <t>ORD-3742</t>
  </si>
  <si>
    <t>Customer_271</t>
  </si>
  <si>
    <t>ORD-3625</t>
  </si>
  <si>
    <t>Customer_2239</t>
  </si>
  <si>
    <t>ORD-2198</t>
  </si>
  <si>
    <t>08/01/2024</t>
  </si>
  <si>
    <t>Customer_975</t>
  </si>
  <si>
    <t>ORD-2293</t>
  </si>
  <si>
    <t>ORD-3259</t>
  </si>
  <si>
    <t>Customer_1199</t>
  </si>
  <si>
    <t>ORD-2418</t>
  </si>
  <si>
    <t>Customer_4362</t>
  </si>
  <si>
    <t>ORD-2944</t>
  </si>
  <si>
    <t>12-13-2023</t>
  </si>
  <si>
    <t>ORD-2237</t>
  </si>
  <si>
    <t>Customer_7476</t>
  </si>
  <si>
    <t>ORD-3829</t>
  </si>
  <si>
    <t>ORD-3133</t>
  </si>
  <si>
    <t>Customer_5621</t>
  </si>
  <si>
    <t>ORD-3501</t>
  </si>
  <si>
    <t>Customer_7890</t>
  </si>
  <si>
    <t>ORD-3293</t>
  </si>
  <si>
    <t>Customer_5151</t>
  </si>
  <si>
    <t>ORD-3880</t>
  </si>
  <si>
    <t>2023/06/19</t>
  </si>
  <si>
    <t>Customer_5264</t>
  </si>
  <si>
    <t>ORD-2740</t>
  </si>
  <si>
    <t>Customer_7323</t>
  </si>
  <si>
    <t>ORD-3886</t>
  </si>
  <si>
    <t>Customer_3612</t>
  </si>
  <si>
    <t>ORD-2393</t>
  </si>
  <si>
    <t>Customer_1424</t>
  </si>
  <si>
    <t>ORD-2154</t>
  </si>
  <si>
    <t>Customer_6285</t>
  </si>
  <si>
    <t>ORD-3331</t>
  </si>
  <si>
    <t>Customer_1599</t>
  </si>
  <si>
    <t>ORD-2806</t>
  </si>
  <si>
    <t>Customer_2180</t>
  </si>
  <si>
    <t>ORD-2776</t>
  </si>
  <si>
    <t>Customer_7911</t>
  </si>
  <si>
    <t>ORD-2407</t>
  </si>
  <si>
    <t>Customer_3787</t>
  </si>
  <si>
    <t>ORD-2736</t>
  </si>
  <si>
    <t>ORD-2613</t>
  </si>
  <si>
    <t>Customer_1138</t>
  </si>
  <si>
    <t>ORD-3820</t>
  </si>
  <si>
    <t>2023/10/22</t>
  </si>
  <si>
    <t>Customer_6801</t>
  </si>
  <si>
    <t>ORD-2248</t>
  </si>
  <si>
    <t>Customer_5138</t>
  </si>
  <si>
    <t>ORD-2870</t>
  </si>
  <si>
    <t>Customer_8380</t>
  </si>
  <si>
    <t>ORD-3545</t>
  </si>
  <si>
    <t>Customer_288</t>
  </si>
  <si>
    <t>ORD-3522</t>
  </si>
  <si>
    <t>Customer_2559</t>
  </si>
  <si>
    <t>ORD-2584</t>
  </si>
  <si>
    <t>Customer_4134</t>
  </si>
  <si>
    <t>ORD-3454</t>
  </si>
  <si>
    <t>Customer_5131</t>
  </si>
  <si>
    <t>ORD-3898</t>
  </si>
  <si>
    <t>Customer_8621</t>
  </si>
  <si>
    <t>ORD-3179</t>
  </si>
  <si>
    <t>Customer_8335</t>
  </si>
  <si>
    <t>ORD-3632</t>
  </si>
  <si>
    <t>ORD-2071</t>
  </si>
  <si>
    <t>ORD-2903</t>
  </si>
  <si>
    <t>Customer_324</t>
  </si>
  <si>
    <t>ORD-3369</t>
  </si>
  <si>
    <t>2023/01/08</t>
  </si>
  <si>
    <t>Customer_4947</t>
  </si>
  <si>
    <t>ORD-2005</t>
  </si>
  <si>
    <t>Customer_2564</t>
  </si>
  <si>
    <t>ORD-2427</t>
  </si>
  <si>
    <t>2023/03/16</t>
  </si>
  <si>
    <t>Customer_9561</t>
  </si>
  <si>
    <t>ORD-2883</t>
  </si>
  <si>
    <t>12-24-2023</t>
  </si>
  <si>
    <t>Customer_5858</t>
  </si>
  <si>
    <t>ORD-2160</t>
  </si>
  <si>
    <t>Customer_6793</t>
  </si>
  <si>
    <t>ORD-3885</t>
  </si>
  <si>
    <t>Customer_6298</t>
  </si>
  <si>
    <t>ORD-2816</t>
  </si>
  <si>
    <t>Customer_4120</t>
  </si>
  <si>
    <t>ORD-2026</t>
  </si>
  <si>
    <t>Customer_5915</t>
  </si>
  <si>
    <t>ORD-2508</t>
  </si>
  <si>
    <t>ORD-3555</t>
  </si>
  <si>
    <t>Customer_9313</t>
  </si>
  <si>
    <t>ORD-2835</t>
  </si>
  <si>
    <t>Customer_1742</t>
  </si>
  <si>
    <t>ORD-3602</t>
  </si>
  <si>
    <t>Customer_4608</t>
  </si>
  <si>
    <t>ORD-2744</t>
  </si>
  <si>
    <t>Customer_5464</t>
  </si>
  <si>
    <t>ORD-3730</t>
  </si>
  <si>
    <t>Customer_3489</t>
  </si>
  <si>
    <t>ORD-3135</t>
  </si>
  <si>
    <t>Customer_1470</t>
  </si>
  <si>
    <t>ORD-3368</t>
  </si>
  <si>
    <t>2023/09/05</t>
  </si>
  <si>
    <t>Customer_9577</t>
  </si>
  <si>
    <t>ORD-2337</t>
  </si>
  <si>
    <t>Customer_6162</t>
  </si>
  <si>
    <t>ORD-2301</t>
  </si>
  <si>
    <t>Customer_9791</t>
  </si>
  <si>
    <t>ORD-3285</t>
  </si>
  <si>
    <t>ORD-2991</t>
  </si>
  <si>
    <t>Customer_6726</t>
  </si>
  <si>
    <t>ORD-2531</t>
  </si>
  <si>
    <t>Customer_8977</t>
  </si>
  <si>
    <t xml:space="preserve">  East Africa  </t>
  </si>
  <si>
    <t>ORD-2734</t>
  </si>
  <si>
    <t>22/04/2024</t>
  </si>
  <si>
    <t>15/05/2024</t>
  </si>
  <si>
    <t>ORD-3955</t>
  </si>
  <si>
    <t>Customer_4196</t>
  </si>
  <si>
    <t>ORD-3894</t>
  </si>
  <si>
    <t>Customer_3159</t>
  </si>
  <si>
    <t>ORD-3821</t>
  </si>
  <si>
    <t>Customer_6056</t>
  </si>
  <si>
    <t>ORD-3832</t>
  </si>
  <si>
    <t>ORD-3863</t>
  </si>
  <si>
    <t>Customer_1685</t>
  </si>
  <si>
    <t>ORD-3529</t>
  </si>
  <si>
    <t>02-04-2023</t>
  </si>
  <si>
    <t>Customer_5069</t>
  </si>
  <si>
    <t>ORD-2430</t>
  </si>
  <si>
    <t>2023-11-17</t>
  </si>
  <si>
    <t>Customer_4965</t>
  </si>
  <si>
    <t>ORD-2228</t>
  </si>
  <si>
    <t>Customer_1167</t>
  </si>
  <si>
    <t>ORD-4001</t>
  </si>
  <si>
    <t>ORD-3761</t>
  </si>
  <si>
    <t>Customer_6761</t>
  </si>
  <si>
    <t>ORD-2512</t>
  </si>
  <si>
    <t>Customer_4478</t>
  </si>
  <si>
    <t>ORD-3348</t>
  </si>
  <si>
    <t>10/12/2024</t>
  </si>
  <si>
    <t xml:space="preserve">  Customer_5681  </t>
  </si>
  <si>
    <t>ORD-2798</t>
  </si>
  <si>
    <t>Customer_3029</t>
  </si>
  <si>
    <t>ORD-3437</t>
  </si>
  <si>
    <t>Customer_187</t>
  </si>
  <si>
    <t>ORD-2351</t>
  </si>
  <si>
    <t>Customer_1161</t>
  </si>
  <si>
    <t>ORD-2384</t>
  </si>
  <si>
    <t>Customer_2839</t>
  </si>
  <si>
    <t>ORD-3973</t>
  </si>
  <si>
    <t>Customer_4684</t>
  </si>
  <si>
    <t>ORD-3642</t>
  </si>
  <si>
    <t>Customer_4535</t>
  </si>
  <si>
    <t>ORD-3164</t>
  </si>
  <si>
    <t>Customer_3946</t>
  </si>
  <si>
    <t>ORD-3806</t>
  </si>
  <si>
    <t>Customer_3153</t>
  </si>
  <si>
    <t>ORD-2933</t>
  </si>
  <si>
    <t>Customer_6867</t>
  </si>
  <si>
    <t>ORD-2075</t>
  </si>
  <si>
    <t>Customer_2422</t>
  </si>
  <si>
    <t>ORD-3282</t>
  </si>
  <si>
    <t>ORD-2595</t>
  </si>
  <si>
    <t>Customer_3792</t>
  </si>
  <si>
    <t>ORD-2112</t>
  </si>
  <si>
    <t>Customer_6466</t>
  </si>
  <si>
    <t>ORD-2152</t>
  </si>
  <si>
    <t>Customer_3066</t>
  </si>
  <si>
    <t>ORD-2268</t>
  </si>
  <si>
    <t>Customer_725</t>
  </si>
  <si>
    <t>ORD-2320</t>
  </si>
  <si>
    <t>Customer_6540</t>
  </si>
  <si>
    <t>ORD-3332</t>
  </si>
  <si>
    <t>Customer_7038</t>
  </si>
  <si>
    <t>ORD-2449</t>
  </si>
  <si>
    <t>27/01/2024</t>
  </si>
  <si>
    <t>Customer_3595</t>
  </si>
  <si>
    <t>ORD-3449</t>
  </si>
  <si>
    <t>Customer_8625</t>
  </si>
  <si>
    <t>ORD-3997</t>
  </si>
  <si>
    <t>ORD-2518</t>
  </si>
  <si>
    <t>Customer_8738</t>
  </si>
  <si>
    <t>ORD-3693</t>
  </si>
  <si>
    <t>Customer_267</t>
  </si>
  <si>
    <t>ORD-3790</t>
  </si>
  <si>
    <t>Customer_7391</t>
  </si>
  <si>
    <t>ORD-3144</t>
  </si>
  <si>
    <t>2023-02-18</t>
  </si>
  <si>
    <t>ORD-3513</t>
  </si>
  <si>
    <t>Customer_231</t>
  </si>
  <si>
    <t>ORD-3671</t>
  </si>
  <si>
    <t xml:space="preserve">  Customer_8011  </t>
  </si>
  <si>
    <t>ORD-3797</t>
  </si>
  <si>
    <t>Customer_6065</t>
  </si>
  <si>
    <t>ORD-2847</t>
  </si>
  <si>
    <t xml:space="preserve">   Health &amp; Beauty   </t>
  </si>
  <si>
    <t>ORD-3187</t>
  </si>
  <si>
    <t>2023/11/22</t>
  </si>
  <si>
    <t>Customer_1181</t>
  </si>
  <si>
    <t>ORD-3431</t>
  </si>
  <si>
    <t>Customer_677</t>
  </si>
  <si>
    <t>ORD-2825</t>
  </si>
  <si>
    <t>Customer_1743</t>
  </si>
  <si>
    <t>ORD-3929</t>
  </si>
  <si>
    <t>PrimeGoods</t>
  </si>
  <si>
    <t>ORD-2438</t>
  </si>
  <si>
    <t>Customer_5387</t>
  </si>
  <si>
    <t>ORD-3143</t>
  </si>
  <si>
    <t>08/09/2023</t>
  </si>
  <si>
    <t>Customer_4260</t>
  </si>
  <si>
    <t>ORD-2435</t>
  </si>
  <si>
    <t>Customer_9731</t>
  </si>
  <si>
    <t>ORD-3414</t>
  </si>
  <si>
    <t>ORD-2685</t>
  </si>
  <si>
    <t>07-24-2023</t>
  </si>
  <si>
    <t>2023/12/26</t>
  </si>
  <si>
    <t>Customer_7289</t>
  </si>
  <si>
    <t>ORD-3358</t>
  </si>
  <si>
    <t>ORD-2625</t>
  </si>
  <si>
    <t>Customer_8421</t>
  </si>
  <si>
    <t>ORD-3165</t>
  </si>
  <si>
    <t>Customer_5200</t>
  </si>
  <si>
    <t>ORD-2576</t>
  </si>
  <si>
    <t>Customer_6222</t>
  </si>
  <si>
    <t>ORD-2890</t>
  </si>
  <si>
    <t>Customer_222</t>
  </si>
  <si>
    <t>ORD-2568</t>
  </si>
  <si>
    <t>Customer_6683</t>
  </si>
  <si>
    <t>ORD-2846</t>
  </si>
  <si>
    <t>Customer_6724</t>
  </si>
  <si>
    <t>ORD-4000</t>
  </si>
  <si>
    <t>Customer_6374</t>
  </si>
  <si>
    <t>ORD-3002</t>
  </si>
  <si>
    <t>Customer_9129</t>
  </si>
  <si>
    <t>ORD-3142</t>
  </si>
  <si>
    <t>Customer_1780</t>
  </si>
  <si>
    <t>ORD-2737</t>
  </si>
  <si>
    <t>2023/12/25</t>
  </si>
  <si>
    <t>Customer_4270</t>
  </si>
  <si>
    <t>ORD-2820</t>
  </si>
  <si>
    <t>Customer_2713</t>
  </si>
  <si>
    <t>ORD-2975</t>
  </si>
  <si>
    <t>Customer_7662</t>
  </si>
  <si>
    <t>ORD-3982</t>
  </si>
  <si>
    <t>Customer_3669</t>
  </si>
  <si>
    <t>ORD-3224</t>
  </si>
  <si>
    <t>Customer_7631</t>
  </si>
  <si>
    <t>ORD-3835</t>
  </si>
  <si>
    <t>Customer_7561</t>
  </si>
  <si>
    <t>ORD-2746</t>
  </si>
  <si>
    <t>Customer_877</t>
  </si>
  <si>
    <t>ORD-2959</t>
  </si>
  <si>
    <t>ORD-3175</t>
  </si>
  <si>
    <t>ORD-3634</t>
  </si>
  <si>
    <t>Customer_4674</t>
  </si>
  <si>
    <t>ORD-3016</t>
  </si>
  <si>
    <t>15/08/2024</t>
  </si>
  <si>
    <t>Customer_2151</t>
  </si>
  <si>
    <t>ORD-2748</t>
  </si>
  <si>
    <t>ORD-3769</t>
  </si>
  <si>
    <t>Customer_1454</t>
  </si>
  <si>
    <t>ORD-2867</t>
  </si>
  <si>
    <t>Customer_1956</t>
  </si>
  <si>
    <t>ORD-2845</t>
  </si>
  <si>
    <t>Customer_2101</t>
  </si>
  <si>
    <t>ORD-2674</t>
  </si>
  <si>
    <t>Customer_6497</t>
  </si>
  <si>
    <t>ORD-2785</t>
  </si>
  <si>
    <t>2023-01-05</t>
  </si>
  <si>
    <t>Customer_7737</t>
  </si>
  <si>
    <t>ORD-3825</t>
  </si>
  <si>
    <t>Customer_807</t>
  </si>
  <si>
    <t>ORD-3442</t>
  </si>
  <si>
    <t>Customer_7837</t>
  </si>
  <si>
    <t>ORD-3411</t>
  </si>
  <si>
    <t>Customer_7186</t>
  </si>
  <si>
    <t>SOUTH AFRICA</t>
  </si>
  <si>
    <t>ORD-2701</t>
  </si>
  <si>
    <t>19/02/2024</t>
  </si>
  <si>
    <t>Customer_9469</t>
  </si>
  <si>
    <t xml:space="preserve">  QuickShip Co  </t>
  </si>
  <si>
    <t>ORD-3546</t>
  </si>
  <si>
    <t>05/09/2024</t>
  </si>
  <si>
    <t>07/10/2024</t>
  </si>
  <si>
    <t>Customer_9049</t>
  </si>
  <si>
    <t>ORD-2824</t>
  </si>
  <si>
    <t>Customer_2350</t>
  </si>
  <si>
    <t>ORD-3957</t>
  </si>
  <si>
    <t>Customer_5025</t>
  </si>
  <si>
    <t>ORD-2084</t>
  </si>
  <si>
    <t>Customer_7260</t>
  </si>
  <si>
    <t>ORD-3677</t>
  </si>
  <si>
    <t>Customer_3568</t>
  </si>
  <si>
    <t>ORD-2481</t>
  </si>
  <si>
    <t>Customer_7958</t>
  </si>
  <si>
    <t>ORD-3645</t>
  </si>
  <si>
    <t>Customer_3121</t>
  </si>
  <si>
    <t>ORD-2623</t>
  </si>
  <si>
    <t>2023/09/06</t>
  </si>
  <si>
    <t>Customer_6713</t>
  </si>
  <si>
    <t>ORD-2706</t>
  </si>
  <si>
    <t>Customer_661</t>
  </si>
  <si>
    <t>ORD-3234</t>
  </si>
  <si>
    <t>Customer_4015</t>
  </si>
  <si>
    <t>ORD-2946</t>
  </si>
  <si>
    <t>ORD-3728</t>
  </si>
  <si>
    <t>Customer_7891</t>
  </si>
  <si>
    <t>ORD-3846</t>
  </si>
  <si>
    <t>Customer_3026</t>
  </si>
  <si>
    <t>ORD-3303</t>
  </si>
  <si>
    <t>Customer_9874</t>
  </si>
  <si>
    <t>ORD-3166</t>
  </si>
  <si>
    <t>06/12/2024</t>
  </si>
  <si>
    <t>Customer_1394</t>
  </si>
  <si>
    <t>2023/06/26</t>
  </si>
  <si>
    <t>ORD-3051</t>
  </si>
  <si>
    <t>06/06/2024</t>
  </si>
  <si>
    <t>ORD-3342</t>
  </si>
  <si>
    <t>ORD-2280</t>
  </si>
  <si>
    <t>Customer_9669</t>
  </si>
  <si>
    <t>ORD-2611</t>
  </si>
  <si>
    <t>Customer_7622</t>
  </si>
  <si>
    <t>ORD-3544</t>
  </si>
  <si>
    <t>ORD-2315</t>
  </si>
  <si>
    <t>Customer_8398</t>
  </si>
  <si>
    <t>ORD-2243</t>
  </si>
  <si>
    <t>Customer_9471</t>
  </si>
  <si>
    <t>ORD-3435</t>
  </si>
  <si>
    <t>09/11/2024</t>
  </si>
  <si>
    <t>Customer_4880</t>
  </si>
  <si>
    <t>ORD-2078</t>
  </si>
  <si>
    <t>Customer_7842</t>
  </si>
  <si>
    <t>ORD-2457</t>
  </si>
  <si>
    <t>Customer_5693</t>
  </si>
  <si>
    <t>ORD-2119</t>
  </si>
  <si>
    <t>16/10/2024</t>
  </si>
  <si>
    <t>Customer_532</t>
  </si>
  <si>
    <t>ORD-2024</t>
  </si>
  <si>
    <t>03/09/2024</t>
  </si>
  <si>
    <t>Customer_4058</t>
  </si>
  <si>
    <t>ORD-2570</t>
  </si>
  <si>
    <t>Customer_1686</t>
  </si>
  <si>
    <t>ORD-2260</t>
  </si>
  <si>
    <t>Customer_2997</t>
  </si>
  <si>
    <t>ORD-3698</t>
  </si>
  <si>
    <t>18/03/2024</t>
  </si>
  <si>
    <t>Customer_8892</t>
  </si>
  <si>
    <t>ORD-3510</t>
  </si>
  <si>
    <t>24/02/2024</t>
  </si>
  <si>
    <t>Customer_3801</t>
  </si>
  <si>
    <t>ORD-3447</t>
  </si>
  <si>
    <t>ORD-2032</t>
  </si>
  <si>
    <t>Customer_5175</t>
  </si>
  <si>
    <t>ORD-2967</t>
  </si>
  <si>
    <t>Customer_299</t>
  </si>
  <si>
    <t>ORD-3360</t>
  </si>
  <si>
    <t>Customer_105</t>
  </si>
  <si>
    <t>ORD-2717</t>
  </si>
  <si>
    <t>ORD-3178</t>
  </si>
  <si>
    <t>08-28-2023</t>
  </si>
  <si>
    <t>Customer_8760</t>
  </si>
  <si>
    <t>ORD-3647</t>
  </si>
  <si>
    <t>Customer_3038</t>
  </si>
  <si>
    <t>ORD-2630</t>
  </si>
  <si>
    <t>Customer_9107</t>
  </si>
  <si>
    <t>ORD-2046</t>
  </si>
  <si>
    <t>Customer_9222</t>
  </si>
  <si>
    <t>ORD-2330</t>
  </si>
  <si>
    <t>Customer_1783</t>
  </si>
  <si>
    <t>ORD-2813</t>
  </si>
  <si>
    <t>Customer_6343</t>
  </si>
  <si>
    <t>ORD-2606</t>
  </si>
  <si>
    <t>11/09/2024</t>
  </si>
  <si>
    <t>Customer_2025</t>
  </si>
  <si>
    <t>ORD-2253</t>
  </si>
  <si>
    <t>Customer_5831</t>
  </si>
  <si>
    <t>ORD-2434</t>
  </si>
  <si>
    <t>Customer_5445</t>
  </si>
  <si>
    <t>ORD-2787</t>
  </si>
  <si>
    <t>Customer_4209</t>
  </si>
  <si>
    <t>ORD-2754</t>
  </si>
  <si>
    <t>Customer_7886</t>
  </si>
  <si>
    <t>ORD-3930</t>
  </si>
  <si>
    <t>Customer_2571</t>
  </si>
  <si>
    <t xml:space="preserve">  delayed  </t>
  </si>
  <si>
    <t>ORD-2726</t>
  </si>
  <si>
    <t>ORD-3726</t>
  </si>
  <si>
    <t>Customer_332</t>
  </si>
  <si>
    <t>ORD-2862</t>
  </si>
  <si>
    <t>ORD-2682</t>
  </si>
  <si>
    <t>Customer_1874</t>
  </si>
  <si>
    <t>ORD-2345</t>
  </si>
  <si>
    <t>Customer_1854</t>
  </si>
  <si>
    <t>ORD-2442</t>
  </si>
  <si>
    <t>Customer_9033</t>
  </si>
  <si>
    <t>ORD-2949</t>
  </si>
  <si>
    <t>Customer_4024</t>
  </si>
  <si>
    <t>ORD-2004</t>
  </si>
  <si>
    <t>ORD-3857</t>
  </si>
  <si>
    <t>Customer_7302</t>
  </si>
  <si>
    <t>ORD-2974</t>
  </si>
  <si>
    <t>ORD-2752</t>
  </si>
  <si>
    <t>Customer_3771</t>
  </si>
  <si>
    <t>ORD-3953</t>
  </si>
  <si>
    <t>ORD-2049</t>
  </si>
  <si>
    <t>Customer_3767</t>
  </si>
  <si>
    <t>ORD-2420</t>
  </si>
  <si>
    <t>Customer_9150</t>
  </si>
  <si>
    <t>ORD-2767</t>
  </si>
  <si>
    <t>Customer_7173</t>
  </si>
  <si>
    <t>ORD-2063</t>
  </si>
  <si>
    <t>Customer_3044</t>
  </si>
  <si>
    <t>ORD-3219</t>
  </si>
  <si>
    <t>Customer_9063</t>
  </si>
  <si>
    <t>ORD-2899</t>
  </si>
  <si>
    <t>Customer_7318</t>
  </si>
  <si>
    <t>ORD-2528</t>
  </si>
  <si>
    <t>Customer_9381</t>
  </si>
  <si>
    <t>ORD-4005</t>
  </si>
  <si>
    <t>18/10/2024</t>
  </si>
  <si>
    <t>Customer_7643</t>
  </si>
  <si>
    <t>ORD-2535</t>
  </si>
  <si>
    <t>Customer_8534</t>
  </si>
  <si>
    <t>ORD-2290</t>
  </si>
  <si>
    <t>04/08/2024</t>
  </si>
  <si>
    <t>Customer_889</t>
  </si>
  <si>
    <t>ORD-2530</t>
  </si>
  <si>
    <t>Customer_8628</t>
  </si>
  <si>
    <t>ORD-2505</t>
  </si>
  <si>
    <t xml:space="preserve">  Noodles Pack  </t>
  </si>
  <si>
    <t>ORD-2947</t>
  </si>
  <si>
    <t>2023-09-03</t>
  </si>
  <si>
    <t>ORD-2770</t>
  </si>
  <si>
    <t>Customer_4549</t>
  </si>
  <si>
    <t>ORD-2099</t>
  </si>
  <si>
    <t>Customer_896</t>
  </si>
  <si>
    <t>ORD-3916</t>
  </si>
  <si>
    <t>ORD-2200</t>
  </si>
  <si>
    <t>Customer_6660</t>
  </si>
  <si>
    <t>ORD-3306</t>
  </si>
  <si>
    <t>Customer_8031</t>
  </si>
  <si>
    <t>ORD-2961</t>
  </si>
  <si>
    <t>Customer_1476</t>
  </si>
  <si>
    <t>ORD-3985</t>
  </si>
  <si>
    <t>10/06/2024</t>
  </si>
  <si>
    <t xml:space="preserve">   Customer_3485   </t>
  </si>
  <si>
    <t>ORD-3772</t>
  </si>
  <si>
    <t>Customer_4996</t>
  </si>
  <si>
    <t>ORD-2859</t>
  </si>
  <si>
    <t>Customer_650</t>
  </si>
  <si>
    <t>ORD-2676</t>
  </si>
  <si>
    <t>Customer_4312</t>
  </si>
  <si>
    <t>ORD-2848</t>
  </si>
  <si>
    <t>Customer_3123</t>
  </si>
  <si>
    <t>ORD-2677</t>
  </si>
  <si>
    <t>Customer_1059</t>
  </si>
  <si>
    <t>ORD-2139</t>
  </si>
  <si>
    <t>Customer_2348</t>
  </si>
  <si>
    <t xml:space="preserve">   Air Compressor   </t>
  </si>
  <si>
    <t>ORD-3490</t>
  </si>
  <si>
    <t>Customer_3122</t>
  </si>
  <si>
    <t>ORD-3466</t>
  </si>
  <si>
    <t>11/08/2024</t>
  </si>
  <si>
    <t>Customer_1251</t>
  </si>
  <si>
    <t>ORD-3848</t>
  </si>
  <si>
    <t>Customer_2523</t>
  </si>
  <si>
    <t>ORD-3937</t>
  </si>
  <si>
    <t>Customer_4197</t>
  </si>
  <si>
    <t>ORD-3161</t>
  </si>
  <si>
    <t>Customer_4122</t>
  </si>
  <si>
    <t>ORD-2182</t>
  </si>
  <si>
    <t>Customer_5293</t>
  </si>
  <si>
    <t>ORD-3568</t>
  </si>
  <si>
    <t>Customer_2267</t>
  </si>
  <si>
    <t xml:space="preserve">   Botswana   </t>
  </si>
  <si>
    <t>ORD-2217</t>
  </si>
  <si>
    <t>Customer_1195</t>
  </si>
  <si>
    <t>ORD-3109</t>
  </si>
  <si>
    <t>ORD-2942</t>
  </si>
  <si>
    <t>Customer_6412</t>
  </si>
  <si>
    <t>ORD-2655</t>
  </si>
  <si>
    <t>Customer_6961</t>
  </si>
  <si>
    <t>ORD-2958</t>
  </si>
  <si>
    <t>Customer_6879</t>
  </si>
  <si>
    <t>ORD-3534</t>
  </si>
  <si>
    <t>Customer_5653</t>
  </si>
  <si>
    <t>ORD-3962</t>
  </si>
  <si>
    <t>Customer_2799</t>
  </si>
  <si>
    <t>ORD-2117</t>
  </si>
  <si>
    <t>Customer_947</t>
  </si>
  <si>
    <t>ORD-2050</t>
  </si>
  <si>
    <t>ORD-3463</t>
  </si>
  <si>
    <t>24/04/2024</t>
  </si>
  <si>
    <t>Customer_4279</t>
  </si>
  <si>
    <t>ORD-3083</t>
  </si>
  <si>
    <t>Customer_9137</t>
  </si>
  <si>
    <t>ORD-3485</t>
  </si>
  <si>
    <t>16/01/2024</t>
  </si>
  <si>
    <t>ORD-2347</t>
  </si>
  <si>
    <t>Customer_5639</t>
  </si>
  <si>
    <t>ORD-2256</t>
  </si>
  <si>
    <t>07/01/2024</t>
  </si>
  <si>
    <t>Customer_1748</t>
  </si>
  <si>
    <t>ORD-2336</t>
  </si>
  <si>
    <t>ORD-2849</t>
  </si>
  <si>
    <t>Customer_4569</t>
  </si>
  <si>
    <t>ORD-2410</t>
  </si>
  <si>
    <t>Customer_8357</t>
  </si>
  <si>
    <t>ORD-2857</t>
  </si>
  <si>
    <t>Customer_1174</t>
  </si>
  <si>
    <t>ORD-3470</t>
  </si>
  <si>
    <t>2023-08-10</t>
  </si>
  <si>
    <t>Customer_2600</t>
  </si>
  <si>
    <t>ORD-3727</t>
  </si>
  <si>
    <t>Customer_6872</t>
  </si>
  <si>
    <t>ORD-3013</t>
  </si>
  <si>
    <t>Customer_9787</t>
  </si>
  <si>
    <t>ORD-3803</t>
  </si>
  <si>
    <t>Customer_6510</t>
  </si>
  <si>
    <t>ORD-3327</t>
  </si>
  <si>
    <t>Customer_3374</t>
  </si>
  <si>
    <t>ORD-3281</t>
  </si>
  <si>
    <t>Customer_4514</t>
  </si>
  <si>
    <t>ORD-3785</t>
  </si>
  <si>
    <t>Customer_745</t>
  </si>
  <si>
    <t>ORD-2233</t>
  </si>
  <si>
    <t>Customer_5382</t>
  </si>
  <si>
    <t>ORD-2873</t>
  </si>
  <si>
    <t>Customer_4625</t>
  </si>
  <si>
    <t>ORD-2497</t>
  </si>
  <si>
    <t>Customer_3158</t>
  </si>
  <si>
    <t>ORD-3371</t>
  </si>
  <si>
    <t>Customer_7956</t>
  </si>
  <si>
    <t>12-21-2023</t>
  </si>
  <si>
    <t>ORD-3446</t>
  </si>
  <si>
    <t>Customer_5550</t>
  </si>
  <si>
    <t>ORD-3912</t>
  </si>
  <si>
    <t>Customer_9206</t>
  </si>
  <si>
    <t>ORD-3148</t>
  </si>
  <si>
    <t>24/03/2024</t>
  </si>
  <si>
    <t>Customer_2385</t>
  </si>
  <si>
    <t>ORD-2153</t>
  </si>
  <si>
    <t>EAST AFRICA</t>
  </si>
  <si>
    <t>ORD-2199</t>
  </si>
  <si>
    <t>ORD-2793</t>
  </si>
  <si>
    <t>2023/06/24</t>
  </si>
  <si>
    <t>Customer_9142</t>
  </si>
  <si>
    <t>ORD-3328</t>
  </si>
  <si>
    <t>Customer_4301</t>
  </si>
  <si>
    <t>ORD-3667</t>
  </si>
  <si>
    <t>Customer_9230</t>
  </si>
  <si>
    <t>ORD-2286</t>
  </si>
  <si>
    <t>2023-09-16</t>
  </si>
  <si>
    <t>Customer_9782</t>
  </si>
  <si>
    <t>ORD-2574</t>
  </si>
  <si>
    <t>ORD-3571</t>
  </si>
  <si>
    <t>Customer_4331</t>
  </si>
  <si>
    <t>ORD-3507</t>
  </si>
  <si>
    <t>ORD-2563</t>
  </si>
  <si>
    <t>Customer_549</t>
  </si>
  <si>
    <t>ORD-3196</t>
  </si>
  <si>
    <t>Customer_4715</t>
  </si>
  <si>
    <t xml:space="preserve">   Uganda   </t>
  </si>
  <si>
    <t>ORD-3998</t>
  </si>
  <si>
    <t>Customer_6670</t>
  </si>
  <si>
    <t>ORD-3162</t>
  </si>
  <si>
    <t>Customer_2424</t>
  </si>
  <si>
    <t>ORD-2561</t>
  </si>
  <si>
    <t>Customer_9014</t>
  </si>
  <si>
    <t>ORD-3458</t>
  </si>
  <si>
    <t>2023-08-11</t>
  </si>
  <si>
    <t>04/02/2024</t>
  </si>
  <si>
    <t>Customer_5985</t>
  </si>
  <si>
    <t>ORD-2909</t>
  </si>
  <si>
    <t>Customer_7589</t>
  </si>
  <si>
    <t>ORD-3169</t>
  </si>
  <si>
    <t>ORD-3173</t>
  </si>
  <si>
    <t>Customer_8914</t>
  </si>
  <si>
    <t>ORD-3134</t>
  </si>
  <si>
    <t>ORD-3147</t>
  </si>
  <si>
    <t>ORD-2012</t>
  </si>
  <si>
    <t>12/05/2024</t>
  </si>
  <si>
    <t>Customer_9733</t>
  </si>
  <si>
    <t>ORD-2878</t>
  </si>
  <si>
    <t>16/02/2024</t>
  </si>
  <si>
    <t>ORD-3377</t>
  </si>
  <si>
    <t>ORD-3240</t>
  </si>
  <si>
    <t>Customer_2599</t>
  </si>
  <si>
    <t>ORD-3291</t>
  </si>
  <si>
    <t>Customer_892</t>
  </si>
  <si>
    <t>ORD-3977</t>
  </si>
  <si>
    <t>Customer_4974</t>
  </si>
  <si>
    <t>ORD-2450</t>
  </si>
  <si>
    <t>Customer_9953</t>
  </si>
  <si>
    <t>ORD-2331</t>
  </si>
  <si>
    <t>Customer_4517</t>
  </si>
  <si>
    <t>ORD-2390</t>
  </si>
  <si>
    <t>ORD-2832</t>
  </si>
  <si>
    <t>Customer_847</t>
  </si>
  <si>
    <t>ORD-3533</t>
  </si>
  <si>
    <t>Customer_6865</t>
  </si>
  <si>
    <t>ORD-2885</t>
  </si>
  <si>
    <t>Customer_8855</t>
  </si>
  <si>
    <t>ORD-2386</t>
  </si>
  <si>
    <t>Customer_4240</t>
  </si>
  <si>
    <t>ORD-3375</t>
  </si>
  <si>
    <t>Customer_9607</t>
  </si>
  <si>
    <t>ORD-2788</t>
  </si>
  <si>
    <t>Customer_3927</t>
  </si>
  <si>
    <t>ORD-2559</t>
  </si>
  <si>
    <t>Customer_8811</t>
  </si>
  <si>
    <t>ORD-3066</t>
  </si>
  <si>
    <t>Customer_4707</t>
  </si>
  <si>
    <t xml:space="preserve">  Lagos WH-1  </t>
  </si>
  <si>
    <t>ORD-2229</t>
  </si>
  <si>
    <t>Customer_9166</t>
  </si>
  <si>
    <t>ORD-3906</t>
  </si>
  <si>
    <t>Customer_5068</t>
  </si>
  <si>
    <t>ORD-3493</t>
  </si>
  <si>
    <t>ORD-2739</t>
  </si>
  <si>
    <t>Customer_8519</t>
  </si>
  <si>
    <t>ORD-2819</t>
  </si>
  <si>
    <t>Customer_9377</t>
  </si>
  <si>
    <t>ORD-2680</t>
  </si>
  <si>
    <t>Customer_3199</t>
  </si>
  <si>
    <t>ORD-3714</t>
  </si>
  <si>
    <t>Customer_9055</t>
  </si>
  <si>
    <t>ORD-3843</t>
  </si>
  <si>
    <t>Customer_9788</t>
  </si>
  <si>
    <t>ORD-2037</t>
  </si>
  <si>
    <t>Customer_3519</t>
  </si>
  <si>
    <t>ORD-2639</t>
  </si>
  <si>
    <t>Customer_8178</t>
  </si>
  <si>
    <t>ORD-2586</t>
  </si>
  <si>
    <t>Customer_5056</t>
  </si>
  <si>
    <t>ORD-3030</t>
  </si>
  <si>
    <t>Customer_1287</t>
  </si>
  <si>
    <t>ORD-2245</t>
  </si>
  <si>
    <t>Customer_2477</t>
  </si>
  <si>
    <t>ORD-2945</t>
  </si>
  <si>
    <t>Customer_6786</t>
  </si>
  <si>
    <t>ORD-3673</t>
  </si>
  <si>
    <t>Customer_9031</t>
  </si>
  <si>
    <t>ORD-2669</t>
  </si>
  <si>
    <t>Customer_5893</t>
  </si>
  <si>
    <t>ORD-2791</t>
  </si>
  <si>
    <t>Customer_7504</t>
  </si>
  <si>
    <t>ORD-2387</t>
  </si>
  <si>
    <t>Customer_2765</t>
  </si>
  <si>
    <t>ORD-3412</t>
  </si>
  <si>
    <t>Customer_7746</t>
  </si>
  <si>
    <t>ORD-3783</t>
  </si>
  <si>
    <t>Customer_3288</t>
  </si>
  <si>
    <t>ORD-3245</t>
  </si>
  <si>
    <t>Customer_7072</t>
  </si>
  <si>
    <t>ORD-3994</t>
  </si>
  <si>
    <t>Customer_8875</t>
  </si>
  <si>
    <t>ORD-4002</t>
  </si>
  <si>
    <t>ORD-3194</t>
  </si>
  <si>
    <t>Customer_5875</t>
  </si>
  <si>
    <t>ORD-2249</t>
  </si>
  <si>
    <t>ORD-2517</t>
  </si>
  <si>
    <t>Customer_8443</t>
  </si>
  <si>
    <t>ORD-3056</t>
  </si>
  <si>
    <t>Customer_9574</t>
  </si>
  <si>
    <t>ORD-3879</t>
  </si>
  <si>
    <t>Customer_1367</t>
  </si>
  <si>
    <t>ORD-3705</t>
  </si>
  <si>
    <t>Customer_8125</t>
  </si>
  <si>
    <t>ORD-2818</t>
  </si>
  <si>
    <t>Customer_8639</t>
  </si>
  <si>
    <t>ORD-3809</t>
  </si>
  <si>
    <t>2023/11/02</t>
  </si>
  <si>
    <t>Customer_9227</t>
  </si>
  <si>
    <t>ORD-3086</t>
  </si>
  <si>
    <t>Customer_7642</t>
  </si>
  <si>
    <t>ORD-2195</t>
  </si>
  <si>
    <t>ORD-2223</t>
  </si>
  <si>
    <t>ORD-2652</t>
  </si>
  <si>
    <t>ORD-2074</t>
  </si>
  <si>
    <t>Customer_8367</t>
  </si>
  <si>
    <t>ORD-2792</t>
  </si>
  <si>
    <t>2023/11/10</t>
  </si>
  <si>
    <t>Customer_4257</t>
  </si>
  <si>
    <t>ORD-2196</t>
  </si>
  <si>
    <t>Customer_310</t>
  </si>
  <si>
    <t>ORD-2294</t>
  </si>
  <si>
    <t>ORD-2665</t>
  </si>
  <si>
    <t>Customer_3226</t>
  </si>
  <si>
    <t>ORD-3719</t>
  </si>
  <si>
    <t>Customer_404</t>
  </si>
  <si>
    <t>ORD-2458</t>
  </si>
  <si>
    <t>Customer_4906</t>
  </si>
  <si>
    <t>ORD-2413</t>
  </si>
  <si>
    <t>Customer_4982</t>
  </si>
  <si>
    <t>ORD-3272</t>
  </si>
  <si>
    <t>Customer_3082</t>
  </si>
  <si>
    <t>LIBYA</t>
  </si>
  <si>
    <t>ORD-2580</t>
  </si>
  <si>
    <t>ORD-2166</t>
  </si>
  <si>
    <t>Customer_9932</t>
  </si>
  <si>
    <t>ORD-3263</t>
  </si>
  <si>
    <t>ORD-3444</t>
  </si>
  <si>
    <t>ORD-2609</t>
  </si>
  <si>
    <t>19/11/2024</t>
  </si>
  <si>
    <t>05/06/2024</t>
  </si>
  <si>
    <t>Customer_1861</t>
  </si>
  <si>
    <t>ORD-3922</t>
  </si>
  <si>
    <t>11/03/2024</t>
  </si>
  <si>
    <t>Customer_7048</t>
  </si>
  <si>
    <t>ORD-2401</t>
  </si>
  <si>
    <t>Customer_3135</t>
  </si>
  <si>
    <t>ORD-2220</t>
  </si>
  <si>
    <t>Customer_5521</t>
  </si>
  <si>
    <t>ORD-3753</t>
  </si>
  <si>
    <t>ORD-3313</t>
  </si>
  <si>
    <t>Customer_8981</t>
  </si>
  <si>
    <t>ORD-2619</t>
  </si>
  <si>
    <t>Customer_6917</t>
  </si>
  <si>
    <t>ORD-3477</t>
  </si>
  <si>
    <t>Customer_3281</t>
  </si>
  <si>
    <t>ORD-3478</t>
  </si>
  <si>
    <t>Customer_479</t>
  </si>
  <si>
    <t>ORD-3246</t>
  </si>
  <si>
    <t>ORD-2553</t>
  </si>
  <si>
    <t>ORD-2663</t>
  </si>
  <si>
    <t>Customer_3658</t>
  </si>
  <si>
    <t>ORD-2872</t>
  </si>
  <si>
    <t>Customer_1901</t>
  </si>
  <si>
    <t>ORD-3697</t>
  </si>
  <si>
    <t>Customer_4046</t>
  </si>
  <si>
    <t>ORD-3592</t>
  </si>
  <si>
    <t>Customer_7938</t>
  </si>
  <si>
    <t>ORD-2356</t>
  </si>
  <si>
    <t>Customer_3579</t>
  </si>
  <si>
    <t>ORD-2966</t>
  </si>
  <si>
    <t>11/01/2024</t>
  </si>
  <si>
    <t>Customer_5733</t>
  </si>
  <si>
    <t>ORD-2713</t>
  </si>
  <si>
    <t>ORD-2305</t>
  </si>
  <si>
    <t>ORD-2822</t>
  </si>
  <si>
    <t>ORD-3765</t>
  </si>
  <si>
    <t>Customer_3359</t>
  </si>
  <si>
    <t>ORD-3249</t>
  </si>
  <si>
    <t>Customer_3591</t>
  </si>
  <si>
    <t>ORD-2486</t>
  </si>
  <si>
    <t>Customer_4481</t>
  </si>
  <si>
    <t>ORD-3550</t>
  </si>
  <si>
    <t>Customer_9215</t>
  </si>
  <si>
    <t>ORD-2344</t>
  </si>
  <si>
    <t>Customer_6302</t>
  </si>
  <si>
    <t>ORD-2542</t>
  </si>
  <si>
    <t>2023/11/12</t>
  </si>
  <si>
    <t>ORD-3201</t>
  </si>
  <si>
    <t>2023-06-06</t>
  </si>
  <si>
    <t>Customer_6853</t>
  </si>
  <si>
    <t>ORD-3010</t>
  </si>
  <si>
    <t>Customer_7031</t>
  </si>
  <si>
    <t>ORD-2866</t>
  </si>
  <si>
    <t>Customer_7572</t>
  </si>
  <si>
    <t>ORD-3357</t>
  </si>
  <si>
    <t>ORD-2150</t>
  </si>
  <si>
    <t>11-17-2023</t>
  </si>
  <si>
    <t>Customer_6426</t>
  </si>
  <si>
    <t>ORD-3608</t>
  </si>
  <si>
    <t>Customer_4536</t>
  </si>
  <si>
    <t>ORD-2711</t>
  </si>
  <si>
    <t>Customer_3124</t>
  </si>
  <si>
    <t>ORD-3112</t>
  </si>
  <si>
    <t>24/07/2024</t>
  </si>
  <si>
    <t>2023/02/18</t>
  </si>
  <si>
    <t>Customer_5770</t>
  </si>
  <si>
    <t>ORD-3193</t>
  </si>
  <si>
    <t>2023-08-13</t>
  </si>
  <si>
    <t>Customer_1297</t>
  </si>
  <si>
    <t>ORD-2241</t>
  </si>
  <si>
    <t>Customer_1569</t>
  </si>
  <si>
    <t>ORD-3812</t>
  </si>
  <si>
    <t>Customer_8067</t>
  </si>
  <si>
    <t>ORD-3738</t>
  </si>
  <si>
    <t>Customer_5256</t>
  </si>
  <si>
    <t>ORD-3737</t>
  </si>
  <si>
    <t>Customer_9037</t>
  </si>
  <si>
    <t>ORD-3141</t>
  </si>
  <si>
    <t>Customer_3562</t>
  </si>
  <si>
    <t>ORD-2513</t>
  </si>
  <si>
    <t>Customer_6306</t>
  </si>
  <si>
    <t>ORD-3280</t>
  </si>
  <si>
    <t>Customer_3720</t>
  </si>
  <si>
    <t>ORD-2252</t>
  </si>
  <si>
    <t>Customer_3097</t>
  </si>
  <si>
    <t>ORD-3629</t>
  </si>
  <si>
    <t>ORD-2278</t>
  </si>
  <si>
    <t>Customer_1575</t>
  </si>
  <si>
    <t>ORD-3782</t>
  </si>
  <si>
    <t>Customer_3073</t>
  </si>
  <si>
    <t>ORD-3070</t>
  </si>
  <si>
    <t>Customer_135</t>
  </si>
  <si>
    <t>ORD-2894</t>
  </si>
  <si>
    <t>ORD-2865</t>
  </si>
  <si>
    <t>Customer_2670</t>
  </si>
  <si>
    <t>ORD-2459</t>
  </si>
  <si>
    <t>Customer_7379</t>
  </si>
  <si>
    <t>ORD-3909</t>
  </si>
  <si>
    <t>Customer_9207</t>
  </si>
  <si>
    <t>ORD-3344</t>
  </si>
  <si>
    <t>Customer_1688</t>
  </si>
  <si>
    <t>ORD-2952</t>
  </si>
  <si>
    <t>Customer_5966</t>
  </si>
  <si>
    <t>ORD-3374</t>
  </si>
  <si>
    <t>Customer_6809</t>
  </si>
  <si>
    <t>ORD-2511</t>
  </si>
  <si>
    <t>Customer_4061</t>
  </si>
  <si>
    <t>ORD-3839</t>
  </si>
  <si>
    <t>Customer_5852</t>
  </si>
  <si>
    <t>ORD-2267</t>
  </si>
  <si>
    <t>Customer_7201</t>
  </si>
  <si>
    <t>ORD-2295</t>
  </si>
  <si>
    <t>Customer_4089</t>
  </si>
  <si>
    <t>ORD-3637</t>
  </si>
  <si>
    <t>Customer_2723</t>
  </si>
  <si>
    <t>ORD-2277</t>
  </si>
  <si>
    <t>Customer_7000</t>
  </si>
  <si>
    <t>ORD-3617</t>
  </si>
  <si>
    <t>Customer_3546</t>
  </si>
  <si>
    <t>ORD-3935</t>
  </si>
  <si>
    <t>Customer_3170</t>
  </si>
  <si>
    <t>southern africa</t>
  </si>
  <si>
    <t>ORD-2123</t>
  </si>
  <si>
    <t>Customer_5950</t>
  </si>
  <si>
    <t xml:space="preserve">   GlobalTrade NG   </t>
  </si>
  <si>
    <t>ORD-3614</t>
  </si>
  <si>
    <t>Customer_8589</t>
  </si>
  <si>
    <t>ORD-2861</t>
  </si>
  <si>
    <t>Customer_9300</t>
  </si>
  <si>
    <t>ORD-3818</t>
  </si>
  <si>
    <t>Customer_8231</t>
  </si>
  <si>
    <t>ORD-2918</t>
  </si>
  <si>
    <t>Customer_2468</t>
  </si>
  <si>
    <t>ORD-3018</t>
  </si>
  <si>
    <t>Customer_9928</t>
  </si>
  <si>
    <t>ORD-3029</t>
  </si>
  <si>
    <t>Customer_9138</t>
  </si>
  <si>
    <t>ORD-2321</t>
  </si>
  <si>
    <t>Customer_7250</t>
  </si>
  <si>
    <t>ORD-2034</t>
  </si>
  <si>
    <t>ORD-2218</t>
  </si>
  <si>
    <t>Customer_3939</t>
  </si>
  <si>
    <t>ORD-2722</t>
  </si>
  <si>
    <t>Customer_7699</t>
  </si>
  <si>
    <t>ORD-3007</t>
  </si>
  <si>
    <t>ORD-2928</t>
  </si>
  <si>
    <t>Customer_2075</t>
  </si>
  <si>
    <t>ORD-2608</t>
  </si>
  <si>
    <t>ORD-3498</t>
  </si>
  <si>
    <t>Customer_6375</t>
  </si>
  <si>
    <t>ORD-2417</t>
  </si>
  <si>
    <t>Customer_4534</t>
  </si>
  <si>
    <t>ORD-3718</t>
  </si>
  <si>
    <t>Customer_2636</t>
  </si>
  <si>
    <t>ORD-2617</t>
  </si>
  <si>
    <t>Customer_2661</t>
  </si>
  <si>
    <t>ORD-2557</t>
  </si>
  <si>
    <t>2023-11-22</t>
  </si>
  <si>
    <t>ORD-3988</t>
  </si>
  <si>
    <t>Customer_4310</t>
  </si>
  <si>
    <t>ORD-2361</t>
  </si>
  <si>
    <t>Customer_8093</t>
  </si>
  <si>
    <t>AFROPARTS LTD</t>
  </si>
  <si>
    <t>ORD-2181</t>
  </si>
  <si>
    <t>Customer_2987</t>
  </si>
  <si>
    <t>ORD-2428</t>
  </si>
  <si>
    <t>Customer_8608</t>
  </si>
  <si>
    <t>ORD-2096</t>
  </si>
  <si>
    <t>Customer_5911</t>
  </si>
  <si>
    <t>ORD-2868</t>
  </si>
  <si>
    <t xml:space="preserve">  Côte d'Ivoire  </t>
  </si>
  <si>
    <t>ORD-3840</t>
  </si>
  <si>
    <t>Customer_1440</t>
  </si>
  <si>
    <t>2023-11-15</t>
  </si>
  <si>
    <t>ORD-2216</t>
  </si>
  <si>
    <t>Customer_9986</t>
  </si>
  <si>
    <t>ORD-2965</t>
  </si>
  <si>
    <t>ORD-3890</t>
  </si>
  <si>
    <t>Customer_1838</t>
  </si>
  <si>
    <t>ORD-2812</t>
  </si>
  <si>
    <t>Customer_3110</t>
  </si>
  <si>
    <t>ORD-3817</t>
  </si>
  <si>
    <t>ORD-3867</t>
  </si>
  <si>
    <t>Customer_2801</t>
  </si>
  <si>
    <t>ORD-2495</t>
  </si>
  <si>
    <t>Customer_1540</t>
  </si>
  <si>
    <t>ORD-2920</t>
  </si>
  <si>
    <t>Customer_9716</t>
  </si>
  <si>
    <t>ORD-3897</t>
  </si>
  <si>
    <t>ORD-2007</t>
  </si>
  <si>
    <t>18/06/2024</t>
  </si>
  <si>
    <t>Customer_715</t>
  </si>
  <si>
    <t>ORD-3017</t>
  </si>
  <si>
    <t>ORD-3260</t>
  </si>
  <si>
    <t>Customer_2774</t>
  </si>
  <si>
    <t>ORD-2658</t>
  </si>
  <si>
    <t>Customer_8804</t>
  </si>
  <si>
    <t>ORD-2296</t>
  </si>
  <si>
    <t>Customer_3898</t>
  </si>
  <si>
    <t>fastrack</t>
  </si>
  <si>
    <t>ORD-2506</t>
  </si>
  <si>
    <t>ORD-2884</t>
  </si>
  <si>
    <t>02-05-2023</t>
  </si>
  <si>
    <t>Customer_7153</t>
  </si>
  <si>
    <t>ORD-3870</t>
  </si>
  <si>
    <t>12/12/2024</t>
  </si>
  <si>
    <t>Customer_9046</t>
  </si>
  <si>
    <t>ORD-3270</t>
  </si>
  <si>
    <t>2023/01/18</t>
  </si>
  <si>
    <t>Customer_880</t>
  </si>
  <si>
    <t>ORD-2310</t>
  </si>
  <si>
    <t>Customer_2552</t>
  </si>
  <si>
    <t>ORD-3459</t>
  </si>
  <si>
    <t>Customer_1097</t>
  </si>
  <si>
    <t>ORD-3439</t>
  </si>
  <si>
    <t>ORD-2992</t>
  </si>
  <si>
    <t>Customer_4019</t>
  </si>
  <si>
    <t>ORD-3226</t>
  </si>
  <si>
    <t>Customer_5944</t>
  </si>
  <si>
    <t>ORD-3670</t>
  </si>
  <si>
    <t>Customer_5994</t>
  </si>
  <si>
    <t>ORD-2692</t>
  </si>
  <si>
    <t>Customer_6263</t>
  </si>
  <si>
    <t>ORD-3574</t>
  </si>
  <si>
    <t>Customer_7529</t>
  </si>
  <si>
    <t>ORD-3027</t>
  </si>
  <si>
    <t>ORD-3011</t>
  </si>
  <si>
    <t>Customer_5806</t>
  </si>
  <si>
    <t>ORD-3999</t>
  </si>
  <si>
    <t>Customer_1585</t>
  </si>
  <si>
    <t>ORD-3560</t>
  </si>
  <si>
    <t>Customer_1016</t>
  </si>
  <si>
    <t>ORD-3218</t>
  </si>
  <si>
    <t>08-07-2023</t>
  </si>
  <si>
    <t>2023/07/21</t>
  </si>
  <si>
    <t>ORD-3911</t>
  </si>
  <si>
    <t>Customer_7685</t>
  </si>
  <si>
    <t>ORD-3816</t>
  </si>
  <si>
    <t>Customer_3150</t>
  </si>
  <si>
    <t>ORD-3819</t>
  </si>
  <si>
    <t>Customer_4678</t>
  </si>
  <si>
    <t>ORD-3183</t>
  </si>
  <si>
    <t>2023-04-28</t>
  </si>
  <si>
    <t>Customer_1719</t>
  </si>
  <si>
    <t>ORD-2924</t>
  </si>
  <si>
    <t>Customer_4192</t>
  </si>
  <si>
    <t>ORD-3242</t>
  </si>
  <si>
    <t>Customer_3598</t>
  </si>
  <si>
    <t>ORD-3278</t>
  </si>
  <si>
    <t>Customer_8982</t>
  </si>
  <si>
    <t>ORD-3036</t>
  </si>
  <si>
    <t>15/06/2024</t>
  </si>
  <si>
    <t>Customer_3312</t>
  </si>
  <si>
    <t>ORD-3230</t>
  </si>
  <si>
    <t>Customer_2136</t>
  </si>
  <si>
    <t>ORD-2092</t>
  </si>
  <si>
    <t>Customer_7451</t>
  </si>
  <si>
    <t>ORD-2598</t>
  </si>
  <si>
    <t>20/05/2024</t>
  </si>
  <si>
    <t>2023/02/24</t>
  </si>
  <si>
    <t>Customer_7588</t>
  </si>
  <si>
    <t xml:space="preserve">  Central Africa  </t>
  </si>
  <si>
    <t>ORD-3649</t>
  </si>
  <si>
    <t>Customer_1950</t>
  </si>
  <si>
    <t>ORD-3762</t>
  </si>
  <si>
    <t>Customer_9253</t>
  </si>
  <si>
    <t>ORD-2127</t>
  </si>
  <si>
    <t>2023/03/17</t>
  </si>
  <si>
    <t>Customer_6433</t>
  </si>
  <si>
    <t>ORD-3959</t>
  </si>
  <si>
    <t>13/02/2024</t>
  </si>
  <si>
    <t>Customer_9717</t>
  </si>
  <si>
    <t>ORD-2784</t>
  </si>
  <si>
    <t>Customer_8922</t>
  </si>
  <si>
    <t>ORD-3990</t>
  </si>
  <si>
    <t>Customer_747</t>
  </si>
  <si>
    <t>ORD-2073</t>
  </si>
  <si>
    <t>ORD-3085</t>
  </si>
  <si>
    <t>Customer_4781</t>
  </si>
  <si>
    <t>ORD-3640</t>
  </si>
  <si>
    <t>Customer_7264</t>
  </si>
  <si>
    <t>ORD-3090</t>
  </si>
  <si>
    <t>Customer_7666</t>
  </si>
  <si>
    <t>ORD-3180</t>
  </si>
  <si>
    <t>Customer_1101</t>
  </si>
  <si>
    <t>ORD-3747</t>
  </si>
  <si>
    <t>Customer_1117</t>
  </si>
  <si>
    <t>ORD-2687</t>
  </si>
  <si>
    <t>Customer_8670</t>
  </si>
  <si>
    <t>ORD-3624</t>
  </si>
  <si>
    <t>Customer_6523</t>
  </si>
  <si>
    <t>ORD-2165</t>
  </si>
  <si>
    <t>Customer_721</t>
  </si>
  <si>
    <t>ORD-3587</t>
  </si>
  <si>
    <t>Customer_2888</t>
  </si>
  <si>
    <t>ORD-3323</t>
  </si>
  <si>
    <t>Customer_5717</t>
  </si>
  <si>
    <t>ORD-2683</t>
  </si>
  <si>
    <t>Customer_4985</t>
  </si>
  <si>
    <t>ORD-3776</t>
  </si>
  <si>
    <t>2023-03-12</t>
  </si>
  <si>
    <t>Customer_9042</t>
  </si>
  <si>
    <t>ORD-2488</t>
  </si>
  <si>
    <t>ORD-3266</t>
  </si>
  <si>
    <t>Customer_6822</t>
  </si>
  <si>
    <t>ORD-3927</t>
  </si>
  <si>
    <t>ORD-3427</t>
  </si>
  <si>
    <t>Customer_9967</t>
  </si>
  <si>
    <t>ORD-3392</t>
  </si>
  <si>
    <t>ORD-3200</t>
  </si>
  <si>
    <t>Customer_5254</t>
  </si>
  <si>
    <t>ORD-3530</t>
  </si>
  <si>
    <t>Customer_4470</t>
  </si>
  <si>
    <t>ORD-2208</t>
  </si>
  <si>
    <t>Customer_3431</t>
  </si>
  <si>
    <t>ORD-2184</t>
  </si>
  <si>
    <t>Customer_1449</t>
  </si>
  <si>
    <t>ORD-3913</t>
  </si>
  <si>
    <t>Customer_3550</t>
  </si>
  <si>
    <t>ORD-2485</t>
  </si>
  <si>
    <t>Customer_1098</t>
  </si>
  <si>
    <t>ORD-2328</t>
  </si>
  <si>
    <t>Customer_3200</t>
  </si>
  <si>
    <t>ORD-2938</t>
  </si>
  <si>
    <t>Customer_5142</t>
  </si>
  <si>
    <t>ORD-3163</t>
  </si>
  <si>
    <t>05/11/2024</t>
  </si>
  <si>
    <t>Customer_262</t>
  </si>
  <si>
    <t>ORD-3410</t>
  </si>
  <si>
    <t>Customer_723</t>
  </si>
  <si>
    <t>ORD-2463</t>
  </si>
  <si>
    <t>Customer_9755</t>
  </si>
  <si>
    <t>ORD-2402</t>
  </si>
  <si>
    <t>Customer_8574</t>
  </si>
  <si>
    <t>ORD-2732</t>
  </si>
  <si>
    <t>Customer_8023</t>
  </si>
  <si>
    <t>ORD-2326</t>
  </si>
  <si>
    <t>Customer_4342</t>
  </si>
  <si>
    <t xml:space="preserve">  Brake Pads Set  </t>
  </si>
  <si>
    <t>ORD-2436</t>
  </si>
  <si>
    <t>06/03/2024</t>
  </si>
  <si>
    <t>Customer_4839</t>
  </si>
  <si>
    <t>ORD-3254</t>
  </si>
  <si>
    <t>Customer_3063</t>
  </si>
  <si>
    <t>ORD-3419</t>
  </si>
  <si>
    <t>21/07/2024</t>
  </si>
  <si>
    <t>Customer_1701</t>
  </si>
  <si>
    <t>ORD-3243</t>
  </si>
  <si>
    <t>Customer_266</t>
  </si>
  <si>
    <t>ORD-3563</t>
  </si>
  <si>
    <t>ORD-3302</t>
  </si>
  <si>
    <t>Customer_3213</t>
  </si>
  <si>
    <t>ORD-3346</t>
  </si>
  <si>
    <t>Customer_4291</t>
  </si>
  <si>
    <t>ORD-2524</t>
  </si>
  <si>
    <t>Customer_919</t>
  </si>
  <si>
    <t>ORD-2620</t>
  </si>
  <si>
    <t>Customer_2076</t>
  </si>
  <si>
    <t>01-04-2023</t>
  </si>
  <si>
    <t>ORD-2234</t>
  </si>
  <si>
    <t>Customer_8454</t>
  </si>
  <si>
    <t>ORD-2118</t>
  </si>
  <si>
    <t>Customer_906</t>
  </si>
  <si>
    <t>ORD-3933</t>
  </si>
  <si>
    <t>Customer_8494</t>
  </si>
  <si>
    <t>ORD-2704</t>
  </si>
  <si>
    <t>ORD-2187</t>
  </si>
  <si>
    <t>ORD-2015</t>
  </si>
  <si>
    <t>Customer_8477</t>
  </si>
  <si>
    <t>ORD-2227</t>
  </si>
  <si>
    <t>Customer_2745</t>
  </si>
  <si>
    <t>ORD-2578</t>
  </si>
  <si>
    <t>Customer_6981</t>
  </si>
  <si>
    <t>ORD-2602</t>
  </si>
  <si>
    <t>Customer_3059</t>
  </si>
  <si>
    <t>ORD-2016</t>
  </si>
  <si>
    <t>ORD-3631</t>
  </si>
  <si>
    <t>Customer_9497</t>
  </si>
  <si>
    <t>ORD-2138</t>
  </si>
  <si>
    <t>Customer_1222</t>
  </si>
  <si>
    <t>ORD-2081</t>
  </si>
  <si>
    <t>Customer_2440</t>
  </si>
  <si>
    <t>ORD-3511</t>
  </si>
  <si>
    <t>2023-09-09</t>
  </si>
  <si>
    <t>Customer_8562</t>
  </si>
  <si>
    <t>ORD-2888</t>
  </si>
  <si>
    <t>Customer_9104</t>
  </si>
  <si>
    <t>ORD-2591</t>
  </si>
  <si>
    <t>Customer_8585</t>
  </si>
  <si>
    <t>ORD-2515</t>
  </si>
  <si>
    <t>Customer_6562</t>
  </si>
  <si>
    <t>ORD-2173</t>
  </si>
  <si>
    <t>Customer_8063</t>
  </si>
  <si>
    <t>ORD-2670</t>
  </si>
  <si>
    <t>Customer_4079</t>
  </si>
  <si>
    <t>ORD-2155</t>
  </si>
  <si>
    <t>Customer_2913</t>
  </si>
  <si>
    <t>ORD-3283</t>
  </si>
  <si>
    <t>Customer_7959</t>
  </si>
  <si>
    <t>ORD-2759</t>
  </si>
  <si>
    <t>2023-06-15</t>
  </si>
  <si>
    <t>Customer_5460</t>
  </si>
  <si>
    <t>ORD-2098</t>
  </si>
  <si>
    <t>Customer_5171</t>
  </si>
  <si>
    <t>ORD-3882</t>
  </si>
  <si>
    <t>13/08/2024</t>
  </si>
  <si>
    <t>Customer_8943</t>
  </si>
  <si>
    <t>ORD-2476</t>
  </si>
  <si>
    <t>Customer_6203</t>
  </si>
  <si>
    <t>ORD-3274</t>
  </si>
  <si>
    <t>Customer_7869</t>
  </si>
  <si>
    <t>ORD-2814</t>
  </si>
  <si>
    <t>Customer_6743</t>
  </si>
  <si>
    <t>ORD-2395</t>
  </si>
  <si>
    <t>Customer_9229</t>
  </si>
  <si>
    <t>ORD-3336</t>
  </si>
  <si>
    <t>Customer_5576</t>
  </si>
  <si>
    <t>ORD-2978</t>
  </si>
  <si>
    <t>Customer_1819</t>
  </si>
  <si>
    <t>ORD-2422</t>
  </si>
  <si>
    <t>Customer_1072</t>
  </si>
  <si>
    <t>ORD-2995</t>
  </si>
  <si>
    <t>Customer_6408</t>
  </si>
  <si>
    <t>ORD-3509</t>
  </si>
  <si>
    <t>Customer_6728</t>
  </si>
  <si>
    <t>ORD-3476</t>
  </si>
  <si>
    <t>Customer_1202</t>
  </si>
  <si>
    <t>ORD-2452</t>
  </si>
  <si>
    <t>ORD-2473</t>
  </si>
  <si>
    <t>2023-11-06</t>
  </si>
  <si>
    <t>Customer_8350</t>
  </si>
  <si>
    <t>ORD-2281</t>
  </si>
  <si>
    <t>2023/07/24</t>
  </si>
  <si>
    <t>Customer_729</t>
  </si>
  <si>
    <t>ORD-2853</t>
  </si>
  <si>
    <t>Customer_323</t>
  </si>
  <si>
    <t>ORD-2306</t>
  </si>
  <si>
    <t>Customer_1192</t>
  </si>
  <si>
    <t>ORD-3517</t>
  </si>
  <si>
    <t>Customer_9679</t>
  </si>
  <si>
    <t>ORD-3319</t>
  </si>
  <si>
    <t>ORD-3170</t>
  </si>
  <si>
    <t>Customer_7758</t>
  </si>
  <si>
    <t>ORD-2549</t>
  </si>
  <si>
    <t>Customer_1160</t>
  </si>
  <si>
    <t>ORD-2575</t>
  </si>
  <si>
    <t>Customer_4644</t>
  </si>
  <si>
    <t>ORD-3780</t>
  </si>
  <si>
    <t>Customer_3445</t>
  </si>
  <si>
    <t xml:space="preserve">   Express   </t>
  </si>
  <si>
    <t>ORD-2340</t>
  </si>
  <si>
    <t>Customer_8124</t>
  </si>
  <si>
    <t>ORD-2357</t>
  </si>
  <si>
    <t>Customer_8336</t>
  </si>
  <si>
    <t>ORD-2696</t>
  </si>
  <si>
    <t>Customer_6127</t>
  </si>
  <si>
    <t>ORD-2341</t>
  </si>
  <si>
    <t>Customer_319</t>
  </si>
  <si>
    <t>ORD-2844</t>
  </si>
  <si>
    <t>Customer_697</t>
  </si>
  <si>
    <t>ORD-2221</t>
  </si>
  <si>
    <t>ORD-3094</t>
  </si>
  <si>
    <t>ORD-2385</t>
  </si>
  <si>
    <t>09-27-2023</t>
  </si>
  <si>
    <t>Customer_2840</t>
  </si>
  <si>
    <t>ORD-3860</t>
  </si>
  <si>
    <t>Customer_3275</t>
  </si>
  <si>
    <t>ORD-3539</t>
  </si>
  <si>
    <t>Customer_5716</t>
  </si>
  <si>
    <t>ORD-3417</t>
  </si>
  <si>
    <t>Customer_3152</t>
  </si>
  <si>
    <t>ORD-2364</t>
  </si>
  <si>
    <t>Customer_1278</t>
  </si>
  <si>
    <t>ORD-3105</t>
  </si>
  <si>
    <t>Customer_9401</t>
  </si>
  <si>
    <t>ORD-3471</t>
  </si>
  <si>
    <t>Customer_2328</t>
  </si>
  <si>
    <t>ORD-2487</t>
  </si>
  <si>
    <t>Customer_5031</t>
  </si>
  <si>
    <t>ORD-3844</t>
  </si>
  <si>
    <t>ORD-2881</t>
  </si>
  <si>
    <t>ORD-2367</t>
  </si>
  <si>
    <t>Customer_1408</t>
  </si>
  <si>
    <t>ORD-2288</t>
  </si>
  <si>
    <t>Customer_6906</t>
  </si>
  <si>
    <t xml:space="preserve">   Accra WH-2   </t>
  </si>
  <si>
    <t>ORD-2612</t>
  </si>
  <si>
    <t>Customer_9573</t>
  </si>
  <si>
    <t>ORD-3725</t>
  </si>
  <si>
    <t>Customer_6781</t>
  </si>
  <si>
    <t>ORD-2956</t>
  </si>
  <si>
    <t>Customer_7197</t>
  </si>
  <si>
    <t>ORD-3774</t>
  </si>
  <si>
    <t>Customer_2598</t>
  </si>
  <si>
    <t>ORD-2107</t>
  </si>
  <si>
    <t>Customer_4290</t>
  </si>
  <si>
    <t>ORD-3073</t>
  </si>
  <si>
    <t>Customer_9842</t>
  </si>
  <si>
    <t>ORD-3956</t>
  </si>
  <si>
    <t>Customer_8711</t>
  </si>
  <si>
    <t>ORD-3723</t>
  </si>
  <si>
    <t>Customer_2069</t>
  </si>
  <si>
    <t>ORD-3197</t>
  </si>
  <si>
    <t>Customer_4044</t>
  </si>
  <si>
    <t>ORD-3928</t>
  </si>
  <si>
    <t>Customer_7276</t>
  </si>
  <si>
    <t>ORD-3636</t>
  </si>
  <si>
    <t>ORD-3836</t>
  </si>
  <si>
    <t>Customer_8561</t>
  </si>
  <si>
    <t>ORD-2864</t>
  </si>
  <si>
    <t>Customer_6846</t>
  </si>
  <si>
    <t>ORD-2773</t>
  </si>
  <si>
    <t>Customer_6024</t>
  </si>
  <si>
    <t>ORD-2544</t>
  </si>
  <si>
    <t>Customer_4275</t>
  </si>
  <si>
    <t>ORD-3307</t>
  </si>
  <si>
    <t>Customer_9663</t>
  </si>
  <si>
    <t>ORD-2954</t>
  </si>
  <si>
    <t>Customer_372</t>
  </si>
  <si>
    <t>ORD-3286</t>
  </si>
  <si>
    <t>Customer_5695</t>
  </si>
  <si>
    <t>ORD-3421</t>
  </si>
  <si>
    <t>03-13-2023</t>
  </si>
  <si>
    <t>2023-09-26</t>
  </si>
  <si>
    <t>Customer_7412</t>
  </si>
  <si>
    <t>ORD-2323</t>
  </si>
  <si>
    <t>Customer_1430</t>
  </si>
  <si>
    <t>ORD-3855</t>
  </si>
  <si>
    <t>Customer_783</t>
  </si>
  <si>
    <t>ORD-3137</t>
  </si>
  <si>
    <t>Customer_7779</t>
  </si>
  <si>
    <t xml:space="preserve">   East Africa   </t>
  </si>
  <si>
    <t>ORD-2399</t>
  </si>
  <si>
    <t>Customer_3959</t>
  </si>
  <si>
    <t>ORD-3639</t>
  </si>
  <si>
    <t>Customer_6470</t>
  </si>
  <si>
    <t>ORD-2629</t>
  </si>
  <si>
    <t>Customer_1991</t>
  </si>
  <si>
    <t>ORD-2693</t>
  </si>
  <si>
    <t>Customer_6021</t>
  </si>
  <si>
    <t>ORD-3576</t>
  </si>
  <si>
    <t>Customer_4124</t>
  </si>
  <si>
    <t>ORD-2802</t>
  </si>
  <si>
    <t>Customer_6542</t>
  </si>
  <si>
    <t>ORD-2935</t>
  </si>
  <si>
    <t>WestAfrica</t>
  </si>
  <si>
    <t>ORD-3373</t>
  </si>
  <si>
    <t>ORD-3326</t>
  </si>
  <si>
    <t>Customer_5516</t>
  </si>
  <si>
    <t>ORD-3532</t>
  </si>
  <si>
    <t>Customer_8035</t>
  </si>
  <si>
    <t>ORD-2462</t>
  </si>
  <si>
    <t>Customer_6796</t>
  </si>
  <si>
    <t>ORD-2596</t>
  </si>
  <si>
    <t>ORD-3347</t>
  </si>
  <si>
    <t>Customer_1049</t>
  </si>
  <si>
    <t>2023/01/01</t>
  </si>
  <si>
    <t>ORD-3294</t>
  </si>
  <si>
    <t>Customer_3774</t>
  </si>
  <si>
    <t>ORD-3479</t>
  </si>
  <si>
    <t>Customer_8327</t>
  </si>
  <si>
    <t>ORD-2714</t>
  </si>
  <si>
    <t>Customer_2264</t>
  </si>
  <si>
    <t>ORD-3847</t>
  </si>
  <si>
    <t>Customer_3759</t>
  </si>
  <si>
    <t>ORD-2562</t>
  </si>
  <si>
    <t>Customer_6602</t>
  </si>
  <si>
    <t>ORD-2405</t>
  </si>
  <si>
    <t>Customer_9939</t>
  </si>
  <si>
    <t>ORD-3826</t>
  </si>
  <si>
    <t>Customer_6569</t>
  </si>
  <si>
    <t>ORD-3441</t>
  </si>
  <si>
    <t>Customer_8938</t>
  </si>
  <si>
    <t>ORD-2205</t>
  </si>
  <si>
    <t>Customer_1012</t>
  </si>
  <si>
    <t>ORD-2080</t>
  </si>
  <si>
    <t>Customer_8784</t>
  </si>
  <si>
    <t>ORD-3046</t>
  </si>
  <si>
    <t>17/09/2024</t>
  </si>
  <si>
    <t>Customer_3131</t>
  </si>
  <si>
    <t>ORD-3225</t>
  </si>
  <si>
    <t>2023-08-07</t>
  </si>
  <si>
    <t>Customer_6289</t>
  </si>
  <si>
    <t>ORD-3267</t>
  </si>
  <si>
    <t>Customer_6387</t>
  </si>
  <si>
    <t>ORD-2520</t>
  </si>
  <si>
    <t>Customer_9183</t>
  </si>
  <si>
    <t>ORD-3473</t>
  </si>
  <si>
    <t>03-27-2023</t>
  </si>
  <si>
    <t>Customer_1501</t>
  </si>
  <si>
    <t>ORD-3980</t>
  </si>
  <si>
    <t>Customer_3364</t>
  </si>
  <si>
    <t>ORD-2688</t>
  </si>
  <si>
    <t>Customer_3140</t>
  </si>
  <si>
    <t>ORD-2056</t>
  </si>
  <si>
    <t>Customer_6212</t>
  </si>
  <si>
    <t>ORD-3948</t>
  </si>
  <si>
    <t>Customer_3211</t>
  </si>
  <si>
    <t>ORD-2757</t>
  </si>
  <si>
    <t>Customer_590</t>
  </si>
  <si>
    <t>ORD-2631</t>
  </si>
  <si>
    <t>21/05/2024</t>
  </si>
  <si>
    <t>ORD-3611</t>
  </si>
  <si>
    <t>ORD-3089</t>
  </si>
  <si>
    <t>Customer_3068</t>
  </si>
  <si>
    <t>ORD-3186</t>
  </si>
  <si>
    <t>Customer_3800</t>
  </si>
  <si>
    <t>ORD-2445</t>
  </si>
  <si>
    <t>09-02-2023</t>
  </si>
  <si>
    <t>ORD-2547</t>
  </si>
  <si>
    <t>Customer_8095</t>
  </si>
  <si>
    <t>ORD-3702</t>
  </si>
  <si>
    <t>Customer_7125</t>
  </si>
  <si>
    <t>ORD-2914</t>
  </si>
  <si>
    <t>Customer_852</t>
  </si>
  <si>
    <t>ORD-2783</t>
  </si>
  <si>
    <t>ORD-3430</t>
  </si>
  <si>
    <t>Customer_416</t>
  </si>
  <si>
    <t>ORD-2930</t>
  </si>
  <si>
    <t>Customer_3375</t>
  </si>
  <si>
    <t>ORD-2565</t>
  </si>
  <si>
    <t>Customer_1050</t>
  </si>
  <si>
    <t>ORD-2423</t>
  </si>
  <si>
    <t>Customer_4994</t>
  </si>
  <si>
    <t>ORD-3735</t>
  </si>
  <si>
    <t>Customer_7322</t>
  </si>
  <si>
    <t>ORD-3712</t>
  </si>
  <si>
    <t>2023-08-26</t>
  </si>
  <si>
    <t>Customer_6874</t>
  </si>
  <si>
    <t>ORD-2801</t>
  </si>
  <si>
    <t>Customer_5082</t>
  </si>
  <si>
    <t>ORD-2376</t>
  </si>
  <si>
    <t>Customer_2869</t>
  </si>
  <si>
    <t>ORD-3003</t>
  </si>
  <si>
    <t>Customer_2464</t>
  </si>
  <si>
    <t>ORD-3798</t>
  </si>
  <si>
    <t>ORD-3487</t>
  </si>
  <si>
    <t>23/10/2024</t>
  </si>
  <si>
    <t>Customer_8423</t>
  </si>
  <si>
    <t>ORD-3399</t>
  </si>
  <si>
    <t>Customer_1729</t>
  </si>
  <si>
    <t xml:space="preserve">   Tanzania   </t>
  </si>
  <si>
    <t>ORD-3519</t>
  </si>
  <si>
    <t>Customer_7199</t>
  </si>
  <si>
    <t>ORD-2396</t>
  </si>
  <si>
    <t>16/12/2024</t>
  </si>
  <si>
    <t>Customer_6141</t>
  </si>
  <si>
    <t>ORD-2672</t>
  </si>
  <si>
    <t>Customer_2607</t>
  </si>
  <si>
    <t>ORD-3231</t>
  </si>
  <si>
    <t>08/09/2024</t>
  </si>
  <si>
    <t>Customer_7539</t>
  </si>
  <si>
    <t>ORD-3308</t>
  </si>
  <si>
    <t>Customer_8127</t>
  </si>
  <si>
    <t>ORD-3540</t>
  </si>
  <si>
    <t>Customer_1690</t>
  </si>
  <si>
    <t>ORD-3265</t>
  </si>
  <si>
    <t>24/08/2024</t>
  </si>
  <si>
    <t>Customer_4503</t>
  </si>
  <si>
    <t>ORD-3123</t>
  </si>
  <si>
    <t>Customer_4477</t>
  </si>
  <si>
    <t>ORD-3059</t>
  </si>
  <si>
    <t>Customer_7744</t>
  </si>
  <si>
    <t>ORD-2871</t>
  </si>
  <si>
    <t>Customer_3460</t>
  </si>
  <si>
    <t>ORD-3968</t>
  </si>
  <si>
    <t>Customer_4527</t>
  </si>
  <si>
    <t>ORD-3082</t>
  </si>
  <si>
    <t>Customer_9169</t>
  </si>
  <si>
    <t>ORD-2171</t>
  </si>
  <si>
    <t>26/08/2024</t>
  </si>
  <si>
    <t>Customer_1677</t>
  </si>
  <si>
    <t>ORD-2994</t>
  </si>
  <si>
    <t>Customer_2768</t>
  </si>
  <si>
    <t>ORD-2572</t>
  </si>
  <si>
    <t>ORD-2893</t>
  </si>
  <si>
    <t>ORD-2087</t>
  </si>
  <si>
    <t>Customer_1584</t>
  </si>
  <si>
    <t>ORD-3873</t>
  </si>
  <si>
    <t>Customer_9795</t>
  </si>
  <si>
    <t>ORD-2569</t>
  </si>
  <si>
    <t>Customer_6751</t>
  </si>
  <si>
    <t>ORD-2149</t>
  </si>
  <si>
    <t>Customer_7438</t>
  </si>
  <si>
    <t>ORD-3601</t>
  </si>
  <si>
    <t>Customer_7236</t>
  </si>
  <si>
    <t>ORD-3189</t>
  </si>
  <si>
    <t>ORD-3140</t>
  </si>
  <si>
    <t>ORD-3905</t>
  </si>
  <si>
    <t>Customer_6032</t>
  </si>
  <si>
    <t>ORD-3866</t>
  </si>
  <si>
    <t>Customer_2078</t>
  </si>
  <si>
    <t>ORD-3556</t>
  </si>
  <si>
    <t>Customer_9007</t>
  </si>
  <si>
    <t>ORD-2247</t>
  </si>
  <si>
    <t>Customer_3496</t>
  </si>
  <si>
    <t>ORD-3799</t>
  </si>
  <si>
    <t>2023-02-07</t>
  </si>
  <si>
    <t>Customer_7592</t>
  </si>
  <si>
    <t>ORD-3795</t>
  </si>
  <si>
    <t>ORD-2491</t>
  </si>
  <si>
    <t>Customer_4306</t>
  </si>
  <si>
    <t>ORD-3153</t>
  </si>
  <si>
    <t>Customer_8874</t>
  </si>
  <si>
    <t>ORD-3054</t>
  </si>
  <si>
    <t>Customer_7198</t>
  </si>
  <si>
    <t>ORD-3315</t>
  </si>
  <si>
    <t>Customer_3507</t>
  </si>
  <si>
    <t>ORD-3191</t>
  </si>
  <si>
    <t>Customer_3728</t>
  </si>
  <si>
    <t>ORD-3707</t>
  </si>
  <si>
    <t>Customer_4999</t>
  </si>
  <si>
    <t>ORD-2308</t>
  </si>
  <si>
    <t>2023-07-17</t>
  </si>
  <si>
    <t>Customer_3064</t>
  </si>
  <si>
    <t>ORD-2858</t>
  </si>
  <si>
    <t>2023/03/19</t>
  </si>
  <si>
    <t>Customer_3165</t>
  </si>
  <si>
    <t>ORD-2058</t>
  </si>
  <si>
    <t>2023/09/24</t>
  </si>
  <si>
    <t xml:space="preserve">  Customer_9311  </t>
  </si>
  <si>
    <t>ORD-2348</t>
  </si>
  <si>
    <t>Customer_9438</t>
  </si>
  <si>
    <t>ORD-3814</t>
  </si>
  <si>
    <t>Customer_635</t>
  </si>
  <si>
    <t>ORD-2378</t>
  </si>
  <si>
    <t>Customer_4712</t>
  </si>
  <si>
    <t>ORD-3983</t>
  </si>
  <si>
    <t>ORD-3292</t>
  </si>
  <si>
    <t>Customer_2319</t>
  </si>
  <si>
    <t>ORD-2240</t>
  </si>
  <si>
    <t>Customer_6424</t>
  </si>
  <si>
    <t>ORD-2940</t>
  </si>
  <si>
    <t>Customer_4660</t>
  </si>
  <si>
    <t xml:space="preserve">  Mozambique  </t>
  </si>
  <si>
    <t>ORD-3538</t>
  </si>
  <si>
    <t>Customer_1256</t>
  </si>
  <si>
    <t>ORD-2246</t>
  </si>
  <si>
    <t>Customer_1904</t>
  </si>
  <si>
    <t>01-06-2023</t>
  </si>
  <si>
    <t>ORD-2712</t>
  </si>
  <si>
    <t>Customer_3940</t>
  </si>
  <si>
    <t>ORD-2042</t>
  </si>
  <si>
    <t>Customer_1186</t>
  </si>
  <si>
    <t>ORD-2876</t>
  </si>
  <si>
    <t>Customer_8739</t>
  </si>
  <si>
    <t>ORD-2852</t>
  </si>
  <si>
    <t>Customer_6338</t>
  </si>
  <si>
    <t xml:space="preserve">  Home Appliances  </t>
  </si>
  <si>
    <t>ORD-3583</t>
  </si>
  <si>
    <t>Customer_8317</t>
  </si>
  <si>
    <t>ORD-3554</t>
  </si>
  <si>
    <t>ORD-3475</t>
  </si>
  <si>
    <t>Customer_1295</t>
  </si>
  <si>
    <t>ORD-2482</t>
  </si>
  <si>
    <t>Customer_2342</t>
  </si>
  <si>
    <t>ORD-3031</t>
  </si>
  <si>
    <t>Customer_9668</t>
  </si>
  <si>
    <t>ORD-3216</t>
  </si>
  <si>
    <t>Customer_8884</t>
  </si>
  <si>
    <t>ORD-2358</t>
  </si>
  <si>
    <t>ORD-2931</t>
  </si>
  <si>
    <t>Customer_4311</t>
  </si>
  <si>
    <t>ORD-3564</t>
  </si>
  <si>
    <t>Customer_7341</t>
  </si>
  <si>
    <t xml:space="preserve">   FastTrack Logistics   </t>
  </si>
  <si>
    <t>ORD-2030</t>
  </si>
  <si>
    <t>Customer_9783</t>
  </si>
  <si>
    <t>ORD-3682</t>
  </si>
  <si>
    <t>10-26-2023</t>
  </si>
  <si>
    <t>Customer_7055</t>
  </si>
  <si>
    <t>ORD-2043</t>
  </si>
  <si>
    <t>Customer_355</t>
  </si>
  <si>
    <t>ORD-2066</t>
  </si>
  <si>
    <t>Customer_7330</t>
  </si>
  <si>
    <t xml:space="preserve">   Blender Pro   </t>
  </si>
  <si>
    <t>ORD-3154</t>
  </si>
  <si>
    <t>Customer_9718</t>
  </si>
  <si>
    <t>ORD-3914</t>
  </si>
  <si>
    <t>Customer_8649</t>
  </si>
  <si>
    <t>ORD-2334</t>
  </si>
  <si>
    <t>ORD-2424</t>
  </si>
  <si>
    <t>Customer_8742</t>
  </si>
  <si>
    <t>ORD-3497</t>
  </si>
  <si>
    <t>Customer_9886</t>
  </si>
  <si>
    <t>ORD-2335</t>
  </si>
  <si>
    <t>Customer_791</t>
  </si>
  <si>
    <t>ORD-3743</t>
  </si>
  <si>
    <t>Customer_866</t>
  </si>
  <si>
    <t>ORD-2567</t>
  </si>
  <si>
    <t>Customer_5804</t>
  </si>
  <si>
    <t>ORD-2313</t>
  </si>
  <si>
    <t>Customer_5647</t>
  </si>
  <si>
    <t>ORD-2686</t>
  </si>
  <si>
    <t>ORD-2204</t>
  </si>
  <si>
    <t>ORD-3694</t>
  </si>
  <si>
    <t>2023-05-06</t>
  </si>
  <si>
    <t>Customer_5548</t>
  </si>
  <si>
    <t>ORD-3731</t>
  </si>
  <si>
    <t>Customer_412</t>
  </si>
  <si>
    <t>ORD-3275</t>
  </si>
  <si>
    <t>Customer_3429</t>
  </si>
  <si>
    <t>ORD-3271</t>
  </si>
  <si>
    <t>Customer_4870</t>
  </si>
  <si>
    <t>ORD-2988</t>
  </si>
  <si>
    <t>Customer_9356</t>
  </si>
  <si>
    <t>ORD-2761</t>
  </si>
  <si>
    <t>Customer_4259</t>
  </si>
  <si>
    <t>ORD-3483</t>
  </si>
  <si>
    <t>16/08/2024</t>
  </si>
  <si>
    <t>Customer_151</t>
  </si>
  <si>
    <t>ORD-2346</t>
  </si>
  <si>
    <t>Customer_6144</t>
  </si>
  <si>
    <t>ORD-3489</t>
  </si>
  <si>
    <t>Customer_9409</t>
  </si>
  <si>
    <t>ORD-3775</t>
  </si>
  <si>
    <t>Customer_4826</t>
  </si>
  <si>
    <t>ORD-3052</t>
  </si>
  <si>
    <t>Customer_9094</t>
  </si>
  <si>
    <t>ORD-3214</t>
  </si>
  <si>
    <t>Customer_2707</t>
  </si>
  <si>
    <t>ORD-2002</t>
  </si>
  <si>
    <t>Customer_4513</t>
  </si>
  <si>
    <t>ORD-2656</t>
  </si>
  <si>
    <t>Customer_9048</t>
  </si>
  <si>
    <t>ORD-3919</t>
  </si>
  <si>
    <t>Customer_5498</t>
  </si>
  <si>
    <t>ORD-3580</t>
  </si>
  <si>
    <t>ORD-3318</t>
  </si>
  <si>
    <t>ORD-3549</t>
  </si>
  <si>
    <t>Customer_812</t>
  </si>
  <si>
    <t>ORD-3655</t>
  </si>
  <si>
    <t>ORD-3432</t>
  </si>
  <si>
    <t xml:space="preserve">  Customer_3655  </t>
  </si>
  <si>
    <t>ORD-3734</t>
  </si>
  <si>
    <t>Customer_1625</t>
  </si>
  <si>
    <t>ORD-3063</t>
  </si>
  <si>
    <t>Customer_4719</t>
  </si>
  <si>
    <t>ORD-2697</t>
  </si>
  <si>
    <t>Customer_1438</t>
  </si>
  <si>
    <t>ORD-2370</t>
  </si>
  <si>
    <t>Customer_9020</t>
  </si>
  <si>
    <t>ORD-3770</t>
  </si>
  <si>
    <t>Customer_1224</t>
  </si>
  <si>
    <t>ORD-3874</t>
  </si>
  <si>
    <t>NorthAfrica</t>
  </si>
  <si>
    <t>ORD-2231</t>
  </si>
  <si>
    <t>Customer_2879</t>
  </si>
  <si>
    <t>ORD-3251</t>
  </si>
  <si>
    <t>Customer_8646</t>
  </si>
  <si>
    <t>ORD-2404</t>
  </si>
  <si>
    <t>Customer_6715</t>
  </si>
  <si>
    <t>ORD-3991</t>
  </si>
  <si>
    <t>Customer_2383</t>
  </si>
  <si>
    <t>ORD-3616</t>
  </si>
  <si>
    <t>Customer_1535</t>
  </si>
  <si>
    <t>ORD-2955</t>
  </si>
  <si>
    <t>05-23-2023</t>
  </si>
  <si>
    <t>ORD-3800</t>
  </si>
  <si>
    <t>Customer_3606</t>
  </si>
  <si>
    <t>Profit Margin %</t>
  </si>
  <si>
    <t>Is Late</t>
  </si>
  <si>
    <t>Damaged Rate</t>
  </si>
  <si>
    <t>Date Anomaly Flag</t>
  </si>
  <si>
    <t>Order Year</t>
  </si>
  <si>
    <t>Order Month</t>
  </si>
  <si>
    <t>Indoafrica Imports</t>
  </si>
  <si>
    <t>Sahelgoods SA</t>
  </si>
  <si>
    <t>Megasupply Inc</t>
  </si>
  <si>
    <t>Sunsource Ltd</t>
  </si>
  <si>
    <t>Nilesupply Egypt</t>
  </si>
  <si>
    <t>Unknown</t>
  </si>
  <si>
    <t>Fasttrack Logistics</t>
  </si>
  <si>
    <t>Primegoods Africa</t>
  </si>
  <si>
    <t>Eastconnect Co</t>
  </si>
  <si>
    <t>Globaltrade NG</t>
  </si>
  <si>
    <t>Atlantictrade GH</t>
  </si>
  <si>
    <t>Quickship Co</t>
  </si>
  <si>
    <t>Afroparts Ltd</t>
  </si>
  <si>
    <t>Customer_3849</t>
  </si>
  <si>
    <t>Sahelgoods Sa</t>
  </si>
  <si>
    <t>Primegoods</t>
  </si>
  <si>
    <t>Atlantictrade Gh</t>
  </si>
  <si>
    <t>Globaltrade Ng</t>
  </si>
  <si>
    <t>Customer_1040</t>
  </si>
  <si>
    <t>Fasttrack</t>
  </si>
  <si>
    <t>Customer_4531</t>
  </si>
  <si>
    <t>Customer_3487</t>
  </si>
  <si>
    <t>Customer_9443</t>
  </si>
  <si>
    <t>Quickship</t>
  </si>
  <si>
    <t>Customer_5681</t>
  </si>
  <si>
    <t>Customer_8011</t>
  </si>
  <si>
    <t>Afroparts LTD</t>
  </si>
  <si>
    <t>Fastrack</t>
  </si>
  <si>
    <t>Customer_9311</t>
  </si>
  <si>
    <t>Customer_3655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</si>
</sst>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color rgb="FFC0392B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DECEA"/>
      </patternFill>
    </fill>
    <fill>
      <patternFill patternType="solid">
        <fgColor rgb="FF1F3864"/>
        <bgColor rgb="FF333333"/>
      </patternFill>
    </fill>
    <fill>
      <patternFill patternType="solid">
        <fgColor rgb="FF002060"/>
        <bgColor rgb="FF333333"/>
      </patternFill>
    </fill>
    <fill>
      <patternFill patternType="solid">
        <fgColor theme="3" tint="-0.24997711111789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2">
    <dxf>
      <fill>
        <patternFill patternType="none">
          <fgColor indexed="64"/>
          <bgColor auto="1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DAEB1-606C-40D2-9745-F65FACED30C9}" name="CleanedData" displayName="CleanedData" ref="A1:AA2050" totalsRowShown="0">
  <autoFilter ref="A1:AA2050" xr:uid="{D3EDAEB1-606C-40D2-9745-F65FACED30C9}"/>
  <tableColumns count="27">
    <tableColumn id="1" xr3:uid="{9A6883A3-FBC4-4954-BE3B-3D94481488CA}" name="Order ID"/>
    <tableColumn id="2" xr3:uid="{EF15F641-3A51-4BB6-A8BD-07EE1750BBED}" name="Order Date"/>
    <tableColumn id="3" xr3:uid="{97E935F1-4E64-449B-942C-BCF310EF8D05}" name="Ship Date"/>
    <tableColumn id="4" xr3:uid="{CF74849C-8EB6-41F7-B4CA-AA3A59465790}" name="Customer Name"/>
    <tableColumn id="5" xr3:uid="{785F0FE8-4E14-48BE-94F2-3562E5944AC3}" name="Region"/>
    <tableColumn id="6" xr3:uid="{6415704D-4EB8-43EC-A738-F0517FE33328}" name="Country"/>
    <tableColumn id="7" xr3:uid="{B01979DF-3A2A-490D-9204-BB3FAA6CFDA3}" name="Product Category"/>
    <tableColumn id="8" xr3:uid="{942F001C-94A6-4DEF-8B03-0F0663726298}" name="Product Name"/>
    <tableColumn id="9" xr3:uid="{DFA2BADE-5F42-49FF-87F3-F7235E208064}" name="Supplier"/>
    <tableColumn id="10" xr3:uid="{1F36D5C1-5478-48A7-B1BB-7E6B8057E896}" name="Quantity Ordered"/>
    <tableColumn id="11" xr3:uid="{51E5FC0B-9B16-4940-8EE0-5EEDD389A3B6}" name="Unit Cost ($)"/>
    <tableColumn id="12" xr3:uid="{79349E9B-3A00-4E98-A3E6-05F05F4705D0}" name="Unit Price ($)"/>
    <tableColumn id="13" xr3:uid="{3718F96A-79F2-4D0C-B8ED-EC5FF5F8B270}" name="Total Sales ($)"/>
    <tableColumn id="14" xr3:uid="{3DCC5D1D-81FB-401A-8F25-1C40D62E825B}" name="Total Cost ($)"/>
    <tableColumn id="15" xr3:uid="{B7327EE5-AA63-4D68-BD83-BD28A870F459}" name="Profit ($)">
      <calculatedColumnFormula>CleanedData[[#This Row],[Total Sales ($)]]-CleanedData[[#This Row],[Total Cost ($)]]</calculatedColumnFormula>
    </tableColumn>
    <tableColumn id="16" xr3:uid="{ED4BE861-56C3-46F3-B426-DA45F42AF46A}" name="Profit Margin %" dataDxfId="1">
      <calculatedColumnFormula>CleanedData[[#This Row],[Profit ($)]]/CleanedData[[#This Row],[Total Sales ($)]]</calculatedColumnFormula>
    </tableColumn>
    <tableColumn id="17" xr3:uid="{91B5A0CD-82ED-4A5A-A777-16C40941771D}" name="Shipping Mode"/>
    <tableColumn id="18" xr3:uid="{84A12E1E-639F-462F-B685-DB3A9E96602B}" name="Delivery Status"/>
    <tableColumn id="19" xr3:uid="{3B7F70A3-C356-49B7-A536-504EA3337931}" name="Is Late" dataDxfId="0"/>
    <tableColumn id="20" xr3:uid="{81D65B1D-26E3-4F28-BFE1-7FF2E5B50B91}" name="Days to Ship"/>
    <tableColumn id="21" xr3:uid="{2CADA97D-DC1C-4275-B587-09DD78E71113}" name="Warehouse"/>
    <tableColumn id="22" xr3:uid="{B6B67731-96C8-4481-A1A7-12600B5EBAC2}" name="Stock Level"/>
    <tableColumn id="23" xr3:uid="{62339766-6D89-41CE-8101-988C6441FB1D}" name="Damaged Goods"/>
    <tableColumn id="24" xr3:uid="{B2E25F81-4E52-4213-91C1-C861DD6DD15F}" name="Damaged Rate"/>
    <tableColumn id="25" xr3:uid="{0D389BE5-9371-43FF-8583-864437E3F0B3}" name="Date Anomaly Flag">
      <calculatedColumnFormula>CleanedData[[#This Row],[Ship Date]]&lt;CleanedData[[#This Row],[Order Date]]</calculatedColumnFormula>
    </tableColumn>
    <tableColumn id="26" xr3:uid="{1D3BD6DB-3E86-48E0-A022-892614586AA0}" name="Order Year">
      <calculatedColumnFormula>YEAR(CleanedData[[#This Row],[Order Date]])</calculatedColumnFormula>
    </tableColumn>
    <tableColumn id="27" xr3:uid="{55FAA0B1-3DBA-4D22-ADCC-8256D65CEBDA}" name="Order Month">
      <calculatedColumnFormula>MONTH(CleanedData[[#This Row],[Order Date]])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56"/>
  <sheetViews>
    <sheetView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14" customWidth="1"/>
    <col min="2" max="3" width="18" customWidth="1"/>
    <col min="4" max="4" width="22" customWidth="1"/>
    <col min="5" max="6" width="18" customWidth="1"/>
    <col min="7" max="7" width="20" customWidth="1"/>
    <col min="8" max="8" width="26" customWidth="1"/>
    <col min="9" max="9" width="22" customWidth="1"/>
    <col min="10" max="10" width="14" customWidth="1"/>
    <col min="11" max="12" width="13" customWidth="1"/>
    <col min="13" max="13" width="15" customWidth="1"/>
    <col min="14" max="15" width="13" customWidth="1"/>
    <col min="16" max="17" width="16" customWidth="1"/>
    <col min="18" max="18" width="13" customWidth="1"/>
    <col min="19" max="19" width="16" customWidth="1"/>
    <col min="20" max="20" width="12" customWidth="1"/>
    <col min="21" max="21" width="14" customWidth="1"/>
    <col min="22" max="22" width="22" customWidth="1"/>
  </cols>
  <sheetData>
    <row r="1" spans="1:22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>
        <v>309</v>
      </c>
      <c r="K2" s="2">
        <v>310.97000000000003</v>
      </c>
      <c r="L2" s="2">
        <v>455.02</v>
      </c>
      <c r="M2" s="2">
        <v>140601.18</v>
      </c>
      <c r="N2" s="2">
        <v>96089.73</v>
      </c>
      <c r="O2" s="2">
        <v>44511.45</v>
      </c>
      <c r="P2" s="2" t="s">
        <v>31</v>
      </c>
      <c r="Q2" s="2" t="s">
        <v>32</v>
      </c>
      <c r="R2" s="2">
        <v>7</v>
      </c>
      <c r="S2" s="2" t="s">
        <v>33</v>
      </c>
      <c r="T2" s="2">
        <v>3608</v>
      </c>
      <c r="U2" s="2">
        <v>12</v>
      </c>
      <c r="V2" s="2"/>
    </row>
    <row r="3" spans="1:22" x14ac:dyDescent="0.35">
      <c r="A3" s="3" t="s">
        <v>34</v>
      </c>
      <c r="B3" s="3" t="s">
        <v>35</v>
      </c>
      <c r="C3" s="3" t="s">
        <v>36</v>
      </c>
      <c r="D3" s="3" t="s">
        <v>37</v>
      </c>
      <c r="E3" s="3" t="s">
        <v>26</v>
      </c>
      <c r="F3" s="3" t="s">
        <v>38</v>
      </c>
      <c r="G3" s="3" t="s">
        <v>39</v>
      </c>
      <c r="H3" s="3" t="s">
        <v>40</v>
      </c>
      <c r="I3" s="3" t="s">
        <v>41</v>
      </c>
      <c r="J3" s="3">
        <v>468</v>
      </c>
      <c r="K3" s="3">
        <v>471.51</v>
      </c>
      <c r="L3" s="3">
        <v>772.78</v>
      </c>
      <c r="M3" s="3">
        <v>361661.04</v>
      </c>
      <c r="N3" s="3">
        <v>220666.68</v>
      </c>
      <c r="O3" s="3">
        <v>140994.35999999999</v>
      </c>
      <c r="P3" s="3" t="s">
        <v>42</v>
      </c>
      <c r="Q3" s="3" t="s">
        <v>32</v>
      </c>
      <c r="R3" s="3">
        <v>8</v>
      </c>
      <c r="S3" s="3" t="s">
        <v>43</v>
      </c>
      <c r="T3" s="3">
        <v>378</v>
      </c>
      <c r="U3" s="3">
        <v>3</v>
      </c>
      <c r="V3" s="3"/>
    </row>
    <row r="4" spans="1:22" x14ac:dyDescent="0.35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41</v>
      </c>
      <c r="J4" s="2">
        <v>258</v>
      </c>
      <c r="K4" s="2">
        <v>1050.0899999999999</v>
      </c>
      <c r="L4" s="2">
        <v>1307.23</v>
      </c>
      <c r="M4" s="2">
        <v>337265.34</v>
      </c>
      <c r="N4" s="2">
        <v>270923.21999999997</v>
      </c>
      <c r="O4" s="2">
        <v>66342.12</v>
      </c>
      <c r="P4" s="2" t="s">
        <v>52</v>
      </c>
      <c r="Q4" s="2" t="s">
        <v>32</v>
      </c>
      <c r="R4" s="2">
        <v>14</v>
      </c>
      <c r="S4" s="2" t="s">
        <v>53</v>
      </c>
      <c r="T4" s="2">
        <v>455</v>
      </c>
      <c r="U4" s="2">
        <v>9</v>
      </c>
      <c r="V4" s="2"/>
    </row>
    <row r="5" spans="1:22" x14ac:dyDescent="0.3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>
        <v>614</v>
      </c>
      <c r="K5" s="3">
        <v>395.82</v>
      </c>
      <c r="L5" s="3">
        <v>443.75</v>
      </c>
      <c r="M5" s="3">
        <v>272462.5</v>
      </c>
      <c r="N5" s="3">
        <v>243033.48</v>
      </c>
      <c r="O5" s="3">
        <v>29429.02</v>
      </c>
      <c r="P5" s="3" t="s">
        <v>31</v>
      </c>
      <c r="Q5" s="3" t="s">
        <v>63</v>
      </c>
      <c r="R5" s="3">
        <v>3</v>
      </c>
      <c r="S5" s="3" t="s">
        <v>53</v>
      </c>
      <c r="T5" s="3">
        <v>3245</v>
      </c>
      <c r="U5" s="3">
        <v>11</v>
      </c>
      <c r="V5" s="3"/>
    </row>
    <row r="6" spans="1:22" x14ac:dyDescent="0.35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72</v>
      </c>
      <c r="J6" s="2">
        <v>202</v>
      </c>
      <c r="K6" s="2">
        <v>288.91000000000003</v>
      </c>
      <c r="L6" s="2">
        <v>371.69</v>
      </c>
      <c r="M6" s="2">
        <v>75081.38</v>
      </c>
      <c r="N6" s="2">
        <v>58359.82</v>
      </c>
      <c r="O6" s="2">
        <v>16721.560000000001</v>
      </c>
      <c r="P6" s="2" t="s">
        <v>31</v>
      </c>
      <c r="Q6" s="2" t="s">
        <v>63</v>
      </c>
      <c r="R6" s="2">
        <v>3</v>
      </c>
      <c r="S6" s="2" t="s">
        <v>33</v>
      </c>
      <c r="T6" s="2">
        <v>102</v>
      </c>
      <c r="U6" s="2">
        <v>7</v>
      </c>
      <c r="V6" s="2"/>
    </row>
    <row r="7" spans="1:22" x14ac:dyDescent="0.35">
      <c r="A7" s="3" t="s">
        <v>73</v>
      </c>
      <c r="B7" s="3" t="s">
        <v>74</v>
      </c>
      <c r="C7" s="3" t="s">
        <v>75</v>
      </c>
      <c r="D7" s="3" t="s">
        <v>76</v>
      </c>
      <c r="E7" s="3" t="s">
        <v>26</v>
      </c>
      <c r="F7" s="3" t="s">
        <v>77</v>
      </c>
      <c r="G7" s="3" t="s">
        <v>78</v>
      </c>
      <c r="H7" s="3" t="s">
        <v>79</v>
      </c>
      <c r="I7" s="3" t="s">
        <v>62</v>
      </c>
      <c r="J7" s="3">
        <v>621</v>
      </c>
      <c r="K7" s="3">
        <v>610.44000000000005</v>
      </c>
      <c r="L7" s="3">
        <v>704.39</v>
      </c>
      <c r="M7" s="3">
        <v>437426.19</v>
      </c>
      <c r="N7" s="3">
        <v>379083.24</v>
      </c>
      <c r="O7" s="3">
        <v>58342.95</v>
      </c>
      <c r="P7" s="3" t="s">
        <v>52</v>
      </c>
      <c r="Q7" s="3" t="s">
        <v>32</v>
      </c>
      <c r="R7" s="3">
        <v>6</v>
      </c>
      <c r="S7" s="3" t="s">
        <v>53</v>
      </c>
      <c r="T7" s="3">
        <v>1921</v>
      </c>
      <c r="U7" s="3">
        <v>2</v>
      </c>
      <c r="V7" s="3"/>
    </row>
    <row r="8" spans="1:22" x14ac:dyDescent="0.35">
      <c r="A8" s="2" t="s">
        <v>80</v>
      </c>
      <c r="B8" s="2" t="s">
        <v>81</v>
      </c>
      <c r="C8" s="2" t="s">
        <v>82</v>
      </c>
      <c r="D8" s="2" t="s">
        <v>83</v>
      </c>
      <c r="E8" s="2" t="s">
        <v>26</v>
      </c>
      <c r="F8" s="2" t="s">
        <v>77</v>
      </c>
      <c r="G8" s="2" t="s">
        <v>70</v>
      </c>
      <c r="H8" s="2" t="s">
        <v>84</v>
      </c>
      <c r="I8" s="2" t="s">
        <v>85</v>
      </c>
      <c r="J8" s="2">
        <v>631</v>
      </c>
      <c r="K8" s="2">
        <v>777.66</v>
      </c>
      <c r="L8" s="2">
        <v>941.45</v>
      </c>
      <c r="M8" s="2">
        <v>594054.94999999995</v>
      </c>
      <c r="N8" s="2">
        <v>490703.46</v>
      </c>
      <c r="O8" s="2">
        <v>103351.49</v>
      </c>
      <c r="P8" s="2" t="s">
        <v>52</v>
      </c>
      <c r="Q8" s="2" t="s">
        <v>32</v>
      </c>
      <c r="R8" s="2">
        <v>12</v>
      </c>
      <c r="S8" s="2" t="s">
        <v>86</v>
      </c>
      <c r="T8" s="4">
        <f ca="1">AVERAGE(T2:T2091)</f>
        <v>0</v>
      </c>
      <c r="U8" s="2">
        <v>2</v>
      </c>
      <c r="V8" s="2"/>
    </row>
    <row r="9" spans="1:22" x14ac:dyDescent="0.35">
      <c r="A9" s="3" t="s">
        <v>88</v>
      </c>
      <c r="B9" s="3" t="s">
        <v>89</v>
      </c>
      <c r="C9" s="3" t="s">
        <v>90</v>
      </c>
      <c r="D9" s="3" t="s">
        <v>91</v>
      </c>
      <c r="E9" s="3" t="s">
        <v>26</v>
      </c>
      <c r="F9" s="3" t="s">
        <v>92</v>
      </c>
      <c r="G9" s="3" t="s">
        <v>93</v>
      </c>
      <c r="H9" s="3" t="s">
        <v>94</v>
      </c>
      <c r="I9" s="3" t="s">
        <v>72</v>
      </c>
      <c r="J9" s="3">
        <v>772</v>
      </c>
      <c r="K9" s="3">
        <v>242</v>
      </c>
      <c r="L9" s="3">
        <v>350.4</v>
      </c>
      <c r="M9" s="3">
        <v>270508.79999999999</v>
      </c>
      <c r="N9" s="3">
        <v>186824</v>
      </c>
      <c r="O9" s="3">
        <v>83684.800000000003</v>
      </c>
      <c r="P9" s="3" t="s">
        <v>95</v>
      </c>
      <c r="Q9" s="3" t="s">
        <v>63</v>
      </c>
      <c r="R9" s="3">
        <v>1</v>
      </c>
      <c r="S9" s="3" t="s">
        <v>53</v>
      </c>
      <c r="T9" s="3">
        <v>1333</v>
      </c>
      <c r="U9" s="3">
        <v>30</v>
      </c>
      <c r="V9" s="3"/>
    </row>
    <row r="10" spans="1:22" x14ac:dyDescent="0.3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78</v>
      </c>
      <c r="H10" s="2" t="s">
        <v>79</v>
      </c>
      <c r="I10" s="4"/>
      <c r="J10" s="2">
        <v>332</v>
      </c>
      <c r="K10" s="2">
        <v>962.44</v>
      </c>
      <c r="L10" s="2">
        <v>1225.58</v>
      </c>
      <c r="M10" s="2">
        <v>406892.56</v>
      </c>
      <c r="N10" s="2">
        <v>319530.08</v>
      </c>
      <c r="O10" s="2">
        <v>87362.48</v>
      </c>
      <c r="P10" s="2" t="s">
        <v>42</v>
      </c>
      <c r="Q10" s="2" t="s">
        <v>32</v>
      </c>
      <c r="R10" s="2">
        <v>11</v>
      </c>
      <c r="S10" s="2" t="s">
        <v>33</v>
      </c>
      <c r="T10" s="2">
        <v>3581</v>
      </c>
      <c r="U10" s="2">
        <v>11</v>
      </c>
      <c r="V10" s="2"/>
    </row>
    <row r="11" spans="1:22" x14ac:dyDescent="0.35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100</v>
      </c>
      <c r="F11" s="3" t="s">
        <v>106</v>
      </c>
      <c r="G11" s="3" t="s">
        <v>50</v>
      </c>
      <c r="H11" s="3" t="s">
        <v>107</v>
      </c>
      <c r="I11" s="3" t="s">
        <v>30</v>
      </c>
      <c r="J11" s="3">
        <v>168</v>
      </c>
      <c r="K11" s="3">
        <v>852.33</v>
      </c>
      <c r="L11" s="3">
        <v>1016.61</v>
      </c>
      <c r="M11" s="3">
        <v>170790.48</v>
      </c>
      <c r="N11" s="3">
        <v>143191.44</v>
      </c>
      <c r="O11" s="3">
        <v>27599.040000000001</v>
      </c>
      <c r="P11" s="3" t="s">
        <v>95</v>
      </c>
      <c r="Q11" s="3" t="s">
        <v>63</v>
      </c>
      <c r="R11" s="3">
        <v>1</v>
      </c>
      <c r="S11" s="3" t="s">
        <v>43</v>
      </c>
      <c r="T11" s="3">
        <v>1772</v>
      </c>
      <c r="U11" s="3">
        <v>2</v>
      </c>
      <c r="V11" s="3"/>
    </row>
    <row r="12" spans="1:22" x14ac:dyDescent="0.35">
      <c r="A12" s="2" t="s">
        <v>108</v>
      </c>
      <c r="B12" s="2" t="s">
        <v>109</v>
      </c>
      <c r="C12" s="2" t="s">
        <v>109</v>
      </c>
      <c r="D12" s="2" t="s">
        <v>110</v>
      </c>
      <c r="E12" s="2" t="s">
        <v>26</v>
      </c>
      <c r="F12" s="2" t="s">
        <v>38</v>
      </c>
      <c r="G12" s="2" t="s">
        <v>28</v>
      </c>
      <c r="H12" s="2" t="s">
        <v>111</v>
      </c>
      <c r="I12" s="2" t="s">
        <v>62</v>
      </c>
      <c r="J12" s="2">
        <v>695</v>
      </c>
      <c r="K12" s="2">
        <v>1052.8499999999999</v>
      </c>
      <c r="L12" s="2">
        <v>1576.58</v>
      </c>
      <c r="M12" s="2">
        <v>1095723.1000000001</v>
      </c>
      <c r="N12" s="2">
        <v>731730.75</v>
      </c>
      <c r="O12" s="2">
        <v>363992.35</v>
      </c>
      <c r="P12" s="2" t="s">
        <v>95</v>
      </c>
      <c r="Q12" s="2" t="s">
        <v>63</v>
      </c>
      <c r="R12" s="2">
        <v>3</v>
      </c>
      <c r="S12" s="2" t="s">
        <v>112</v>
      </c>
      <c r="T12" s="2">
        <v>1821</v>
      </c>
      <c r="U12" s="2">
        <v>19</v>
      </c>
      <c r="V12" s="2"/>
    </row>
    <row r="13" spans="1:22" x14ac:dyDescent="0.35">
      <c r="A13" s="3" t="s">
        <v>113</v>
      </c>
      <c r="B13" s="3" t="s">
        <v>23</v>
      </c>
      <c r="C13" s="3" t="s">
        <v>114</v>
      </c>
      <c r="D13" s="3" t="s">
        <v>115</v>
      </c>
      <c r="E13" s="3" t="s">
        <v>58</v>
      </c>
      <c r="F13" s="3" t="s">
        <v>116</v>
      </c>
      <c r="G13" s="3" t="s">
        <v>50</v>
      </c>
      <c r="H13" s="3" t="s">
        <v>117</v>
      </c>
      <c r="I13" s="3" t="s">
        <v>118</v>
      </c>
      <c r="J13" s="3">
        <v>475</v>
      </c>
      <c r="K13" s="3">
        <v>466.42</v>
      </c>
      <c r="L13" s="3">
        <v>724.68</v>
      </c>
      <c r="M13" s="3">
        <v>344223</v>
      </c>
      <c r="N13" s="3">
        <v>221549.5</v>
      </c>
      <c r="O13" s="3">
        <v>122673.5</v>
      </c>
      <c r="P13" s="3" t="s">
        <v>42</v>
      </c>
      <c r="Q13" s="3" t="s">
        <v>63</v>
      </c>
      <c r="R13" s="3">
        <v>3</v>
      </c>
      <c r="S13" s="3" t="s">
        <v>86</v>
      </c>
      <c r="T13" s="3">
        <v>3391</v>
      </c>
      <c r="U13" s="3">
        <v>13</v>
      </c>
      <c r="V13" s="3"/>
    </row>
    <row r="14" spans="1:22" x14ac:dyDescent="0.35">
      <c r="A14" s="2" t="s">
        <v>119</v>
      </c>
      <c r="B14" s="2" t="s">
        <v>23</v>
      </c>
      <c r="C14" s="2" t="s">
        <v>120</v>
      </c>
      <c r="D14" s="2" t="s">
        <v>121</v>
      </c>
      <c r="E14" s="2" t="s">
        <v>58</v>
      </c>
      <c r="F14" s="2" t="s">
        <v>122</v>
      </c>
      <c r="G14" s="2" t="s">
        <v>78</v>
      </c>
      <c r="H14" s="2" t="s">
        <v>123</v>
      </c>
      <c r="I14" s="2" t="s">
        <v>124</v>
      </c>
      <c r="J14" s="2">
        <v>615</v>
      </c>
      <c r="K14" s="2">
        <v>421.92</v>
      </c>
      <c r="L14" s="2">
        <v>510.14</v>
      </c>
      <c r="M14" s="2">
        <v>313736.09999999998</v>
      </c>
      <c r="N14" s="2">
        <v>259480.8</v>
      </c>
      <c r="O14" s="2">
        <v>54255.3</v>
      </c>
      <c r="P14" s="2" t="s">
        <v>95</v>
      </c>
      <c r="Q14" s="2" t="s">
        <v>32</v>
      </c>
      <c r="R14" s="2">
        <v>8</v>
      </c>
      <c r="S14" s="2" t="s">
        <v>43</v>
      </c>
      <c r="T14" s="2">
        <v>644</v>
      </c>
      <c r="U14" s="2">
        <v>8</v>
      </c>
      <c r="V14" s="2"/>
    </row>
    <row r="15" spans="1:22" x14ac:dyDescent="0.35">
      <c r="A15" s="3" t="s">
        <v>125</v>
      </c>
      <c r="B15" s="3" t="s">
        <v>126</v>
      </c>
      <c r="C15" s="3" t="s">
        <v>127</v>
      </c>
      <c r="D15" s="3" t="s">
        <v>128</v>
      </c>
      <c r="E15" s="3" t="s">
        <v>26</v>
      </c>
      <c r="F15" s="3" t="s">
        <v>27</v>
      </c>
      <c r="G15" s="3" t="s">
        <v>129</v>
      </c>
      <c r="H15" s="3" t="s">
        <v>130</v>
      </c>
      <c r="I15" s="3" t="s">
        <v>72</v>
      </c>
      <c r="J15" s="3">
        <v>38</v>
      </c>
      <c r="K15" s="3">
        <v>302.95</v>
      </c>
      <c r="L15" s="3">
        <v>397.64</v>
      </c>
      <c r="M15" s="3">
        <v>15110.32</v>
      </c>
      <c r="N15" s="3">
        <v>11512.1</v>
      </c>
      <c r="O15" s="3">
        <v>3598.22</v>
      </c>
      <c r="P15" s="3" t="s">
        <v>52</v>
      </c>
      <c r="Q15" s="3" t="s">
        <v>32</v>
      </c>
      <c r="R15" s="3">
        <v>7</v>
      </c>
      <c r="S15" s="3" t="s">
        <v>112</v>
      </c>
      <c r="T15" s="3">
        <v>2791</v>
      </c>
      <c r="U15" s="3">
        <v>0</v>
      </c>
      <c r="V15" s="3"/>
    </row>
    <row r="16" spans="1:22" x14ac:dyDescent="0.35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26</v>
      </c>
      <c r="F16" s="2" t="s">
        <v>92</v>
      </c>
      <c r="G16" s="2" t="s">
        <v>50</v>
      </c>
      <c r="H16" s="2" t="s">
        <v>135</v>
      </c>
      <c r="I16" s="2" t="s">
        <v>118</v>
      </c>
      <c r="J16" s="2">
        <v>528</v>
      </c>
      <c r="K16" s="2">
        <v>726.5</v>
      </c>
      <c r="L16" s="2">
        <v>949.66</v>
      </c>
      <c r="M16" s="2">
        <v>501420.48</v>
      </c>
      <c r="N16" s="2">
        <v>383592</v>
      </c>
      <c r="O16" s="2">
        <v>117828.48</v>
      </c>
      <c r="P16" s="2" t="s">
        <v>52</v>
      </c>
      <c r="Q16" s="2" t="s">
        <v>32</v>
      </c>
      <c r="R16" s="2">
        <v>11</v>
      </c>
      <c r="S16" s="2" t="s">
        <v>53</v>
      </c>
      <c r="T16" s="2">
        <v>1405</v>
      </c>
      <c r="U16" s="2">
        <v>9</v>
      </c>
      <c r="V16" s="2"/>
    </row>
    <row r="17" spans="1:22" x14ac:dyDescent="0.35">
      <c r="A17" s="3" t="s">
        <v>136</v>
      </c>
      <c r="B17" s="3" t="s">
        <v>137</v>
      </c>
      <c r="C17" s="3" t="s">
        <v>138</v>
      </c>
      <c r="D17" s="3" t="s">
        <v>139</v>
      </c>
      <c r="E17" s="3" t="s">
        <v>48</v>
      </c>
      <c r="F17" s="3" t="s">
        <v>49</v>
      </c>
      <c r="G17" s="3" t="s">
        <v>93</v>
      </c>
      <c r="H17" s="3" t="s">
        <v>140</v>
      </c>
      <c r="I17" s="3" t="s">
        <v>141</v>
      </c>
      <c r="J17" s="3">
        <v>378</v>
      </c>
      <c r="K17" s="3">
        <v>254.38</v>
      </c>
      <c r="L17" s="3">
        <v>373.56</v>
      </c>
      <c r="M17" s="3">
        <v>141205.68</v>
      </c>
      <c r="N17" s="3">
        <v>96155.64</v>
      </c>
      <c r="O17" s="3">
        <v>45050.04</v>
      </c>
      <c r="P17" s="3" t="s">
        <v>42</v>
      </c>
      <c r="Q17" s="3" t="s">
        <v>32</v>
      </c>
      <c r="R17" s="3">
        <v>13</v>
      </c>
      <c r="S17" s="3" t="s">
        <v>43</v>
      </c>
      <c r="T17" s="3">
        <v>3962</v>
      </c>
      <c r="U17" s="3">
        <v>2</v>
      </c>
      <c r="V17" s="3"/>
    </row>
    <row r="18" spans="1:22" x14ac:dyDescent="0.35">
      <c r="A18" s="2" t="s">
        <v>142</v>
      </c>
      <c r="B18" s="2" t="s">
        <v>143</v>
      </c>
      <c r="C18" s="2" t="s">
        <v>144</v>
      </c>
      <c r="D18" s="2" t="s">
        <v>145</v>
      </c>
      <c r="E18" s="2" t="s">
        <v>68</v>
      </c>
      <c r="F18" s="2" t="s">
        <v>146</v>
      </c>
      <c r="G18" s="2" t="s">
        <v>39</v>
      </c>
      <c r="H18" s="2" t="s">
        <v>147</v>
      </c>
      <c r="I18" s="2" t="s">
        <v>124</v>
      </c>
      <c r="J18" s="2">
        <v>624</v>
      </c>
      <c r="K18" s="2">
        <v>693.16</v>
      </c>
      <c r="L18" s="2">
        <v>1000.75</v>
      </c>
      <c r="M18" s="2">
        <v>624468</v>
      </c>
      <c r="N18" s="2">
        <v>432531.84</v>
      </c>
      <c r="O18" s="2">
        <v>191936.16</v>
      </c>
      <c r="P18" s="2" t="s">
        <v>42</v>
      </c>
      <c r="Q18" s="2" t="s">
        <v>32</v>
      </c>
      <c r="R18" s="2">
        <v>13</v>
      </c>
      <c r="S18" s="2" t="s">
        <v>43</v>
      </c>
      <c r="T18" s="2">
        <v>3233</v>
      </c>
      <c r="U18" s="2">
        <v>14</v>
      </c>
      <c r="V18" s="2"/>
    </row>
    <row r="19" spans="1:22" x14ac:dyDescent="0.35">
      <c r="A19" s="3" t="s">
        <v>148</v>
      </c>
      <c r="B19" s="3" t="s">
        <v>149</v>
      </c>
      <c r="C19" s="3" t="s">
        <v>150</v>
      </c>
      <c r="D19" s="3" t="s">
        <v>151</v>
      </c>
      <c r="E19" s="3" t="s">
        <v>68</v>
      </c>
      <c r="F19" s="3" t="s">
        <v>146</v>
      </c>
      <c r="G19" s="3" t="s">
        <v>129</v>
      </c>
      <c r="H19" s="3" t="s">
        <v>152</v>
      </c>
      <c r="I19" s="3" t="s">
        <v>153</v>
      </c>
      <c r="J19" s="3">
        <v>770</v>
      </c>
      <c r="K19" s="3">
        <v>75.05</v>
      </c>
      <c r="L19" s="3">
        <v>102.33</v>
      </c>
      <c r="M19" s="3">
        <v>78794.100000000006</v>
      </c>
      <c r="N19" s="3">
        <v>57788.5</v>
      </c>
      <c r="O19" s="3">
        <v>21005.599999999999</v>
      </c>
      <c r="P19" s="3" t="s">
        <v>42</v>
      </c>
      <c r="Q19" s="3" t="s">
        <v>32</v>
      </c>
      <c r="R19" s="3">
        <v>13</v>
      </c>
      <c r="S19" s="3" t="s">
        <v>112</v>
      </c>
      <c r="T19" s="3">
        <v>1983</v>
      </c>
      <c r="U19" s="3">
        <v>23</v>
      </c>
      <c r="V19" s="3"/>
    </row>
    <row r="20" spans="1:22" x14ac:dyDescent="0.35">
      <c r="A20" s="2" t="s">
        <v>154</v>
      </c>
      <c r="B20" s="2" t="s">
        <v>155</v>
      </c>
      <c r="C20" s="2" t="s">
        <v>156</v>
      </c>
      <c r="D20" s="2" t="s">
        <v>157</v>
      </c>
      <c r="E20" s="2" t="s">
        <v>100</v>
      </c>
      <c r="F20" s="2" t="s">
        <v>101</v>
      </c>
      <c r="G20" s="2" t="s">
        <v>50</v>
      </c>
      <c r="H20" s="2" t="s">
        <v>135</v>
      </c>
      <c r="I20" s="2" t="s">
        <v>85</v>
      </c>
      <c r="J20" s="2">
        <v>760</v>
      </c>
      <c r="K20" s="2">
        <v>976.83</v>
      </c>
      <c r="L20" s="2">
        <v>1344.36</v>
      </c>
      <c r="M20" s="2">
        <v>1021713.6</v>
      </c>
      <c r="N20" s="2">
        <v>742390.8</v>
      </c>
      <c r="O20" s="2">
        <v>279322.8</v>
      </c>
      <c r="P20" s="2" t="s">
        <v>52</v>
      </c>
      <c r="Q20" s="2" t="s">
        <v>32</v>
      </c>
      <c r="R20" s="2">
        <v>8</v>
      </c>
      <c r="S20" s="2" t="s">
        <v>158</v>
      </c>
      <c r="T20" s="2">
        <v>697</v>
      </c>
      <c r="U20" s="2">
        <v>27</v>
      </c>
      <c r="V20" s="2"/>
    </row>
    <row r="21" spans="1:22" x14ac:dyDescent="0.35">
      <c r="A21" s="3" t="s">
        <v>159</v>
      </c>
      <c r="B21" s="3" t="s">
        <v>160</v>
      </c>
      <c r="C21" s="3" t="s">
        <v>161</v>
      </c>
      <c r="D21" s="3" t="s">
        <v>162</v>
      </c>
      <c r="E21" s="3" t="s">
        <v>68</v>
      </c>
      <c r="F21" s="3" t="s">
        <v>163</v>
      </c>
      <c r="G21" s="3" t="s">
        <v>60</v>
      </c>
      <c r="H21" s="3" t="s">
        <v>164</v>
      </c>
      <c r="I21" s="3" t="s">
        <v>153</v>
      </c>
      <c r="J21" s="3">
        <v>104</v>
      </c>
      <c r="K21" s="3">
        <v>471.16</v>
      </c>
      <c r="L21" s="3">
        <v>654.46</v>
      </c>
      <c r="M21" s="3">
        <v>68063.839999999997</v>
      </c>
      <c r="N21" s="3">
        <v>49000.639999999999</v>
      </c>
      <c r="O21" s="3">
        <v>19063.2</v>
      </c>
      <c r="P21" s="3" t="s">
        <v>31</v>
      </c>
      <c r="Q21" s="3" t="s">
        <v>32</v>
      </c>
      <c r="R21" s="3">
        <v>6</v>
      </c>
      <c r="S21" s="3" t="s">
        <v>158</v>
      </c>
      <c r="T21" s="3">
        <v>4501</v>
      </c>
      <c r="U21" s="3">
        <v>5</v>
      </c>
      <c r="V21" s="3"/>
    </row>
    <row r="22" spans="1:22" x14ac:dyDescent="0.35">
      <c r="A22" s="2" t="s">
        <v>165</v>
      </c>
      <c r="B22" s="2" t="s">
        <v>46</v>
      </c>
      <c r="C22" s="2" t="s">
        <v>166</v>
      </c>
      <c r="D22" s="2" t="s">
        <v>167</v>
      </c>
      <c r="E22" s="2" t="s">
        <v>26</v>
      </c>
      <c r="F22" s="2" t="s">
        <v>92</v>
      </c>
      <c r="G22" s="2" t="s">
        <v>129</v>
      </c>
      <c r="H22" s="2" t="s">
        <v>168</v>
      </c>
      <c r="I22" s="2" t="s">
        <v>118</v>
      </c>
      <c r="J22" s="2">
        <v>193</v>
      </c>
      <c r="K22" s="2">
        <v>1060.8900000000001</v>
      </c>
      <c r="L22" s="2">
        <v>1483.86</v>
      </c>
      <c r="M22" s="2">
        <v>286384.98</v>
      </c>
      <c r="N22" s="2">
        <v>204751.77</v>
      </c>
      <c r="O22" s="2">
        <v>81633.210000000006</v>
      </c>
      <c r="P22" s="2" t="s">
        <v>42</v>
      </c>
      <c r="Q22" s="2" t="s">
        <v>32</v>
      </c>
      <c r="R22" s="2">
        <v>14</v>
      </c>
      <c r="S22" s="2" t="s">
        <v>158</v>
      </c>
      <c r="T22" s="2">
        <v>2906</v>
      </c>
      <c r="U22" s="2">
        <v>4</v>
      </c>
      <c r="V22" s="2"/>
    </row>
    <row r="23" spans="1:22" x14ac:dyDescent="0.35">
      <c r="A23" s="3" t="s">
        <v>169</v>
      </c>
      <c r="B23" s="3" t="s">
        <v>170</v>
      </c>
      <c r="C23" s="3" t="s">
        <v>171</v>
      </c>
      <c r="D23" s="3" t="s">
        <v>172</v>
      </c>
      <c r="E23" s="3" t="s">
        <v>58</v>
      </c>
      <c r="F23" s="3" t="s">
        <v>122</v>
      </c>
      <c r="G23" s="3" t="s">
        <v>50</v>
      </c>
      <c r="H23" s="3" t="s">
        <v>173</v>
      </c>
      <c r="I23" s="4"/>
      <c r="J23" s="3">
        <v>14</v>
      </c>
      <c r="K23" s="3">
        <v>777.33</v>
      </c>
      <c r="L23" s="3">
        <v>999</v>
      </c>
      <c r="M23" s="3">
        <v>13986</v>
      </c>
      <c r="N23" s="3">
        <v>10882.62</v>
      </c>
      <c r="O23" s="3">
        <v>3103.38</v>
      </c>
      <c r="P23" s="3" t="s">
        <v>52</v>
      </c>
      <c r="Q23" s="3" t="s">
        <v>32</v>
      </c>
      <c r="R23" s="3">
        <v>15</v>
      </c>
      <c r="S23" s="3" t="s">
        <v>86</v>
      </c>
      <c r="T23" s="3">
        <v>98</v>
      </c>
      <c r="U23" s="3">
        <v>0</v>
      </c>
      <c r="V23" s="3"/>
    </row>
    <row r="24" spans="1:22" x14ac:dyDescent="0.35">
      <c r="A24" s="2" t="s">
        <v>174</v>
      </c>
      <c r="B24" s="2" t="s">
        <v>175</v>
      </c>
      <c r="C24" s="2" t="s">
        <v>176</v>
      </c>
      <c r="D24" s="2" t="s">
        <v>177</v>
      </c>
      <c r="E24" s="2" t="s">
        <v>100</v>
      </c>
      <c r="F24" s="2" t="s">
        <v>101</v>
      </c>
      <c r="G24" s="2" t="s">
        <v>78</v>
      </c>
      <c r="H24" s="2" t="s">
        <v>178</v>
      </c>
      <c r="I24" s="2" t="s">
        <v>118</v>
      </c>
      <c r="J24" s="2">
        <v>435</v>
      </c>
      <c r="K24" s="2">
        <v>105.15</v>
      </c>
      <c r="L24" s="2">
        <v>143.38</v>
      </c>
      <c r="M24" s="2">
        <v>62370.3</v>
      </c>
      <c r="N24" s="2">
        <v>45740.25</v>
      </c>
      <c r="O24" s="2">
        <v>16630.05</v>
      </c>
      <c r="P24" s="2" t="s">
        <v>42</v>
      </c>
      <c r="Q24" s="2" t="s">
        <v>32</v>
      </c>
      <c r="R24" s="2">
        <v>13</v>
      </c>
      <c r="S24" s="2" t="s">
        <v>33</v>
      </c>
      <c r="T24" s="2">
        <v>4746</v>
      </c>
      <c r="U24" s="2">
        <v>15</v>
      </c>
      <c r="V24" s="2"/>
    </row>
    <row r="25" spans="1:22" x14ac:dyDescent="0.35">
      <c r="A25" s="3" t="s">
        <v>179</v>
      </c>
      <c r="B25" s="3" t="s">
        <v>180</v>
      </c>
      <c r="C25" s="3" t="s">
        <v>181</v>
      </c>
      <c r="D25" s="3" t="s">
        <v>182</v>
      </c>
      <c r="E25" s="3" t="s">
        <v>48</v>
      </c>
      <c r="F25" s="3" t="s">
        <v>183</v>
      </c>
      <c r="G25" s="3" t="s">
        <v>93</v>
      </c>
      <c r="H25" s="3" t="s">
        <v>184</v>
      </c>
      <c r="I25" s="3" t="s">
        <v>30</v>
      </c>
      <c r="J25" s="3">
        <v>324</v>
      </c>
      <c r="K25" s="3">
        <v>1154.55</v>
      </c>
      <c r="L25" s="3">
        <v>1461.33</v>
      </c>
      <c r="M25" s="3">
        <v>473470.92</v>
      </c>
      <c r="N25" s="3">
        <v>374074.2</v>
      </c>
      <c r="O25" s="3">
        <v>99396.72</v>
      </c>
      <c r="P25" s="3" t="s">
        <v>95</v>
      </c>
      <c r="Q25" s="3" t="s">
        <v>32</v>
      </c>
      <c r="R25" s="3">
        <v>9</v>
      </c>
      <c r="S25" s="3" t="s">
        <v>112</v>
      </c>
      <c r="T25" s="3">
        <v>196</v>
      </c>
      <c r="U25" s="3">
        <v>9</v>
      </c>
      <c r="V25" s="3"/>
    </row>
    <row r="26" spans="1:22" x14ac:dyDescent="0.35">
      <c r="A26" s="2" t="s">
        <v>185</v>
      </c>
      <c r="B26" s="2" t="s">
        <v>186</v>
      </c>
      <c r="C26" s="2" t="s">
        <v>187</v>
      </c>
      <c r="D26" s="2" t="s">
        <v>188</v>
      </c>
      <c r="E26" s="2" t="s">
        <v>26</v>
      </c>
      <c r="F26" s="2" t="s">
        <v>77</v>
      </c>
      <c r="G26" s="2" t="s">
        <v>189</v>
      </c>
      <c r="H26" s="2" t="s">
        <v>190</v>
      </c>
      <c r="I26" s="2" t="s">
        <v>191</v>
      </c>
      <c r="J26" s="2">
        <v>327</v>
      </c>
      <c r="K26" s="2">
        <v>317.5</v>
      </c>
      <c r="L26" s="2">
        <v>444.43</v>
      </c>
      <c r="M26" s="2">
        <v>145328.60999999999</v>
      </c>
      <c r="N26" s="2">
        <v>103822.5</v>
      </c>
      <c r="O26" s="2">
        <v>41506.11</v>
      </c>
      <c r="P26" s="2" t="s">
        <v>52</v>
      </c>
      <c r="Q26" s="4"/>
      <c r="R26" s="2">
        <v>6</v>
      </c>
      <c r="S26" s="2" t="s">
        <v>33</v>
      </c>
      <c r="T26" s="2">
        <v>3901</v>
      </c>
      <c r="U26" s="2">
        <v>12</v>
      </c>
      <c r="V26" s="2"/>
    </row>
    <row r="27" spans="1:22" x14ac:dyDescent="0.35">
      <c r="A27" s="3" t="s">
        <v>192</v>
      </c>
      <c r="B27" s="3" t="s">
        <v>193</v>
      </c>
      <c r="C27" s="3" t="s">
        <v>194</v>
      </c>
      <c r="D27" s="3" t="s">
        <v>195</v>
      </c>
      <c r="E27" s="3" t="s">
        <v>26</v>
      </c>
      <c r="F27" s="3" t="s">
        <v>27</v>
      </c>
      <c r="G27" s="3" t="s">
        <v>50</v>
      </c>
      <c r="H27" s="3" t="s">
        <v>51</v>
      </c>
      <c r="I27" s="3" t="s">
        <v>30</v>
      </c>
      <c r="J27" s="3">
        <v>665</v>
      </c>
      <c r="K27" s="3">
        <v>61.73</v>
      </c>
      <c r="L27" s="3">
        <v>84.3</v>
      </c>
      <c r="M27" s="3">
        <v>56059.5</v>
      </c>
      <c r="N27" s="3">
        <v>41050.449999999997</v>
      </c>
      <c r="O27" s="3">
        <v>15009.05</v>
      </c>
      <c r="P27" s="3" t="s">
        <v>95</v>
      </c>
      <c r="Q27" s="3" t="s">
        <v>63</v>
      </c>
      <c r="R27" s="3">
        <v>3</v>
      </c>
      <c r="S27" s="3" t="s">
        <v>112</v>
      </c>
      <c r="T27" s="3">
        <v>2667</v>
      </c>
      <c r="U27" s="3">
        <v>24</v>
      </c>
      <c r="V27" s="3"/>
    </row>
    <row r="28" spans="1:22" x14ac:dyDescent="0.35">
      <c r="A28" s="2" t="s">
        <v>196</v>
      </c>
      <c r="B28" s="2" t="s">
        <v>197</v>
      </c>
      <c r="C28" s="2" t="s">
        <v>198</v>
      </c>
      <c r="D28" s="2" t="s">
        <v>199</v>
      </c>
      <c r="E28" s="2" t="s">
        <v>58</v>
      </c>
      <c r="F28" s="2" t="s">
        <v>59</v>
      </c>
      <c r="G28" s="2" t="s">
        <v>78</v>
      </c>
      <c r="H28" s="2" t="s">
        <v>178</v>
      </c>
      <c r="I28" s="4"/>
      <c r="J28" s="2">
        <v>448</v>
      </c>
      <c r="K28" s="2">
        <v>1194.73</v>
      </c>
      <c r="L28" s="2">
        <v>1729.65</v>
      </c>
      <c r="M28" s="2">
        <v>774883.2</v>
      </c>
      <c r="N28" s="2">
        <v>535239.04</v>
      </c>
      <c r="O28" s="2">
        <v>239644.16</v>
      </c>
      <c r="P28" s="2" t="s">
        <v>31</v>
      </c>
      <c r="Q28" s="2" t="s">
        <v>32</v>
      </c>
      <c r="R28" s="2">
        <v>12</v>
      </c>
      <c r="S28" s="2" t="s">
        <v>158</v>
      </c>
      <c r="T28" s="2">
        <v>2998</v>
      </c>
      <c r="U28" s="2">
        <v>3</v>
      </c>
      <c r="V28" s="2"/>
    </row>
    <row r="29" spans="1:22" x14ac:dyDescent="0.35">
      <c r="A29" s="3" t="s">
        <v>200</v>
      </c>
      <c r="B29" s="3" t="s">
        <v>201</v>
      </c>
      <c r="C29" s="3" t="s">
        <v>202</v>
      </c>
      <c r="D29" s="3" t="s">
        <v>203</v>
      </c>
      <c r="E29" s="3" t="s">
        <v>26</v>
      </c>
      <c r="F29" s="3" t="s">
        <v>92</v>
      </c>
      <c r="G29" s="3" t="s">
        <v>78</v>
      </c>
      <c r="H29" s="3" t="s">
        <v>178</v>
      </c>
      <c r="I29" s="3" t="s">
        <v>191</v>
      </c>
      <c r="J29" s="3">
        <v>425</v>
      </c>
      <c r="K29" s="3">
        <v>899.08</v>
      </c>
      <c r="L29" s="3">
        <v>1430.26</v>
      </c>
      <c r="M29" s="3">
        <v>607860.5</v>
      </c>
      <c r="N29" s="3">
        <v>382109</v>
      </c>
      <c r="O29" s="3">
        <v>225751.5</v>
      </c>
      <c r="P29" s="3" t="s">
        <v>31</v>
      </c>
      <c r="Q29" s="3" t="s">
        <v>63</v>
      </c>
      <c r="R29" s="3">
        <v>1</v>
      </c>
      <c r="S29" s="3" t="s">
        <v>86</v>
      </c>
      <c r="T29" s="3">
        <v>2</v>
      </c>
      <c r="U29" s="3">
        <v>1</v>
      </c>
      <c r="V29" s="3"/>
    </row>
    <row r="30" spans="1:22" x14ac:dyDescent="0.35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26</v>
      </c>
      <c r="F30" s="2" t="s">
        <v>92</v>
      </c>
      <c r="G30" s="2" t="s">
        <v>129</v>
      </c>
      <c r="H30" s="2" t="s">
        <v>152</v>
      </c>
      <c r="I30" s="2" t="s">
        <v>85</v>
      </c>
      <c r="J30" s="2">
        <v>36</v>
      </c>
      <c r="K30" s="2">
        <v>659.2</v>
      </c>
      <c r="L30" s="2">
        <v>1033.3599999999999</v>
      </c>
      <c r="M30" s="2">
        <v>37200.959999999999</v>
      </c>
      <c r="N30" s="2">
        <v>23731.200000000001</v>
      </c>
      <c r="O30" s="2">
        <v>13469.76</v>
      </c>
      <c r="P30" s="2" t="s">
        <v>95</v>
      </c>
      <c r="Q30" s="2" t="s">
        <v>32</v>
      </c>
      <c r="R30" s="2">
        <v>10</v>
      </c>
      <c r="S30" s="2" t="s">
        <v>112</v>
      </c>
      <c r="T30" s="2">
        <v>4956</v>
      </c>
      <c r="U30" s="2">
        <v>1</v>
      </c>
      <c r="V30" s="2"/>
    </row>
    <row r="31" spans="1:22" x14ac:dyDescent="0.35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26</v>
      </c>
      <c r="F31" s="3" t="s">
        <v>92</v>
      </c>
      <c r="G31" s="3" t="s">
        <v>28</v>
      </c>
      <c r="H31" s="3" t="s">
        <v>212</v>
      </c>
      <c r="I31" s="3" t="s">
        <v>85</v>
      </c>
      <c r="J31" s="3">
        <v>107</v>
      </c>
      <c r="K31" s="3">
        <v>1063.48</v>
      </c>
      <c r="L31" s="3">
        <v>1645.78</v>
      </c>
      <c r="M31" s="3">
        <v>176098.46</v>
      </c>
      <c r="N31" s="3">
        <v>113792.36</v>
      </c>
      <c r="O31" s="3">
        <v>62306.1</v>
      </c>
      <c r="P31" s="3" t="s">
        <v>52</v>
      </c>
      <c r="Q31" s="3" t="s">
        <v>32</v>
      </c>
      <c r="R31" s="3">
        <v>7</v>
      </c>
      <c r="S31" s="3" t="s">
        <v>112</v>
      </c>
      <c r="T31" s="3">
        <v>3505</v>
      </c>
      <c r="U31" s="3">
        <v>2</v>
      </c>
      <c r="V31" s="3"/>
    </row>
    <row r="32" spans="1:22" x14ac:dyDescent="0.35">
      <c r="A32" s="2" t="s">
        <v>213</v>
      </c>
      <c r="B32" s="2" t="s">
        <v>214</v>
      </c>
      <c r="C32" s="2" t="s">
        <v>215</v>
      </c>
      <c r="D32" s="2" t="s">
        <v>216</v>
      </c>
      <c r="E32" s="2" t="s">
        <v>26</v>
      </c>
      <c r="F32" s="2" t="s">
        <v>92</v>
      </c>
      <c r="G32" s="2" t="s">
        <v>217</v>
      </c>
      <c r="H32" s="2" t="s">
        <v>218</v>
      </c>
      <c r="I32" s="2" t="s">
        <v>41</v>
      </c>
      <c r="J32" s="2">
        <v>301</v>
      </c>
      <c r="K32" s="2">
        <v>43.23</v>
      </c>
      <c r="L32" s="2">
        <v>52.72</v>
      </c>
      <c r="M32" s="2">
        <v>15868.72</v>
      </c>
      <c r="N32" s="2">
        <v>13012.23</v>
      </c>
      <c r="O32" s="2">
        <v>2856.49</v>
      </c>
      <c r="P32" s="2" t="s">
        <v>31</v>
      </c>
      <c r="Q32" s="2" t="s">
        <v>63</v>
      </c>
      <c r="R32" s="2">
        <v>1</v>
      </c>
      <c r="S32" s="2" t="s">
        <v>53</v>
      </c>
      <c r="T32" s="2">
        <v>3824</v>
      </c>
      <c r="U32" s="2">
        <v>7</v>
      </c>
      <c r="V32" s="2"/>
    </row>
    <row r="33" spans="1:22" x14ac:dyDescent="0.35">
      <c r="A33" s="3" t="s">
        <v>219</v>
      </c>
      <c r="B33" s="3" t="s">
        <v>220</v>
      </c>
      <c r="C33" s="3" t="s">
        <v>221</v>
      </c>
      <c r="D33" s="3" t="s">
        <v>222</v>
      </c>
      <c r="E33" s="3" t="s">
        <v>48</v>
      </c>
      <c r="F33" s="3" t="s">
        <v>223</v>
      </c>
      <c r="G33" s="3" t="s">
        <v>93</v>
      </c>
      <c r="H33" s="3" t="s">
        <v>184</v>
      </c>
      <c r="I33" s="3" t="s">
        <v>30</v>
      </c>
      <c r="J33" s="3">
        <v>99</v>
      </c>
      <c r="K33" s="3">
        <v>253.26</v>
      </c>
      <c r="L33" s="3">
        <v>313.54000000000002</v>
      </c>
      <c r="M33" s="3">
        <v>31040.46</v>
      </c>
      <c r="N33" s="3">
        <v>25072.74</v>
      </c>
      <c r="O33" s="3">
        <v>5967.72</v>
      </c>
      <c r="P33" s="3" t="s">
        <v>42</v>
      </c>
      <c r="Q33" s="3" t="s">
        <v>63</v>
      </c>
      <c r="R33" s="3">
        <v>3</v>
      </c>
      <c r="S33" s="3" t="s">
        <v>86</v>
      </c>
      <c r="T33" s="3">
        <v>3333</v>
      </c>
      <c r="U33" s="3">
        <v>0</v>
      </c>
      <c r="V33" s="3"/>
    </row>
    <row r="34" spans="1:22" x14ac:dyDescent="0.35">
      <c r="A34" s="2" t="s">
        <v>224</v>
      </c>
      <c r="B34" s="2" t="s">
        <v>225</v>
      </c>
      <c r="C34" s="2" t="s">
        <v>226</v>
      </c>
      <c r="D34" s="2" t="s">
        <v>227</v>
      </c>
      <c r="E34" s="2" t="s">
        <v>26</v>
      </c>
      <c r="F34" s="2" t="s">
        <v>228</v>
      </c>
      <c r="G34" s="2" t="s">
        <v>60</v>
      </c>
      <c r="H34" s="2" t="s">
        <v>229</v>
      </c>
      <c r="I34" s="2" t="s">
        <v>191</v>
      </c>
      <c r="J34" s="2">
        <v>75</v>
      </c>
      <c r="K34" s="2">
        <v>676.79</v>
      </c>
      <c r="L34" s="2">
        <v>1092.94</v>
      </c>
      <c r="M34" s="2">
        <v>81970.5</v>
      </c>
      <c r="N34" s="2">
        <v>50759.25</v>
      </c>
      <c r="O34" s="2">
        <v>31211.25</v>
      </c>
      <c r="P34" s="2" t="s">
        <v>95</v>
      </c>
      <c r="Q34" s="2" t="s">
        <v>32</v>
      </c>
      <c r="R34" s="2">
        <v>14</v>
      </c>
      <c r="S34" s="2" t="s">
        <v>112</v>
      </c>
      <c r="T34" s="2">
        <v>1809</v>
      </c>
      <c r="U34" s="2">
        <v>3</v>
      </c>
      <c r="V34" s="2"/>
    </row>
    <row r="35" spans="1:22" x14ac:dyDescent="0.35">
      <c r="A35" s="3" t="s">
        <v>230</v>
      </c>
      <c r="B35" s="3" t="s">
        <v>231</v>
      </c>
      <c r="C35" s="3" t="s">
        <v>232</v>
      </c>
      <c r="D35" s="3" t="s">
        <v>233</v>
      </c>
      <c r="E35" s="3" t="s">
        <v>26</v>
      </c>
      <c r="F35" s="3" t="s">
        <v>27</v>
      </c>
      <c r="G35" s="3" t="s">
        <v>189</v>
      </c>
      <c r="H35" s="3" t="s">
        <v>190</v>
      </c>
      <c r="I35" s="3" t="s">
        <v>124</v>
      </c>
      <c r="J35" s="3">
        <v>48</v>
      </c>
      <c r="K35" s="3">
        <v>46.85</v>
      </c>
      <c r="L35" s="3">
        <v>74.2</v>
      </c>
      <c r="M35" s="3">
        <v>3561.6</v>
      </c>
      <c r="N35" s="3">
        <v>2248.8000000000002</v>
      </c>
      <c r="O35" s="3">
        <v>1312.8</v>
      </c>
      <c r="P35" s="3" t="s">
        <v>95</v>
      </c>
      <c r="Q35" s="3" t="s">
        <v>32</v>
      </c>
      <c r="R35" s="3">
        <v>12</v>
      </c>
      <c r="S35" s="3" t="s">
        <v>33</v>
      </c>
      <c r="T35" s="3">
        <v>126</v>
      </c>
      <c r="U35" s="3">
        <v>2</v>
      </c>
      <c r="V35" s="3"/>
    </row>
    <row r="36" spans="1:22" x14ac:dyDescent="0.35">
      <c r="A36" s="2" t="s">
        <v>234</v>
      </c>
      <c r="B36" s="2" t="s">
        <v>235</v>
      </c>
      <c r="C36" s="2" t="s">
        <v>236</v>
      </c>
      <c r="D36" s="2" t="s">
        <v>237</v>
      </c>
      <c r="E36" s="2" t="s">
        <v>100</v>
      </c>
      <c r="F36" s="2" t="s">
        <v>238</v>
      </c>
      <c r="G36" s="2" t="s">
        <v>70</v>
      </c>
      <c r="H36" s="2" t="s">
        <v>239</v>
      </c>
      <c r="I36" s="2" t="s">
        <v>240</v>
      </c>
      <c r="J36" s="2">
        <v>368</v>
      </c>
      <c r="K36" s="2">
        <v>674.86</v>
      </c>
      <c r="L36" s="2">
        <v>836.67</v>
      </c>
      <c r="M36" s="2">
        <v>307894.56</v>
      </c>
      <c r="N36" s="2">
        <v>248348.48</v>
      </c>
      <c r="O36" s="2">
        <v>59546.080000000002</v>
      </c>
      <c r="P36" s="2" t="s">
        <v>42</v>
      </c>
      <c r="Q36" s="2" t="s">
        <v>32</v>
      </c>
      <c r="R36" s="2">
        <v>11</v>
      </c>
      <c r="S36" s="2" t="s">
        <v>112</v>
      </c>
      <c r="T36" s="2">
        <v>2657</v>
      </c>
      <c r="U36" s="2">
        <v>3</v>
      </c>
      <c r="V36" s="2"/>
    </row>
    <row r="37" spans="1:22" x14ac:dyDescent="0.35">
      <c r="A37" s="3" t="s">
        <v>241</v>
      </c>
      <c r="B37" s="3" t="s">
        <v>242</v>
      </c>
      <c r="C37" s="3" t="s">
        <v>243</v>
      </c>
      <c r="D37" s="3" t="s">
        <v>244</v>
      </c>
      <c r="E37" s="3" t="s">
        <v>26</v>
      </c>
      <c r="F37" s="3" t="s">
        <v>228</v>
      </c>
      <c r="G37" s="3" t="s">
        <v>60</v>
      </c>
      <c r="H37" s="3" t="s">
        <v>229</v>
      </c>
      <c r="I37" s="3" t="s">
        <v>118</v>
      </c>
      <c r="J37" s="3">
        <v>655</v>
      </c>
      <c r="K37" s="3">
        <v>1167.8399999999999</v>
      </c>
      <c r="L37" s="3">
        <v>1846.83</v>
      </c>
      <c r="M37" s="3">
        <v>1209673.6499999999</v>
      </c>
      <c r="N37" s="3">
        <v>764935.2</v>
      </c>
      <c r="O37" s="3">
        <v>444738.45</v>
      </c>
      <c r="P37" s="3" t="s">
        <v>42</v>
      </c>
      <c r="Q37" s="3" t="s">
        <v>32</v>
      </c>
      <c r="R37" s="3">
        <v>10</v>
      </c>
      <c r="S37" s="3" t="s">
        <v>33</v>
      </c>
      <c r="T37" s="3">
        <v>1452</v>
      </c>
      <c r="U37" s="3">
        <v>26</v>
      </c>
      <c r="V37" s="3"/>
    </row>
    <row r="38" spans="1:22" x14ac:dyDescent="0.35">
      <c r="A38" s="2" t="s">
        <v>245</v>
      </c>
      <c r="B38" s="2" t="s">
        <v>246</v>
      </c>
      <c r="C38" s="2" t="s">
        <v>247</v>
      </c>
      <c r="D38" s="2" t="s">
        <v>248</v>
      </c>
      <c r="E38" s="2" t="s">
        <v>68</v>
      </c>
      <c r="F38" s="2" t="s">
        <v>249</v>
      </c>
      <c r="G38" s="2" t="s">
        <v>39</v>
      </c>
      <c r="H38" s="2" t="s">
        <v>40</v>
      </c>
      <c r="I38" s="2" t="s">
        <v>191</v>
      </c>
      <c r="J38" s="2">
        <v>191</v>
      </c>
      <c r="K38" s="2">
        <v>44.05</v>
      </c>
      <c r="L38" s="2">
        <v>56.76</v>
      </c>
      <c r="M38" s="2">
        <v>10841.16</v>
      </c>
      <c r="N38" s="2">
        <v>8413.5499999999993</v>
      </c>
      <c r="O38" s="2">
        <v>2427.61</v>
      </c>
      <c r="P38" s="2" t="s">
        <v>42</v>
      </c>
      <c r="Q38" s="2" t="s">
        <v>32</v>
      </c>
      <c r="R38" s="2">
        <v>15</v>
      </c>
      <c r="S38" s="2" t="s">
        <v>53</v>
      </c>
      <c r="T38" s="2">
        <v>1690</v>
      </c>
      <c r="U38" s="2">
        <v>4</v>
      </c>
      <c r="V38" s="2"/>
    </row>
    <row r="39" spans="1:22" x14ac:dyDescent="0.35">
      <c r="A39" s="3" t="s">
        <v>250</v>
      </c>
      <c r="B39" s="3" t="s">
        <v>251</v>
      </c>
      <c r="C39" s="3" t="s">
        <v>181</v>
      </c>
      <c r="D39" s="3" t="s">
        <v>252</v>
      </c>
      <c r="E39" s="3" t="s">
        <v>26</v>
      </c>
      <c r="F39" s="3" t="s">
        <v>253</v>
      </c>
      <c r="G39" s="3" t="s">
        <v>28</v>
      </c>
      <c r="H39" s="3" t="s">
        <v>254</v>
      </c>
      <c r="I39" s="3" t="s">
        <v>72</v>
      </c>
      <c r="J39" s="3">
        <v>288</v>
      </c>
      <c r="K39" s="3">
        <v>173.06</v>
      </c>
      <c r="L39" s="3">
        <v>247.54</v>
      </c>
      <c r="M39" s="3">
        <v>71291.520000000004</v>
      </c>
      <c r="N39" s="3">
        <v>49841.279999999999</v>
      </c>
      <c r="O39" s="3">
        <v>21450.240000000002</v>
      </c>
      <c r="P39" s="3" t="s">
        <v>95</v>
      </c>
      <c r="Q39" s="3" t="s">
        <v>32</v>
      </c>
      <c r="R39" s="3">
        <v>6</v>
      </c>
      <c r="S39" s="3" t="s">
        <v>43</v>
      </c>
      <c r="T39" s="3">
        <v>4462</v>
      </c>
      <c r="U39" s="3">
        <v>1</v>
      </c>
      <c r="V39" s="3"/>
    </row>
    <row r="40" spans="1:22" x14ac:dyDescent="0.35">
      <c r="A40" s="2" t="s">
        <v>255</v>
      </c>
      <c r="B40" s="2" t="s">
        <v>256</v>
      </c>
      <c r="C40" s="2" t="s">
        <v>257</v>
      </c>
      <c r="D40" s="2" t="s">
        <v>258</v>
      </c>
      <c r="E40" s="2" t="s">
        <v>58</v>
      </c>
      <c r="F40" s="2" t="s">
        <v>259</v>
      </c>
      <c r="G40" s="2" t="s">
        <v>50</v>
      </c>
      <c r="H40" s="2" t="s">
        <v>260</v>
      </c>
      <c r="I40" s="2" t="s">
        <v>62</v>
      </c>
      <c r="J40" s="2">
        <v>764</v>
      </c>
      <c r="K40" s="2">
        <v>174.01</v>
      </c>
      <c r="L40" s="2">
        <v>208.72</v>
      </c>
      <c r="M40" s="2">
        <v>159462.07999999999</v>
      </c>
      <c r="N40" s="2">
        <v>132943.64000000001</v>
      </c>
      <c r="O40" s="2">
        <v>26518.44</v>
      </c>
      <c r="P40" s="2" t="s">
        <v>52</v>
      </c>
      <c r="Q40" s="2" t="s">
        <v>63</v>
      </c>
      <c r="R40" s="2">
        <v>3</v>
      </c>
      <c r="S40" s="2" t="s">
        <v>112</v>
      </c>
      <c r="T40" s="2">
        <v>101</v>
      </c>
      <c r="U40" s="2">
        <v>16</v>
      </c>
      <c r="V40" s="2"/>
    </row>
    <row r="41" spans="1:22" x14ac:dyDescent="0.35">
      <c r="A41" s="3" t="s">
        <v>261</v>
      </c>
      <c r="B41" s="3" t="s">
        <v>262</v>
      </c>
      <c r="C41" s="3" t="s">
        <v>263</v>
      </c>
      <c r="D41" s="3" t="s">
        <v>264</v>
      </c>
      <c r="E41" s="3" t="s">
        <v>58</v>
      </c>
      <c r="F41" s="3" t="s">
        <v>59</v>
      </c>
      <c r="G41" s="3" t="s">
        <v>60</v>
      </c>
      <c r="H41" s="3" t="s">
        <v>265</v>
      </c>
      <c r="I41" s="3" t="s">
        <v>153</v>
      </c>
      <c r="J41" s="3">
        <v>765</v>
      </c>
      <c r="K41" s="3">
        <v>174.26</v>
      </c>
      <c r="L41" s="3">
        <v>281.64999999999998</v>
      </c>
      <c r="M41" s="3">
        <v>215462.25</v>
      </c>
      <c r="N41" s="3">
        <v>133308.9</v>
      </c>
      <c r="O41" s="3">
        <v>82153.350000000006</v>
      </c>
      <c r="P41" s="3" t="s">
        <v>52</v>
      </c>
      <c r="Q41" s="3" t="s">
        <v>63</v>
      </c>
      <c r="R41" s="3">
        <v>2</v>
      </c>
      <c r="S41" s="3" t="s">
        <v>43</v>
      </c>
      <c r="T41" s="3">
        <v>1666</v>
      </c>
      <c r="U41" s="3">
        <v>6</v>
      </c>
      <c r="V41" s="3"/>
    </row>
    <row r="42" spans="1:22" x14ac:dyDescent="0.35">
      <c r="A42" s="2" t="s">
        <v>266</v>
      </c>
      <c r="B42" s="2" t="s">
        <v>267</v>
      </c>
      <c r="C42" s="2" t="s">
        <v>268</v>
      </c>
      <c r="D42" s="2" t="s">
        <v>269</v>
      </c>
      <c r="E42" s="2" t="s">
        <v>48</v>
      </c>
      <c r="F42" s="2" t="s">
        <v>270</v>
      </c>
      <c r="G42" s="2" t="s">
        <v>189</v>
      </c>
      <c r="H42" s="2" t="s">
        <v>271</v>
      </c>
      <c r="I42" s="2" t="s">
        <v>153</v>
      </c>
      <c r="J42" s="2">
        <v>708</v>
      </c>
      <c r="K42" s="2">
        <v>623.86</v>
      </c>
      <c r="L42" s="2">
        <v>896.1</v>
      </c>
      <c r="M42" s="2">
        <v>634438.80000000005</v>
      </c>
      <c r="N42" s="2">
        <v>441692.88</v>
      </c>
      <c r="O42" s="2">
        <v>192745.92</v>
      </c>
      <c r="P42" s="2" t="s">
        <v>42</v>
      </c>
      <c r="Q42" s="2" t="s">
        <v>32</v>
      </c>
      <c r="R42" s="2">
        <v>9</v>
      </c>
      <c r="S42" s="2" t="s">
        <v>86</v>
      </c>
      <c r="T42" s="2">
        <v>3800</v>
      </c>
      <c r="U42" s="2">
        <v>6</v>
      </c>
      <c r="V42" s="2"/>
    </row>
    <row r="43" spans="1:22" x14ac:dyDescent="0.35">
      <c r="A43" s="3" t="s">
        <v>272</v>
      </c>
      <c r="B43" s="3" t="s">
        <v>273</v>
      </c>
      <c r="C43" s="3" t="s">
        <v>274</v>
      </c>
      <c r="D43" s="3" t="s">
        <v>275</v>
      </c>
      <c r="E43" s="3" t="s">
        <v>68</v>
      </c>
      <c r="F43" s="3" t="s">
        <v>276</v>
      </c>
      <c r="G43" s="3" t="s">
        <v>78</v>
      </c>
      <c r="H43" s="3" t="s">
        <v>79</v>
      </c>
      <c r="I43" s="3" t="s">
        <v>240</v>
      </c>
      <c r="J43" s="3">
        <v>597</v>
      </c>
      <c r="K43" s="3">
        <v>304.64</v>
      </c>
      <c r="L43" s="3">
        <v>414.56</v>
      </c>
      <c r="M43" s="3">
        <v>247492.32</v>
      </c>
      <c r="N43" s="3">
        <v>181870.07999999999</v>
      </c>
      <c r="O43" s="3">
        <v>65622.240000000005</v>
      </c>
      <c r="P43" s="3" t="s">
        <v>31</v>
      </c>
      <c r="Q43" s="3" t="s">
        <v>32</v>
      </c>
      <c r="R43" s="3">
        <v>12</v>
      </c>
      <c r="S43" s="3" t="s">
        <v>53</v>
      </c>
      <c r="T43" s="3">
        <v>4435</v>
      </c>
      <c r="U43" s="3">
        <v>4</v>
      </c>
      <c r="V43" s="3"/>
    </row>
    <row r="44" spans="1:22" x14ac:dyDescent="0.35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48</v>
      </c>
      <c r="F44" s="2" t="s">
        <v>281</v>
      </c>
      <c r="G44" s="2" t="s">
        <v>50</v>
      </c>
      <c r="H44" s="2" t="s">
        <v>282</v>
      </c>
      <c r="I44" s="2" t="s">
        <v>72</v>
      </c>
      <c r="J44" s="2">
        <v>83</v>
      </c>
      <c r="K44" s="2">
        <v>427.3</v>
      </c>
      <c r="L44" s="2">
        <v>634.61</v>
      </c>
      <c r="M44" s="2">
        <v>52672.63</v>
      </c>
      <c r="N44" s="2">
        <v>35465.9</v>
      </c>
      <c r="O44" s="2">
        <v>17206.73</v>
      </c>
      <c r="P44" s="2" t="s">
        <v>42</v>
      </c>
      <c r="Q44" s="2" t="s">
        <v>32</v>
      </c>
      <c r="R44" s="2">
        <v>10</v>
      </c>
      <c r="S44" s="2" t="s">
        <v>158</v>
      </c>
      <c r="T44" s="2">
        <v>1772</v>
      </c>
      <c r="U44" s="2">
        <v>1</v>
      </c>
      <c r="V44" s="2"/>
    </row>
    <row r="45" spans="1:22" x14ac:dyDescent="0.35">
      <c r="A45" s="3" t="s">
        <v>283</v>
      </c>
      <c r="B45" s="3" t="s">
        <v>284</v>
      </c>
      <c r="C45" s="3" t="s">
        <v>285</v>
      </c>
      <c r="D45" s="3" t="s">
        <v>286</v>
      </c>
      <c r="E45" s="3" t="s">
        <v>26</v>
      </c>
      <c r="F45" s="3" t="s">
        <v>92</v>
      </c>
      <c r="G45" s="3" t="s">
        <v>129</v>
      </c>
      <c r="H45" s="3" t="s">
        <v>130</v>
      </c>
      <c r="I45" s="3" t="s">
        <v>240</v>
      </c>
      <c r="J45" s="3">
        <v>737</v>
      </c>
      <c r="K45" s="3">
        <v>1070.81</v>
      </c>
      <c r="L45" s="3">
        <v>1676.86</v>
      </c>
      <c r="M45" s="3">
        <v>1235845.82</v>
      </c>
      <c r="N45" s="3">
        <v>789186.97</v>
      </c>
      <c r="O45" s="3">
        <v>446658.85</v>
      </c>
      <c r="P45" s="3" t="s">
        <v>31</v>
      </c>
      <c r="Q45" s="3" t="s">
        <v>32</v>
      </c>
      <c r="R45" s="3">
        <v>9</v>
      </c>
      <c r="S45" s="3" t="s">
        <v>86</v>
      </c>
      <c r="T45" s="3">
        <v>4609</v>
      </c>
      <c r="U45" s="3">
        <v>9</v>
      </c>
      <c r="V45" s="3"/>
    </row>
    <row r="46" spans="1:22" x14ac:dyDescent="0.35">
      <c r="A46" s="2" t="s">
        <v>287</v>
      </c>
      <c r="B46" s="2" t="s">
        <v>288</v>
      </c>
      <c r="C46" s="2" t="s">
        <v>289</v>
      </c>
      <c r="D46" s="2" t="s">
        <v>290</v>
      </c>
      <c r="E46" s="2" t="s">
        <v>291</v>
      </c>
      <c r="F46" s="2" t="s">
        <v>101</v>
      </c>
      <c r="G46" s="2" t="s">
        <v>217</v>
      </c>
      <c r="H46" s="2" t="s">
        <v>292</v>
      </c>
      <c r="I46" s="2" t="s">
        <v>293</v>
      </c>
      <c r="J46" s="2">
        <v>255</v>
      </c>
      <c r="K46" s="2">
        <v>843.42</v>
      </c>
      <c r="L46" s="2">
        <v>1149.99</v>
      </c>
      <c r="M46" s="2">
        <v>293247.45</v>
      </c>
      <c r="N46" s="2">
        <v>215072.1</v>
      </c>
      <c r="O46" s="2">
        <v>78175.350000000006</v>
      </c>
      <c r="P46" s="2" t="s">
        <v>52</v>
      </c>
      <c r="Q46" s="2" t="s">
        <v>63</v>
      </c>
      <c r="R46" s="2">
        <v>1</v>
      </c>
      <c r="S46" s="2" t="s">
        <v>112</v>
      </c>
      <c r="T46" s="2">
        <v>2405</v>
      </c>
      <c r="U46" s="2">
        <v>3</v>
      </c>
      <c r="V46" s="2"/>
    </row>
    <row r="47" spans="1:22" x14ac:dyDescent="0.35">
      <c r="A47" s="3" t="s">
        <v>294</v>
      </c>
      <c r="B47" s="3" t="s">
        <v>295</v>
      </c>
      <c r="C47" s="3" t="s">
        <v>296</v>
      </c>
      <c r="D47" s="3" t="s">
        <v>297</v>
      </c>
      <c r="E47" s="3" t="s">
        <v>68</v>
      </c>
      <c r="F47" s="3" t="s">
        <v>249</v>
      </c>
      <c r="G47" s="3" t="s">
        <v>28</v>
      </c>
      <c r="H47" s="3" t="s">
        <v>254</v>
      </c>
      <c r="I47" s="3" t="s">
        <v>118</v>
      </c>
      <c r="J47" s="3">
        <v>444</v>
      </c>
      <c r="K47" s="3">
        <v>729.23</v>
      </c>
      <c r="L47" s="3">
        <v>851.09</v>
      </c>
      <c r="M47" s="3">
        <v>377883.96</v>
      </c>
      <c r="N47" s="3">
        <v>323778.12</v>
      </c>
      <c r="O47" s="3">
        <v>54105.84</v>
      </c>
      <c r="P47" s="3" t="s">
        <v>52</v>
      </c>
      <c r="Q47" s="3" t="s">
        <v>32</v>
      </c>
      <c r="R47" s="3">
        <v>8</v>
      </c>
      <c r="S47" s="3" t="s">
        <v>33</v>
      </c>
      <c r="T47" s="3">
        <v>2357</v>
      </c>
      <c r="U47" s="3">
        <v>7</v>
      </c>
      <c r="V47" s="3"/>
    </row>
    <row r="48" spans="1:22" x14ac:dyDescent="0.35">
      <c r="A48" s="2" t="s">
        <v>298</v>
      </c>
      <c r="B48" s="2" t="s">
        <v>299</v>
      </c>
      <c r="C48" s="2" t="s">
        <v>300</v>
      </c>
      <c r="D48" s="2" t="s">
        <v>301</v>
      </c>
      <c r="E48" s="2" t="s">
        <v>48</v>
      </c>
      <c r="F48" s="2" t="s">
        <v>49</v>
      </c>
      <c r="G48" s="2" t="s">
        <v>93</v>
      </c>
      <c r="H48" s="2" t="s">
        <v>302</v>
      </c>
      <c r="I48" s="2" t="s">
        <v>240</v>
      </c>
      <c r="J48" s="2">
        <v>132</v>
      </c>
      <c r="K48" s="2">
        <v>54.21</v>
      </c>
      <c r="L48" s="2">
        <v>81.44</v>
      </c>
      <c r="M48" s="2">
        <v>10750.08</v>
      </c>
      <c r="N48" s="2">
        <v>7155.72</v>
      </c>
      <c r="O48" s="2">
        <v>3594.36</v>
      </c>
      <c r="P48" s="2" t="s">
        <v>42</v>
      </c>
      <c r="Q48" s="2" t="s">
        <v>63</v>
      </c>
      <c r="R48" s="2">
        <v>3</v>
      </c>
      <c r="S48" s="2" t="s">
        <v>112</v>
      </c>
      <c r="T48" s="2">
        <v>437</v>
      </c>
      <c r="U48" s="2">
        <v>1</v>
      </c>
      <c r="V48" s="2"/>
    </row>
    <row r="49" spans="1:22" x14ac:dyDescent="0.35">
      <c r="A49" s="3" t="s">
        <v>303</v>
      </c>
      <c r="B49" s="3" t="s">
        <v>304</v>
      </c>
      <c r="C49" s="3" t="s">
        <v>305</v>
      </c>
      <c r="D49" s="3" t="s">
        <v>306</v>
      </c>
      <c r="E49" s="3" t="s">
        <v>58</v>
      </c>
      <c r="F49" s="3" t="s">
        <v>59</v>
      </c>
      <c r="G49" s="3" t="s">
        <v>217</v>
      </c>
      <c r="H49" s="3" t="s">
        <v>292</v>
      </c>
      <c r="I49" s="3" t="s">
        <v>41</v>
      </c>
      <c r="J49" s="3">
        <v>439</v>
      </c>
      <c r="K49" s="3">
        <v>124.51</v>
      </c>
      <c r="L49" s="3">
        <v>188.91</v>
      </c>
      <c r="M49" s="3">
        <v>82931.490000000005</v>
      </c>
      <c r="N49" s="3">
        <v>54659.89</v>
      </c>
      <c r="O49" s="3">
        <v>28271.599999999999</v>
      </c>
      <c r="P49" s="3" t="s">
        <v>52</v>
      </c>
      <c r="Q49" s="3" t="s">
        <v>63</v>
      </c>
      <c r="R49" s="3">
        <v>4</v>
      </c>
      <c r="S49" s="3" t="s">
        <v>43</v>
      </c>
      <c r="T49" s="3">
        <v>3556</v>
      </c>
      <c r="U49" s="3">
        <v>4</v>
      </c>
      <c r="V49" s="3"/>
    </row>
    <row r="50" spans="1:22" x14ac:dyDescent="0.35">
      <c r="A50" s="2" t="s">
        <v>307</v>
      </c>
      <c r="B50" s="2" t="s">
        <v>308</v>
      </c>
      <c r="C50" s="2" t="s">
        <v>309</v>
      </c>
      <c r="D50" s="2" t="s">
        <v>310</v>
      </c>
      <c r="E50" s="2" t="s">
        <v>26</v>
      </c>
      <c r="F50" s="2" t="s">
        <v>27</v>
      </c>
      <c r="G50" s="2" t="s">
        <v>189</v>
      </c>
      <c r="H50" s="2" t="s">
        <v>311</v>
      </c>
      <c r="I50" s="2" t="s">
        <v>41</v>
      </c>
      <c r="J50" s="2">
        <v>181</v>
      </c>
      <c r="K50" s="2">
        <v>96.93</v>
      </c>
      <c r="L50" s="2">
        <v>155.49</v>
      </c>
      <c r="M50" s="2">
        <v>28143.69</v>
      </c>
      <c r="N50" s="2">
        <v>17544.330000000002</v>
      </c>
      <c r="O50" s="2">
        <v>10599.36</v>
      </c>
      <c r="P50" s="2" t="s">
        <v>31</v>
      </c>
      <c r="Q50" s="2" t="s">
        <v>63</v>
      </c>
      <c r="R50" s="2">
        <v>4</v>
      </c>
      <c r="S50" s="2" t="s">
        <v>86</v>
      </c>
      <c r="T50" s="2">
        <v>3174</v>
      </c>
      <c r="U50" s="2">
        <v>2</v>
      </c>
      <c r="V50" s="2"/>
    </row>
    <row r="51" spans="1:22" x14ac:dyDescent="0.35">
      <c r="A51" s="3" t="s">
        <v>312</v>
      </c>
      <c r="B51" s="3" t="s">
        <v>313</v>
      </c>
      <c r="C51" s="3" t="s">
        <v>314</v>
      </c>
      <c r="D51" s="3" t="s">
        <v>315</v>
      </c>
      <c r="E51" s="3" t="s">
        <v>68</v>
      </c>
      <c r="F51" s="3" t="s">
        <v>276</v>
      </c>
      <c r="G51" s="3" t="s">
        <v>129</v>
      </c>
      <c r="H51" s="3" t="s">
        <v>316</v>
      </c>
      <c r="I51" s="3" t="s">
        <v>153</v>
      </c>
      <c r="J51" s="3">
        <v>481</v>
      </c>
      <c r="K51" s="3">
        <v>1149.5899999999999</v>
      </c>
      <c r="L51" s="3">
        <v>1646.13</v>
      </c>
      <c r="M51" s="3">
        <v>791788.53</v>
      </c>
      <c r="N51" s="3">
        <v>552952.79</v>
      </c>
      <c r="O51" s="3">
        <v>238835.74</v>
      </c>
      <c r="P51" s="3" t="s">
        <v>95</v>
      </c>
      <c r="Q51" s="3" t="s">
        <v>32</v>
      </c>
      <c r="R51" s="3">
        <v>10</v>
      </c>
      <c r="S51" s="3" t="s">
        <v>53</v>
      </c>
      <c r="T51" s="3">
        <v>2349</v>
      </c>
      <c r="U51" s="3">
        <v>3</v>
      </c>
      <c r="V51" s="3"/>
    </row>
    <row r="52" spans="1:22" x14ac:dyDescent="0.35">
      <c r="A52" s="2" t="s">
        <v>317</v>
      </c>
      <c r="B52" s="2" t="s">
        <v>318</v>
      </c>
      <c r="C52" s="2" t="s">
        <v>319</v>
      </c>
      <c r="D52" s="2" t="s">
        <v>320</v>
      </c>
      <c r="E52" s="2" t="s">
        <v>48</v>
      </c>
      <c r="F52" s="2" t="s">
        <v>270</v>
      </c>
      <c r="G52" s="2" t="s">
        <v>93</v>
      </c>
      <c r="H52" s="2" t="s">
        <v>321</v>
      </c>
      <c r="I52" s="2" t="s">
        <v>293</v>
      </c>
      <c r="J52" s="2">
        <v>593</v>
      </c>
      <c r="K52" s="2">
        <v>540.24</v>
      </c>
      <c r="L52" s="2">
        <v>876.41</v>
      </c>
      <c r="M52" s="2">
        <v>519711.13</v>
      </c>
      <c r="N52" s="2">
        <v>320362.32</v>
      </c>
      <c r="O52" s="2">
        <v>199348.81</v>
      </c>
      <c r="P52" s="2" t="s">
        <v>95</v>
      </c>
      <c r="Q52" s="2" t="s">
        <v>32</v>
      </c>
      <c r="R52" s="2">
        <v>7</v>
      </c>
      <c r="S52" s="2" t="s">
        <v>158</v>
      </c>
      <c r="T52" s="2">
        <v>1960</v>
      </c>
      <c r="U52" s="2">
        <v>11</v>
      </c>
      <c r="V52" s="2"/>
    </row>
    <row r="53" spans="1:22" x14ac:dyDescent="0.35">
      <c r="A53" s="3" t="s">
        <v>322</v>
      </c>
      <c r="B53" s="3" t="s">
        <v>323</v>
      </c>
      <c r="C53" s="3" t="s">
        <v>324</v>
      </c>
      <c r="D53" s="3" t="s">
        <v>325</v>
      </c>
      <c r="E53" s="3" t="s">
        <v>48</v>
      </c>
      <c r="F53" s="3" t="s">
        <v>223</v>
      </c>
      <c r="G53" s="3" t="s">
        <v>93</v>
      </c>
      <c r="H53" s="3" t="s">
        <v>321</v>
      </c>
      <c r="I53" s="3" t="s">
        <v>293</v>
      </c>
      <c r="J53" s="3">
        <v>427</v>
      </c>
      <c r="K53" s="3">
        <v>414.65</v>
      </c>
      <c r="L53" s="3">
        <v>514.79999999999995</v>
      </c>
      <c r="M53" s="3">
        <v>219819.6</v>
      </c>
      <c r="N53" s="3">
        <v>177055.55</v>
      </c>
      <c r="O53" s="3">
        <v>42764.05</v>
      </c>
      <c r="P53" s="3" t="s">
        <v>52</v>
      </c>
      <c r="Q53" s="3" t="s">
        <v>32</v>
      </c>
      <c r="R53" s="3">
        <v>8</v>
      </c>
      <c r="S53" s="3" t="s">
        <v>112</v>
      </c>
      <c r="T53" s="3">
        <v>1763</v>
      </c>
      <c r="U53" s="3">
        <v>7</v>
      </c>
      <c r="V53" s="3"/>
    </row>
    <row r="54" spans="1:22" x14ac:dyDescent="0.35">
      <c r="A54" s="2" t="s">
        <v>326</v>
      </c>
      <c r="B54" s="2" t="s">
        <v>327</v>
      </c>
      <c r="C54" s="2" t="s">
        <v>328</v>
      </c>
      <c r="D54" s="2" t="s">
        <v>329</v>
      </c>
      <c r="E54" s="2" t="s">
        <v>100</v>
      </c>
      <c r="F54" s="2" t="s">
        <v>330</v>
      </c>
      <c r="G54" s="2" t="s">
        <v>60</v>
      </c>
      <c r="H54" s="2" t="s">
        <v>61</v>
      </c>
      <c r="I54" s="2" t="s">
        <v>141</v>
      </c>
      <c r="J54" s="2">
        <v>766</v>
      </c>
      <c r="K54" s="2">
        <v>681</v>
      </c>
      <c r="L54" s="2">
        <v>951.62</v>
      </c>
      <c r="M54" s="2">
        <v>728940.92</v>
      </c>
      <c r="N54" s="2">
        <v>521646</v>
      </c>
      <c r="O54" s="2">
        <v>207294.92</v>
      </c>
      <c r="P54" s="2" t="s">
        <v>31</v>
      </c>
      <c r="Q54" s="2" t="s">
        <v>32</v>
      </c>
      <c r="R54" s="2">
        <v>14</v>
      </c>
      <c r="S54" s="2" t="s">
        <v>43</v>
      </c>
      <c r="T54" s="2">
        <v>2012</v>
      </c>
      <c r="U54" s="2">
        <v>28</v>
      </c>
      <c r="V54" s="2"/>
    </row>
    <row r="55" spans="1:22" x14ac:dyDescent="0.35">
      <c r="A55" s="3" t="s">
        <v>331</v>
      </c>
      <c r="B55" s="3" t="s">
        <v>332</v>
      </c>
      <c r="C55" s="3" t="s">
        <v>333</v>
      </c>
      <c r="D55" s="3" t="s">
        <v>334</v>
      </c>
      <c r="E55" s="3" t="s">
        <v>100</v>
      </c>
      <c r="F55" s="3" t="s">
        <v>238</v>
      </c>
      <c r="G55" s="3" t="s">
        <v>217</v>
      </c>
      <c r="H55" s="3" t="s">
        <v>335</v>
      </c>
      <c r="I55" s="3" t="s">
        <v>293</v>
      </c>
      <c r="J55" s="3">
        <v>321</v>
      </c>
      <c r="K55" s="3">
        <v>875.64</v>
      </c>
      <c r="L55" s="3">
        <v>1376.56</v>
      </c>
      <c r="M55" s="3">
        <v>441875.76</v>
      </c>
      <c r="N55" s="3">
        <v>281080.44</v>
      </c>
      <c r="O55" s="3">
        <v>160795.32</v>
      </c>
      <c r="P55" s="3" t="s">
        <v>52</v>
      </c>
      <c r="Q55" s="3" t="s">
        <v>63</v>
      </c>
      <c r="R55" s="3">
        <v>5</v>
      </c>
      <c r="S55" s="3" t="s">
        <v>158</v>
      </c>
      <c r="T55" s="3">
        <v>4483</v>
      </c>
      <c r="U55" s="3">
        <v>8</v>
      </c>
      <c r="V55" s="3"/>
    </row>
    <row r="56" spans="1:22" x14ac:dyDescent="0.35">
      <c r="A56" s="2" t="s">
        <v>336</v>
      </c>
      <c r="B56" s="2" t="s">
        <v>337</v>
      </c>
      <c r="C56" s="2" t="s">
        <v>338</v>
      </c>
      <c r="D56" s="2" t="s">
        <v>339</v>
      </c>
      <c r="E56" s="2" t="s">
        <v>48</v>
      </c>
      <c r="F56" s="2" t="s">
        <v>281</v>
      </c>
      <c r="G56" s="2" t="s">
        <v>217</v>
      </c>
      <c r="H56" s="2" t="s">
        <v>340</v>
      </c>
      <c r="I56" s="2" t="s">
        <v>293</v>
      </c>
      <c r="J56" s="2">
        <v>177</v>
      </c>
      <c r="K56" s="2">
        <v>364.66</v>
      </c>
      <c r="L56" s="2">
        <v>518.63</v>
      </c>
      <c r="M56" s="2">
        <v>91797.51</v>
      </c>
      <c r="N56" s="2">
        <v>64544.82</v>
      </c>
      <c r="O56" s="2">
        <v>27252.69</v>
      </c>
      <c r="P56" s="2" t="s">
        <v>52</v>
      </c>
      <c r="Q56" s="2" t="s">
        <v>32</v>
      </c>
      <c r="R56" s="2">
        <v>13</v>
      </c>
      <c r="S56" s="2" t="s">
        <v>158</v>
      </c>
      <c r="T56" s="2">
        <v>468</v>
      </c>
      <c r="U56" s="2">
        <v>8</v>
      </c>
      <c r="V56" s="2"/>
    </row>
    <row r="57" spans="1:22" x14ac:dyDescent="0.35">
      <c r="A57" s="3" t="s">
        <v>341</v>
      </c>
      <c r="B57" s="3" t="s">
        <v>342</v>
      </c>
      <c r="C57" s="3" t="s">
        <v>343</v>
      </c>
      <c r="D57" s="3" t="s">
        <v>344</v>
      </c>
      <c r="E57" s="3" t="s">
        <v>58</v>
      </c>
      <c r="F57" s="3" t="s">
        <v>122</v>
      </c>
      <c r="G57" s="3" t="s">
        <v>129</v>
      </c>
      <c r="H57" s="3" t="s">
        <v>345</v>
      </c>
      <c r="I57" s="3" t="s">
        <v>153</v>
      </c>
      <c r="J57" s="3">
        <v>747</v>
      </c>
      <c r="K57" s="3">
        <v>655.37</v>
      </c>
      <c r="L57" s="3">
        <v>1007.59</v>
      </c>
      <c r="M57" s="3">
        <v>752669.73</v>
      </c>
      <c r="N57" s="3">
        <v>489561.39</v>
      </c>
      <c r="O57" s="3">
        <v>263108.34000000003</v>
      </c>
      <c r="P57" s="3" t="s">
        <v>52</v>
      </c>
      <c r="Q57" s="3" t="s">
        <v>32</v>
      </c>
      <c r="R57" s="3">
        <v>12</v>
      </c>
      <c r="S57" s="3" t="s">
        <v>33</v>
      </c>
      <c r="T57" s="3">
        <v>1364</v>
      </c>
      <c r="U57" s="3">
        <v>21</v>
      </c>
      <c r="V57" s="3"/>
    </row>
    <row r="58" spans="1:22" x14ac:dyDescent="0.35">
      <c r="A58" s="2" t="s">
        <v>346</v>
      </c>
      <c r="B58" s="2" t="s">
        <v>347</v>
      </c>
      <c r="C58" s="2" t="s">
        <v>348</v>
      </c>
      <c r="D58" s="2" t="s">
        <v>349</v>
      </c>
      <c r="E58" s="2" t="s">
        <v>68</v>
      </c>
      <c r="F58" s="2" t="s">
        <v>146</v>
      </c>
      <c r="G58" s="2" t="s">
        <v>217</v>
      </c>
      <c r="H58" s="2" t="s">
        <v>218</v>
      </c>
      <c r="I58" s="4"/>
      <c r="J58" s="2">
        <v>461</v>
      </c>
      <c r="K58" s="2">
        <v>1095.55</v>
      </c>
      <c r="L58" s="2">
        <v>1521.85</v>
      </c>
      <c r="M58" s="2">
        <v>701572.85</v>
      </c>
      <c r="N58" s="2">
        <v>505048.55</v>
      </c>
      <c r="O58" s="2">
        <v>196524.3</v>
      </c>
      <c r="P58" s="2" t="s">
        <v>31</v>
      </c>
      <c r="Q58" s="2" t="s">
        <v>32</v>
      </c>
      <c r="R58" s="2">
        <v>12</v>
      </c>
      <c r="S58" s="2" t="s">
        <v>53</v>
      </c>
      <c r="T58" s="2">
        <v>3170</v>
      </c>
      <c r="U58" s="2">
        <v>6</v>
      </c>
      <c r="V58" s="2"/>
    </row>
    <row r="59" spans="1:22" x14ac:dyDescent="0.35">
      <c r="A59" s="3" t="s">
        <v>350</v>
      </c>
      <c r="B59" s="3" t="s">
        <v>351</v>
      </c>
      <c r="C59" s="3" t="s">
        <v>352</v>
      </c>
      <c r="D59" s="3" t="s">
        <v>353</v>
      </c>
      <c r="E59" s="3" t="s">
        <v>58</v>
      </c>
      <c r="F59" s="3" t="s">
        <v>259</v>
      </c>
      <c r="G59" s="3" t="s">
        <v>39</v>
      </c>
      <c r="H59" s="3" t="s">
        <v>354</v>
      </c>
      <c r="I59" s="4"/>
      <c r="J59" s="3">
        <v>451</v>
      </c>
      <c r="K59" s="3">
        <v>740.26</v>
      </c>
      <c r="L59" s="3">
        <v>1071.58</v>
      </c>
      <c r="M59" s="3">
        <v>483282.58</v>
      </c>
      <c r="N59" s="3">
        <v>333857.26</v>
      </c>
      <c r="O59" s="3">
        <v>149425.32</v>
      </c>
      <c r="P59" s="3" t="s">
        <v>95</v>
      </c>
      <c r="Q59" s="3" t="s">
        <v>63</v>
      </c>
      <c r="R59" s="3">
        <v>1</v>
      </c>
      <c r="S59" s="3" t="s">
        <v>53</v>
      </c>
      <c r="T59" s="3">
        <v>567</v>
      </c>
      <c r="U59" s="3">
        <v>22</v>
      </c>
      <c r="V59" s="3"/>
    </row>
    <row r="60" spans="1:22" x14ac:dyDescent="0.35">
      <c r="A60" s="2" t="s">
        <v>355</v>
      </c>
      <c r="B60" s="2" t="s">
        <v>356</v>
      </c>
      <c r="C60" s="2" t="s">
        <v>357</v>
      </c>
      <c r="D60" s="2" t="s">
        <v>358</v>
      </c>
      <c r="E60" s="2" t="s">
        <v>359</v>
      </c>
      <c r="F60" s="2" t="s">
        <v>77</v>
      </c>
      <c r="G60" s="2" t="s">
        <v>189</v>
      </c>
      <c r="H60" s="2" t="s">
        <v>360</v>
      </c>
      <c r="I60" s="2" t="s">
        <v>72</v>
      </c>
      <c r="J60" s="2">
        <v>530</v>
      </c>
      <c r="K60" s="2">
        <v>326.08</v>
      </c>
      <c r="L60" s="2">
        <v>417.91</v>
      </c>
      <c r="M60" s="2">
        <v>221492.3</v>
      </c>
      <c r="N60" s="2">
        <v>172822.39999999999</v>
      </c>
      <c r="O60" s="2">
        <v>48669.9</v>
      </c>
      <c r="P60" s="2" t="s">
        <v>31</v>
      </c>
      <c r="Q60" s="2" t="s">
        <v>32</v>
      </c>
      <c r="R60" s="2">
        <v>14</v>
      </c>
      <c r="S60" s="2" t="s">
        <v>43</v>
      </c>
      <c r="T60" s="2">
        <v>821</v>
      </c>
      <c r="U60" s="2">
        <v>0</v>
      </c>
      <c r="V60" s="2"/>
    </row>
    <row r="61" spans="1:22" x14ac:dyDescent="0.35">
      <c r="A61" s="3" t="s">
        <v>361</v>
      </c>
      <c r="B61" s="3" t="s">
        <v>362</v>
      </c>
      <c r="C61" s="3" t="s">
        <v>363</v>
      </c>
      <c r="D61" s="3" t="s">
        <v>364</v>
      </c>
      <c r="E61" s="3" t="s">
        <v>58</v>
      </c>
      <c r="F61" s="4"/>
      <c r="G61" s="3" t="s">
        <v>189</v>
      </c>
      <c r="H61" s="3" t="s">
        <v>365</v>
      </c>
      <c r="I61" s="3" t="s">
        <v>293</v>
      </c>
      <c r="J61" s="3">
        <v>536</v>
      </c>
      <c r="K61" s="3">
        <v>195.55</v>
      </c>
      <c r="L61" s="3">
        <v>318.19</v>
      </c>
      <c r="M61" s="3">
        <v>170549.84</v>
      </c>
      <c r="N61" s="3">
        <v>104814.8</v>
      </c>
      <c r="O61" s="3">
        <v>65735.039999999994</v>
      </c>
      <c r="P61" s="3" t="s">
        <v>52</v>
      </c>
      <c r="Q61" s="3" t="s">
        <v>32</v>
      </c>
      <c r="R61" s="3">
        <v>6</v>
      </c>
      <c r="S61" s="3" t="s">
        <v>112</v>
      </c>
      <c r="T61" s="3">
        <v>3730</v>
      </c>
      <c r="U61" s="3">
        <v>16</v>
      </c>
      <c r="V61" s="3"/>
    </row>
    <row r="62" spans="1:22" x14ac:dyDescent="0.35">
      <c r="A62" s="2" t="s">
        <v>366</v>
      </c>
      <c r="B62" s="2" t="s">
        <v>109</v>
      </c>
      <c r="C62" s="2" t="s">
        <v>367</v>
      </c>
      <c r="D62" s="2" t="s">
        <v>368</v>
      </c>
      <c r="E62" s="2" t="s">
        <v>26</v>
      </c>
      <c r="F62" s="2" t="s">
        <v>38</v>
      </c>
      <c r="G62" s="2" t="s">
        <v>189</v>
      </c>
      <c r="H62" s="2" t="s">
        <v>369</v>
      </c>
      <c r="I62" s="2" t="s">
        <v>240</v>
      </c>
      <c r="J62" s="2">
        <v>489</v>
      </c>
      <c r="K62" s="2">
        <v>195.48</v>
      </c>
      <c r="L62" s="2">
        <v>245.22</v>
      </c>
      <c r="M62" s="2">
        <v>119912.58</v>
      </c>
      <c r="N62" s="2">
        <v>95589.72</v>
      </c>
      <c r="O62" s="2">
        <v>24322.86</v>
      </c>
      <c r="P62" s="2" t="s">
        <v>95</v>
      </c>
      <c r="Q62" s="2" t="s">
        <v>63</v>
      </c>
      <c r="R62" s="2">
        <v>2</v>
      </c>
      <c r="S62" s="2" t="s">
        <v>158</v>
      </c>
      <c r="T62" s="2">
        <v>4486</v>
      </c>
      <c r="U62" s="2">
        <v>20</v>
      </c>
      <c r="V62" s="2"/>
    </row>
    <row r="63" spans="1:22" x14ac:dyDescent="0.35">
      <c r="A63" s="3" t="s">
        <v>370</v>
      </c>
      <c r="B63" s="3" t="s">
        <v>371</v>
      </c>
      <c r="C63" s="3" t="s">
        <v>372</v>
      </c>
      <c r="D63" s="3" t="s">
        <v>373</v>
      </c>
      <c r="E63" s="3" t="s">
        <v>26</v>
      </c>
      <c r="F63" s="3" t="s">
        <v>228</v>
      </c>
      <c r="G63" s="3" t="s">
        <v>217</v>
      </c>
      <c r="H63" s="3" t="s">
        <v>218</v>
      </c>
      <c r="I63" s="3" t="s">
        <v>293</v>
      </c>
      <c r="J63" s="3">
        <v>15</v>
      </c>
      <c r="K63" s="3">
        <v>233.21</v>
      </c>
      <c r="L63" s="3">
        <v>367.71</v>
      </c>
      <c r="M63" s="3">
        <v>5515.65</v>
      </c>
      <c r="N63" s="3">
        <v>3498.15</v>
      </c>
      <c r="O63" s="3">
        <v>2017.5</v>
      </c>
      <c r="P63" s="3" t="s">
        <v>42</v>
      </c>
      <c r="Q63" s="3" t="s">
        <v>32</v>
      </c>
      <c r="R63" s="3">
        <v>6</v>
      </c>
      <c r="S63" s="3" t="s">
        <v>33</v>
      </c>
      <c r="T63" s="3">
        <v>2931</v>
      </c>
      <c r="U63" s="3">
        <v>1</v>
      </c>
      <c r="V63" s="3"/>
    </row>
    <row r="64" spans="1:22" x14ac:dyDescent="0.35">
      <c r="A64" s="2" t="s">
        <v>374</v>
      </c>
      <c r="B64" s="2" t="s">
        <v>133</v>
      </c>
      <c r="C64" s="2" t="s">
        <v>375</v>
      </c>
      <c r="D64" s="2" t="s">
        <v>376</v>
      </c>
      <c r="E64" s="2" t="s">
        <v>26</v>
      </c>
      <c r="F64" s="2" t="s">
        <v>38</v>
      </c>
      <c r="G64" s="2" t="s">
        <v>129</v>
      </c>
      <c r="H64" s="2" t="s">
        <v>345</v>
      </c>
      <c r="I64" s="2" t="s">
        <v>41</v>
      </c>
      <c r="J64" s="2">
        <v>378</v>
      </c>
      <c r="K64" s="2">
        <v>119.52</v>
      </c>
      <c r="L64" s="2">
        <v>187.23</v>
      </c>
      <c r="M64" s="2">
        <v>70772.94</v>
      </c>
      <c r="N64" s="2">
        <v>45178.559999999998</v>
      </c>
      <c r="O64" s="2">
        <v>25594.38</v>
      </c>
      <c r="P64" s="2" t="s">
        <v>31</v>
      </c>
      <c r="Q64" s="2" t="s">
        <v>32</v>
      </c>
      <c r="R64" s="2">
        <v>7</v>
      </c>
      <c r="S64" s="2" t="s">
        <v>158</v>
      </c>
      <c r="T64" s="2">
        <v>2152</v>
      </c>
      <c r="U64" s="2">
        <v>10</v>
      </c>
      <c r="V64" s="2"/>
    </row>
    <row r="65" spans="1:22" x14ac:dyDescent="0.35">
      <c r="A65" s="3" t="s">
        <v>377</v>
      </c>
      <c r="B65" s="3" t="s">
        <v>378</v>
      </c>
      <c r="C65" s="3" t="s">
        <v>379</v>
      </c>
      <c r="D65" s="3" t="s">
        <v>380</v>
      </c>
      <c r="E65" s="3" t="s">
        <v>48</v>
      </c>
      <c r="F65" s="3" t="s">
        <v>270</v>
      </c>
      <c r="G65" s="3" t="s">
        <v>93</v>
      </c>
      <c r="H65" s="3" t="s">
        <v>302</v>
      </c>
      <c r="I65" s="3" t="s">
        <v>293</v>
      </c>
      <c r="J65" s="3">
        <v>24</v>
      </c>
      <c r="K65" s="3">
        <v>1142.6099999999999</v>
      </c>
      <c r="L65" s="4"/>
      <c r="M65" s="3">
        <v>43798.8</v>
      </c>
      <c r="N65" s="3">
        <v>27422.639999999999</v>
      </c>
      <c r="O65" s="3">
        <v>16376.16</v>
      </c>
      <c r="P65" s="3" t="s">
        <v>42</v>
      </c>
      <c r="Q65" s="3" t="s">
        <v>32</v>
      </c>
      <c r="R65" s="3">
        <v>7</v>
      </c>
      <c r="S65" s="3" t="s">
        <v>43</v>
      </c>
      <c r="T65" s="3">
        <v>1881</v>
      </c>
      <c r="U65" s="3">
        <v>0</v>
      </c>
      <c r="V65" s="3"/>
    </row>
    <row r="66" spans="1:22" x14ac:dyDescent="0.35">
      <c r="A66" s="2" t="s">
        <v>381</v>
      </c>
      <c r="B66" s="2" t="s">
        <v>35</v>
      </c>
      <c r="C66" s="2" t="s">
        <v>382</v>
      </c>
      <c r="D66" s="2" t="s">
        <v>383</v>
      </c>
      <c r="E66" s="2" t="s">
        <v>48</v>
      </c>
      <c r="F66" s="2" t="s">
        <v>183</v>
      </c>
      <c r="G66" s="2" t="s">
        <v>70</v>
      </c>
      <c r="H66" s="2" t="s">
        <v>384</v>
      </c>
      <c r="I66" s="2" t="s">
        <v>153</v>
      </c>
      <c r="J66" s="2">
        <v>532</v>
      </c>
      <c r="K66" s="2">
        <v>496.12</v>
      </c>
      <c r="L66" s="2">
        <v>560.55999999999995</v>
      </c>
      <c r="M66" s="2">
        <v>298217.92</v>
      </c>
      <c r="N66" s="2">
        <v>263935.84000000003</v>
      </c>
      <c r="O66" s="2">
        <v>34282.080000000002</v>
      </c>
      <c r="P66" s="2" t="s">
        <v>95</v>
      </c>
      <c r="Q66" s="2" t="s">
        <v>32</v>
      </c>
      <c r="R66" s="2">
        <v>7</v>
      </c>
      <c r="S66" s="2" t="s">
        <v>86</v>
      </c>
      <c r="T66" s="2">
        <v>645</v>
      </c>
      <c r="U66" s="2">
        <v>21</v>
      </c>
      <c r="V66" s="2"/>
    </row>
    <row r="67" spans="1:22" x14ac:dyDescent="0.35">
      <c r="A67" s="3" t="s">
        <v>385</v>
      </c>
      <c r="B67" s="3" t="s">
        <v>386</v>
      </c>
      <c r="C67" s="3" t="s">
        <v>387</v>
      </c>
      <c r="D67" s="3" t="s">
        <v>388</v>
      </c>
      <c r="E67" s="3" t="s">
        <v>26</v>
      </c>
      <c r="F67" s="3" t="s">
        <v>38</v>
      </c>
      <c r="G67" s="3" t="s">
        <v>189</v>
      </c>
      <c r="H67" s="3" t="s">
        <v>271</v>
      </c>
      <c r="I67" s="3" t="s">
        <v>118</v>
      </c>
      <c r="J67" s="3">
        <v>487</v>
      </c>
      <c r="K67" s="3">
        <v>843.62</v>
      </c>
      <c r="L67" s="3">
        <v>1100.3</v>
      </c>
      <c r="M67" s="3">
        <v>535846.1</v>
      </c>
      <c r="N67" s="3">
        <v>410842.94</v>
      </c>
      <c r="O67" s="3">
        <v>125003.16</v>
      </c>
      <c r="P67" s="3" t="s">
        <v>95</v>
      </c>
      <c r="Q67" s="3" t="s">
        <v>32</v>
      </c>
      <c r="R67" s="3">
        <v>15</v>
      </c>
      <c r="S67" s="3" t="s">
        <v>43</v>
      </c>
      <c r="T67" s="3">
        <v>239</v>
      </c>
      <c r="U67" s="3">
        <v>20</v>
      </c>
      <c r="V67" s="3"/>
    </row>
    <row r="68" spans="1:22" x14ac:dyDescent="0.35">
      <c r="A68" s="2" t="s">
        <v>389</v>
      </c>
      <c r="B68" s="2" t="s">
        <v>390</v>
      </c>
      <c r="C68" s="2" t="s">
        <v>391</v>
      </c>
      <c r="D68" s="2" t="s">
        <v>392</v>
      </c>
      <c r="E68" s="2" t="s">
        <v>48</v>
      </c>
      <c r="F68" s="2" t="s">
        <v>223</v>
      </c>
      <c r="G68" s="2" t="s">
        <v>217</v>
      </c>
      <c r="H68" s="2" t="s">
        <v>218</v>
      </c>
      <c r="I68" s="2" t="s">
        <v>85</v>
      </c>
      <c r="J68" s="2">
        <v>499</v>
      </c>
      <c r="K68" s="2">
        <v>247.85</v>
      </c>
      <c r="L68" s="2">
        <v>334.44</v>
      </c>
      <c r="M68" s="2">
        <v>166885.56</v>
      </c>
      <c r="N68" s="2">
        <v>123677.15</v>
      </c>
      <c r="O68" s="2">
        <v>43208.41</v>
      </c>
      <c r="P68" s="2" t="s">
        <v>31</v>
      </c>
      <c r="Q68" s="2" t="s">
        <v>63</v>
      </c>
      <c r="R68" s="2">
        <v>4</v>
      </c>
      <c r="S68" s="2" t="s">
        <v>33</v>
      </c>
      <c r="T68" s="2">
        <v>1320</v>
      </c>
      <c r="U68" s="2">
        <v>10</v>
      </c>
      <c r="V68" s="2"/>
    </row>
    <row r="69" spans="1:22" x14ac:dyDescent="0.35">
      <c r="A69" s="3" t="s">
        <v>393</v>
      </c>
      <c r="B69" s="3" t="s">
        <v>394</v>
      </c>
      <c r="C69" s="3" t="s">
        <v>395</v>
      </c>
      <c r="D69" s="3" t="s">
        <v>396</v>
      </c>
      <c r="E69" s="3" t="s">
        <v>26</v>
      </c>
      <c r="F69" s="3" t="s">
        <v>27</v>
      </c>
      <c r="G69" s="3" t="s">
        <v>189</v>
      </c>
      <c r="H69" s="3" t="s">
        <v>190</v>
      </c>
      <c r="I69" s="3" t="s">
        <v>41</v>
      </c>
      <c r="J69" s="3">
        <v>146</v>
      </c>
      <c r="K69" s="3">
        <v>46.26</v>
      </c>
      <c r="L69" s="3">
        <v>65.739999999999995</v>
      </c>
      <c r="M69" s="3">
        <v>9598.0400000000009</v>
      </c>
      <c r="N69" s="3">
        <v>6753.96</v>
      </c>
      <c r="O69" s="3">
        <v>2844.08</v>
      </c>
      <c r="P69" s="3" t="s">
        <v>31</v>
      </c>
      <c r="Q69" s="3" t="s">
        <v>32</v>
      </c>
      <c r="R69" s="3">
        <v>15</v>
      </c>
      <c r="S69" s="3" t="s">
        <v>158</v>
      </c>
      <c r="T69" s="3">
        <v>3574</v>
      </c>
      <c r="U69" s="3">
        <v>7</v>
      </c>
      <c r="V69" s="3"/>
    </row>
    <row r="70" spans="1:22" x14ac:dyDescent="0.35">
      <c r="A70" s="2" t="s">
        <v>397</v>
      </c>
      <c r="B70" s="2" t="s">
        <v>215</v>
      </c>
      <c r="C70" s="2" t="s">
        <v>398</v>
      </c>
      <c r="D70" s="2" t="s">
        <v>399</v>
      </c>
      <c r="E70" s="2" t="s">
        <v>68</v>
      </c>
      <c r="F70" s="2" t="s">
        <v>276</v>
      </c>
      <c r="G70" s="2" t="s">
        <v>60</v>
      </c>
      <c r="H70" s="2" t="s">
        <v>400</v>
      </c>
      <c r="I70" s="2" t="s">
        <v>85</v>
      </c>
      <c r="J70" s="2">
        <v>551</v>
      </c>
      <c r="K70" s="2">
        <v>291.83</v>
      </c>
      <c r="L70" s="2">
        <v>451.32</v>
      </c>
      <c r="M70" s="2">
        <v>248677.32</v>
      </c>
      <c r="N70" s="2">
        <v>160798.32999999999</v>
      </c>
      <c r="O70" s="2">
        <v>87878.99</v>
      </c>
      <c r="P70" s="2" t="s">
        <v>52</v>
      </c>
      <c r="Q70" s="2" t="s">
        <v>32</v>
      </c>
      <c r="R70" s="2">
        <v>-3</v>
      </c>
      <c r="S70" s="2" t="s">
        <v>33</v>
      </c>
      <c r="T70" s="2">
        <v>3415</v>
      </c>
      <c r="U70" s="2">
        <v>11</v>
      </c>
      <c r="V70" s="2"/>
    </row>
    <row r="71" spans="1:22" x14ac:dyDescent="0.35">
      <c r="A71" s="3" t="s">
        <v>401</v>
      </c>
      <c r="B71" s="3" t="s">
        <v>402</v>
      </c>
      <c r="C71" s="3" t="s">
        <v>403</v>
      </c>
      <c r="D71" s="3" t="s">
        <v>404</v>
      </c>
      <c r="E71" s="3" t="s">
        <v>26</v>
      </c>
      <c r="F71" s="3" t="s">
        <v>92</v>
      </c>
      <c r="G71" s="3" t="s">
        <v>60</v>
      </c>
      <c r="H71" s="3" t="s">
        <v>400</v>
      </c>
      <c r="I71" s="3" t="s">
        <v>240</v>
      </c>
      <c r="J71" s="3">
        <v>604</v>
      </c>
      <c r="K71" s="3">
        <v>487.12</v>
      </c>
      <c r="L71" s="3">
        <v>556.84</v>
      </c>
      <c r="M71" s="3">
        <v>336331.36</v>
      </c>
      <c r="N71" s="3">
        <v>294220.48</v>
      </c>
      <c r="O71" s="3">
        <v>42110.879999999997</v>
      </c>
      <c r="P71" s="3" t="s">
        <v>31</v>
      </c>
      <c r="Q71" s="3" t="s">
        <v>63</v>
      </c>
      <c r="R71" s="3">
        <v>1</v>
      </c>
      <c r="S71" s="3" t="s">
        <v>53</v>
      </c>
      <c r="T71" s="3">
        <v>489</v>
      </c>
      <c r="U71" s="3">
        <v>7</v>
      </c>
      <c r="V71" s="3"/>
    </row>
    <row r="72" spans="1:22" x14ac:dyDescent="0.35">
      <c r="A72" s="2" t="s">
        <v>405</v>
      </c>
      <c r="B72" s="2" t="s">
        <v>406</v>
      </c>
      <c r="C72" s="2" t="s">
        <v>407</v>
      </c>
      <c r="D72" s="2" t="s">
        <v>408</v>
      </c>
      <c r="E72" s="2" t="s">
        <v>48</v>
      </c>
      <c r="F72" s="2" t="s">
        <v>223</v>
      </c>
      <c r="G72" s="2" t="s">
        <v>70</v>
      </c>
      <c r="H72" s="4"/>
      <c r="I72" s="2" t="s">
        <v>62</v>
      </c>
      <c r="J72" s="2">
        <v>144</v>
      </c>
      <c r="K72" s="2">
        <v>498.67</v>
      </c>
      <c r="L72" s="2">
        <v>771.66</v>
      </c>
      <c r="M72" s="2">
        <v>111119.03999999999</v>
      </c>
      <c r="N72" s="2">
        <v>71808.479999999996</v>
      </c>
      <c r="O72" s="2">
        <v>39310.559999999998</v>
      </c>
      <c r="P72" s="2" t="s">
        <v>95</v>
      </c>
      <c r="Q72" s="2" t="s">
        <v>32</v>
      </c>
      <c r="R72" s="2">
        <v>11</v>
      </c>
      <c r="S72" s="2" t="s">
        <v>33</v>
      </c>
      <c r="T72" s="2">
        <v>3605</v>
      </c>
      <c r="U72" s="2">
        <v>3</v>
      </c>
      <c r="V72" s="2"/>
    </row>
    <row r="73" spans="1:22" x14ac:dyDescent="0.35">
      <c r="A73" s="3" t="s">
        <v>409</v>
      </c>
      <c r="B73" s="3" t="s">
        <v>74</v>
      </c>
      <c r="C73" s="3" t="s">
        <v>410</v>
      </c>
      <c r="D73" s="3" t="s">
        <v>411</v>
      </c>
      <c r="E73" s="3" t="s">
        <v>26</v>
      </c>
      <c r="F73" s="3" t="s">
        <v>27</v>
      </c>
      <c r="G73" s="3" t="s">
        <v>39</v>
      </c>
      <c r="H73" s="3" t="s">
        <v>412</v>
      </c>
      <c r="I73" s="3" t="s">
        <v>72</v>
      </c>
      <c r="J73" s="3">
        <v>643</v>
      </c>
      <c r="K73" s="3">
        <v>812.41</v>
      </c>
      <c r="L73" s="3">
        <v>1155.1199999999999</v>
      </c>
      <c r="M73" s="3">
        <v>742742.16</v>
      </c>
      <c r="N73" s="3">
        <v>522379.63</v>
      </c>
      <c r="O73" s="3">
        <v>220362.53</v>
      </c>
      <c r="P73" s="3" t="s">
        <v>42</v>
      </c>
      <c r="Q73" s="3" t="s">
        <v>32</v>
      </c>
      <c r="R73" s="3">
        <v>12</v>
      </c>
      <c r="S73" s="3" t="s">
        <v>158</v>
      </c>
      <c r="T73" s="3">
        <v>820</v>
      </c>
      <c r="U73" s="3">
        <v>11</v>
      </c>
      <c r="V73" s="3"/>
    </row>
    <row r="74" spans="1:22" x14ac:dyDescent="0.35">
      <c r="A74" s="2" t="s">
        <v>413</v>
      </c>
      <c r="B74" s="2" t="s">
        <v>414</v>
      </c>
      <c r="C74" s="2" t="s">
        <v>415</v>
      </c>
      <c r="D74" s="2" t="s">
        <v>416</v>
      </c>
      <c r="E74" s="2" t="s">
        <v>58</v>
      </c>
      <c r="F74" s="2" t="s">
        <v>417</v>
      </c>
      <c r="G74" s="2" t="s">
        <v>28</v>
      </c>
      <c r="H74" s="2" t="s">
        <v>29</v>
      </c>
      <c r="I74" s="2" t="s">
        <v>141</v>
      </c>
      <c r="J74" s="2">
        <v>628</v>
      </c>
      <c r="K74" s="2">
        <v>529.41999999999996</v>
      </c>
      <c r="L74" s="2">
        <v>865.72</v>
      </c>
      <c r="M74" s="2">
        <v>543672.16</v>
      </c>
      <c r="N74" s="2">
        <v>332475.76</v>
      </c>
      <c r="O74" s="2">
        <v>211196.4</v>
      </c>
      <c r="P74" s="2" t="s">
        <v>95</v>
      </c>
      <c r="Q74" s="2" t="s">
        <v>63</v>
      </c>
      <c r="R74" s="2">
        <v>1</v>
      </c>
      <c r="S74" s="2" t="s">
        <v>43</v>
      </c>
      <c r="T74" s="2">
        <v>1855</v>
      </c>
      <c r="U74" s="2">
        <v>31</v>
      </c>
      <c r="V74" s="2"/>
    </row>
    <row r="75" spans="1:22" x14ac:dyDescent="0.35">
      <c r="A75" s="3" t="s">
        <v>418</v>
      </c>
      <c r="B75" s="3" t="s">
        <v>65</v>
      </c>
      <c r="C75" s="3" t="s">
        <v>419</v>
      </c>
      <c r="D75" s="3" t="s">
        <v>420</v>
      </c>
      <c r="E75" s="3" t="s">
        <v>68</v>
      </c>
      <c r="F75" s="3" t="s">
        <v>163</v>
      </c>
      <c r="G75" s="3" t="s">
        <v>93</v>
      </c>
      <c r="H75" s="3" t="s">
        <v>321</v>
      </c>
      <c r="I75" s="3" t="s">
        <v>85</v>
      </c>
      <c r="J75" s="3">
        <v>424</v>
      </c>
      <c r="K75" s="3">
        <v>1122.32</v>
      </c>
      <c r="L75" s="3">
        <v>1630.69</v>
      </c>
      <c r="M75" s="3">
        <v>691412.56</v>
      </c>
      <c r="N75" s="3">
        <v>475863.68</v>
      </c>
      <c r="O75" s="3">
        <v>215548.88</v>
      </c>
      <c r="P75" s="3" t="s">
        <v>42</v>
      </c>
      <c r="Q75" s="3" t="s">
        <v>63</v>
      </c>
      <c r="R75" s="3">
        <v>1</v>
      </c>
      <c r="S75" s="3" t="s">
        <v>86</v>
      </c>
      <c r="T75" s="3">
        <v>1384</v>
      </c>
      <c r="U75" s="3">
        <v>5</v>
      </c>
      <c r="V75" s="3"/>
    </row>
    <row r="76" spans="1:22" x14ac:dyDescent="0.35">
      <c r="A76" s="2" t="s">
        <v>421</v>
      </c>
      <c r="B76" s="2" t="s">
        <v>422</v>
      </c>
      <c r="C76" s="2" t="s">
        <v>423</v>
      </c>
      <c r="D76" s="2" t="s">
        <v>424</v>
      </c>
      <c r="E76" s="2" t="s">
        <v>48</v>
      </c>
      <c r="F76" s="2" t="s">
        <v>49</v>
      </c>
      <c r="G76" s="2" t="s">
        <v>78</v>
      </c>
      <c r="H76" s="2" t="s">
        <v>425</v>
      </c>
      <c r="I76" s="2" t="s">
        <v>118</v>
      </c>
      <c r="J76" s="2">
        <v>702</v>
      </c>
      <c r="K76" s="2">
        <v>1086.79</v>
      </c>
      <c r="L76" s="2">
        <v>1492.83</v>
      </c>
      <c r="M76" s="2">
        <v>1047966.66</v>
      </c>
      <c r="N76" s="2">
        <v>762926.58</v>
      </c>
      <c r="O76" s="2">
        <v>285040.08</v>
      </c>
      <c r="P76" s="2" t="s">
        <v>42</v>
      </c>
      <c r="Q76" s="2" t="s">
        <v>32</v>
      </c>
      <c r="R76" s="2">
        <v>15</v>
      </c>
      <c r="S76" s="2" t="s">
        <v>53</v>
      </c>
      <c r="T76" s="2">
        <v>2635</v>
      </c>
      <c r="U76" s="2">
        <v>17</v>
      </c>
      <c r="V76" s="2"/>
    </row>
    <row r="77" spans="1:22" x14ac:dyDescent="0.35">
      <c r="A77" s="3" t="s">
        <v>426</v>
      </c>
      <c r="B77" s="3" t="s">
        <v>149</v>
      </c>
      <c r="C77" s="3" t="s">
        <v>427</v>
      </c>
      <c r="D77" s="3" t="s">
        <v>428</v>
      </c>
      <c r="E77" s="3" t="s">
        <v>58</v>
      </c>
      <c r="F77" s="3" t="s">
        <v>429</v>
      </c>
      <c r="G77" s="3" t="s">
        <v>129</v>
      </c>
      <c r="H77" s="3" t="s">
        <v>316</v>
      </c>
      <c r="I77" s="3" t="s">
        <v>141</v>
      </c>
      <c r="J77" s="3">
        <v>653</v>
      </c>
      <c r="K77" s="3">
        <v>48.05</v>
      </c>
      <c r="L77" s="3">
        <v>77.959999999999994</v>
      </c>
      <c r="M77" s="3">
        <v>50907.88</v>
      </c>
      <c r="N77" s="3">
        <v>31376.65</v>
      </c>
      <c r="O77" s="3">
        <v>19531.23</v>
      </c>
      <c r="P77" s="3" t="s">
        <v>31</v>
      </c>
      <c r="Q77" s="3" t="s">
        <v>32</v>
      </c>
      <c r="R77" s="3">
        <v>11</v>
      </c>
      <c r="S77" s="3" t="s">
        <v>43</v>
      </c>
      <c r="T77" s="3">
        <v>4080</v>
      </c>
      <c r="U77" s="3">
        <v>25</v>
      </c>
      <c r="V77" s="3"/>
    </row>
    <row r="78" spans="1:22" x14ac:dyDescent="0.35">
      <c r="A78" s="2" t="s">
        <v>430</v>
      </c>
      <c r="B78" s="2" t="s">
        <v>431</v>
      </c>
      <c r="C78" s="2" t="s">
        <v>432</v>
      </c>
      <c r="D78" s="2" t="s">
        <v>433</v>
      </c>
      <c r="E78" s="2" t="s">
        <v>58</v>
      </c>
      <c r="F78" s="2" t="s">
        <v>417</v>
      </c>
      <c r="G78" s="2" t="s">
        <v>60</v>
      </c>
      <c r="H78" s="2" t="s">
        <v>61</v>
      </c>
      <c r="I78" s="2" t="s">
        <v>153</v>
      </c>
      <c r="J78" s="2">
        <v>675</v>
      </c>
      <c r="K78" s="2">
        <v>849.69</v>
      </c>
      <c r="L78" s="2">
        <v>984.8</v>
      </c>
      <c r="M78" s="2">
        <v>664740</v>
      </c>
      <c r="N78" s="2">
        <v>573540.75</v>
      </c>
      <c r="O78" s="2">
        <v>91199.25</v>
      </c>
      <c r="P78" s="2" t="s">
        <v>95</v>
      </c>
      <c r="Q78" s="2" t="s">
        <v>32</v>
      </c>
      <c r="R78" s="2">
        <v>11</v>
      </c>
      <c r="S78" s="2" t="s">
        <v>112</v>
      </c>
      <c r="T78" s="2">
        <v>594</v>
      </c>
      <c r="U78" s="2">
        <v>21</v>
      </c>
      <c r="V78" s="2"/>
    </row>
    <row r="79" spans="1:22" x14ac:dyDescent="0.35">
      <c r="A79" s="3" t="s">
        <v>434</v>
      </c>
      <c r="B79" s="3" t="s">
        <v>435</v>
      </c>
      <c r="C79" s="3" t="s">
        <v>348</v>
      </c>
      <c r="D79" s="3" t="s">
        <v>436</v>
      </c>
      <c r="E79" s="3" t="s">
        <v>100</v>
      </c>
      <c r="F79" s="3" t="s">
        <v>330</v>
      </c>
      <c r="G79" s="3" t="s">
        <v>189</v>
      </c>
      <c r="H79" s="3" t="s">
        <v>437</v>
      </c>
      <c r="I79" s="3" t="s">
        <v>240</v>
      </c>
      <c r="J79" s="3">
        <v>383</v>
      </c>
      <c r="K79" s="3">
        <v>1177.67</v>
      </c>
      <c r="L79" s="3">
        <v>1334</v>
      </c>
      <c r="M79" s="3">
        <v>510922</v>
      </c>
      <c r="N79" s="3">
        <v>451047.61</v>
      </c>
      <c r="O79" s="3">
        <v>59874.39</v>
      </c>
      <c r="P79" s="3" t="s">
        <v>31</v>
      </c>
      <c r="Q79" s="3" t="s">
        <v>63</v>
      </c>
      <c r="R79" s="3">
        <v>2</v>
      </c>
      <c r="S79" s="3" t="s">
        <v>43</v>
      </c>
      <c r="T79" s="3">
        <v>4022</v>
      </c>
      <c r="U79" s="3">
        <v>16</v>
      </c>
      <c r="V79" s="3"/>
    </row>
    <row r="80" spans="1:22" x14ac:dyDescent="0.35">
      <c r="A80" s="2" t="s">
        <v>438</v>
      </c>
      <c r="B80" s="2" t="s">
        <v>439</v>
      </c>
      <c r="C80" s="2" t="s">
        <v>440</v>
      </c>
      <c r="D80" s="2" t="s">
        <v>441</v>
      </c>
      <c r="E80" s="2" t="s">
        <v>68</v>
      </c>
      <c r="F80" s="2" t="s">
        <v>276</v>
      </c>
      <c r="G80" s="2" t="s">
        <v>60</v>
      </c>
      <c r="H80" s="2" t="s">
        <v>400</v>
      </c>
      <c r="I80" s="2" t="s">
        <v>124</v>
      </c>
      <c r="J80" s="2">
        <v>478</v>
      </c>
      <c r="K80" s="2">
        <v>268.08</v>
      </c>
      <c r="L80" s="2">
        <v>308.43</v>
      </c>
      <c r="M80" s="2">
        <v>147429.54</v>
      </c>
      <c r="N80" s="2">
        <v>128142.24</v>
      </c>
      <c r="O80" s="2">
        <v>19287.3</v>
      </c>
      <c r="P80" s="2" t="s">
        <v>42</v>
      </c>
      <c r="Q80" s="2" t="s">
        <v>63</v>
      </c>
      <c r="R80" s="2">
        <v>5</v>
      </c>
      <c r="S80" s="2" t="s">
        <v>43</v>
      </c>
      <c r="T80" s="2">
        <v>3976</v>
      </c>
      <c r="U80" s="2">
        <v>16</v>
      </c>
      <c r="V80" s="2"/>
    </row>
    <row r="81" spans="1:22" x14ac:dyDescent="0.35">
      <c r="A81" s="3" t="s">
        <v>442</v>
      </c>
      <c r="B81" s="3" t="s">
        <v>406</v>
      </c>
      <c r="C81" s="3" t="s">
        <v>402</v>
      </c>
      <c r="D81" s="3" t="s">
        <v>443</v>
      </c>
      <c r="E81" s="3" t="s">
        <v>26</v>
      </c>
      <c r="F81" s="3" t="s">
        <v>92</v>
      </c>
      <c r="G81" s="3" t="s">
        <v>93</v>
      </c>
      <c r="H81" s="3" t="s">
        <v>140</v>
      </c>
      <c r="I81" s="3" t="s">
        <v>240</v>
      </c>
      <c r="J81" s="3">
        <v>706</v>
      </c>
      <c r="K81" s="3">
        <v>11.89</v>
      </c>
      <c r="L81" s="3">
        <v>14.47</v>
      </c>
      <c r="M81" s="3">
        <v>10215.82</v>
      </c>
      <c r="N81" s="3">
        <v>8394.34</v>
      </c>
      <c r="O81" s="3">
        <v>1821.48</v>
      </c>
      <c r="P81" s="3" t="s">
        <v>42</v>
      </c>
      <c r="Q81" s="3" t="s">
        <v>32</v>
      </c>
      <c r="R81" s="3">
        <v>11</v>
      </c>
      <c r="S81" s="3" t="s">
        <v>112</v>
      </c>
      <c r="T81" s="3">
        <v>3069</v>
      </c>
      <c r="U81" s="3">
        <v>22</v>
      </c>
      <c r="V81" s="3"/>
    </row>
    <row r="82" spans="1:22" x14ac:dyDescent="0.35">
      <c r="A82" s="2" t="s">
        <v>444</v>
      </c>
      <c r="B82" s="2" t="s">
        <v>75</v>
      </c>
      <c r="C82" s="2" t="s">
        <v>407</v>
      </c>
      <c r="D82" s="2" t="s">
        <v>445</v>
      </c>
      <c r="E82" s="2" t="s">
        <v>100</v>
      </c>
      <c r="F82" s="2" t="s">
        <v>330</v>
      </c>
      <c r="G82" s="2" t="s">
        <v>70</v>
      </c>
      <c r="H82" s="2" t="s">
        <v>446</v>
      </c>
      <c r="I82" s="2" t="s">
        <v>30</v>
      </c>
      <c r="J82" s="2">
        <v>683</v>
      </c>
      <c r="K82" s="2">
        <v>1074.02</v>
      </c>
      <c r="L82" s="2">
        <v>1729.88</v>
      </c>
      <c r="M82" s="2">
        <v>1181508.04</v>
      </c>
      <c r="N82" s="2">
        <v>733555.66</v>
      </c>
      <c r="O82" s="2">
        <v>447952.38</v>
      </c>
      <c r="P82" s="2" t="s">
        <v>31</v>
      </c>
      <c r="Q82" s="2" t="s">
        <v>32</v>
      </c>
      <c r="R82" s="2">
        <v>12</v>
      </c>
      <c r="S82" s="2" t="s">
        <v>158</v>
      </c>
      <c r="T82" s="2">
        <v>249</v>
      </c>
      <c r="U82" s="2">
        <v>9</v>
      </c>
      <c r="V82" s="2"/>
    </row>
    <row r="83" spans="1:22" x14ac:dyDescent="0.35">
      <c r="A83" s="3" t="s">
        <v>447</v>
      </c>
      <c r="B83" s="3" t="s">
        <v>448</v>
      </c>
      <c r="C83" s="3" t="s">
        <v>449</v>
      </c>
      <c r="D83" s="3" t="s">
        <v>450</v>
      </c>
      <c r="E83" s="3" t="s">
        <v>100</v>
      </c>
      <c r="F83" s="3" t="s">
        <v>451</v>
      </c>
      <c r="G83" s="3" t="s">
        <v>60</v>
      </c>
      <c r="H83" s="3" t="s">
        <v>265</v>
      </c>
      <c r="I83" s="3" t="s">
        <v>62</v>
      </c>
      <c r="J83" s="3">
        <v>175</v>
      </c>
      <c r="K83" s="3">
        <v>929.53</v>
      </c>
      <c r="L83" s="3">
        <v>1224.8900000000001</v>
      </c>
      <c r="M83" s="3">
        <v>214355.75</v>
      </c>
      <c r="N83" s="3">
        <v>162667.75</v>
      </c>
      <c r="O83" s="3">
        <v>51688</v>
      </c>
      <c r="P83" s="3" t="s">
        <v>42</v>
      </c>
      <c r="Q83" s="3" t="s">
        <v>32</v>
      </c>
      <c r="R83" s="3">
        <v>10</v>
      </c>
      <c r="S83" s="3" t="s">
        <v>158</v>
      </c>
      <c r="T83" s="3">
        <v>4786</v>
      </c>
      <c r="U83" s="3">
        <v>6</v>
      </c>
      <c r="V83" s="3"/>
    </row>
    <row r="84" spans="1:22" x14ac:dyDescent="0.35">
      <c r="A84" s="2" t="s">
        <v>452</v>
      </c>
      <c r="B84" s="2" t="s">
        <v>453</v>
      </c>
      <c r="C84" s="2" t="s">
        <v>454</v>
      </c>
      <c r="D84" s="2" t="s">
        <v>455</v>
      </c>
      <c r="E84" s="2" t="s">
        <v>26</v>
      </c>
      <c r="F84" s="2" t="s">
        <v>228</v>
      </c>
      <c r="G84" s="2" t="s">
        <v>28</v>
      </c>
      <c r="H84" s="2" t="s">
        <v>212</v>
      </c>
      <c r="I84" s="2" t="s">
        <v>141</v>
      </c>
      <c r="J84" s="2">
        <v>434</v>
      </c>
      <c r="K84" s="2">
        <v>199.43</v>
      </c>
      <c r="L84" s="2">
        <v>272.47000000000003</v>
      </c>
      <c r="M84" s="2">
        <v>118251.98</v>
      </c>
      <c r="N84" s="2">
        <v>86552.62</v>
      </c>
      <c r="O84" s="2">
        <v>31699.360000000001</v>
      </c>
      <c r="P84" s="2" t="s">
        <v>42</v>
      </c>
      <c r="Q84" s="2" t="s">
        <v>456</v>
      </c>
      <c r="R84" s="2">
        <v>13</v>
      </c>
      <c r="S84" s="2" t="s">
        <v>158</v>
      </c>
      <c r="T84" s="2">
        <v>3572</v>
      </c>
      <c r="U84" s="2">
        <v>16</v>
      </c>
      <c r="V84" s="2"/>
    </row>
    <row r="85" spans="1:22" x14ac:dyDescent="0.35">
      <c r="A85" s="3" t="s">
        <v>457</v>
      </c>
      <c r="B85" s="3" t="s">
        <v>458</v>
      </c>
      <c r="C85" s="3" t="s">
        <v>459</v>
      </c>
      <c r="D85" s="3" t="s">
        <v>460</v>
      </c>
      <c r="E85" s="3" t="s">
        <v>58</v>
      </c>
      <c r="F85" s="3" t="s">
        <v>417</v>
      </c>
      <c r="G85" s="3" t="s">
        <v>60</v>
      </c>
      <c r="H85" s="3" t="s">
        <v>400</v>
      </c>
      <c r="I85" s="3" t="s">
        <v>62</v>
      </c>
      <c r="J85" s="3">
        <v>555</v>
      </c>
      <c r="K85" s="4" t="s">
        <v>87</v>
      </c>
      <c r="L85" s="3">
        <v>1022.07</v>
      </c>
      <c r="M85" s="3">
        <v>567248.85</v>
      </c>
      <c r="N85" s="3">
        <v>387079.2</v>
      </c>
      <c r="O85" s="3">
        <v>180169.65</v>
      </c>
      <c r="P85" s="3" t="s">
        <v>52</v>
      </c>
      <c r="Q85" s="3" t="s">
        <v>63</v>
      </c>
      <c r="R85" s="3">
        <v>1</v>
      </c>
      <c r="S85" s="3" t="s">
        <v>112</v>
      </c>
      <c r="T85" s="3">
        <v>238</v>
      </c>
      <c r="U85" s="3">
        <v>9</v>
      </c>
      <c r="V85" s="3"/>
    </row>
    <row r="86" spans="1:22" x14ac:dyDescent="0.35">
      <c r="A86" s="2" t="s">
        <v>461</v>
      </c>
      <c r="B86" s="2" t="s">
        <v>256</v>
      </c>
      <c r="C86" s="2" t="s">
        <v>235</v>
      </c>
      <c r="D86" s="2" t="s">
        <v>462</v>
      </c>
      <c r="E86" s="2" t="s">
        <v>68</v>
      </c>
      <c r="F86" s="2" t="s">
        <v>276</v>
      </c>
      <c r="G86" s="2" t="s">
        <v>28</v>
      </c>
      <c r="H86" s="2" t="s">
        <v>29</v>
      </c>
      <c r="I86" s="2" t="s">
        <v>62</v>
      </c>
      <c r="J86" s="2">
        <v>560</v>
      </c>
      <c r="K86" s="2">
        <v>269.20999999999998</v>
      </c>
      <c r="L86" s="2">
        <v>427.31</v>
      </c>
      <c r="M86" s="2">
        <v>239293.6</v>
      </c>
      <c r="N86" s="2">
        <v>150757.6</v>
      </c>
      <c r="O86" s="2">
        <v>88536</v>
      </c>
      <c r="P86" s="2" t="s">
        <v>42</v>
      </c>
      <c r="Q86" s="2" t="s">
        <v>32</v>
      </c>
      <c r="R86" s="2">
        <v>7</v>
      </c>
      <c r="S86" s="2" t="s">
        <v>43</v>
      </c>
      <c r="T86" s="2">
        <v>138</v>
      </c>
      <c r="U86" s="2">
        <v>3</v>
      </c>
      <c r="V86" s="2"/>
    </row>
    <row r="87" spans="1:22" x14ac:dyDescent="0.35">
      <c r="A87" s="3" t="s">
        <v>463</v>
      </c>
      <c r="B87" s="3" t="s">
        <v>464</v>
      </c>
      <c r="C87" s="3" t="s">
        <v>338</v>
      </c>
      <c r="D87" s="3" t="s">
        <v>465</v>
      </c>
      <c r="E87" s="3" t="s">
        <v>58</v>
      </c>
      <c r="F87" s="3" t="s">
        <v>59</v>
      </c>
      <c r="G87" s="3" t="s">
        <v>189</v>
      </c>
      <c r="H87" s="3" t="s">
        <v>437</v>
      </c>
      <c r="I87" s="3" t="s">
        <v>153</v>
      </c>
      <c r="J87" s="3">
        <v>497</v>
      </c>
      <c r="K87" s="3">
        <v>631.91999999999996</v>
      </c>
      <c r="L87" s="3">
        <v>1027.68</v>
      </c>
      <c r="M87" s="3">
        <v>510756.96</v>
      </c>
      <c r="N87" s="3">
        <v>314064.24</v>
      </c>
      <c r="O87" s="3">
        <v>196692.72</v>
      </c>
      <c r="P87" s="3" t="s">
        <v>52</v>
      </c>
      <c r="Q87" s="3" t="s">
        <v>32</v>
      </c>
      <c r="R87" s="3">
        <v>15</v>
      </c>
      <c r="S87" s="3" t="s">
        <v>112</v>
      </c>
      <c r="T87" s="3">
        <v>2574</v>
      </c>
      <c r="U87" s="3">
        <v>7</v>
      </c>
      <c r="V87" s="3"/>
    </row>
    <row r="88" spans="1:22" x14ac:dyDescent="0.35">
      <c r="A88" s="2" t="s">
        <v>466</v>
      </c>
      <c r="B88" s="2" t="s">
        <v>467</v>
      </c>
      <c r="C88" s="2" t="s">
        <v>468</v>
      </c>
      <c r="D88" s="2" t="s">
        <v>469</v>
      </c>
      <c r="E88" s="2" t="s">
        <v>26</v>
      </c>
      <c r="F88" s="2" t="s">
        <v>77</v>
      </c>
      <c r="G88" s="2" t="s">
        <v>129</v>
      </c>
      <c r="H88" s="2" t="s">
        <v>168</v>
      </c>
      <c r="I88" s="2" t="s">
        <v>118</v>
      </c>
      <c r="J88" s="2">
        <v>627</v>
      </c>
      <c r="K88" s="2">
        <v>577.51</v>
      </c>
      <c r="L88" s="2">
        <v>926.45</v>
      </c>
      <c r="M88" s="2">
        <v>580884.15</v>
      </c>
      <c r="N88" s="2">
        <v>362098.77</v>
      </c>
      <c r="O88" s="2">
        <v>218785.38</v>
      </c>
      <c r="P88" s="2" t="s">
        <v>52</v>
      </c>
      <c r="Q88" s="2" t="s">
        <v>32</v>
      </c>
      <c r="R88" s="2">
        <v>9</v>
      </c>
      <c r="S88" s="2" t="s">
        <v>53</v>
      </c>
      <c r="T88" s="2">
        <v>2083</v>
      </c>
      <c r="U88" s="2">
        <v>23</v>
      </c>
      <c r="V88" s="2"/>
    </row>
    <row r="89" spans="1:22" x14ac:dyDescent="0.35">
      <c r="A89" s="3" t="s">
        <v>470</v>
      </c>
      <c r="B89" s="3" t="s">
        <v>471</v>
      </c>
      <c r="C89" s="3" t="s">
        <v>472</v>
      </c>
      <c r="D89" s="3" t="s">
        <v>473</v>
      </c>
      <c r="E89" s="3" t="s">
        <v>58</v>
      </c>
      <c r="F89" s="3" t="s">
        <v>59</v>
      </c>
      <c r="G89" s="3" t="s">
        <v>28</v>
      </c>
      <c r="H89" s="3" t="s">
        <v>212</v>
      </c>
      <c r="I89" s="3" t="s">
        <v>153</v>
      </c>
      <c r="J89" s="3">
        <v>208</v>
      </c>
      <c r="K89" s="3">
        <v>256.63</v>
      </c>
      <c r="L89" s="3">
        <v>305.31</v>
      </c>
      <c r="M89" s="3">
        <v>63504.480000000003</v>
      </c>
      <c r="N89" s="3">
        <v>53379.040000000001</v>
      </c>
      <c r="O89" s="3">
        <v>10125.44</v>
      </c>
      <c r="P89" s="3" t="s">
        <v>42</v>
      </c>
      <c r="Q89" s="3" t="s">
        <v>32</v>
      </c>
      <c r="R89" s="3">
        <v>7</v>
      </c>
      <c r="S89" s="3" t="s">
        <v>86</v>
      </c>
      <c r="T89" s="3">
        <v>868</v>
      </c>
      <c r="U89" s="3">
        <v>3</v>
      </c>
      <c r="V89" s="3"/>
    </row>
    <row r="90" spans="1:22" x14ac:dyDescent="0.35">
      <c r="A90" s="2" t="s">
        <v>474</v>
      </c>
      <c r="B90" s="2" t="s">
        <v>475</v>
      </c>
      <c r="C90" s="2" t="s">
        <v>155</v>
      </c>
      <c r="D90" s="2" t="s">
        <v>476</v>
      </c>
      <c r="E90" s="2" t="s">
        <v>48</v>
      </c>
      <c r="F90" s="2" t="s">
        <v>183</v>
      </c>
      <c r="G90" s="2" t="s">
        <v>39</v>
      </c>
      <c r="H90" s="2" t="s">
        <v>477</v>
      </c>
      <c r="I90" s="2" t="s">
        <v>153</v>
      </c>
      <c r="J90" s="2">
        <v>407</v>
      </c>
      <c r="K90" s="2">
        <v>420.93</v>
      </c>
      <c r="L90" s="2">
        <v>683.72</v>
      </c>
      <c r="M90" s="2">
        <v>278274.03999999998</v>
      </c>
      <c r="N90" s="2">
        <v>171318.51</v>
      </c>
      <c r="O90" s="2">
        <v>106955.53</v>
      </c>
      <c r="P90" s="2" t="s">
        <v>95</v>
      </c>
      <c r="Q90" s="2" t="s">
        <v>32</v>
      </c>
      <c r="R90" s="2">
        <v>11</v>
      </c>
      <c r="S90" s="2" t="s">
        <v>53</v>
      </c>
      <c r="T90" s="2">
        <v>69</v>
      </c>
      <c r="U90" s="2">
        <v>12</v>
      </c>
      <c r="V90" s="2"/>
    </row>
    <row r="91" spans="1:22" x14ac:dyDescent="0.35">
      <c r="A91" s="3" t="s">
        <v>478</v>
      </c>
      <c r="B91" s="3" t="s">
        <v>479</v>
      </c>
      <c r="C91" s="3" t="s">
        <v>273</v>
      </c>
      <c r="D91" s="3" t="s">
        <v>480</v>
      </c>
      <c r="E91" s="3" t="s">
        <v>100</v>
      </c>
      <c r="F91" s="3" t="s">
        <v>238</v>
      </c>
      <c r="G91" s="3" t="s">
        <v>78</v>
      </c>
      <c r="H91" s="3" t="s">
        <v>481</v>
      </c>
      <c r="I91" s="3" t="s">
        <v>30</v>
      </c>
      <c r="J91" s="3">
        <v>380</v>
      </c>
      <c r="K91" s="3">
        <v>423.18</v>
      </c>
      <c r="L91" s="3">
        <v>591.88</v>
      </c>
      <c r="M91" s="3">
        <v>224914.4</v>
      </c>
      <c r="N91" s="3">
        <v>160808.4</v>
      </c>
      <c r="O91" s="3">
        <v>64106</v>
      </c>
      <c r="P91" s="3" t="s">
        <v>95</v>
      </c>
      <c r="Q91" s="3" t="s">
        <v>32</v>
      </c>
      <c r="R91" s="3">
        <v>15</v>
      </c>
      <c r="S91" s="3" t="s">
        <v>158</v>
      </c>
      <c r="T91" s="3">
        <v>2291</v>
      </c>
      <c r="U91" s="3">
        <v>17</v>
      </c>
      <c r="V91" s="3"/>
    </row>
    <row r="92" spans="1:22" x14ac:dyDescent="0.35">
      <c r="A92" s="2" t="s">
        <v>482</v>
      </c>
      <c r="B92" s="2" t="s">
        <v>483</v>
      </c>
      <c r="C92" s="2" t="s">
        <v>484</v>
      </c>
      <c r="D92" s="2" t="s">
        <v>157</v>
      </c>
      <c r="E92" s="2" t="s">
        <v>48</v>
      </c>
      <c r="F92" s="2" t="s">
        <v>49</v>
      </c>
      <c r="G92" s="2" t="s">
        <v>93</v>
      </c>
      <c r="H92" s="2" t="s">
        <v>485</v>
      </c>
      <c r="I92" s="2" t="s">
        <v>191</v>
      </c>
      <c r="J92" s="2">
        <v>700</v>
      </c>
      <c r="K92" s="2">
        <v>759.05</v>
      </c>
      <c r="L92" s="2">
        <v>1096.22</v>
      </c>
      <c r="M92" s="2">
        <v>767354</v>
      </c>
      <c r="N92" s="2">
        <v>531335</v>
      </c>
      <c r="O92" s="2">
        <v>236019</v>
      </c>
      <c r="P92" s="2" t="s">
        <v>31</v>
      </c>
      <c r="Q92" s="2" t="s">
        <v>32</v>
      </c>
      <c r="R92" s="2">
        <v>8</v>
      </c>
      <c r="S92" s="2" t="s">
        <v>158</v>
      </c>
      <c r="T92" s="2">
        <v>2980</v>
      </c>
      <c r="U92" s="2">
        <v>29</v>
      </c>
      <c r="V92" s="2"/>
    </row>
    <row r="93" spans="1:22" x14ac:dyDescent="0.35">
      <c r="A93" s="3" t="s">
        <v>486</v>
      </c>
      <c r="B93" s="3" t="s">
        <v>487</v>
      </c>
      <c r="C93" s="3" t="s">
        <v>488</v>
      </c>
      <c r="D93" s="3" t="s">
        <v>489</v>
      </c>
      <c r="E93" s="3" t="s">
        <v>58</v>
      </c>
      <c r="F93" s="3" t="s">
        <v>122</v>
      </c>
      <c r="G93" s="3" t="s">
        <v>28</v>
      </c>
      <c r="H93" s="3" t="s">
        <v>212</v>
      </c>
      <c r="I93" s="3" t="s">
        <v>62</v>
      </c>
      <c r="J93" s="3">
        <v>718</v>
      </c>
      <c r="K93" s="3">
        <v>756.22</v>
      </c>
      <c r="L93" s="3">
        <v>1207.6400000000001</v>
      </c>
      <c r="M93" s="3">
        <v>867085.52</v>
      </c>
      <c r="N93" s="3">
        <v>542965.96</v>
      </c>
      <c r="O93" s="3">
        <v>324119.56</v>
      </c>
      <c r="P93" s="3" t="s">
        <v>52</v>
      </c>
      <c r="Q93" s="3" t="s">
        <v>63</v>
      </c>
      <c r="R93" s="3">
        <v>3</v>
      </c>
      <c r="S93" s="3" t="s">
        <v>33</v>
      </c>
      <c r="T93" s="3">
        <v>1655</v>
      </c>
      <c r="U93" s="3">
        <v>0</v>
      </c>
      <c r="V93" s="3"/>
    </row>
    <row r="94" spans="1:22" x14ac:dyDescent="0.35">
      <c r="A94" s="2" t="s">
        <v>490</v>
      </c>
      <c r="B94" s="2" t="s">
        <v>491</v>
      </c>
      <c r="C94" s="2" t="s">
        <v>492</v>
      </c>
      <c r="D94" s="2" t="s">
        <v>493</v>
      </c>
      <c r="E94" s="2" t="s">
        <v>68</v>
      </c>
      <c r="F94" s="2" t="s">
        <v>249</v>
      </c>
      <c r="G94" s="2" t="s">
        <v>217</v>
      </c>
      <c r="H94" s="2" t="s">
        <v>494</v>
      </c>
      <c r="I94" s="2" t="s">
        <v>141</v>
      </c>
      <c r="J94" s="2">
        <v>204</v>
      </c>
      <c r="K94" s="2">
        <v>884.64</v>
      </c>
      <c r="L94" s="2">
        <v>1411.28</v>
      </c>
      <c r="M94" s="2">
        <v>287901.12</v>
      </c>
      <c r="N94" s="2">
        <v>180466.56</v>
      </c>
      <c r="O94" s="2">
        <v>107434.56</v>
      </c>
      <c r="P94" s="2" t="s">
        <v>52</v>
      </c>
      <c r="Q94" s="2" t="s">
        <v>32</v>
      </c>
      <c r="R94" s="2">
        <v>12</v>
      </c>
      <c r="S94" s="2" t="s">
        <v>86</v>
      </c>
      <c r="T94" s="2">
        <v>2052</v>
      </c>
      <c r="U94" s="2">
        <v>9</v>
      </c>
      <c r="V94" s="2"/>
    </row>
    <row r="95" spans="1:22" x14ac:dyDescent="0.35">
      <c r="A95" s="3" t="s">
        <v>495</v>
      </c>
      <c r="B95" s="3" t="s">
        <v>186</v>
      </c>
      <c r="C95" s="3" t="s">
        <v>496</v>
      </c>
      <c r="D95" s="3" t="s">
        <v>497</v>
      </c>
      <c r="E95" s="3" t="s">
        <v>48</v>
      </c>
      <c r="F95" s="3" t="s">
        <v>183</v>
      </c>
      <c r="G95" s="3" t="s">
        <v>28</v>
      </c>
      <c r="H95" s="3" t="s">
        <v>111</v>
      </c>
      <c r="I95" s="3" t="s">
        <v>72</v>
      </c>
      <c r="J95" s="3">
        <v>727</v>
      </c>
      <c r="K95" s="3">
        <v>299.72000000000003</v>
      </c>
      <c r="L95" s="3">
        <v>479.44</v>
      </c>
      <c r="M95" s="3">
        <v>348552.88</v>
      </c>
      <c r="N95" s="3">
        <v>217896.44</v>
      </c>
      <c r="O95" s="3">
        <v>130656.44</v>
      </c>
      <c r="P95" s="3" t="s">
        <v>42</v>
      </c>
      <c r="Q95" s="3" t="s">
        <v>32</v>
      </c>
      <c r="R95" s="3">
        <v>13</v>
      </c>
      <c r="S95" s="3" t="s">
        <v>43</v>
      </c>
      <c r="T95" s="3">
        <v>1970</v>
      </c>
      <c r="U95" s="3">
        <v>33</v>
      </c>
      <c r="V95" s="3"/>
    </row>
    <row r="96" spans="1:22" x14ac:dyDescent="0.35">
      <c r="A96" s="2" t="s">
        <v>498</v>
      </c>
      <c r="B96" s="2" t="s">
        <v>499</v>
      </c>
      <c r="C96" s="2" t="s">
        <v>387</v>
      </c>
      <c r="D96" s="2" t="s">
        <v>500</v>
      </c>
      <c r="E96" s="2" t="s">
        <v>48</v>
      </c>
      <c r="F96" s="2" t="s">
        <v>501</v>
      </c>
      <c r="G96" s="2" t="s">
        <v>70</v>
      </c>
      <c r="H96" s="2" t="s">
        <v>239</v>
      </c>
      <c r="I96" s="2" t="s">
        <v>293</v>
      </c>
      <c r="J96" s="2">
        <v>253</v>
      </c>
      <c r="K96" s="2">
        <v>116.77</v>
      </c>
      <c r="L96" s="2">
        <v>177.38</v>
      </c>
      <c r="M96" s="2">
        <v>44877.14</v>
      </c>
      <c r="N96" s="2">
        <v>29542.81</v>
      </c>
      <c r="O96" s="2">
        <v>15334.33</v>
      </c>
      <c r="P96" s="2" t="s">
        <v>95</v>
      </c>
      <c r="Q96" s="2" t="s">
        <v>32</v>
      </c>
      <c r="R96" s="2">
        <v>9</v>
      </c>
      <c r="S96" s="2" t="s">
        <v>53</v>
      </c>
      <c r="T96" s="2">
        <v>2983</v>
      </c>
      <c r="U96" s="2">
        <v>10</v>
      </c>
      <c r="V96" s="2"/>
    </row>
    <row r="97" spans="1:22" x14ac:dyDescent="0.35">
      <c r="A97" s="3" t="s">
        <v>502</v>
      </c>
      <c r="B97" s="3" t="s">
        <v>503</v>
      </c>
      <c r="C97" s="3" t="s">
        <v>504</v>
      </c>
      <c r="D97" s="3" t="s">
        <v>505</v>
      </c>
      <c r="E97" s="3" t="s">
        <v>506</v>
      </c>
      <c r="F97" s="3" t="s">
        <v>92</v>
      </c>
      <c r="G97" s="3" t="s">
        <v>28</v>
      </c>
      <c r="H97" s="3" t="s">
        <v>507</v>
      </c>
      <c r="I97" s="3" t="s">
        <v>41</v>
      </c>
      <c r="J97" s="3">
        <v>604</v>
      </c>
      <c r="K97" s="3">
        <v>-0.5</v>
      </c>
      <c r="L97" s="3">
        <v>371.61</v>
      </c>
      <c r="M97" s="3">
        <v>224452.44</v>
      </c>
      <c r="N97" s="3">
        <v>196070.48</v>
      </c>
      <c r="O97" s="3">
        <v>28381.96</v>
      </c>
      <c r="P97" s="3" t="s">
        <v>42</v>
      </c>
      <c r="Q97" s="3" t="s">
        <v>32</v>
      </c>
      <c r="R97" s="3">
        <v>10</v>
      </c>
      <c r="S97" s="3" t="s">
        <v>33</v>
      </c>
      <c r="T97" s="3">
        <v>961</v>
      </c>
      <c r="U97" s="3">
        <v>13</v>
      </c>
      <c r="V97" s="3"/>
    </row>
    <row r="98" spans="1:22" x14ac:dyDescent="0.35">
      <c r="A98" s="2" t="s">
        <v>508</v>
      </c>
      <c r="B98" s="2" t="s">
        <v>509</v>
      </c>
      <c r="C98" s="2" t="s">
        <v>510</v>
      </c>
      <c r="D98" s="2" t="s">
        <v>511</v>
      </c>
      <c r="E98" s="2" t="s">
        <v>48</v>
      </c>
      <c r="F98" s="2" t="s">
        <v>270</v>
      </c>
      <c r="G98" s="2" t="s">
        <v>78</v>
      </c>
      <c r="H98" s="2" t="s">
        <v>481</v>
      </c>
      <c r="I98" s="2" t="s">
        <v>30</v>
      </c>
      <c r="J98" s="2">
        <v>166</v>
      </c>
      <c r="K98" s="2">
        <v>530.07000000000005</v>
      </c>
      <c r="L98" s="2">
        <v>611.09</v>
      </c>
      <c r="M98" s="2">
        <v>101440.94</v>
      </c>
      <c r="N98" s="2">
        <v>87991.62</v>
      </c>
      <c r="O98" s="2">
        <v>13449.32</v>
      </c>
      <c r="P98" s="2" t="s">
        <v>95</v>
      </c>
      <c r="Q98" s="2" t="s">
        <v>32</v>
      </c>
      <c r="R98" s="2">
        <v>11</v>
      </c>
      <c r="S98" s="2" t="s">
        <v>112</v>
      </c>
      <c r="T98" s="2">
        <v>2678</v>
      </c>
      <c r="U98" s="2">
        <v>6</v>
      </c>
      <c r="V98" s="2"/>
    </row>
    <row r="99" spans="1:22" x14ac:dyDescent="0.35">
      <c r="A99" s="3" t="s">
        <v>512</v>
      </c>
      <c r="B99" s="3" t="s">
        <v>138</v>
      </c>
      <c r="C99" s="3" t="s">
        <v>513</v>
      </c>
      <c r="D99" s="3" t="s">
        <v>514</v>
      </c>
      <c r="E99" s="3" t="s">
        <v>100</v>
      </c>
      <c r="F99" s="3" t="s">
        <v>330</v>
      </c>
      <c r="G99" s="3" t="s">
        <v>189</v>
      </c>
      <c r="H99" s="3" t="s">
        <v>515</v>
      </c>
      <c r="I99" s="3" t="s">
        <v>191</v>
      </c>
      <c r="J99" s="3">
        <v>180</v>
      </c>
      <c r="K99" s="3">
        <v>436.35</v>
      </c>
      <c r="L99" s="3">
        <v>652.29</v>
      </c>
      <c r="M99" s="3">
        <v>117412.2</v>
      </c>
      <c r="N99" s="3">
        <v>78543</v>
      </c>
      <c r="O99" s="3">
        <v>38869.199999999997</v>
      </c>
      <c r="P99" s="3" t="s">
        <v>31</v>
      </c>
      <c r="Q99" s="3" t="s">
        <v>32</v>
      </c>
      <c r="R99" s="3">
        <v>6</v>
      </c>
      <c r="S99" s="3" t="s">
        <v>33</v>
      </c>
      <c r="T99" s="3">
        <v>4261</v>
      </c>
      <c r="U99" s="3">
        <v>0</v>
      </c>
      <c r="V99" s="3"/>
    </row>
    <row r="100" spans="1:22" x14ac:dyDescent="0.35">
      <c r="A100" s="2" t="s">
        <v>516</v>
      </c>
      <c r="B100" s="2" t="s">
        <v>517</v>
      </c>
      <c r="C100" s="2" t="s">
        <v>518</v>
      </c>
      <c r="D100" s="2" t="s">
        <v>519</v>
      </c>
      <c r="E100" s="2" t="s">
        <v>58</v>
      </c>
      <c r="F100" s="2" t="s">
        <v>59</v>
      </c>
      <c r="G100" s="2" t="s">
        <v>129</v>
      </c>
      <c r="H100" s="2" t="s">
        <v>520</v>
      </c>
      <c r="I100" s="2" t="s">
        <v>62</v>
      </c>
      <c r="J100" s="2">
        <v>483</v>
      </c>
      <c r="K100" s="2">
        <v>266.17</v>
      </c>
      <c r="L100" s="2">
        <v>401.83</v>
      </c>
      <c r="M100" s="2">
        <v>194083.89</v>
      </c>
      <c r="N100" s="2">
        <v>128560.11</v>
      </c>
      <c r="O100" s="2">
        <v>65523.78</v>
      </c>
      <c r="P100" s="2" t="s">
        <v>95</v>
      </c>
      <c r="Q100" s="2" t="s">
        <v>63</v>
      </c>
      <c r="R100" s="2">
        <v>2</v>
      </c>
      <c r="S100" s="2" t="s">
        <v>43</v>
      </c>
      <c r="T100" s="2">
        <v>2470</v>
      </c>
      <c r="U100" s="2">
        <v>0</v>
      </c>
      <c r="V100" s="2"/>
    </row>
    <row r="101" spans="1:22" x14ac:dyDescent="0.35">
      <c r="A101" s="3" t="s">
        <v>521</v>
      </c>
      <c r="B101" s="3" t="s">
        <v>299</v>
      </c>
      <c r="C101" s="3" t="s">
        <v>522</v>
      </c>
      <c r="D101" s="3" t="s">
        <v>523</v>
      </c>
      <c r="E101" s="3" t="s">
        <v>68</v>
      </c>
      <c r="F101" s="3" t="s">
        <v>69</v>
      </c>
      <c r="G101" s="3" t="s">
        <v>217</v>
      </c>
      <c r="H101" s="3" t="s">
        <v>524</v>
      </c>
      <c r="I101" s="3" t="s">
        <v>240</v>
      </c>
      <c r="J101" s="3">
        <v>139</v>
      </c>
      <c r="K101" s="3">
        <v>262.31</v>
      </c>
      <c r="L101" s="3">
        <v>368.2</v>
      </c>
      <c r="M101" s="3">
        <v>51179.8</v>
      </c>
      <c r="N101" s="3">
        <v>36461.089999999997</v>
      </c>
      <c r="O101" s="3">
        <v>14718.71</v>
      </c>
      <c r="P101" s="3" t="s">
        <v>42</v>
      </c>
      <c r="Q101" s="3" t="s">
        <v>32</v>
      </c>
      <c r="R101" s="3">
        <v>14</v>
      </c>
      <c r="S101" s="3" t="s">
        <v>53</v>
      </c>
      <c r="T101" s="3">
        <v>3443</v>
      </c>
      <c r="U101" s="3">
        <v>5</v>
      </c>
      <c r="V101" s="3"/>
    </row>
    <row r="102" spans="1:22" x14ac:dyDescent="0.35">
      <c r="A102" s="2" t="s">
        <v>525</v>
      </c>
      <c r="B102" s="2" t="s">
        <v>472</v>
      </c>
      <c r="C102" s="2" t="s">
        <v>499</v>
      </c>
      <c r="D102" s="2" t="s">
        <v>526</v>
      </c>
      <c r="E102" s="2" t="s">
        <v>68</v>
      </c>
      <c r="F102" s="2" t="s">
        <v>276</v>
      </c>
      <c r="G102" s="2" t="s">
        <v>39</v>
      </c>
      <c r="H102" s="2" t="s">
        <v>527</v>
      </c>
      <c r="I102" s="2" t="s">
        <v>72</v>
      </c>
      <c r="J102" s="2">
        <v>746</v>
      </c>
      <c r="K102" s="2">
        <v>1086.71</v>
      </c>
      <c r="L102" s="2">
        <v>1566.72</v>
      </c>
      <c r="M102" s="2">
        <v>1168773.1200000001</v>
      </c>
      <c r="N102" s="2">
        <v>810685.66</v>
      </c>
      <c r="O102" s="2">
        <v>358087.46</v>
      </c>
      <c r="P102" s="2" t="s">
        <v>95</v>
      </c>
      <c r="Q102" s="2" t="s">
        <v>63</v>
      </c>
      <c r="R102" s="2">
        <v>3</v>
      </c>
      <c r="S102" s="2" t="s">
        <v>33</v>
      </c>
      <c r="T102" s="2">
        <v>2024</v>
      </c>
      <c r="U102" s="2">
        <v>2</v>
      </c>
      <c r="V102" s="2"/>
    </row>
    <row r="103" spans="1:22" x14ac:dyDescent="0.35">
      <c r="A103" s="3" t="s">
        <v>528</v>
      </c>
      <c r="B103" s="3" t="s">
        <v>513</v>
      </c>
      <c r="C103" s="3" t="s">
        <v>529</v>
      </c>
      <c r="D103" s="3" t="s">
        <v>530</v>
      </c>
      <c r="E103" s="3" t="s">
        <v>68</v>
      </c>
      <c r="F103" s="3" t="s">
        <v>276</v>
      </c>
      <c r="G103" s="3" t="s">
        <v>60</v>
      </c>
      <c r="H103" s="3" t="s">
        <v>229</v>
      </c>
      <c r="I103" s="3" t="s">
        <v>240</v>
      </c>
      <c r="J103" s="3">
        <v>262</v>
      </c>
      <c r="K103" s="3">
        <v>53.12</v>
      </c>
      <c r="L103" s="3">
        <v>76.510000000000005</v>
      </c>
      <c r="M103" s="3">
        <v>20045.62</v>
      </c>
      <c r="N103" s="3">
        <v>13917.44</v>
      </c>
      <c r="O103" s="3">
        <v>6128.18</v>
      </c>
      <c r="P103" s="3" t="s">
        <v>52</v>
      </c>
      <c r="Q103" s="3" t="s">
        <v>63</v>
      </c>
      <c r="R103" s="3">
        <v>2</v>
      </c>
      <c r="S103" s="3" t="s">
        <v>112</v>
      </c>
      <c r="T103" s="3">
        <v>4285</v>
      </c>
      <c r="U103" s="3">
        <v>1</v>
      </c>
      <c r="V103" s="3"/>
    </row>
    <row r="104" spans="1:22" x14ac:dyDescent="0.35">
      <c r="A104" s="2" t="s">
        <v>531</v>
      </c>
      <c r="B104" s="2" t="s">
        <v>532</v>
      </c>
      <c r="C104" s="2" t="s">
        <v>533</v>
      </c>
      <c r="D104" s="2" t="s">
        <v>534</v>
      </c>
      <c r="E104" s="2" t="s">
        <v>58</v>
      </c>
      <c r="F104" s="2" t="s">
        <v>59</v>
      </c>
      <c r="G104" s="2" t="s">
        <v>217</v>
      </c>
      <c r="H104" s="2" t="s">
        <v>292</v>
      </c>
      <c r="I104" s="2" t="s">
        <v>62</v>
      </c>
      <c r="J104" s="2">
        <v>246</v>
      </c>
      <c r="K104" s="2">
        <v>147.44</v>
      </c>
      <c r="L104" s="2">
        <v>187.67</v>
      </c>
      <c r="M104" s="2">
        <v>46166.82</v>
      </c>
      <c r="N104" s="2">
        <v>36270.239999999998</v>
      </c>
      <c r="O104" s="2">
        <v>9896.58</v>
      </c>
      <c r="P104" s="2" t="s">
        <v>42</v>
      </c>
      <c r="Q104" s="2" t="s">
        <v>63</v>
      </c>
      <c r="R104" s="2">
        <v>2</v>
      </c>
      <c r="S104" s="2" t="s">
        <v>112</v>
      </c>
      <c r="T104" s="2">
        <v>1393</v>
      </c>
      <c r="U104" s="2">
        <v>6</v>
      </c>
      <c r="V104" s="2"/>
    </row>
    <row r="105" spans="1:22" x14ac:dyDescent="0.35">
      <c r="A105" s="3" t="s">
        <v>535</v>
      </c>
      <c r="B105" s="3" t="s">
        <v>536</v>
      </c>
      <c r="C105" s="3" t="s">
        <v>75</v>
      </c>
      <c r="D105" s="3" t="s">
        <v>537</v>
      </c>
      <c r="E105" s="3" t="s">
        <v>100</v>
      </c>
      <c r="F105" s="3" t="s">
        <v>538</v>
      </c>
      <c r="G105" s="3" t="s">
        <v>60</v>
      </c>
      <c r="H105" s="3" t="s">
        <v>539</v>
      </c>
      <c r="I105" s="3" t="s">
        <v>540</v>
      </c>
      <c r="J105" s="3">
        <v>165</v>
      </c>
      <c r="K105" s="3">
        <v>883.24</v>
      </c>
      <c r="L105" s="3">
        <v>1187.02</v>
      </c>
      <c r="M105" s="3">
        <v>195858.3</v>
      </c>
      <c r="N105" s="3">
        <v>145734.6</v>
      </c>
      <c r="O105" s="3">
        <v>50123.7</v>
      </c>
      <c r="P105" s="3" t="s">
        <v>31</v>
      </c>
      <c r="Q105" s="3" t="s">
        <v>63</v>
      </c>
      <c r="R105" s="3">
        <v>2</v>
      </c>
      <c r="S105" s="3" t="s">
        <v>158</v>
      </c>
      <c r="T105" s="3">
        <v>4864</v>
      </c>
      <c r="U105" s="3">
        <v>1</v>
      </c>
      <c r="V105" s="3"/>
    </row>
    <row r="106" spans="1:22" x14ac:dyDescent="0.35">
      <c r="A106" s="2" t="s">
        <v>541</v>
      </c>
      <c r="B106" s="2" t="s">
        <v>542</v>
      </c>
      <c r="C106" s="2" t="s">
        <v>432</v>
      </c>
      <c r="D106" s="2" t="s">
        <v>543</v>
      </c>
      <c r="E106" s="2" t="s">
        <v>48</v>
      </c>
      <c r="F106" s="2" t="s">
        <v>49</v>
      </c>
      <c r="G106" s="2" t="s">
        <v>60</v>
      </c>
      <c r="H106" s="2" t="s">
        <v>229</v>
      </c>
      <c r="I106" s="2" t="s">
        <v>85</v>
      </c>
      <c r="J106" s="2">
        <v>153</v>
      </c>
      <c r="K106" s="2">
        <v>953.02</v>
      </c>
      <c r="L106" s="2">
        <v>1323.69</v>
      </c>
      <c r="M106" s="2">
        <v>202524.57</v>
      </c>
      <c r="N106" s="2">
        <v>145812.06</v>
      </c>
      <c r="O106" s="2">
        <v>56712.51</v>
      </c>
      <c r="P106" s="2" t="s">
        <v>52</v>
      </c>
      <c r="Q106" s="2" t="s">
        <v>32</v>
      </c>
      <c r="R106" s="2">
        <v>10</v>
      </c>
      <c r="S106" s="2" t="s">
        <v>86</v>
      </c>
      <c r="T106" s="2">
        <v>4537</v>
      </c>
      <c r="U106" s="2">
        <v>3</v>
      </c>
      <c r="V106" s="2"/>
    </row>
    <row r="107" spans="1:22" x14ac:dyDescent="0.35">
      <c r="A107" s="3" t="s">
        <v>544</v>
      </c>
      <c r="B107" s="3" t="s">
        <v>435</v>
      </c>
      <c r="C107" s="3" t="s">
        <v>545</v>
      </c>
      <c r="D107" s="3" t="s">
        <v>546</v>
      </c>
      <c r="E107" s="3" t="s">
        <v>100</v>
      </c>
      <c r="F107" s="3" t="s">
        <v>106</v>
      </c>
      <c r="G107" s="3" t="s">
        <v>28</v>
      </c>
      <c r="H107" s="3" t="s">
        <v>29</v>
      </c>
      <c r="I107" s="3" t="s">
        <v>118</v>
      </c>
      <c r="J107" s="3">
        <v>236</v>
      </c>
      <c r="K107" s="3">
        <v>1105.6600000000001</v>
      </c>
      <c r="L107" s="3">
        <v>1772.77</v>
      </c>
      <c r="M107" s="3">
        <v>418373.72</v>
      </c>
      <c r="N107" s="3">
        <v>260935.76</v>
      </c>
      <c r="O107" s="3">
        <v>157437.96</v>
      </c>
      <c r="P107" s="3" t="s">
        <v>95</v>
      </c>
      <c r="Q107" s="3" t="s">
        <v>32</v>
      </c>
      <c r="R107" s="3">
        <v>10</v>
      </c>
      <c r="S107" s="3" t="s">
        <v>33</v>
      </c>
      <c r="T107" s="3">
        <v>907</v>
      </c>
      <c r="U107" s="3">
        <v>9</v>
      </c>
      <c r="V107" s="3"/>
    </row>
    <row r="108" spans="1:22" x14ac:dyDescent="0.35">
      <c r="A108" s="2" t="s">
        <v>547</v>
      </c>
      <c r="B108" s="2" t="s">
        <v>548</v>
      </c>
      <c r="C108" s="2" t="s">
        <v>549</v>
      </c>
      <c r="D108" s="2" t="s">
        <v>550</v>
      </c>
      <c r="E108" s="2" t="s">
        <v>68</v>
      </c>
      <c r="F108" s="2" t="s">
        <v>163</v>
      </c>
      <c r="G108" s="2" t="s">
        <v>217</v>
      </c>
      <c r="H108" s="2" t="s">
        <v>494</v>
      </c>
      <c r="I108" s="2" t="s">
        <v>191</v>
      </c>
      <c r="J108" s="2">
        <v>647</v>
      </c>
      <c r="K108" s="2">
        <v>1094.23</v>
      </c>
      <c r="L108" s="2">
        <v>1461.26</v>
      </c>
      <c r="M108" s="2">
        <v>945435.22</v>
      </c>
      <c r="N108" s="2">
        <v>707966.81</v>
      </c>
      <c r="O108" s="2">
        <v>237468.41</v>
      </c>
      <c r="P108" s="2" t="s">
        <v>95</v>
      </c>
      <c r="Q108" s="2" t="s">
        <v>32</v>
      </c>
      <c r="R108" s="2">
        <v>15</v>
      </c>
      <c r="S108" s="2" t="s">
        <v>53</v>
      </c>
      <c r="T108" s="2">
        <v>1207</v>
      </c>
      <c r="U108" s="2">
        <v>6</v>
      </c>
      <c r="V108" s="2"/>
    </row>
    <row r="109" spans="1:22" x14ac:dyDescent="0.35">
      <c r="A109" s="3" t="s">
        <v>551</v>
      </c>
      <c r="B109" s="3" t="s">
        <v>552</v>
      </c>
      <c r="C109" s="3" t="s">
        <v>553</v>
      </c>
      <c r="D109" s="3" t="s">
        <v>554</v>
      </c>
      <c r="E109" s="3" t="s">
        <v>48</v>
      </c>
      <c r="F109" s="3" t="s">
        <v>49</v>
      </c>
      <c r="G109" s="3" t="s">
        <v>93</v>
      </c>
      <c r="H109" s="3" t="s">
        <v>302</v>
      </c>
      <c r="I109" s="3" t="s">
        <v>293</v>
      </c>
      <c r="J109" s="3">
        <v>633</v>
      </c>
      <c r="K109" s="3">
        <v>1166.3</v>
      </c>
      <c r="L109" s="3">
        <v>1472.25</v>
      </c>
      <c r="M109" s="3">
        <v>931934.25</v>
      </c>
      <c r="N109" s="3">
        <v>738267.9</v>
      </c>
      <c r="O109" s="3">
        <v>193666.35</v>
      </c>
      <c r="P109" s="3" t="s">
        <v>95</v>
      </c>
      <c r="Q109" s="3" t="s">
        <v>32</v>
      </c>
      <c r="R109" s="3">
        <v>15</v>
      </c>
      <c r="S109" s="3" t="s">
        <v>53</v>
      </c>
      <c r="T109" s="3">
        <v>519</v>
      </c>
      <c r="U109" s="3">
        <v>10</v>
      </c>
      <c r="V109" s="3"/>
    </row>
    <row r="110" spans="1:22" x14ac:dyDescent="0.35">
      <c r="A110" s="2" t="s">
        <v>555</v>
      </c>
      <c r="B110" s="2" t="s">
        <v>556</v>
      </c>
      <c r="C110" s="2" t="s">
        <v>133</v>
      </c>
      <c r="D110" s="2" t="s">
        <v>557</v>
      </c>
      <c r="E110" s="2" t="s">
        <v>48</v>
      </c>
      <c r="F110" s="2" t="s">
        <v>223</v>
      </c>
      <c r="G110" s="2" t="s">
        <v>93</v>
      </c>
      <c r="H110" s="2" t="s">
        <v>94</v>
      </c>
      <c r="I110" s="2" t="s">
        <v>191</v>
      </c>
      <c r="J110" s="2">
        <v>698</v>
      </c>
      <c r="K110" s="2">
        <v>448.85</v>
      </c>
      <c r="L110" s="2">
        <v>607.67999999999995</v>
      </c>
      <c r="M110" s="2">
        <v>424160.64</v>
      </c>
      <c r="N110" s="2">
        <v>313297.3</v>
      </c>
      <c r="O110" s="2">
        <v>110863.34</v>
      </c>
      <c r="P110" s="2" t="s">
        <v>31</v>
      </c>
      <c r="Q110" s="2" t="s">
        <v>32</v>
      </c>
      <c r="R110" s="2">
        <v>9</v>
      </c>
      <c r="S110" s="2" t="s">
        <v>43</v>
      </c>
      <c r="T110" s="2">
        <v>2361</v>
      </c>
      <c r="U110" s="2">
        <v>19</v>
      </c>
      <c r="V110" s="2"/>
    </row>
    <row r="111" spans="1:22" x14ac:dyDescent="0.35">
      <c r="A111" s="3" t="s">
        <v>558</v>
      </c>
      <c r="B111" s="3" t="s">
        <v>559</v>
      </c>
      <c r="C111" s="3" t="s">
        <v>440</v>
      </c>
      <c r="D111" s="3" t="s">
        <v>560</v>
      </c>
      <c r="E111" s="3" t="s">
        <v>100</v>
      </c>
      <c r="F111" s="3" t="s">
        <v>330</v>
      </c>
      <c r="G111" s="3" t="s">
        <v>189</v>
      </c>
      <c r="H111" s="3" t="s">
        <v>561</v>
      </c>
      <c r="I111" s="3" t="s">
        <v>240</v>
      </c>
      <c r="J111" s="3">
        <v>496</v>
      </c>
      <c r="K111" s="3">
        <v>546.91</v>
      </c>
      <c r="L111" s="3">
        <v>892.39</v>
      </c>
      <c r="M111" s="3">
        <v>442625.44</v>
      </c>
      <c r="N111" s="3">
        <v>271267.36</v>
      </c>
      <c r="O111" s="3">
        <v>171358.07999999999</v>
      </c>
      <c r="P111" s="3" t="s">
        <v>31</v>
      </c>
      <c r="Q111" s="3" t="s">
        <v>63</v>
      </c>
      <c r="R111" s="3">
        <v>1</v>
      </c>
      <c r="S111" s="3" t="s">
        <v>86</v>
      </c>
      <c r="T111" s="3">
        <v>548</v>
      </c>
      <c r="U111" s="3">
        <v>1</v>
      </c>
      <c r="V111" s="3"/>
    </row>
    <row r="112" spans="1:22" x14ac:dyDescent="0.35">
      <c r="A112" s="2" t="s">
        <v>562</v>
      </c>
      <c r="B112" s="2" t="s">
        <v>563</v>
      </c>
      <c r="C112" s="2" t="s">
        <v>564</v>
      </c>
      <c r="D112" s="2" t="s">
        <v>565</v>
      </c>
      <c r="E112" s="2" t="s">
        <v>68</v>
      </c>
      <c r="F112" s="2" t="s">
        <v>163</v>
      </c>
      <c r="G112" s="2" t="s">
        <v>189</v>
      </c>
      <c r="H112" s="2" t="s">
        <v>365</v>
      </c>
      <c r="I112" s="2" t="s">
        <v>240</v>
      </c>
      <c r="J112" s="2">
        <v>581</v>
      </c>
      <c r="K112" s="2">
        <v>-2</v>
      </c>
      <c r="L112" s="2">
        <v>311.08999999999997</v>
      </c>
      <c r="M112" s="2">
        <v>180743.29</v>
      </c>
      <c r="N112" s="2">
        <v>159995.78</v>
      </c>
      <c r="O112" s="2">
        <v>20747.509999999998</v>
      </c>
      <c r="P112" s="2" t="s">
        <v>31</v>
      </c>
      <c r="Q112" s="2" t="s">
        <v>63</v>
      </c>
      <c r="R112" s="2">
        <v>3</v>
      </c>
      <c r="S112" s="2" t="s">
        <v>33</v>
      </c>
      <c r="T112" s="2">
        <v>3179</v>
      </c>
      <c r="U112" s="2">
        <v>26</v>
      </c>
      <c r="V112" s="2"/>
    </row>
    <row r="113" spans="1:22" x14ac:dyDescent="0.35">
      <c r="A113" s="3" t="s">
        <v>566</v>
      </c>
      <c r="B113" s="3" t="s">
        <v>475</v>
      </c>
      <c r="C113" s="3" t="s">
        <v>362</v>
      </c>
      <c r="D113" s="3" t="s">
        <v>567</v>
      </c>
      <c r="E113" s="3" t="s">
        <v>58</v>
      </c>
      <c r="F113" s="3" t="s">
        <v>568</v>
      </c>
      <c r="G113" s="3" t="s">
        <v>93</v>
      </c>
      <c r="H113" s="3" t="s">
        <v>140</v>
      </c>
      <c r="I113" s="3" t="s">
        <v>191</v>
      </c>
      <c r="J113" s="3">
        <v>787</v>
      </c>
      <c r="K113" s="3">
        <v>28.92</v>
      </c>
      <c r="L113" s="3">
        <v>44.98</v>
      </c>
      <c r="M113" s="3">
        <v>35399.26</v>
      </c>
      <c r="N113" s="3">
        <v>22760.04</v>
      </c>
      <c r="O113" s="3">
        <v>12639.22</v>
      </c>
      <c r="P113" s="3" t="s">
        <v>31</v>
      </c>
      <c r="Q113" s="3" t="s">
        <v>32</v>
      </c>
      <c r="R113" s="3">
        <v>7</v>
      </c>
      <c r="S113" s="3" t="s">
        <v>33</v>
      </c>
      <c r="T113" s="3">
        <v>675</v>
      </c>
      <c r="U113" s="3">
        <v>29</v>
      </c>
      <c r="V113" s="3"/>
    </row>
    <row r="114" spans="1:22" x14ac:dyDescent="0.35">
      <c r="A114" s="2" t="s">
        <v>569</v>
      </c>
      <c r="B114" s="2" t="s">
        <v>472</v>
      </c>
      <c r="C114" s="2" t="s">
        <v>570</v>
      </c>
      <c r="D114" s="2" t="s">
        <v>571</v>
      </c>
      <c r="E114" s="2" t="s">
        <v>58</v>
      </c>
      <c r="F114" s="2" t="s">
        <v>417</v>
      </c>
      <c r="G114" s="2" t="s">
        <v>78</v>
      </c>
      <c r="H114" s="2" t="s">
        <v>572</v>
      </c>
      <c r="I114" s="2" t="s">
        <v>85</v>
      </c>
      <c r="J114" s="2">
        <v>253</v>
      </c>
      <c r="K114" s="2">
        <v>290.12</v>
      </c>
      <c r="L114" s="2">
        <v>331.3</v>
      </c>
      <c r="M114" s="2">
        <v>83818.899999999994</v>
      </c>
      <c r="N114" s="2">
        <v>73400.36</v>
      </c>
      <c r="O114" s="2">
        <v>10418.540000000001</v>
      </c>
      <c r="P114" s="2" t="s">
        <v>52</v>
      </c>
      <c r="Q114" s="2" t="s">
        <v>32</v>
      </c>
      <c r="R114" s="2">
        <v>10</v>
      </c>
      <c r="S114" s="2" t="s">
        <v>53</v>
      </c>
      <c r="T114" s="2">
        <v>3370</v>
      </c>
      <c r="U114" s="2">
        <v>2</v>
      </c>
      <c r="V114" s="2"/>
    </row>
    <row r="115" spans="1:22" x14ac:dyDescent="0.35">
      <c r="A115" s="3" t="s">
        <v>573</v>
      </c>
      <c r="B115" s="3" t="s">
        <v>574</v>
      </c>
      <c r="C115" s="3" t="s">
        <v>103</v>
      </c>
      <c r="D115" s="3" t="s">
        <v>575</v>
      </c>
      <c r="E115" s="3" t="s">
        <v>48</v>
      </c>
      <c r="F115" s="3" t="s">
        <v>183</v>
      </c>
      <c r="G115" s="3" t="s">
        <v>39</v>
      </c>
      <c r="H115" s="3" t="s">
        <v>412</v>
      </c>
      <c r="I115" s="3" t="s">
        <v>141</v>
      </c>
      <c r="J115" s="3">
        <v>778</v>
      </c>
      <c r="K115" s="3">
        <v>396.74</v>
      </c>
      <c r="L115" s="3">
        <v>484.74</v>
      </c>
      <c r="M115" s="3">
        <v>377127.72</v>
      </c>
      <c r="N115" s="3">
        <v>308663.71999999997</v>
      </c>
      <c r="O115" s="3">
        <v>68464</v>
      </c>
      <c r="P115" s="3" t="s">
        <v>95</v>
      </c>
      <c r="Q115" s="3" t="s">
        <v>32</v>
      </c>
      <c r="R115" s="3">
        <v>13</v>
      </c>
      <c r="S115" s="3" t="s">
        <v>112</v>
      </c>
      <c r="T115" s="3">
        <v>1829</v>
      </c>
      <c r="U115" s="3">
        <v>28</v>
      </c>
      <c r="V115" s="3"/>
    </row>
    <row r="116" spans="1:22" x14ac:dyDescent="0.35">
      <c r="A116" s="2" t="s">
        <v>576</v>
      </c>
      <c r="B116" s="2" t="s">
        <v>55</v>
      </c>
      <c r="C116" s="2" t="s">
        <v>577</v>
      </c>
      <c r="D116" s="2" t="s">
        <v>578</v>
      </c>
      <c r="E116" s="2" t="s">
        <v>58</v>
      </c>
      <c r="F116" s="2" t="s">
        <v>417</v>
      </c>
      <c r="G116" s="2" t="s">
        <v>28</v>
      </c>
      <c r="H116" s="2" t="s">
        <v>579</v>
      </c>
      <c r="I116" s="2" t="s">
        <v>41</v>
      </c>
      <c r="J116" s="2">
        <v>459</v>
      </c>
      <c r="K116" s="2">
        <v>1193.48</v>
      </c>
      <c r="L116" s="2">
        <v>1599.28</v>
      </c>
      <c r="M116" s="2">
        <v>734069.52</v>
      </c>
      <c r="N116" s="2">
        <v>547807.31999999995</v>
      </c>
      <c r="O116" s="2">
        <v>186262.2</v>
      </c>
      <c r="P116" s="2" t="s">
        <v>52</v>
      </c>
      <c r="Q116" s="2" t="s">
        <v>32</v>
      </c>
      <c r="R116" s="2">
        <v>6</v>
      </c>
      <c r="S116" s="2" t="s">
        <v>112</v>
      </c>
      <c r="T116" s="2">
        <v>802</v>
      </c>
      <c r="U116" s="2">
        <v>19</v>
      </c>
      <c r="V116" s="2"/>
    </row>
    <row r="117" spans="1:22" x14ac:dyDescent="0.35">
      <c r="A117" s="3" t="s">
        <v>580</v>
      </c>
      <c r="B117" s="3" t="s">
        <v>581</v>
      </c>
      <c r="C117" s="3" t="s">
        <v>582</v>
      </c>
      <c r="D117" s="3" t="s">
        <v>583</v>
      </c>
      <c r="E117" s="3" t="s">
        <v>48</v>
      </c>
      <c r="F117" s="3" t="s">
        <v>183</v>
      </c>
      <c r="G117" s="3" t="s">
        <v>70</v>
      </c>
      <c r="H117" s="3" t="s">
        <v>239</v>
      </c>
      <c r="I117" s="3" t="s">
        <v>191</v>
      </c>
      <c r="J117" s="3">
        <v>244</v>
      </c>
      <c r="K117" s="3">
        <v>645.53</v>
      </c>
      <c r="L117" s="3">
        <v>763.72</v>
      </c>
      <c r="M117" s="3">
        <v>186347.68</v>
      </c>
      <c r="N117" s="3">
        <v>157509.32</v>
      </c>
      <c r="O117" s="3">
        <v>28838.36</v>
      </c>
      <c r="P117" s="3" t="s">
        <v>52</v>
      </c>
      <c r="Q117" s="3" t="s">
        <v>32</v>
      </c>
      <c r="R117" s="3">
        <v>14</v>
      </c>
      <c r="S117" s="3" t="s">
        <v>86</v>
      </c>
      <c r="T117" s="3">
        <v>3437</v>
      </c>
      <c r="U117" s="3">
        <v>6</v>
      </c>
      <c r="V117" s="3"/>
    </row>
    <row r="118" spans="1:22" x14ac:dyDescent="0.35">
      <c r="A118" s="2" t="s">
        <v>584</v>
      </c>
      <c r="B118" s="2" t="s">
        <v>585</v>
      </c>
      <c r="C118" s="2" t="s">
        <v>225</v>
      </c>
      <c r="D118" s="2" t="s">
        <v>586</v>
      </c>
      <c r="E118" s="2" t="s">
        <v>26</v>
      </c>
      <c r="F118" s="2" t="s">
        <v>38</v>
      </c>
      <c r="G118" s="2" t="s">
        <v>39</v>
      </c>
      <c r="H118" s="2" t="s">
        <v>354</v>
      </c>
      <c r="I118" s="2" t="s">
        <v>240</v>
      </c>
      <c r="J118" s="2">
        <v>471</v>
      </c>
      <c r="K118" s="2">
        <v>958.78</v>
      </c>
      <c r="L118" s="2">
        <v>1160.3399999999999</v>
      </c>
      <c r="M118" s="2">
        <v>546520.14</v>
      </c>
      <c r="N118" s="2">
        <v>451585.38</v>
      </c>
      <c r="O118" s="2">
        <v>94934.76</v>
      </c>
      <c r="P118" s="2" t="s">
        <v>42</v>
      </c>
      <c r="Q118" s="2" t="s">
        <v>63</v>
      </c>
      <c r="R118" s="2">
        <v>5</v>
      </c>
      <c r="S118" s="2" t="s">
        <v>158</v>
      </c>
      <c r="T118" s="2">
        <v>3584</v>
      </c>
      <c r="U118" s="2">
        <v>7</v>
      </c>
      <c r="V118" s="2"/>
    </row>
    <row r="119" spans="1:22" x14ac:dyDescent="0.35">
      <c r="A119" s="3" t="s">
        <v>587</v>
      </c>
      <c r="B119" s="3" t="s">
        <v>588</v>
      </c>
      <c r="C119" s="3" t="s">
        <v>484</v>
      </c>
      <c r="D119" s="3" t="s">
        <v>589</v>
      </c>
      <c r="E119" s="3" t="s">
        <v>58</v>
      </c>
      <c r="F119" s="3" t="s">
        <v>417</v>
      </c>
      <c r="G119" s="3" t="s">
        <v>78</v>
      </c>
      <c r="H119" s="3" t="s">
        <v>123</v>
      </c>
      <c r="I119" s="3" t="s">
        <v>41</v>
      </c>
      <c r="J119" s="3">
        <v>440</v>
      </c>
      <c r="K119" s="3">
        <v>903.27</v>
      </c>
      <c r="L119" s="3">
        <v>1431.15</v>
      </c>
      <c r="M119" s="3">
        <v>629706</v>
      </c>
      <c r="N119" s="3">
        <v>397438.8</v>
      </c>
      <c r="O119" s="3">
        <v>232267.2</v>
      </c>
      <c r="P119" s="3" t="s">
        <v>42</v>
      </c>
      <c r="Q119" s="3" t="s">
        <v>32</v>
      </c>
      <c r="R119" s="3">
        <v>6</v>
      </c>
      <c r="S119" s="3" t="s">
        <v>158</v>
      </c>
      <c r="T119" s="3">
        <v>1933</v>
      </c>
      <c r="U119" s="3">
        <v>2</v>
      </c>
      <c r="V119" s="3"/>
    </row>
    <row r="120" spans="1:22" x14ac:dyDescent="0.35">
      <c r="A120" s="2" t="s">
        <v>590</v>
      </c>
      <c r="B120" s="2" t="s">
        <v>591</v>
      </c>
      <c r="C120" s="2" t="s">
        <v>592</v>
      </c>
      <c r="D120" s="2" t="s">
        <v>593</v>
      </c>
      <c r="E120" s="2" t="s">
        <v>68</v>
      </c>
      <c r="F120" s="2" t="s">
        <v>146</v>
      </c>
      <c r="G120" s="2" t="s">
        <v>129</v>
      </c>
      <c r="H120" s="2" t="s">
        <v>316</v>
      </c>
      <c r="I120" s="2" t="s">
        <v>153</v>
      </c>
      <c r="J120" s="2">
        <v>500</v>
      </c>
      <c r="K120" s="2">
        <v>294.89</v>
      </c>
      <c r="L120" s="2">
        <v>365.88</v>
      </c>
      <c r="M120" s="2">
        <v>182940</v>
      </c>
      <c r="N120" s="2">
        <v>147445</v>
      </c>
      <c r="O120" s="2">
        <v>35495</v>
      </c>
      <c r="P120" s="2" t="s">
        <v>42</v>
      </c>
      <c r="Q120" s="2" t="s">
        <v>32</v>
      </c>
      <c r="R120" s="2">
        <v>6</v>
      </c>
      <c r="S120" s="2" t="s">
        <v>53</v>
      </c>
      <c r="T120" s="2">
        <v>3831</v>
      </c>
      <c r="U120" s="2">
        <v>23</v>
      </c>
      <c r="V120" s="2"/>
    </row>
    <row r="121" spans="1:22" x14ac:dyDescent="0.35">
      <c r="A121" s="3" t="s">
        <v>594</v>
      </c>
      <c r="B121" s="3" t="s">
        <v>595</v>
      </c>
      <c r="C121" s="3" t="s">
        <v>596</v>
      </c>
      <c r="D121" s="3" t="s">
        <v>597</v>
      </c>
      <c r="E121" s="3" t="s">
        <v>48</v>
      </c>
      <c r="F121" s="4"/>
      <c r="G121" s="3" t="s">
        <v>217</v>
      </c>
      <c r="H121" s="3" t="s">
        <v>524</v>
      </c>
      <c r="I121" s="3" t="s">
        <v>72</v>
      </c>
      <c r="J121" s="3">
        <v>172</v>
      </c>
      <c r="K121" s="3">
        <v>752.8</v>
      </c>
      <c r="L121" s="3">
        <v>1050.67</v>
      </c>
      <c r="M121" s="3">
        <v>180715.24</v>
      </c>
      <c r="N121" s="3">
        <v>129481.60000000001</v>
      </c>
      <c r="O121" s="3">
        <v>51233.64</v>
      </c>
      <c r="P121" s="3" t="s">
        <v>31</v>
      </c>
      <c r="Q121" s="3" t="s">
        <v>32</v>
      </c>
      <c r="R121" s="3">
        <v>13</v>
      </c>
      <c r="S121" s="3" t="s">
        <v>86</v>
      </c>
      <c r="T121" s="3">
        <v>3623</v>
      </c>
      <c r="U121" s="3">
        <v>1</v>
      </c>
      <c r="V121" s="3"/>
    </row>
    <row r="122" spans="1:22" x14ac:dyDescent="0.35">
      <c r="A122" s="2" t="s">
        <v>598</v>
      </c>
      <c r="B122" s="2" t="s">
        <v>599</v>
      </c>
      <c r="C122" s="2" t="s">
        <v>600</v>
      </c>
      <c r="D122" s="2" t="s">
        <v>601</v>
      </c>
      <c r="E122" s="2" t="s">
        <v>100</v>
      </c>
      <c r="F122" s="2" t="s">
        <v>602</v>
      </c>
      <c r="G122" s="2" t="s">
        <v>70</v>
      </c>
      <c r="H122" s="2" t="s">
        <v>71</v>
      </c>
      <c r="I122" s="2" t="s">
        <v>191</v>
      </c>
      <c r="J122" s="2">
        <v>46</v>
      </c>
      <c r="K122" s="2">
        <v>1192.55</v>
      </c>
      <c r="L122" s="2">
        <v>1671.7</v>
      </c>
      <c r="M122" s="2">
        <v>76898.2</v>
      </c>
      <c r="N122" s="2">
        <v>54857.3</v>
      </c>
      <c r="O122" s="2">
        <v>22040.9</v>
      </c>
      <c r="P122" s="2" t="s">
        <v>31</v>
      </c>
      <c r="Q122" s="2" t="s">
        <v>32</v>
      </c>
      <c r="R122" s="2">
        <v>12</v>
      </c>
      <c r="S122" s="2" t="s">
        <v>33</v>
      </c>
      <c r="T122" s="2">
        <v>1921</v>
      </c>
      <c r="U122" s="2">
        <v>1</v>
      </c>
      <c r="V122" s="2"/>
    </row>
    <row r="123" spans="1:22" x14ac:dyDescent="0.35">
      <c r="A123" s="3" t="s">
        <v>603</v>
      </c>
      <c r="B123" s="3" t="s">
        <v>604</v>
      </c>
      <c r="C123" s="3" t="s">
        <v>605</v>
      </c>
      <c r="D123" s="3" t="s">
        <v>606</v>
      </c>
      <c r="E123" s="3" t="s">
        <v>26</v>
      </c>
      <c r="F123" s="3" t="s">
        <v>92</v>
      </c>
      <c r="G123" s="3" t="s">
        <v>129</v>
      </c>
      <c r="H123" s="3" t="s">
        <v>130</v>
      </c>
      <c r="I123" s="3" t="s">
        <v>191</v>
      </c>
      <c r="J123" s="3">
        <v>59</v>
      </c>
      <c r="K123" s="3">
        <v>636.33000000000004</v>
      </c>
      <c r="L123" s="3">
        <v>737.58</v>
      </c>
      <c r="M123" s="3">
        <v>43517.22</v>
      </c>
      <c r="N123" s="3">
        <v>37543.47</v>
      </c>
      <c r="O123" s="3">
        <v>5973.75</v>
      </c>
      <c r="P123" s="3" t="s">
        <v>31</v>
      </c>
      <c r="Q123" s="3" t="s">
        <v>32</v>
      </c>
      <c r="R123" s="3">
        <v>10</v>
      </c>
      <c r="S123" s="3" t="s">
        <v>112</v>
      </c>
      <c r="T123" s="3">
        <v>115</v>
      </c>
      <c r="U123" s="3">
        <v>2</v>
      </c>
      <c r="V123" s="3"/>
    </row>
    <row r="124" spans="1:22" x14ac:dyDescent="0.35">
      <c r="A124" s="2" t="s">
        <v>607</v>
      </c>
      <c r="B124" s="2" t="s">
        <v>352</v>
      </c>
      <c r="C124" s="2" t="s">
        <v>608</v>
      </c>
      <c r="D124" s="2" t="s">
        <v>609</v>
      </c>
      <c r="E124" s="2" t="s">
        <v>58</v>
      </c>
      <c r="F124" s="2" t="s">
        <v>259</v>
      </c>
      <c r="G124" s="2" t="s">
        <v>189</v>
      </c>
      <c r="H124" s="2" t="s">
        <v>369</v>
      </c>
      <c r="I124" s="2" t="s">
        <v>30</v>
      </c>
      <c r="J124" s="2">
        <v>564</v>
      </c>
      <c r="K124" s="2">
        <v>618.21</v>
      </c>
      <c r="L124" s="2">
        <v>849.91</v>
      </c>
      <c r="M124" s="2">
        <v>479349.24</v>
      </c>
      <c r="N124" s="2">
        <v>348670.44</v>
      </c>
      <c r="O124" s="2">
        <v>130678.8</v>
      </c>
      <c r="P124" s="2" t="s">
        <v>42</v>
      </c>
      <c r="Q124" s="2" t="s">
        <v>63</v>
      </c>
      <c r="R124" s="2">
        <v>5</v>
      </c>
      <c r="S124" s="2" t="s">
        <v>43</v>
      </c>
      <c r="T124" s="2">
        <v>1278</v>
      </c>
      <c r="U124" s="2">
        <v>7</v>
      </c>
      <c r="V124" s="2"/>
    </row>
    <row r="125" spans="1:22" x14ac:dyDescent="0.35">
      <c r="A125" s="3" t="s">
        <v>610</v>
      </c>
      <c r="B125" s="3" t="s">
        <v>45</v>
      </c>
      <c r="C125" s="3" t="s">
        <v>611</v>
      </c>
      <c r="D125" s="3" t="s">
        <v>612</v>
      </c>
      <c r="E125" s="3" t="s">
        <v>68</v>
      </c>
      <c r="F125" s="3" t="s">
        <v>146</v>
      </c>
      <c r="G125" s="3" t="s">
        <v>217</v>
      </c>
      <c r="H125" s="3" t="s">
        <v>218</v>
      </c>
      <c r="I125" s="4"/>
      <c r="J125" s="3">
        <v>763</v>
      </c>
      <c r="K125" s="3">
        <v>191.27</v>
      </c>
      <c r="L125" s="3">
        <v>315.56</v>
      </c>
      <c r="M125" s="3">
        <v>240772.28</v>
      </c>
      <c r="N125" s="3">
        <v>145939.01</v>
      </c>
      <c r="O125" s="3">
        <v>94833.27</v>
      </c>
      <c r="P125" s="3" t="s">
        <v>95</v>
      </c>
      <c r="Q125" s="3" t="s">
        <v>32</v>
      </c>
      <c r="R125" s="3">
        <v>14</v>
      </c>
      <c r="S125" s="3" t="s">
        <v>112</v>
      </c>
      <c r="T125" s="3">
        <v>4200</v>
      </c>
      <c r="U125" s="3">
        <v>2</v>
      </c>
      <c r="V125" s="3"/>
    </row>
    <row r="126" spans="1:22" x14ac:dyDescent="0.35">
      <c r="A126" s="2" t="s">
        <v>613</v>
      </c>
      <c r="B126" s="2" t="s">
        <v>564</v>
      </c>
      <c r="C126" s="2" t="s">
        <v>614</v>
      </c>
      <c r="D126" s="2" t="s">
        <v>615</v>
      </c>
      <c r="E126" s="2" t="s">
        <v>26</v>
      </c>
      <c r="F126" s="2" t="s">
        <v>27</v>
      </c>
      <c r="G126" s="2" t="s">
        <v>78</v>
      </c>
      <c r="H126" s="2" t="s">
        <v>425</v>
      </c>
      <c r="I126" s="2" t="s">
        <v>141</v>
      </c>
      <c r="J126" s="2">
        <v>487</v>
      </c>
      <c r="K126" s="2">
        <v>1152.69</v>
      </c>
      <c r="L126" s="2">
        <v>1888.03</v>
      </c>
      <c r="M126" s="2">
        <v>919470.61</v>
      </c>
      <c r="N126" s="2">
        <v>561360.03</v>
      </c>
      <c r="O126" s="2">
        <v>358110.58</v>
      </c>
      <c r="P126" s="2" t="s">
        <v>42</v>
      </c>
      <c r="Q126" s="2" t="s">
        <v>32</v>
      </c>
      <c r="R126" s="2">
        <v>13</v>
      </c>
      <c r="S126" s="2" t="s">
        <v>53</v>
      </c>
      <c r="T126" s="2">
        <v>2637</v>
      </c>
      <c r="U126" s="2">
        <v>9</v>
      </c>
      <c r="V126" s="2"/>
    </row>
    <row r="127" spans="1:22" x14ac:dyDescent="0.35">
      <c r="A127" s="3" t="s">
        <v>616</v>
      </c>
      <c r="B127" s="3" t="s">
        <v>617</v>
      </c>
      <c r="C127" s="3" t="s">
        <v>300</v>
      </c>
      <c r="D127" s="3" t="s">
        <v>618</v>
      </c>
      <c r="E127" s="3" t="s">
        <v>100</v>
      </c>
      <c r="F127" s="3" t="s">
        <v>106</v>
      </c>
      <c r="G127" s="3" t="s">
        <v>78</v>
      </c>
      <c r="H127" s="3" t="s">
        <v>481</v>
      </c>
      <c r="I127" s="3" t="s">
        <v>118</v>
      </c>
      <c r="J127" s="3">
        <v>642</v>
      </c>
      <c r="K127" s="3">
        <v>451.88</v>
      </c>
      <c r="L127" s="3">
        <v>731.31</v>
      </c>
      <c r="M127" s="3">
        <v>469501.02</v>
      </c>
      <c r="N127" s="3">
        <v>290106.96000000002</v>
      </c>
      <c r="O127" s="3">
        <v>179394.06</v>
      </c>
      <c r="P127" s="3" t="s">
        <v>31</v>
      </c>
      <c r="Q127" s="3" t="s">
        <v>32</v>
      </c>
      <c r="R127" s="3">
        <v>10</v>
      </c>
      <c r="S127" s="3" t="s">
        <v>86</v>
      </c>
      <c r="T127" s="3">
        <v>1680</v>
      </c>
      <c r="U127" s="3">
        <v>32</v>
      </c>
      <c r="V127" s="3"/>
    </row>
    <row r="128" spans="1:22" x14ac:dyDescent="0.35">
      <c r="A128" s="2" t="s">
        <v>619</v>
      </c>
      <c r="B128" s="2" t="s">
        <v>620</v>
      </c>
      <c r="C128" s="2" t="s">
        <v>621</v>
      </c>
      <c r="D128" s="2" t="s">
        <v>622</v>
      </c>
      <c r="E128" s="2" t="s">
        <v>68</v>
      </c>
      <c r="F128" s="2" t="s">
        <v>146</v>
      </c>
      <c r="G128" s="2" t="s">
        <v>70</v>
      </c>
      <c r="H128" s="2" t="s">
        <v>623</v>
      </c>
      <c r="I128" s="2" t="s">
        <v>240</v>
      </c>
      <c r="J128" s="2">
        <v>488</v>
      </c>
      <c r="K128" s="2">
        <v>217.71</v>
      </c>
      <c r="L128" s="2">
        <v>290.2</v>
      </c>
      <c r="M128" s="2">
        <v>141617.60000000001</v>
      </c>
      <c r="N128" s="2">
        <v>106242.48</v>
      </c>
      <c r="O128" s="2">
        <v>35375.120000000003</v>
      </c>
      <c r="P128" s="2" t="s">
        <v>31</v>
      </c>
      <c r="Q128" s="2" t="s">
        <v>32</v>
      </c>
      <c r="R128" s="2">
        <v>12</v>
      </c>
      <c r="S128" s="2" t="s">
        <v>33</v>
      </c>
      <c r="T128" s="2">
        <v>4627</v>
      </c>
      <c r="U128" s="2">
        <v>24</v>
      </c>
      <c r="V128" s="2"/>
    </row>
    <row r="129" spans="1:22" x14ac:dyDescent="0.35">
      <c r="A129" s="3" t="s">
        <v>624</v>
      </c>
      <c r="B129" s="3" t="s">
        <v>625</v>
      </c>
      <c r="C129" s="3" t="s">
        <v>626</v>
      </c>
      <c r="D129" s="3" t="s">
        <v>627</v>
      </c>
      <c r="E129" s="3" t="s">
        <v>58</v>
      </c>
      <c r="F129" s="3" t="s">
        <v>122</v>
      </c>
      <c r="G129" s="3" t="s">
        <v>78</v>
      </c>
      <c r="H129" s="3" t="s">
        <v>628</v>
      </c>
      <c r="I129" s="3" t="s">
        <v>293</v>
      </c>
      <c r="J129" s="3">
        <v>725</v>
      </c>
      <c r="K129" s="3">
        <v>179.65</v>
      </c>
      <c r="L129" s="3">
        <v>232.13</v>
      </c>
      <c r="M129" s="3">
        <v>168294.25</v>
      </c>
      <c r="N129" s="3">
        <v>130246.25</v>
      </c>
      <c r="O129" s="3">
        <v>38048</v>
      </c>
      <c r="P129" s="3" t="s">
        <v>42</v>
      </c>
      <c r="Q129" s="3" t="s">
        <v>63</v>
      </c>
      <c r="R129" s="3">
        <v>2</v>
      </c>
      <c r="S129" s="3" t="s">
        <v>33</v>
      </c>
      <c r="T129" s="3">
        <v>3946</v>
      </c>
      <c r="U129" s="3">
        <v>3</v>
      </c>
      <c r="V129" s="3"/>
    </row>
    <row r="130" spans="1:22" x14ac:dyDescent="0.35">
      <c r="A130" s="2" t="s">
        <v>629</v>
      </c>
      <c r="B130" s="2" t="s">
        <v>630</v>
      </c>
      <c r="C130" s="2" t="s">
        <v>186</v>
      </c>
      <c r="D130" s="2" t="s">
        <v>631</v>
      </c>
      <c r="E130" s="2" t="s">
        <v>58</v>
      </c>
      <c r="F130" s="2" t="s">
        <v>259</v>
      </c>
      <c r="G130" s="2" t="s">
        <v>217</v>
      </c>
      <c r="H130" s="2" t="s">
        <v>524</v>
      </c>
      <c r="I130" s="2" t="s">
        <v>124</v>
      </c>
      <c r="J130" s="2">
        <v>665</v>
      </c>
      <c r="K130" s="2">
        <v>948.6</v>
      </c>
      <c r="L130" s="2">
        <v>1316.34</v>
      </c>
      <c r="M130" s="2">
        <v>875366.1</v>
      </c>
      <c r="N130" s="2">
        <v>630819</v>
      </c>
      <c r="O130" s="2">
        <v>244547.1</v>
      </c>
      <c r="P130" s="2" t="s">
        <v>42</v>
      </c>
      <c r="Q130" s="2" t="s">
        <v>63</v>
      </c>
      <c r="R130" s="2">
        <v>2</v>
      </c>
      <c r="S130" s="2" t="s">
        <v>86</v>
      </c>
      <c r="T130" s="2">
        <v>3575</v>
      </c>
      <c r="U130" s="2">
        <v>11</v>
      </c>
      <c r="V130" s="2"/>
    </row>
    <row r="131" spans="1:22" x14ac:dyDescent="0.35">
      <c r="A131" s="3" t="s">
        <v>632</v>
      </c>
      <c r="B131" s="3" t="s">
        <v>633</v>
      </c>
      <c r="C131" s="3" t="s">
        <v>634</v>
      </c>
      <c r="D131" s="3" t="s">
        <v>635</v>
      </c>
      <c r="E131" s="3" t="s">
        <v>100</v>
      </c>
      <c r="F131" s="3" t="s">
        <v>106</v>
      </c>
      <c r="G131" s="3" t="s">
        <v>28</v>
      </c>
      <c r="H131" s="3" t="s">
        <v>29</v>
      </c>
      <c r="I131" s="3" t="s">
        <v>124</v>
      </c>
      <c r="J131" s="3">
        <v>399</v>
      </c>
      <c r="K131" s="3">
        <v>225.39</v>
      </c>
      <c r="L131" s="3">
        <v>295.58999999999997</v>
      </c>
      <c r="M131" s="3">
        <v>117940.41</v>
      </c>
      <c r="N131" s="3">
        <v>89930.61</v>
      </c>
      <c r="O131" s="3">
        <v>28009.8</v>
      </c>
      <c r="P131" s="3" t="s">
        <v>95</v>
      </c>
      <c r="Q131" s="3" t="s">
        <v>63</v>
      </c>
      <c r="R131" s="3">
        <v>2</v>
      </c>
      <c r="S131" s="3" t="s">
        <v>112</v>
      </c>
      <c r="T131" s="3">
        <v>1620</v>
      </c>
      <c r="U131" s="3">
        <v>16</v>
      </c>
      <c r="V131" s="3"/>
    </row>
    <row r="132" spans="1:22" x14ac:dyDescent="0.35">
      <c r="A132" s="2" t="s">
        <v>636</v>
      </c>
      <c r="B132" s="2" t="s">
        <v>637</v>
      </c>
      <c r="C132" s="2" t="s">
        <v>132</v>
      </c>
      <c r="D132" s="2" t="s">
        <v>638</v>
      </c>
      <c r="E132" s="2" t="s">
        <v>68</v>
      </c>
      <c r="F132" s="2" t="s">
        <v>276</v>
      </c>
      <c r="G132" s="2" t="s">
        <v>70</v>
      </c>
      <c r="H132" s="2" t="s">
        <v>446</v>
      </c>
      <c r="I132" s="2" t="s">
        <v>141</v>
      </c>
      <c r="J132" s="2">
        <v>675</v>
      </c>
      <c r="K132" s="2">
        <v>197.71</v>
      </c>
      <c r="L132" s="2">
        <v>285.37</v>
      </c>
      <c r="M132" s="2">
        <v>192624.75</v>
      </c>
      <c r="N132" s="2">
        <v>133454.25</v>
      </c>
      <c r="O132" s="2">
        <v>59170.5</v>
      </c>
      <c r="P132" s="2" t="s">
        <v>52</v>
      </c>
      <c r="Q132" s="2" t="s">
        <v>32</v>
      </c>
      <c r="R132" s="2">
        <v>10</v>
      </c>
      <c r="S132" s="2" t="s">
        <v>158</v>
      </c>
      <c r="T132" s="2">
        <v>3140</v>
      </c>
      <c r="U132" s="2">
        <v>7</v>
      </c>
      <c r="V132" s="2"/>
    </row>
    <row r="133" spans="1:22" x14ac:dyDescent="0.35">
      <c r="A133" s="3" t="s">
        <v>639</v>
      </c>
      <c r="B133" s="3" t="s">
        <v>640</v>
      </c>
      <c r="C133" s="3" t="s">
        <v>641</v>
      </c>
      <c r="D133" s="3" t="s">
        <v>642</v>
      </c>
      <c r="E133" s="3" t="s">
        <v>100</v>
      </c>
      <c r="F133" s="3" t="s">
        <v>330</v>
      </c>
      <c r="G133" s="3" t="s">
        <v>93</v>
      </c>
      <c r="H133" s="3" t="s">
        <v>643</v>
      </c>
      <c r="I133" s="3" t="s">
        <v>85</v>
      </c>
      <c r="J133" s="3">
        <v>377</v>
      </c>
      <c r="K133" s="3">
        <v>745.09</v>
      </c>
      <c r="L133" s="3">
        <v>917.01</v>
      </c>
      <c r="M133" s="3">
        <v>345712.77</v>
      </c>
      <c r="N133" s="3">
        <v>280898.93</v>
      </c>
      <c r="O133" s="3">
        <v>64813.84</v>
      </c>
      <c r="P133" s="3" t="s">
        <v>42</v>
      </c>
      <c r="Q133" s="3" t="s">
        <v>32</v>
      </c>
      <c r="R133" s="3">
        <v>11</v>
      </c>
      <c r="S133" s="3" t="s">
        <v>158</v>
      </c>
      <c r="T133" s="3">
        <v>963</v>
      </c>
      <c r="U133" s="3">
        <v>1</v>
      </c>
      <c r="V133" s="3"/>
    </row>
    <row r="134" spans="1:22" x14ac:dyDescent="0.35">
      <c r="A134" s="2" t="s">
        <v>644</v>
      </c>
      <c r="B134" s="2" t="s">
        <v>288</v>
      </c>
      <c r="C134" s="2" t="s">
        <v>645</v>
      </c>
      <c r="D134" s="2" t="s">
        <v>646</v>
      </c>
      <c r="E134" s="2" t="s">
        <v>26</v>
      </c>
      <c r="F134" s="2" t="s">
        <v>228</v>
      </c>
      <c r="G134" s="2" t="s">
        <v>39</v>
      </c>
      <c r="H134" s="2" t="s">
        <v>647</v>
      </c>
      <c r="I134" s="2" t="s">
        <v>118</v>
      </c>
      <c r="J134" s="2">
        <v>7</v>
      </c>
      <c r="K134" s="2">
        <v>583.17999999999995</v>
      </c>
      <c r="L134" s="2">
        <v>930.9</v>
      </c>
      <c r="M134" s="2">
        <v>6516.3</v>
      </c>
      <c r="N134" s="2">
        <v>4082.26</v>
      </c>
      <c r="O134" s="2">
        <v>2434.04</v>
      </c>
      <c r="P134" s="2" t="s">
        <v>31</v>
      </c>
      <c r="Q134" s="2" t="s">
        <v>32</v>
      </c>
      <c r="R134" s="2">
        <v>14</v>
      </c>
      <c r="S134" s="2" t="s">
        <v>158</v>
      </c>
      <c r="T134" s="2">
        <v>2434</v>
      </c>
      <c r="U134" s="2">
        <v>1</v>
      </c>
      <c r="V134" s="2"/>
    </row>
    <row r="135" spans="1:22" x14ac:dyDescent="0.35">
      <c r="A135" s="3" t="s">
        <v>648</v>
      </c>
      <c r="B135" s="3" t="s">
        <v>649</v>
      </c>
      <c r="C135" s="3" t="s">
        <v>650</v>
      </c>
      <c r="D135" s="3" t="s">
        <v>651</v>
      </c>
      <c r="E135" s="3" t="s">
        <v>58</v>
      </c>
      <c r="F135" s="3" t="s">
        <v>116</v>
      </c>
      <c r="G135" s="3" t="s">
        <v>78</v>
      </c>
      <c r="H135" s="3" t="s">
        <v>79</v>
      </c>
      <c r="I135" s="3" t="s">
        <v>141</v>
      </c>
      <c r="J135" s="3">
        <v>604</v>
      </c>
      <c r="K135" s="3">
        <v>1042.24</v>
      </c>
      <c r="L135" s="3">
        <v>1350.09</v>
      </c>
      <c r="M135" s="3">
        <v>815454.36</v>
      </c>
      <c r="N135" s="3">
        <v>629512.95999999996</v>
      </c>
      <c r="O135" s="3">
        <v>185941.4</v>
      </c>
      <c r="P135" s="3" t="s">
        <v>42</v>
      </c>
      <c r="Q135" s="3" t="s">
        <v>63</v>
      </c>
      <c r="R135" s="3">
        <v>3</v>
      </c>
      <c r="S135" s="3" t="s">
        <v>43</v>
      </c>
      <c r="T135" s="3">
        <v>312</v>
      </c>
      <c r="U135" s="3">
        <v>5</v>
      </c>
      <c r="V135" s="3"/>
    </row>
    <row r="136" spans="1:22" x14ac:dyDescent="0.35">
      <c r="A136" s="2" t="s">
        <v>652</v>
      </c>
      <c r="B136" s="2" t="s">
        <v>653</v>
      </c>
      <c r="C136" s="2" t="s">
        <v>653</v>
      </c>
      <c r="D136" s="2" t="s">
        <v>654</v>
      </c>
      <c r="E136" s="2" t="s">
        <v>100</v>
      </c>
      <c r="F136" s="2" t="s">
        <v>330</v>
      </c>
      <c r="G136" s="2" t="s">
        <v>70</v>
      </c>
      <c r="H136" s="2" t="s">
        <v>446</v>
      </c>
      <c r="I136" s="2" t="s">
        <v>124</v>
      </c>
      <c r="J136" s="2">
        <v>646</v>
      </c>
      <c r="K136" s="2">
        <v>945.71</v>
      </c>
      <c r="L136" s="2">
        <v>1311.53</v>
      </c>
      <c r="M136" s="2">
        <v>847248.38</v>
      </c>
      <c r="N136" s="2">
        <v>610928.66</v>
      </c>
      <c r="O136" s="2">
        <v>236319.72</v>
      </c>
      <c r="P136" s="2" t="s">
        <v>31</v>
      </c>
      <c r="Q136" s="2" t="s">
        <v>63</v>
      </c>
      <c r="R136" s="2">
        <v>1</v>
      </c>
      <c r="S136" s="2" t="s">
        <v>33</v>
      </c>
      <c r="T136" s="2">
        <v>4934</v>
      </c>
      <c r="U136" s="2">
        <v>9</v>
      </c>
      <c r="V136" s="2"/>
    </row>
    <row r="137" spans="1:22" x14ac:dyDescent="0.35">
      <c r="A137" s="3" t="s">
        <v>655</v>
      </c>
      <c r="B137" s="3" t="s">
        <v>656</v>
      </c>
      <c r="C137" s="3" t="s">
        <v>657</v>
      </c>
      <c r="D137" s="3" t="s">
        <v>658</v>
      </c>
      <c r="E137" s="3" t="s">
        <v>48</v>
      </c>
      <c r="F137" s="3" t="s">
        <v>281</v>
      </c>
      <c r="G137" s="3" t="s">
        <v>78</v>
      </c>
      <c r="H137" s="3" t="s">
        <v>628</v>
      </c>
      <c r="I137" s="3" t="s">
        <v>118</v>
      </c>
      <c r="J137" s="3">
        <v>727</v>
      </c>
      <c r="K137" s="3">
        <v>222.36</v>
      </c>
      <c r="L137" s="3">
        <v>252.4</v>
      </c>
      <c r="M137" s="3">
        <v>183494.8</v>
      </c>
      <c r="N137" s="3">
        <v>161655.72</v>
      </c>
      <c r="O137" s="3">
        <v>21839.08</v>
      </c>
      <c r="P137" s="3" t="s">
        <v>42</v>
      </c>
      <c r="Q137" s="3" t="s">
        <v>32</v>
      </c>
      <c r="R137" s="3">
        <v>15</v>
      </c>
      <c r="S137" s="3" t="s">
        <v>112</v>
      </c>
      <c r="T137" s="3">
        <v>2765</v>
      </c>
      <c r="U137" s="3">
        <v>35</v>
      </c>
      <c r="V137" s="3"/>
    </row>
    <row r="138" spans="1:22" x14ac:dyDescent="0.35">
      <c r="A138" s="2" t="s">
        <v>659</v>
      </c>
      <c r="B138" s="2" t="s">
        <v>109</v>
      </c>
      <c r="C138" s="2" t="s">
        <v>592</v>
      </c>
      <c r="D138" s="2" t="s">
        <v>660</v>
      </c>
      <c r="E138" s="2" t="s">
        <v>58</v>
      </c>
      <c r="F138" s="2" t="s">
        <v>417</v>
      </c>
      <c r="G138" s="2" t="s">
        <v>129</v>
      </c>
      <c r="H138" s="2" t="s">
        <v>168</v>
      </c>
      <c r="I138" s="2" t="s">
        <v>153</v>
      </c>
      <c r="J138" s="2">
        <v>135</v>
      </c>
      <c r="K138" s="2">
        <v>1129.18</v>
      </c>
      <c r="L138" s="2">
        <v>1305.8900000000001</v>
      </c>
      <c r="M138" s="2">
        <v>176295.15</v>
      </c>
      <c r="N138" s="2">
        <v>152439.29999999999</v>
      </c>
      <c r="O138" s="2">
        <v>23855.85</v>
      </c>
      <c r="P138" s="2" t="s">
        <v>31</v>
      </c>
      <c r="Q138" s="2" t="s">
        <v>32</v>
      </c>
      <c r="R138" s="2">
        <v>11</v>
      </c>
      <c r="S138" s="2" t="s">
        <v>158</v>
      </c>
      <c r="T138" s="2">
        <v>2423</v>
      </c>
      <c r="U138" s="2">
        <v>2</v>
      </c>
      <c r="V138" s="2"/>
    </row>
    <row r="139" spans="1:22" x14ac:dyDescent="0.35">
      <c r="A139" s="3" t="s">
        <v>661</v>
      </c>
      <c r="B139" s="3" t="s">
        <v>479</v>
      </c>
      <c r="C139" s="3" t="s">
        <v>662</v>
      </c>
      <c r="D139" s="3" t="s">
        <v>663</v>
      </c>
      <c r="E139" s="3" t="s">
        <v>58</v>
      </c>
      <c r="F139" s="3" t="s">
        <v>417</v>
      </c>
      <c r="G139" s="3" t="s">
        <v>39</v>
      </c>
      <c r="H139" s="3" t="s">
        <v>664</v>
      </c>
      <c r="I139" s="3" t="s">
        <v>72</v>
      </c>
      <c r="J139" s="3">
        <v>201</v>
      </c>
      <c r="K139" s="3">
        <v>633.9</v>
      </c>
      <c r="L139" s="3">
        <v>982.08</v>
      </c>
      <c r="M139" s="3">
        <v>197398.08</v>
      </c>
      <c r="N139" s="3">
        <v>127413.9</v>
      </c>
      <c r="O139" s="3">
        <v>69984.179999999993</v>
      </c>
      <c r="P139" s="3" t="s">
        <v>52</v>
      </c>
      <c r="Q139" s="3" t="s">
        <v>32</v>
      </c>
      <c r="R139" s="3">
        <v>15</v>
      </c>
      <c r="S139" s="3" t="s">
        <v>158</v>
      </c>
      <c r="T139" s="3">
        <v>2402</v>
      </c>
      <c r="U139" s="3">
        <v>10</v>
      </c>
      <c r="V139" s="3"/>
    </row>
    <row r="140" spans="1:22" x14ac:dyDescent="0.35">
      <c r="A140" s="2" t="s">
        <v>665</v>
      </c>
      <c r="B140" s="2" t="s">
        <v>278</v>
      </c>
      <c r="C140" s="2" t="s">
        <v>215</v>
      </c>
      <c r="D140" s="2" t="s">
        <v>666</v>
      </c>
      <c r="E140" s="2" t="s">
        <v>48</v>
      </c>
      <c r="F140" s="2" t="s">
        <v>270</v>
      </c>
      <c r="G140" s="2" t="s">
        <v>28</v>
      </c>
      <c r="H140" s="2" t="s">
        <v>507</v>
      </c>
      <c r="I140" s="2" t="s">
        <v>141</v>
      </c>
      <c r="J140" s="2">
        <v>506</v>
      </c>
      <c r="K140" s="2">
        <v>945.46</v>
      </c>
      <c r="L140" s="2">
        <v>1300.6400000000001</v>
      </c>
      <c r="M140" s="2">
        <v>658123.84</v>
      </c>
      <c r="N140" s="2">
        <v>478402.76</v>
      </c>
      <c r="O140" s="2">
        <v>179721.08</v>
      </c>
      <c r="P140" s="2" t="s">
        <v>31</v>
      </c>
      <c r="Q140" s="2" t="s">
        <v>63</v>
      </c>
      <c r="R140" s="2">
        <v>5</v>
      </c>
      <c r="S140" s="2" t="s">
        <v>86</v>
      </c>
      <c r="T140" s="2">
        <v>3566</v>
      </c>
      <c r="U140" s="2">
        <v>16</v>
      </c>
      <c r="V140" s="2"/>
    </row>
    <row r="141" spans="1:22" x14ac:dyDescent="0.35">
      <c r="A141" s="3" t="s">
        <v>667</v>
      </c>
      <c r="B141" s="3" t="s">
        <v>668</v>
      </c>
      <c r="C141" s="3" t="s">
        <v>510</v>
      </c>
      <c r="D141" s="3" t="s">
        <v>669</v>
      </c>
      <c r="E141" s="3" t="s">
        <v>100</v>
      </c>
      <c r="F141" s="3" t="s">
        <v>106</v>
      </c>
      <c r="G141" s="3" t="s">
        <v>70</v>
      </c>
      <c r="H141" s="3" t="s">
        <v>84</v>
      </c>
      <c r="I141" s="3" t="s">
        <v>293</v>
      </c>
      <c r="J141" s="3">
        <v>382</v>
      </c>
      <c r="K141" s="3">
        <v>1103.24</v>
      </c>
      <c r="L141" s="3">
        <v>1541.89</v>
      </c>
      <c r="M141" s="3">
        <v>589001.98</v>
      </c>
      <c r="N141" s="3">
        <v>421437.68</v>
      </c>
      <c r="O141" s="3">
        <v>167564.29999999999</v>
      </c>
      <c r="P141" s="3" t="s">
        <v>31</v>
      </c>
      <c r="Q141" s="3" t="s">
        <v>32</v>
      </c>
      <c r="R141" s="3">
        <v>8</v>
      </c>
      <c r="S141" s="3" t="s">
        <v>33</v>
      </c>
      <c r="T141" s="3">
        <v>2313</v>
      </c>
      <c r="U141" s="3">
        <v>8</v>
      </c>
      <c r="V141" s="3"/>
    </row>
    <row r="142" spans="1:22" x14ac:dyDescent="0.35">
      <c r="A142" s="2" t="s">
        <v>670</v>
      </c>
      <c r="B142" s="2" t="s">
        <v>671</v>
      </c>
      <c r="C142" s="2" t="s">
        <v>672</v>
      </c>
      <c r="D142" s="2" t="s">
        <v>673</v>
      </c>
      <c r="E142" s="2" t="s">
        <v>48</v>
      </c>
      <c r="F142" s="2" t="s">
        <v>49</v>
      </c>
      <c r="G142" s="2" t="s">
        <v>28</v>
      </c>
      <c r="H142" s="2" t="s">
        <v>674</v>
      </c>
      <c r="I142" s="2" t="s">
        <v>118</v>
      </c>
      <c r="J142" s="2">
        <v>672</v>
      </c>
      <c r="K142" s="2">
        <v>53.66</v>
      </c>
      <c r="L142" s="2">
        <v>74.39</v>
      </c>
      <c r="M142" s="2">
        <v>49990.080000000002</v>
      </c>
      <c r="N142" s="2">
        <v>36059.519999999997</v>
      </c>
      <c r="O142" s="2">
        <v>13930.56</v>
      </c>
      <c r="P142" s="2" t="s">
        <v>95</v>
      </c>
      <c r="Q142" s="2" t="s">
        <v>32</v>
      </c>
      <c r="R142" s="2">
        <v>6</v>
      </c>
      <c r="S142" s="2" t="s">
        <v>33</v>
      </c>
      <c r="T142" s="2">
        <v>4071</v>
      </c>
      <c r="U142" s="2">
        <v>14</v>
      </c>
      <c r="V142" s="2"/>
    </row>
    <row r="143" spans="1:22" x14ac:dyDescent="0.35">
      <c r="A143" s="3" t="s">
        <v>675</v>
      </c>
      <c r="B143" s="3" t="s">
        <v>676</v>
      </c>
      <c r="C143" s="3" t="s">
        <v>559</v>
      </c>
      <c r="D143" s="3" t="s">
        <v>677</v>
      </c>
      <c r="E143" s="3" t="s">
        <v>100</v>
      </c>
      <c r="F143" s="3" t="s">
        <v>538</v>
      </c>
      <c r="G143" s="3" t="s">
        <v>28</v>
      </c>
      <c r="H143" s="3" t="s">
        <v>111</v>
      </c>
      <c r="I143" s="3" t="s">
        <v>153</v>
      </c>
      <c r="J143" s="3">
        <v>334</v>
      </c>
      <c r="K143" s="3">
        <v>909.92</v>
      </c>
      <c r="L143" s="3">
        <v>1485.19</v>
      </c>
      <c r="M143" s="3">
        <v>496053.46</v>
      </c>
      <c r="N143" s="3">
        <v>303913.28000000003</v>
      </c>
      <c r="O143" s="3">
        <v>192140.18</v>
      </c>
      <c r="P143" s="3" t="s">
        <v>95</v>
      </c>
      <c r="Q143" s="3" t="s">
        <v>32</v>
      </c>
      <c r="R143" s="3">
        <v>10</v>
      </c>
      <c r="S143" s="3" t="s">
        <v>53</v>
      </c>
      <c r="T143" s="3">
        <v>1106</v>
      </c>
      <c r="U143" s="3">
        <v>14</v>
      </c>
      <c r="V143" s="3"/>
    </row>
    <row r="144" spans="1:22" x14ac:dyDescent="0.35">
      <c r="A144" s="2" t="s">
        <v>678</v>
      </c>
      <c r="B144" s="2" t="s">
        <v>398</v>
      </c>
      <c r="C144" s="2" t="s">
        <v>559</v>
      </c>
      <c r="D144" s="2" t="s">
        <v>679</v>
      </c>
      <c r="E144" s="2" t="s">
        <v>68</v>
      </c>
      <c r="F144" s="2" t="s">
        <v>276</v>
      </c>
      <c r="G144" s="2" t="s">
        <v>78</v>
      </c>
      <c r="H144" s="2" t="s">
        <v>425</v>
      </c>
      <c r="I144" s="2" t="s">
        <v>30</v>
      </c>
      <c r="J144" s="2">
        <v>650</v>
      </c>
      <c r="K144" s="2">
        <v>29.39</v>
      </c>
      <c r="L144" s="2">
        <v>38.950000000000003</v>
      </c>
      <c r="M144" s="2">
        <v>25317.5</v>
      </c>
      <c r="N144" s="2">
        <v>19103.5</v>
      </c>
      <c r="O144" s="2">
        <v>6214</v>
      </c>
      <c r="P144" s="2" t="s">
        <v>52</v>
      </c>
      <c r="Q144" s="2" t="s">
        <v>63</v>
      </c>
      <c r="R144" s="2">
        <v>3</v>
      </c>
      <c r="S144" s="2" t="s">
        <v>43</v>
      </c>
      <c r="T144" s="2">
        <v>1291</v>
      </c>
      <c r="U144" s="2">
        <v>24</v>
      </c>
      <c r="V144" s="2"/>
    </row>
    <row r="145" spans="1:22" x14ac:dyDescent="0.35">
      <c r="A145" s="3" t="s">
        <v>680</v>
      </c>
      <c r="B145" s="3" t="s">
        <v>398</v>
      </c>
      <c r="C145" s="3" t="s">
        <v>74</v>
      </c>
      <c r="D145" s="3" t="s">
        <v>681</v>
      </c>
      <c r="E145" s="3" t="s">
        <v>48</v>
      </c>
      <c r="F145" s="3" t="s">
        <v>183</v>
      </c>
      <c r="G145" s="3" t="s">
        <v>39</v>
      </c>
      <c r="H145" s="3" t="s">
        <v>664</v>
      </c>
      <c r="I145" s="3" t="s">
        <v>72</v>
      </c>
      <c r="J145" s="3">
        <v>315</v>
      </c>
      <c r="K145" s="3">
        <v>570.61</v>
      </c>
      <c r="L145" s="3">
        <v>889.47</v>
      </c>
      <c r="M145" s="3">
        <v>280183.05</v>
      </c>
      <c r="N145" s="3">
        <v>179742.15</v>
      </c>
      <c r="O145" s="3">
        <v>100440.9</v>
      </c>
      <c r="P145" s="3" t="s">
        <v>42</v>
      </c>
      <c r="Q145" s="3" t="s">
        <v>32</v>
      </c>
      <c r="R145" s="3">
        <v>10</v>
      </c>
      <c r="S145" s="3" t="s">
        <v>86</v>
      </c>
      <c r="T145" s="3">
        <v>1858</v>
      </c>
      <c r="U145" s="3">
        <v>4</v>
      </c>
      <c r="V145" s="3"/>
    </row>
    <row r="146" spans="1:22" x14ac:dyDescent="0.35">
      <c r="A146" s="2" t="s">
        <v>682</v>
      </c>
      <c r="B146" s="2" t="s">
        <v>333</v>
      </c>
      <c r="C146" s="2" t="s">
        <v>225</v>
      </c>
      <c r="D146" s="2" t="s">
        <v>683</v>
      </c>
      <c r="E146" s="2" t="s">
        <v>100</v>
      </c>
      <c r="F146" s="2" t="s">
        <v>538</v>
      </c>
      <c r="G146" s="2" t="s">
        <v>217</v>
      </c>
      <c r="H146" s="2" t="s">
        <v>684</v>
      </c>
      <c r="I146" s="2" t="s">
        <v>30</v>
      </c>
      <c r="J146" s="2">
        <v>368</v>
      </c>
      <c r="K146" s="2">
        <v>544.57000000000005</v>
      </c>
      <c r="L146" s="2">
        <v>787.03</v>
      </c>
      <c r="M146" s="2">
        <v>289627.03999999998</v>
      </c>
      <c r="N146" s="2">
        <v>200401.76</v>
      </c>
      <c r="O146" s="2">
        <v>89225.279999999999</v>
      </c>
      <c r="P146" s="2" t="s">
        <v>52</v>
      </c>
      <c r="Q146" s="2" t="s">
        <v>32</v>
      </c>
      <c r="R146" s="2">
        <v>6</v>
      </c>
      <c r="S146" s="2" t="s">
        <v>43</v>
      </c>
      <c r="T146" s="2">
        <v>4111</v>
      </c>
      <c r="U146" s="2">
        <v>0</v>
      </c>
      <c r="V146" s="2"/>
    </row>
    <row r="147" spans="1:22" x14ac:dyDescent="0.35">
      <c r="A147" s="3" t="s">
        <v>685</v>
      </c>
      <c r="B147" s="3" t="s">
        <v>542</v>
      </c>
      <c r="C147" s="3" t="s">
        <v>36</v>
      </c>
      <c r="D147" s="3" t="s">
        <v>686</v>
      </c>
      <c r="E147" s="3" t="s">
        <v>58</v>
      </c>
      <c r="F147" s="3" t="s">
        <v>122</v>
      </c>
      <c r="G147" s="3" t="s">
        <v>78</v>
      </c>
      <c r="H147" s="3" t="s">
        <v>425</v>
      </c>
      <c r="I147" s="3" t="s">
        <v>153</v>
      </c>
      <c r="J147" s="3">
        <v>616</v>
      </c>
      <c r="K147" s="3">
        <v>1004.5</v>
      </c>
      <c r="L147" s="3">
        <v>1412.41</v>
      </c>
      <c r="M147" s="3">
        <v>870044.56</v>
      </c>
      <c r="N147" s="3">
        <v>618772</v>
      </c>
      <c r="O147" s="3">
        <v>251272.56</v>
      </c>
      <c r="P147" s="3" t="s">
        <v>687</v>
      </c>
      <c r="Q147" s="3" t="s">
        <v>32</v>
      </c>
      <c r="R147" s="3">
        <v>15</v>
      </c>
      <c r="S147" s="3" t="s">
        <v>86</v>
      </c>
      <c r="T147" s="3">
        <v>2508</v>
      </c>
      <c r="U147" s="4"/>
      <c r="V147" s="3"/>
    </row>
    <row r="148" spans="1:22" x14ac:dyDescent="0.35">
      <c r="A148" s="2" t="s">
        <v>688</v>
      </c>
      <c r="B148" s="2" t="s">
        <v>431</v>
      </c>
      <c r="C148" s="2" t="s">
        <v>262</v>
      </c>
      <c r="D148" s="2" t="s">
        <v>689</v>
      </c>
      <c r="E148" s="2" t="s">
        <v>58</v>
      </c>
      <c r="F148" s="2" t="s">
        <v>122</v>
      </c>
      <c r="G148" s="2" t="s">
        <v>93</v>
      </c>
      <c r="H148" s="2" t="s">
        <v>302</v>
      </c>
      <c r="I148" s="2" t="s">
        <v>62</v>
      </c>
      <c r="J148" s="2">
        <v>23</v>
      </c>
      <c r="K148" s="2">
        <v>798.88</v>
      </c>
      <c r="L148" s="2">
        <v>1045.27</v>
      </c>
      <c r="M148" s="2">
        <v>24041.21</v>
      </c>
      <c r="N148" s="2">
        <v>18374.240000000002</v>
      </c>
      <c r="O148" s="4"/>
      <c r="P148" s="2" t="s">
        <v>31</v>
      </c>
      <c r="Q148" s="2" t="s">
        <v>63</v>
      </c>
      <c r="R148" s="2">
        <v>5</v>
      </c>
      <c r="S148" s="2" t="s">
        <v>158</v>
      </c>
      <c r="T148" s="2">
        <v>2876</v>
      </c>
      <c r="U148" s="2">
        <v>0</v>
      </c>
      <c r="V148" s="2"/>
    </row>
    <row r="149" spans="1:22" x14ac:dyDescent="0.35">
      <c r="A149" s="3" t="s">
        <v>690</v>
      </c>
      <c r="B149" s="3" t="s">
        <v>691</v>
      </c>
      <c r="C149" s="3" t="s">
        <v>432</v>
      </c>
      <c r="D149" s="3" t="s">
        <v>692</v>
      </c>
      <c r="E149" s="3" t="s">
        <v>58</v>
      </c>
      <c r="F149" s="3" t="s">
        <v>417</v>
      </c>
      <c r="G149" s="3" t="s">
        <v>50</v>
      </c>
      <c r="H149" s="3" t="s">
        <v>282</v>
      </c>
      <c r="I149" s="3" t="s">
        <v>153</v>
      </c>
      <c r="J149" s="3">
        <v>6</v>
      </c>
      <c r="K149" s="3">
        <v>1003.65</v>
      </c>
      <c r="L149" s="3">
        <v>1528.7</v>
      </c>
      <c r="M149" s="3">
        <v>9172.2000000000007</v>
      </c>
      <c r="N149" s="3">
        <v>6021.9</v>
      </c>
      <c r="O149" s="3">
        <v>3150.3</v>
      </c>
      <c r="P149" s="3" t="s">
        <v>31</v>
      </c>
      <c r="Q149" s="3" t="s">
        <v>63</v>
      </c>
      <c r="R149" s="3">
        <v>3</v>
      </c>
      <c r="S149" s="3" t="s">
        <v>158</v>
      </c>
      <c r="T149" s="3">
        <v>3835</v>
      </c>
      <c r="U149" s="3">
        <v>1</v>
      </c>
      <c r="V149" s="3"/>
    </row>
    <row r="150" spans="1:22" x14ac:dyDescent="0.35">
      <c r="A150" s="2" t="s">
        <v>693</v>
      </c>
      <c r="B150" s="2" t="s">
        <v>694</v>
      </c>
      <c r="C150" s="2" t="s">
        <v>529</v>
      </c>
      <c r="D150" s="2" t="s">
        <v>695</v>
      </c>
      <c r="E150" s="2" t="s">
        <v>696</v>
      </c>
      <c r="F150" s="2" t="s">
        <v>146</v>
      </c>
      <c r="G150" s="2" t="s">
        <v>60</v>
      </c>
      <c r="H150" s="2" t="s">
        <v>400</v>
      </c>
      <c r="I150" s="2" t="s">
        <v>118</v>
      </c>
      <c r="J150" s="2">
        <v>557</v>
      </c>
      <c r="K150" s="2">
        <v>854.35</v>
      </c>
      <c r="L150" s="2">
        <v>1195.8900000000001</v>
      </c>
      <c r="M150" s="2">
        <v>666110.73</v>
      </c>
      <c r="N150" s="2">
        <v>475872.95</v>
      </c>
      <c r="O150" s="4" t="s">
        <v>697</v>
      </c>
      <c r="P150" s="2" t="s">
        <v>52</v>
      </c>
      <c r="Q150" s="2" t="s">
        <v>63</v>
      </c>
      <c r="R150" s="2">
        <v>2</v>
      </c>
      <c r="S150" s="2" t="s">
        <v>33</v>
      </c>
      <c r="T150" s="4"/>
      <c r="U150" s="2">
        <v>22</v>
      </c>
      <c r="V150" s="2"/>
    </row>
    <row r="151" spans="1:22" x14ac:dyDescent="0.35">
      <c r="A151" s="3" t="s">
        <v>698</v>
      </c>
      <c r="B151" s="3" t="s">
        <v>448</v>
      </c>
      <c r="C151" s="3" t="s">
        <v>74</v>
      </c>
      <c r="D151" s="3" t="s">
        <v>699</v>
      </c>
      <c r="E151" s="3" t="s">
        <v>58</v>
      </c>
      <c r="F151" s="3" t="s">
        <v>259</v>
      </c>
      <c r="G151" s="3" t="s">
        <v>28</v>
      </c>
      <c r="H151" s="3" t="s">
        <v>579</v>
      </c>
      <c r="I151" s="3" t="s">
        <v>153</v>
      </c>
      <c r="J151" s="3">
        <v>733</v>
      </c>
      <c r="K151" s="3">
        <v>230.25</v>
      </c>
      <c r="L151" s="3">
        <v>363.94</v>
      </c>
      <c r="M151" s="3">
        <v>266768.02</v>
      </c>
      <c r="N151" s="3">
        <v>168773.25</v>
      </c>
      <c r="O151" s="3">
        <v>97994.77</v>
      </c>
      <c r="P151" s="3" t="s">
        <v>52</v>
      </c>
      <c r="Q151" s="3" t="s">
        <v>32</v>
      </c>
      <c r="R151" s="3">
        <v>7</v>
      </c>
      <c r="S151" s="3" t="s">
        <v>158</v>
      </c>
      <c r="T151" s="3">
        <v>1809</v>
      </c>
      <c r="U151" s="3">
        <v>13</v>
      </c>
      <c r="V151" s="3"/>
    </row>
    <row r="152" spans="1:22" x14ac:dyDescent="0.35">
      <c r="A152" s="2" t="s">
        <v>700</v>
      </c>
      <c r="B152" s="2" t="s">
        <v>701</v>
      </c>
      <c r="C152" s="2" t="s">
        <v>702</v>
      </c>
      <c r="D152" s="2" t="s">
        <v>703</v>
      </c>
      <c r="E152" s="2" t="s">
        <v>100</v>
      </c>
      <c r="F152" s="2" t="s">
        <v>330</v>
      </c>
      <c r="G152" s="2" t="s">
        <v>129</v>
      </c>
      <c r="H152" s="2" t="s">
        <v>704</v>
      </c>
      <c r="I152" s="2" t="s">
        <v>240</v>
      </c>
      <c r="J152" s="2">
        <v>279</v>
      </c>
      <c r="K152" s="2">
        <v>1001.61</v>
      </c>
      <c r="L152" s="2">
        <v>1413.31</v>
      </c>
      <c r="M152" s="2">
        <v>394313.49</v>
      </c>
      <c r="N152" s="2">
        <v>279449.19</v>
      </c>
      <c r="O152" s="2">
        <v>114864.3</v>
      </c>
      <c r="P152" s="2" t="s">
        <v>42</v>
      </c>
      <c r="Q152" s="2" t="s">
        <v>32</v>
      </c>
      <c r="R152" s="2">
        <v>12</v>
      </c>
      <c r="S152" s="2" t="s">
        <v>86</v>
      </c>
      <c r="T152" s="2">
        <v>3612</v>
      </c>
      <c r="U152" s="2">
        <v>11</v>
      </c>
      <c r="V152" s="2"/>
    </row>
    <row r="153" spans="1:22" x14ac:dyDescent="0.35">
      <c r="A153" s="3" t="s">
        <v>705</v>
      </c>
      <c r="B153" s="3" t="s">
        <v>706</v>
      </c>
      <c r="C153" s="3" t="s">
        <v>707</v>
      </c>
      <c r="D153" s="3" t="s">
        <v>708</v>
      </c>
      <c r="E153" s="3" t="s">
        <v>26</v>
      </c>
      <c r="F153" s="3" t="s">
        <v>709</v>
      </c>
      <c r="G153" s="3" t="s">
        <v>28</v>
      </c>
      <c r="H153" s="3" t="s">
        <v>674</v>
      </c>
      <c r="I153" s="3" t="s">
        <v>41</v>
      </c>
      <c r="J153" s="3">
        <v>598</v>
      </c>
      <c r="K153" s="3">
        <v>665</v>
      </c>
      <c r="L153" s="3">
        <v>1032.18</v>
      </c>
      <c r="M153" s="3">
        <v>617243.64</v>
      </c>
      <c r="N153" s="3">
        <v>397670</v>
      </c>
      <c r="O153" s="3">
        <v>219573.64</v>
      </c>
      <c r="P153" s="3" t="s">
        <v>42</v>
      </c>
      <c r="Q153" s="3" t="s">
        <v>32</v>
      </c>
      <c r="R153" s="3">
        <v>12</v>
      </c>
      <c r="S153" s="3" t="s">
        <v>86</v>
      </c>
      <c r="T153" s="3">
        <v>2944</v>
      </c>
      <c r="U153" s="3">
        <v>24</v>
      </c>
      <c r="V153" s="3"/>
    </row>
    <row r="154" spans="1:22" x14ac:dyDescent="0.35">
      <c r="A154" s="2" t="s">
        <v>710</v>
      </c>
      <c r="B154" s="2" t="s">
        <v>711</v>
      </c>
      <c r="C154" s="2" t="s">
        <v>712</v>
      </c>
      <c r="D154" s="2" t="s">
        <v>713</v>
      </c>
      <c r="E154" s="2" t="s">
        <v>68</v>
      </c>
      <c r="F154" s="2" t="s">
        <v>69</v>
      </c>
      <c r="G154" s="2" t="s">
        <v>28</v>
      </c>
      <c r="H154" s="2" t="s">
        <v>714</v>
      </c>
      <c r="I154" s="2" t="s">
        <v>141</v>
      </c>
      <c r="J154" s="2">
        <v>309</v>
      </c>
      <c r="K154" s="2">
        <v>686.49</v>
      </c>
      <c r="L154" s="2">
        <v>932.64</v>
      </c>
      <c r="M154" s="2">
        <v>288185.76</v>
      </c>
      <c r="N154" s="2">
        <v>212125.41</v>
      </c>
      <c r="O154" s="2">
        <v>76060.350000000006</v>
      </c>
      <c r="P154" s="2" t="s">
        <v>31</v>
      </c>
      <c r="Q154" s="2" t="s">
        <v>63</v>
      </c>
      <c r="R154" s="2">
        <v>5</v>
      </c>
      <c r="S154" s="2" t="s">
        <v>86</v>
      </c>
      <c r="T154" s="2">
        <v>2067</v>
      </c>
      <c r="U154" s="2">
        <v>11</v>
      </c>
      <c r="V154" s="2"/>
    </row>
    <row r="155" spans="1:22" x14ac:dyDescent="0.35">
      <c r="A155" s="3" t="s">
        <v>715</v>
      </c>
      <c r="B155" s="3" t="s">
        <v>716</v>
      </c>
      <c r="C155" s="3" t="s">
        <v>449</v>
      </c>
      <c r="D155" s="3" t="s">
        <v>717</v>
      </c>
      <c r="E155" s="3" t="s">
        <v>100</v>
      </c>
      <c r="F155" s="3" t="s">
        <v>238</v>
      </c>
      <c r="G155" s="3" t="s">
        <v>70</v>
      </c>
      <c r="H155" s="3" t="s">
        <v>623</v>
      </c>
      <c r="I155" s="3" t="s">
        <v>293</v>
      </c>
      <c r="J155" s="3">
        <v>592</v>
      </c>
      <c r="K155" s="3">
        <v>341.54</v>
      </c>
      <c r="L155" s="3">
        <v>414.17</v>
      </c>
      <c r="M155" s="3">
        <v>245188.64</v>
      </c>
      <c r="N155" s="3">
        <v>202191.68</v>
      </c>
      <c r="O155" s="3">
        <v>42996.959999999999</v>
      </c>
      <c r="P155" s="3" t="s">
        <v>52</v>
      </c>
      <c r="Q155" s="3" t="s">
        <v>63</v>
      </c>
      <c r="R155" s="3">
        <v>4</v>
      </c>
      <c r="S155" s="3" t="s">
        <v>112</v>
      </c>
      <c r="T155" s="3">
        <v>4536</v>
      </c>
      <c r="U155" s="3">
        <v>4</v>
      </c>
      <c r="V155" s="3"/>
    </row>
    <row r="156" spans="1:22" x14ac:dyDescent="0.35">
      <c r="A156" s="2" t="s">
        <v>718</v>
      </c>
      <c r="B156" s="2" t="s">
        <v>719</v>
      </c>
      <c r="C156" s="2" t="s">
        <v>720</v>
      </c>
      <c r="D156" s="2" t="s">
        <v>721</v>
      </c>
      <c r="E156" s="2" t="s">
        <v>26</v>
      </c>
      <c r="F156" s="2" t="s">
        <v>92</v>
      </c>
      <c r="G156" s="2" t="s">
        <v>28</v>
      </c>
      <c r="H156" s="2" t="s">
        <v>507</v>
      </c>
      <c r="I156" s="2" t="s">
        <v>153</v>
      </c>
      <c r="J156" s="2">
        <v>508</v>
      </c>
      <c r="K156" s="2">
        <v>585.97</v>
      </c>
      <c r="L156" s="2">
        <v>763.26</v>
      </c>
      <c r="M156" s="2">
        <v>387736.08</v>
      </c>
      <c r="N156" s="2">
        <v>297672.76</v>
      </c>
      <c r="O156" s="2">
        <v>90063.32</v>
      </c>
      <c r="P156" s="2" t="s">
        <v>31</v>
      </c>
      <c r="Q156" s="2" t="s">
        <v>32</v>
      </c>
      <c r="R156" s="2">
        <v>10</v>
      </c>
      <c r="S156" s="2" t="s">
        <v>112</v>
      </c>
      <c r="T156" s="2">
        <v>2567</v>
      </c>
      <c r="U156" s="2">
        <v>13</v>
      </c>
      <c r="V156" s="2"/>
    </row>
    <row r="157" spans="1:22" x14ac:dyDescent="0.35">
      <c r="A157" s="3" t="s">
        <v>722</v>
      </c>
      <c r="B157" s="3" t="s">
        <v>363</v>
      </c>
      <c r="C157" s="3" t="s">
        <v>723</v>
      </c>
      <c r="D157" s="3" t="s">
        <v>724</v>
      </c>
      <c r="E157" s="3" t="s">
        <v>58</v>
      </c>
      <c r="F157" s="3" t="s">
        <v>59</v>
      </c>
      <c r="G157" s="3" t="s">
        <v>217</v>
      </c>
      <c r="H157" s="3" t="s">
        <v>725</v>
      </c>
      <c r="I157" s="3" t="s">
        <v>41</v>
      </c>
      <c r="J157" s="3">
        <v>733</v>
      </c>
      <c r="K157" s="3">
        <v>65.510000000000005</v>
      </c>
      <c r="L157" s="3">
        <v>95.4</v>
      </c>
      <c r="M157" s="3">
        <v>69928.2</v>
      </c>
      <c r="N157" s="3">
        <v>48018.83</v>
      </c>
      <c r="O157" s="3">
        <v>21909.37</v>
      </c>
      <c r="P157" s="3" t="s">
        <v>95</v>
      </c>
      <c r="Q157" s="3" t="s">
        <v>32</v>
      </c>
      <c r="R157" s="3">
        <v>8</v>
      </c>
      <c r="S157" s="3" t="s">
        <v>53</v>
      </c>
      <c r="T157" s="3">
        <v>219</v>
      </c>
      <c r="U157" s="3">
        <v>12</v>
      </c>
      <c r="V157" s="3"/>
    </row>
    <row r="158" spans="1:22" x14ac:dyDescent="0.35">
      <c r="A158" s="2" t="s">
        <v>726</v>
      </c>
      <c r="B158" s="2" t="s">
        <v>727</v>
      </c>
      <c r="C158" s="2" t="s">
        <v>728</v>
      </c>
      <c r="D158" s="2" t="s">
        <v>729</v>
      </c>
      <c r="E158" s="2" t="s">
        <v>68</v>
      </c>
      <c r="F158" s="2" t="s">
        <v>276</v>
      </c>
      <c r="G158" s="2" t="s">
        <v>93</v>
      </c>
      <c r="H158" s="2" t="s">
        <v>184</v>
      </c>
      <c r="I158" s="2" t="s">
        <v>293</v>
      </c>
      <c r="J158" s="2">
        <v>229</v>
      </c>
      <c r="K158" s="2">
        <v>322.67</v>
      </c>
      <c r="L158" s="2">
        <v>467.58</v>
      </c>
      <c r="M158" s="2">
        <v>107075.82</v>
      </c>
      <c r="N158" s="2">
        <v>73891.429999999993</v>
      </c>
      <c r="O158" s="2">
        <v>33184.39</v>
      </c>
      <c r="P158" s="2" t="s">
        <v>42</v>
      </c>
      <c r="Q158" s="2" t="s">
        <v>32</v>
      </c>
      <c r="R158" s="2">
        <v>15</v>
      </c>
      <c r="S158" s="2" t="s">
        <v>43</v>
      </c>
      <c r="T158" s="2">
        <v>1991</v>
      </c>
      <c r="U158" s="2">
        <v>3</v>
      </c>
      <c r="V158" s="2"/>
    </row>
    <row r="159" spans="1:22" x14ac:dyDescent="0.35">
      <c r="A159" s="3" t="s">
        <v>730</v>
      </c>
      <c r="B159" s="3" t="s">
        <v>731</v>
      </c>
      <c r="C159" s="3" t="s">
        <v>732</v>
      </c>
      <c r="D159" s="3" t="s">
        <v>733</v>
      </c>
      <c r="E159" s="3" t="s">
        <v>58</v>
      </c>
      <c r="F159" s="3" t="s">
        <v>417</v>
      </c>
      <c r="G159" s="3" t="s">
        <v>50</v>
      </c>
      <c r="H159" s="3" t="s">
        <v>734</v>
      </c>
      <c r="I159" s="3" t="s">
        <v>153</v>
      </c>
      <c r="J159" s="3">
        <v>674</v>
      </c>
      <c r="K159" s="3">
        <v>107.98</v>
      </c>
      <c r="L159" s="3">
        <v>160.22</v>
      </c>
      <c r="M159" s="3">
        <v>107988.28</v>
      </c>
      <c r="N159" s="3">
        <v>72778.52</v>
      </c>
      <c r="O159" s="3">
        <v>35209.760000000002</v>
      </c>
      <c r="P159" s="3" t="s">
        <v>52</v>
      </c>
      <c r="Q159" s="3" t="s">
        <v>63</v>
      </c>
      <c r="R159" s="3">
        <v>4</v>
      </c>
      <c r="S159" s="3" t="s">
        <v>158</v>
      </c>
      <c r="T159" s="3">
        <v>2623</v>
      </c>
      <c r="U159" s="3">
        <v>7</v>
      </c>
      <c r="V159" s="3"/>
    </row>
    <row r="160" spans="1:22" x14ac:dyDescent="0.35">
      <c r="A160" s="2" t="s">
        <v>735</v>
      </c>
      <c r="B160" s="2" t="s">
        <v>736</v>
      </c>
      <c r="C160" s="2" t="s">
        <v>641</v>
      </c>
      <c r="D160" s="2" t="s">
        <v>737</v>
      </c>
      <c r="E160" s="2" t="s">
        <v>48</v>
      </c>
      <c r="F160" s="2" t="s">
        <v>49</v>
      </c>
      <c r="G160" s="2" t="s">
        <v>28</v>
      </c>
      <c r="H160" s="2" t="s">
        <v>254</v>
      </c>
      <c r="I160" s="2" t="s">
        <v>191</v>
      </c>
      <c r="J160" s="2">
        <v>504</v>
      </c>
      <c r="K160" s="2">
        <v>947.24</v>
      </c>
      <c r="L160" s="2">
        <v>1261.58</v>
      </c>
      <c r="M160" s="2">
        <v>635836.31999999995</v>
      </c>
      <c r="N160" s="2">
        <v>477408.96</v>
      </c>
      <c r="O160" s="2">
        <v>158427.35999999999</v>
      </c>
      <c r="P160" s="2" t="s">
        <v>52</v>
      </c>
      <c r="Q160" s="2" t="s">
        <v>63</v>
      </c>
      <c r="R160" s="2">
        <v>2</v>
      </c>
      <c r="S160" s="2" t="s">
        <v>53</v>
      </c>
      <c r="T160" s="2">
        <v>2952</v>
      </c>
      <c r="U160" s="2">
        <v>24</v>
      </c>
      <c r="V160" s="2"/>
    </row>
    <row r="161" spans="1:22" x14ac:dyDescent="0.35">
      <c r="A161" s="3" t="s">
        <v>738</v>
      </c>
      <c r="B161" s="3" t="s">
        <v>279</v>
      </c>
      <c r="C161" s="3" t="s">
        <v>351</v>
      </c>
      <c r="D161" s="3" t="s">
        <v>739</v>
      </c>
      <c r="E161" s="3" t="s">
        <v>100</v>
      </c>
      <c r="F161" s="3" t="s">
        <v>101</v>
      </c>
      <c r="G161" s="3" t="s">
        <v>70</v>
      </c>
      <c r="H161" s="3" t="s">
        <v>71</v>
      </c>
      <c r="I161" s="3" t="s">
        <v>85</v>
      </c>
      <c r="J161" s="3">
        <v>342</v>
      </c>
      <c r="K161" s="3">
        <v>142.31</v>
      </c>
      <c r="L161" s="3">
        <v>234.05</v>
      </c>
      <c r="M161" s="3">
        <v>80045.100000000006</v>
      </c>
      <c r="N161" s="3">
        <v>48670.02</v>
      </c>
      <c r="O161" s="3">
        <v>31375.08</v>
      </c>
      <c r="P161" s="3" t="s">
        <v>42</v>
      </c>
      <c r="Q161" s="3" t="s">
        <v>32</v>
      </c>
      <c r="R161" s="3">
        <v>7</v>
      </c>
      <c r="S161" s="3" t="s">
        <v>43</v>
      </c>
      <c r="T161" s="3">
        <v>1395</v>
      </c>
      <c r="U161" s="3">
        <v>7</v>
      </c>
      <c r="V161" s="3"/>
    </row>
    <row r="162" spans="1:22" x14ac:dyDescent="0.35">
      <c r="A162" s="2" t="s">
        <v>740</v>
      </c>
      <c r="B162" s="2" t="s">
        <v>741</v>
      </c>
      <c r="C162" s="2" t="s">
        <v>742</v>
      </c>
      <c r="D162" s="2" t="s">
        <v>743</v>
      </c>
      <c r="E162" s="2" t="s">
        <v>68</v>
      </c>
      <c r="F162" s="2" t="s">
        <v>249</v>
      </c>
      <c r="G162" s="2" t="s">
        <v>50</v>
      </c>
      <c r="H162" s="2" t="s">
        <v>107</v>
      </c>
      <c r="I162" s="2" t="s">
        <v>62</v>
      </c>
      <c r="J162" s="2">
        <v>639</v>
      </c>
      <c r="K162" s="2">
        <v>523.12</v>
      </c>
      <c r="L162" s="2">
        <v>697.63</v>
      </c>
      <c r="M162" s="2">
        <v>445785.57</v>
      </c>
      <c r="N162" s="2">
        <v>334273.68</v>
      </c>
      <c r="O162" s="2">
        <v>111511.89</v>
      </c>
      <c r="P162" s="2" t="s">
        <v>52</v>
      </c>
      <c r="Q162" s="2" t="s">
        <v>63</v>
      </c>
      <c r="R162" s="2">
        <v>4</v>
      </c>
      <c r="S162" s="2" t="s">
        <v>112</v>
      </c>
      <c r="T162" s="2">
        <v>4685</v>
      </c>
      <c r="U162" s="2">
        <v>14</v>
      </c>
      <c r="V162" s="2"/>
    </row>
    <row r="163" spans="1:22" x14ac:dyDescent="0.35">
      <c r="A163" s="3" t="s">
        <v>744</v>
      </c>
      <c r="B163" s="3" t="s">
        <v>194</v>
      </c>
      <c r="C163" s="3" t="s">
        <v>35</v>
      </c>
      <c r="D163" s="3" t="s">
        <v>745</v>
      </c>
      <c r="E163" s="3" t="s">
        <v>26</v>
      </c>
      <c r="F163" s="3" t="s">
        <v>38</v>
      </c>
      <c r="G163" s="3" t="s">
        <v>217</v>
      </c>
      <c r="H163" s="3" t="s">
        <v>340</v>
      </c>
      <c r="I163" s="3" t="s">
        <v>124</v>
      </c>
      <c r="J163" s="3">
        <v>549</v>
      </c>
      <c r="K163" s="3">
        <v>707.35</v>
      </c>
      <c r="L163" s="3">
        <v>967.61</v>
      </c>
      <c r="M163" s="3">
        <v>531217.89</v>
      </c>
      <c r="N163" s="3">
        <v>388335.15</v>
      </c>
      <c r="O163" s="3">
        <v>142882.74</v>
      </c>
      <c r="P163" s="3" t="s">
        <v>31</v>
      </c>
      <c r="Q163" s="3" t="s">
        <v>32</v>
      </c>
      <c r="R163" s="3">
        <v>9</v>
      </c>
      <c r="S163" s="3" t="s">
        <v>86</v>
      </c>
      <c r="T163" s="3">
        <v>204</v>
      </c>
      <c r="U163" s="3">
        <v>22</v>
      </c>
      <c r="V163" s="3"/>
    </row>
    <row r="164" spans="1:22" x14ac:dyDescent="0.35">
      <c r="A164" s="2" t="s">
        <v>746</v>
      </c>
      <c r="B164" s="2" t="s">
        <v>747</v>
      </c>
      <c r="C164" s="2" t="s">
        <v>748</v>
      </c>
      <c r="D164" s="2" t="s">
        <v>749</v>
      </c>
      <c r="E164" s="2" t="s">
        <v>48</v>
      </c>
      <c r="F164" s="2" t="s">
        <v>183</v>
      </c>
      <c r="G164" s="2" t="s">
        <v>28</v>
      </c>
      <c r="H164" s="2" t="s">
        <v>254</v>
      </c>
      <c r="I164" s="2" t="s">
        <v>240</v>
      </c>
      <c r="J164" s="2">
        <v>470</v>
      </c>
      <c r="K164" s="2">
        <v>106.71</v>
      </c>
      <c r="L164" s="2">
        <v>161.79</v>
      </c>
      <c r="M164" s="2">
        <v>76041.3</v>
      </c>
      <c r="N164" s="2">
        <v>50153.7</v>
      </c>
      <c r="O164" s="2">
        <v>25887.599999999999</v>
      </c>
      <c r="P164" s="2" t="s">
        <v>31</v>
      </c>
      <c r="Q164" s="2" t="s">
        <v>32</v>
      </c>
      <c r="R164" s="2">
        <v>14</v>
      </c>
      <c r="S164" s="2" t="s">
        <v>53</v>
      </c>
      <c r="T164" s="2">
        <v>2467</v>
      </c>
      <c r="U164" s="2">
        <v>14</v>
      </c>
      <c r="V164" s="2"/>
    </row>
    <row r="165" spans="1:22" x14ac:dyDescent="0.35">
      <c r="A165" s="3" t="s">
        <v>750</v>
      </c>
      <c r="B165" s="3" t="s">
        <v>751</v>
      </c>
      <c r="C165" s="3" t="s">
        <v>479</v>
      </c>
      <c r="D165" s="3" t="s">
        <v>752</v>
      </c>
      <c r="E165" s="3" t="s">
        <v>48</v>
      </c>
      <c r="F165" s="3" t="s">
        <v>753</v>
      </c>
      <c r="G165" s="3" t="s">
        <v>78</v>
      </c>
      <c r="H165" s="3" t="s">
        <v>481</v>
      </c>
      <c r="I165" s="3" t="s">
        <v>240</v>
      </c>
      <c r="J165" s="3">
        <v>705</v>
      </c>
      <c r="K165" s="3">
        <v>1145.5899999999999</v>
      </c>
      <c r="L165" s="3">
        <v>1445.12</v>
      </c>
      <c r="M165" s="3">
        <v>1018809.6</v>
      </c>
      <c r="N165" s="3">
        <v>807640.95</v>
      </c>
      <c r="O165" s="3">
        <v>211168.65</v>
      </c>
      <c r="P165" s="3" t="s">
        <v>31</v>
      </c>
      <c r="Q165" s="3" t="s">
        <v>32</v>
      </c>
      <c r="R165" s="3">
        <v>9</v>
      </c>
      <c r="S165" s="3" t="s">
        <v>43</v>
      </c>
      <c r="T165" s="3">
        <v>3392</v>
      </c>
      <c r="U165" s="3">
        <v>34</v>
      </c>
      <c r="V165" s="3"/>
    </row>
    <row r="166" spans="1:22" x14ac:dyDescent="0.35">
      <c r="A166" s="2" t="s">
        <v>754</v>
      </c>
      <c r="B166" s="2" t="s">
        <v>410</v>
      </c>
      <c r="C166" s="2" t="s">
        <v>755</v>
      </c>
      <c r="D166" s="2" t="s">
        <v>756</v>
      </c>
      <c r="E166" s="2" t="s">
        <v>26</v>
      </c>
      <c r="F166" s="2" t="s">
        <v>27</v>
      </c>
      <c r="G166" s="2" t="s">
        <v>50</v>
      </c>
      <c r="H166" s="2" t="s">
        <v>51</v>
      </c>
      <c r="I166" s="2" t="s">
        <v>62</v>
      </c>
      <c r="J166" s="2">
        <v>686</v>
      </c>
      <c r="K166" s="2">
        <v>364.87</v>
      </c>
      <c r="L166" s="2">
        <v>554.29999999999995</v>
      </c>
      <c r="M166" s="2">
        <v>380249.8</v>
      </c>
      <c r="N166" s="2">
        <v>250300.82</v>
      </c>
      <c r="O166" s="2">
        <v>129948.98</v>
      </c>
      <c r="P166" s="2" t="s">
        <v>52</v>
      </c>
      <c r="Q166" s="2" t="s">
        <v>757</v>
      </c>
      <c r="R166" s="2">
        <v>12</v>
      </c>
      <c r="S166" s="2" t="s">
        <v>112</v>
      </c>
      <c r="T166" s="2">
        <v>341</v>
      </c>
      <c r="U166" s="2">
        <v>32</v>
      </c>
      <c r="V166" s="2"/>
    </row>
    <row r="167" spans="1:22" x14ac:dyDescent="0.35">
      <c r="A167" s="3" t="s">
        <v>758</v>
      </c>
      <c r="B167" s="3" t="s">
        <v>337</v>
      </c>
      <c r="C167" s="3" t="s">
        <v>759</v>
      </c>
      <c r="D167" s="3" t="s">
        <v>760</v>
      </c>
      <c r="E167" s="3" t="s">
        <v>58</v>
      </c>
      <c r="F167" s="3" t="s">
        <v>122</v>
      </c>
      <c r="G167" s="3" t="s">
        <v>78</v>
      </c>
      <c r="H167" s="3" t="s">
        <v>178</v>
      </c>
      <c r="I167" s="3" t="s">
        <v>191</v>
      </c>
      <c r="J167" s="3">
        <v>112</v>
      </c>
      <c r="K167" s="3">
        <v>533.52</v>
      </c>
      <c r="L167" s="3">
        <v>837.85</v>
      </c>
      <c r="M167" s="3">
        <v>93839.2</v>
      </c>
      <c r="N167" s="3">
        <v>59754.239999999998</v>
      </c>
      <c r="O167" s="3">
        <v>34084.959999999999</v>
      </c>
      <c r="P167" s="3" t="s">
        <v>31</v>
      </c>
      <c r="Q167" s="3" t="s">
        <v>63</v>
      </c>
      <c r="R167" s="3">
        <v>5</v>
      </c>
      <c r="S167" s="3" t="s">
        <v>33</v>
      </c>
      <c r="T167" s="3">
        <v>2456</v>
      </c>
      <c r="U167" s="3">
        <v>5</v>
      </c>
      <c r="V167" s="3"/>
    </row>
    <row r="168" spans="1:22" x14ac:dyDescent="0.35">
      <c r="A168" s="2" t="s">
        <v>761</v>
      </c>
      <c r="B168" s="2" t="s">
        <v>529</v>
      </c>
      <c r="C168" s="2" t="s">
        <v>702</v>
      </c>
      <c r="D168" s="2" t="s">
        <v>762</v>
      </c>
      <c r="E168" s="2" t="s">
        <v>48</v>
      </c>
      <c r="F168" s="2" t="s">
        <v>223</v>
      </c>
      <c r="G168" s="2" t="s">
        <v>217</v>
      </c>
      <c r="H168" s="2" t="s">
        <v>725</v>
      </c>
      <c r="I168" s="2" t="s">
        <v>293</v>
      </c>
      <c r="J168" s="2">
        <v>530</v>
      </c>
      <c r="K168" s="2">
        <v>1098.49</v>
      </c>
      <c r="L168" s="2">
        <v>1805.85</v>
      </c>
      <c r="M168" s="2">
        <v>957100.5</v>
      </c>
      <c r="N168" s="2">
        <v>582199.69999999995</v>
      </c>
      <c r="O168" s="2">
        <v>374900.8</v>
      </c>
      <c r="P168" s="2" t="s">
        <v>42</v>
      </c>
      <c r="Q168" s="2" t="s">
        <v>32</v>
      </c>
      <c r="R168" s="2">
        <v>15</v>
      </c>
      <c r="S168" s="2" t="s">
        <v>86</v>
      </c>
      <c r="T168" s="2">
        <v>27</v>
      </c>
      <c r="U168" s="2">
        <v>11</v>
      </c>
      <c r="V168" s="2"/>
    </row>
    <row r="169" spans="1:22" x14ac:dyDescent="0.35">
      <c r="A169" s="3" t="s">
        <v>763</v>
      </c>
      <c r="B169" s="3" t="s">
        <v>764</v>
      </c>
      <c r="C169" s="3" t="s">
        <v>765</v>
      </c>
      <c r="D169" s="3" t="s">
        <v>766</v>
      </c>
      <c r="E169" s="3" t="s">
        <v>58</v>
      </c>
      <c r="F169" s="3" t="s">
        <v>59</v>
      </c>
      <c r="G169" s="3" t="s">
        <v>217</v>
      </c>
      <c r="H169" s="3" t="s">
        <v>524</v>
      </c>
      <c r="I169" s="3" t="s">
        <v>85</v>
      </c>
      <c r="J169" s="3">
        <v>567</v>
      </c>
      <c r="K169" s="3">
        <v>822.03</v>
      </c>
      <c r="L169" s="3">
        <v>1167.33</v>
      </c>
      <c r="M169" s="3">
        <v>661876.11</v>
      </c>
      <c r="N169" s="3">
        <v>466091.01</v>
      </c>
      <c r="O169" s="3">
        <v>195785.1</v>
      </c>
      <c r="P169" s="3" t="s">
        <v>95</v>
      </c>
      <c r="Q169" s="3" t="s">
        <v>32</v>
      </c>
      <c r="R169" s="3">
        <v>8</v>
      </c>
      <c r="S169" s="3" t="s">
        <v>43</v>
      </c>
      <c r="T169" s="3">
        <v>385</v>
      </c>
      <c r="U169" s="3">
        <v>11</v>
      </c>
      <c r="V169" s="3"/>
    </row>
    <row r="170" spans="1:22" x14ac:dyDescent="0.35">
      <c r="A170" s="2" t="s">
        <v>767</v>
      </c>
      <c r="B170" s="2" t="s">
        <v>768</v>
      </c>
      <c r="C170" s="2" t="s">
        <v>591</v>
      </c>
      <c r="D170" s="2" t="s">
        <v>769</v>
      </c>
      <c r="E170" s="2" t="s">
        <v>48</v>
      </c>
      <c r="F170" s="2" t="s">
        <v>223</v>
      </c>
      <c r="G170" s="2" t="s">
        <v>60</v>
      </c>
      <c r="H170" s="2" t="s">
        <v>164</v>
      </c>
      <c r="I170" s="2" t="s">
        <v>30</v>
      </c>
      <c r="J170" s="2">
        <v>733</v>
      </c>
      <c r="K170" s="2">
        <v>238.09</v>
      </c>
      <c r="L170" s="2">
        <v>315.2</v>
      </c>
      <c r="M170" s="2">
        <v>231041.6</v>
      </c>
      <c r="N170" s="2">
        <v>174519.97</v>
      </c>
      <c r="O170" s="2">
        <v>56521.63</v>
      </c>
      <c r="P170" s="2" t="s">
        <v>52</v>
      </c>
      <c r="Q170" s="2" t="s">
        <v>32</v>
      </c>
      <c r="R170" s="2">
        <v>7</v>
      </c>
      <c r="S170" s="2" t="s">
        <v>43</v>
      </c>
      <c r="T170" s="2">
        <v>3484</v>
      </c>
      <c r="U170" s="2">
        <v>19</v>
      </c>
      <c r="V170" s="2"/>
    </row>
    <row r="171" spans="1:22" x14ac:dyDescent="0.35">
      <c r="A171" s="3" t="s">
        <v>770</v>
      </c>
      <c r="B171" s="3" t="s">
        <v>771</v>
      </c>
      <c r="C171" s="3" t="s">
        <v>626</v>
      </c>
      <c r="D171" s="3" t="s">
        <v>772</v>
      </c>
      <c r="E171" s="3" t="s">
        <v>26</v>
      </c>
      <c r="F171" s="3" t="s">
        <v>228</v>
      </c>
      <c r="G171" s="3" t="s">
        <v>28</v>
      </c>
      <c r="H171" s="3" t="s">
        <v>111</v>
      </c>
      <c r="I171" s="3" t="s">
        <v>240</v>
      </c>
      <c r="J171" s="3">
        <v>412</v>
      </c>
      <c r="K171" s="3">
        <v>885.12</v>
      </c>
      <c r="L171" s="3">
        <v>1066.08</v>
      </c>
      <c r="M171" s="3">
        <v>439224.96</v>
      </c>
      <c r="N171" s="3">
        <v>364669.44</v>
      </c>
      <c r="O171" s="3">
        <v>74555.520000000004</v>
      </c>
      <c r="P171" s="3" t="s">
        <v>52</v>
      </c>
      <c r="Q171" s="3" t="s">
        <v>32</v>
      </c>
      <c r="R171" s="3">
        <v>12</v>
      </c>
      <c r="S171" s="3" t="s">
        <v>43</v>
      </c>
      <c r="T171" s="3">
        <v>298</v>
      </c>
      <c r="U171" s="3">
        <v>18</v>
      </c>
      <c r="V171" s="3"/>
    </row>
    <row r="172" spans="1:22" x14ac:dyDescent="0.35">
      <c r="A172" s="2" t="s">
        <v>773</v>
      </c>
      <c r="B172" s="2" t="s">
        <v>774</v>
      </c>
      <c r="C172" s="2" t="s">
        <v>435</v>
      </c>
      <c r="D172" s="2" t="s">
        <v>775</v>
      </c>
      <c r="E172" s="2" t="s">
        <v>100</v>
      </c>
      <c r="F172" s="2" t="s">
        <v>106</v>
      </c>
      <c r="G172" s="2" t="s">
        <v>189</v>
      </c>
      <c r="H172" s="2" t="s">
        <v>561</v>
      </c>
      <c r="I172" s="2" t="s">
        <v>118</v>
      </c>
      <c r="J172" s="2">
        <v>218</v>
      </c>
      <c r="K172" s="2">
        <v>494.97</v>
      </c>
      <c r="L172" s="2">
        <v>659.77</v>
      </c>
      <c r="M172" s="2">
        <v>143829.85999999999</v>
      </c>
      <c r="N172" s="2">
        <v>107903.46</v>
      </c>
      <c r="O172" s="2">
        <v>35926.400000000001</v>
      </c>
      <c r="P172" s="2" t="s">
        <v>95</v>
      </c>
      <c r="Q172" s="2" t="s">
        <v>63</v>
      </c>
      <c r="R172" s="2">
        <v>1</v>
      </c>
      <c r="S172" s="2" t="s">
        <v>43</v>
      </c>
      <c r="T172" s="2">
        <v>1210</v>
      </c>
      <c r="U172" s="2">
        <v>0</v>
      </c>
      <c r="V172" s="2"/>
    </row>
    <row r="173" spans="1:22" x14ac:dyDescent="0.35">
      <c r="A173" s="3" t="s">
        <v>776</v>
      </c>
      <c r="B173" s="3" t="s">
        <v>777</v>
      </c>
      <c r="C173" s="3" t="s">
        <v>778</v>
      </c>
      <c r="D173" s="3" t="s">
        <v>779</v>
      </c>
      <c r="E173" s="3" t="s">
        <v>100</v>
      </c>
      <c r="F173" s="3" t="s">
        <v>101</v>
      </c>
      <c r="G173" s="3" t="s">
        <v>60</v>
      </c>
      <c r="H173" s="3" t="s">
        <v>780</v>
      </c>
      <c r="I173" s="3" t="s">
        <v>85</v>
      </c>
      <c r="J173" s="3">
        <v>119</v>
      </c>
      <c r="K173" s="3">
        <v>940.43</v>
      </c>
      <c r="L173" s="3">
        <v>1091.48</v>
      </c>
      <c r="M173" s="3">
        <v>129886.12</v>
      </c>
      <c r="N173" s="3">
        <v>111911.17</v>
      </c>
      <c r="O173" s="3">
        <v>17974.95</v>
      </c>
      <c r="P173" s="3" t="s">
        <v>95</v>
      </c>
      <c r="Q173" s="3" t="s">
        <v>63</v>
      </c>
      <c r="R173" s="3">
        <v>1</v>
      </c>
      <c r="S173" s="3" t="s">
        <v>33</v>
      </c>
      <c r="T173" s="3">
        <v>921</v>
      </c>
      <c r="U173" s="3">
        <v>1</v>
      </c>
      <c r="V173" s="3"/>
    </row>
    <row r="174" spans="1:22" x14ac:dyDescent="0.35">
      <c r="A174" s="2" t="s">
        <v>781</v>
      </c>
      <c r="B174" s="2" t="s">
        <v>387</v>
      </c>
      <c r="C174" s="2" t="s">
        <v>782</v>
      </c>
      <c r="D174" s="2" t="s">
        <v>783</v>
      </c>
      <c r="E174" s="2" t="s">
        <v>58</v>
      </c>
      <c r="F174" s="2" t="s">
        <v>116</v>
      </c>
      <c r="G174" s="2" t="s">
        <v>217</v>
      </c>
      <c r="H174" s="2" t="s">
        <v>524</v>
      </c>
      <c r="I174" s="2" t="s">
        <v>191</v>
      </c>
      <c r="J174" s="2">
        <v>538</v>
      </c>
      <c r="K174" s="2">
        <v>967.54</v>
      </c>
      <c r="L174" s="2">
        <v>1426.39</v>
      </c>
      <c r="M174" s="2">
        <v>767397.82</v>
      </c>
      <c r="N174" s="2">
        <v>520536.52</v>
      </c>
      <c r="O174" s="2">
        <v>246861.3</v>
      </c>
      <c r="P174" s="2" t="s">
        <v>52</v>
      </c>
      <c r="Q174" s="2" t="s">
        <v>63</v>
      </c>
      <c r="R174" s="2">
        <v>1</v>
      </c>
      <c r="S174" s="2" t="s">
        <v>86</v>
      </c>
      <c r="T174" s="2">
        <v>849</v>
      </c>
      <c r="U174" s="2">
        <v>15</v>
      </c>
      <c r="V174" s="2"/>
    </row>
    <row r="175" spans="1:22" x14ac:dyDescent="0.35">
      <c r="A175" s="3" t="s">
        <v>784</v>
      </c>
      <c r="B175" s="3" t="s">
        <v>785</v>
      </c>
      <c r="C175" s="3" t="s">
        <v>786</v>
      </c>
      <c r="D175" s="3" t="s">
        <v>787</v>
      </c>
      <c r="E175" s="3" t="s">
        <v>58</v>
      </c>
      <c r="F175" s="3" t="s">
        <v>417</v>
      </c>
      <c r="G175" s="3" t="s">
        <v>28</v>
      </c>
      <c r="H175" s="3" t="s">
        <v>111</v>
      </c>
      <c r="I175" s="3" t="s">
        <v>788</v>
      </c>
      <c r="J175" s="3">
        <v>501</v>
      </c>
      <c r="K175" s="3">
        <v>1024.92</v>
      </c>
      <c r="L175" s="3">
        <v>1319.83</v>
      </c>
      <c r="M175" s="3">
        <v>661234.82999999996</v>
      </c>
      <c r="N175" s="3">
        <v>513484.92</v>
      </c>
      <c r="O175" s="3">
        <v>147749.91</v>
      </c>
      <c r="P175" s="3" t="s">
        <v>31</v>
      </c>
      <c r="Q175" s="3" t="s">
        <v>63</v>
      </c>
      <c r="R175" s="3">
        <v>3</v>
      </c>
      <c r="S175" s="3" t="s">
        <v>86</v>
      </c>
      <c r="T175" s="3">
        <v>2018</v>
      </c>
      <c r="U175" s="3">
        <v>16</v>
      </c>
      <c r="V175" s="3"/>
    </row>
    <row r="176" spans="1:22" x14ac:dyDescent="0.35">
      <c r="A176" s="2" t="s">
        <v>789</v>
      </c>
      <c r="B176" s="2" t="s">
        <v>790</v>
      </c>
      <c r="C176" s="2" t="s">
        <v>791</v>
      </c>
      <c r="D176" s="2" t="s">
        <v>792</v>
      </c>
      <c r="E176" s="2" t="s">
        <v>58</v>
      </c>
      <c r="F176" s="2" t="s">
        <v>122</v>
      </c>
      <c r="G176" s="2" t="s">
        <v>129</v>
      </c>
      <c r="H176" s="2" t="s">
        <v>316</v>
      </c>
      <c r="I176" s="2" t="s">
        <v>41</v>
      </c>
      <c r="J176" s="2">
        <v>731</v>
      </c>
      <c r="K176" s="2">
        <v>332.45</v>
      </c>
      <c r="L176" s="2">
        <v>525.63</v>
      </c>
      <c r="M176" s="2">
        <v>384235.53</v>
      </c>
      <c r="N176" s="2">
        <v>243020.95</v>
      </c>
      <c r="O176" s="2">
        <v>141214.57999999999</v>
      </c>
      <c r="P176" s="2" t="s">
        <v>52</v>
      </c>
      <c r="Q176" s="2" t="s">
        <v>32</v>
      </c>
      <c r="R176" s="2">
        <v>999</v>
      </c>
      <c r="S176" s="2" t="s">
        <v>33</v>
      </c>
      <c r="T176" s="2">
        <v>483</v>
      </c>
      <c r="U176" s="2">
        <v>3</v>
      </c>
      <c r="V176" s="2"/>
    </row>
    <row r="177" spans="1:22" x14ac:dyDescent="0.35">
      <c r="A177" s="3" t="s">
        <v>793</v>
      </c>
      <c r="B177" s="3" t="s">
        <v>794</v>
      </c>
      <c r="C177" s="3" t="s">
        <v>795</v>
      </c>
      <c r="D177" s="3" t="s">
        <v>796</v>
      </c>
      <c r="E177" s="3" t="s">
        <v>26</v>
      </c>
      <c r="F177" s="3" t="s">
        <v>27</v>
      </c>
      <c r="G177" s="3" t="s">
        <v>60</v>
      </c>
      <c r="H177" s="3" t="s">
        <v>400</v>
      </c>
      <c r="I177" s="3" t="s">
        <v>85</v>
      </c>
      <c r="J177" s="3">
        <v>5</v>
      </c>
      <c r="K177" s="3">
        <v>839.47</v>
      </c>
      <c r="L177" s="3">
        <v>1229.8399999999999</v>
      </c>
      <c r="M177" s="3">
        <v>6149.2</v>
      </c>
      <c r="N177" s="3">
        <v>4197.3500000000004</v>
      </c>
      <c r="O177" s="3">
        <v>1951.85</v>
      </c>
      <c r="P177" s="3" t="s">
        <v>52</v>
      </c>
      <c r="Q177" s="3" t="s">
        <v>32</v>
      </c>
      <c r="R177" s="3">
        <v>13</v>
      </c>
      <c r="S177" s="3" t="s">
        <v>158</v>
      </c>
      <c r="T177" s="3">
        <v>204</v>
      </c>
      <c r="U177" s="3">
        <v>1</v>
      </c>
      <c r="V177" s="3"/>
    </row>
    <row r="178" spans="1:22" x14ac:dyDescent="0.35">
      <c r="A178" s="2" t="s">
        <v>797</v>
      </c>
      <c r="B178" s="2" t="s">
        <v>798</v>
      </c>
      <c r="C178" s="2" t="s">
        <v>799</v>
      </c>
      <c r="D178" s="2" t="s">
        <v>800</v>
      </c>
      <c r="E178" s="2" t="s">
        <v>58</v>
      </c>
      <c r="F178" s="2" t="s">
        <v>59</v>
      </c>
      <c r="G178" s="2" t="s">
        <v>39</v>
      </c>
      <c r="H178" s="2" t="s">
        <v>527</v>
      </c>
      <c r="I178" s="2" t="s">
        <v>62</v>
      </c>
      <c r="J178" s="2">
        <v>417</v>
      </c>
      <c r="K178" s="2">
        <v>947.35</v>
      </c>
      <c r="L178" s="2">
        <v>1348.22</v>
      </c>
      <c r="M178" s="2">
        <v>562207.74</v>
      </c>
      <c r="N178" s="2">
        <v>395044.95</v>
      </c>
      <c r="O178" s="2">
        <v>167162.79</v>
      </c>
      <c r="P178" s="2" t="s">
        <v>42</v>
      </c>
      <c r="Q178" s="2" t="s">
        <v>32</v>
      </c>
      <c r="R178" s="2">
        <v>6</v>
      </c>
      <c r="S178" s="2" t="s">
        <v>53</v>
      </c>
      <c r="T178" s="2">
        <v>487</v>
      </c>
      <c r="U178" s="2">
        <v>17</v>
      </c>
      <c r="V178" s="2"/>
    </row>
    <row r="179" spans="1:22" x14ac:dyDescent="0.35">
      <c r="A179" s="3" t="s">
        <v>801</v>
      </c>
      <c r="B179" s="3" t="s">
        <v>802</v>
      </c>
      <c r="C179" s="3" t="s">
        <v>671</v>
      </c>
      <c r="D179" s="3" t="s">
        <v>803</v>
      </c>
      <c r="E179" s="3" t="s">
        <v>100</v>
      </c>
      <c r="F179" s="3" t="s">
        <v>330</v>
      </c>
      <c r="G179" s="3" t="s">
        <v>78</v>
      </c>
      <c r="H179" s="3" t="s">
        <v>628</v>
      </c>
      <c r="I179" s="3" t="s">
        <v>153</v>
      </c>
      <c r="J179" s="3">
        <v>735</v>
      </c>
      <c r="K179" s="3">
        <v>706.67</v>
      </c>
      <c r="L179" s="3">
        <v>871.29</v>
      </c>
      <c r="M179" s="3">
        <v>640398.15</v>
      </c>
      <c r="N179" s="3">
        <v>519402.45</v>
      </c>
      <c r="O179" s="3">
        <v>120995.7</v>
      </c>
      <c r="P179" s="3" t="s">
        <v>31</v>
      </c>
      <c r="Q179" s="3" t="s">
        <v>32</v>
      </c>
      <c r="R179" s="3">
        <v>13</v>
      </c>
      <c r="S179" s="3" t="s">
        <v>43</v>
      </c>
      <c r="T179" s="3">
        <v>2649</v>
      </c>
      <c r="U179" s="3">
        <v>35</v>
      </c>
      <c r="V179" s="3"/>
    </row>
    <row r="180" spans="1:22" x14ac:dyDescent="0.35">
      <c r="A180" s="2" t="s">
        <v>804</v>
      </c>
      <c r="B180" s="2" t="s">
        <v>805</v>
      </c>
      <c r="C180" s="2" t="s">
        <v>193</v>
      </c>
      <c r="D180" s="2" t="s">
        <v>806</v>
      </c>
      <c r="E180" s="2" t="s">
        <v>100</v>
      </c>
      <c r="F180" s="2" t="s">
        <v>106</v>
      </c>
      <c r="G180" s="2" t="s">
        <v>189</v>
      </c>
      <c r="H180" s="2" t="s">
        <v>437</v>
      </c>
      <c r="I180" s="2" t="s">
        <v>41</v>
      </c>
      <c r="J180" s="2">
        <v>457</v>
      </c>
      <c r="K180" s="2">
        <v>579.36</v>
      </c>
      <c r="L180" s="2">
        <v>814.85</v>
      </c>
      <c r="M180" s="2">
        <v>372386.45</v>
      </c>
      <c r="N180" s="2">
        <v>264767.52</v>
      </c>
      <c r="O180" s="2">
        <v>107618.93</v>
      </c>
      <c r="P180" s="2" t="s">
        <v>31</v>
      </c>
      <c r="Q180" s="2" t="s">
        <v>63</v>
      </c>
      <c r="R180" s="2">
        <v>5</v>
      </c>
      <c r="S180" s="2" t="s">
        <v>53</v>
      </c>
      <c r="T180" s="2">
        <v>4124</v>
      </c>
      <c r="U180" s="2">
        <v>11</v>
      </c>
      <c r="V180" s="2"/>
    </row>
    <row r="181" spans="1:22" x14ac:dyDescent="0.35">
      <c r="A181" s="3" t="s">
        <v>807</v>
      </c>
      <c r="B181" s="3" t="s">
        <v>808</v>
      </c>
      <c r="C181" s="3" t="s">
        <v>809</v>
      </c>
      <c r="D181" s="3" t="s">
        <v>810</v>
      </c>
      <c r="E181" s="3" t="s">
        <v>48</v>
      </c>
      <c r="F181" s="3" t="s">
        <v>49</v>
      </c>
      <c r="G181" s="3" t="s">
        <v>129</v>
      </c>
      <c r="H181" s="3" t="s">
        <v>811</v>
      </c>
      <c r="I181" s="3" t="s">
        <v>240</v>
      </c>
      <c r="J181" s="3">
        <v>564</v>
      </c>
      <c r="K181" s="3">
        <v>408.93</v>
      </c>
      <c r="L181" s="3">
        <v>459.07</v>
      </c>
      <c r="M181" s="3">
        <v>258915.48</v>
      </c>
      <c r="N181" s="3">
        <v>230636.52</v>
      </c>
      <c r="O181" s="3">
        <v>28278.959999999999</v>
      </c>
      <c r="P181" s="3" t="s">
        <v>31</v>
      </c>
      <c r="Q181" s="3" t="s">
        <v>63</v>
      </c>
      <c r="R181" s="3">
        <v>5</v>
      </c>
      <c r="S181" s="3" t="s">
        <v>86</v>
      </c>
      <c r="T181" s="3">
        <v>3756</v>
      </c>
      <c r="U181" s="3">
        <v>4</v>
      </c>
      <c r="V181" s="3"/>
    </row>
    <row r="182" spans="1:22" x14ac:dyDescent="0.35">
      <c r="A182" s="2" t="s">
        <v>812</v>
      </c>
      <c r="B182" s="2" t="s">
        <v>533</v>
      </c>
      <c r="C182" s="2" t="s">
        <v>193</v>
      </c>
      <c r="D182" s="2" t="s">
        <v>813</v>
      </c>
      <c r="E182" s="2" t="s">
        <v>48</v>
      </c>
      <c r="F182" s="2" t="s">
        <v>183</v>
      </c>
      <c r="G182" s="2" t="s">
        <v>189</v>
      </c>
      <c r="H182" s="2" t="s">
        <v>360</v>
      </c>
      <c r="I182" s="2" t="s">
        <v>141</v>
      </c>
      <c r="J182" s="2">
        <v>598</v>
      </c>
      <c r="K182" s="2">
        <v>1089.48</v>
      </c>
      <c r="L182" s="2">
        <v>1418.62</v>
      </c>
      <c r="M182" s="2">
        <v>848334.76</v>
      </c>
      <c r="N182" s="2">
        <v>651509.04</v>
      </c>
      <c r="O182" s="2">
        <v>196825.72</v>
      </c>
      <c r="P182" s="2" t="s">
        <v>31</v>
      </c>
      <c r="Q182" s="2" t="s">
        <v>32</v>
      </c>
      <c r="R182" s="2">
        <v>15</v>
      </c>
      <c r="S182" s="2" t="s">
        <v>43</v>
      </c>
      <c r="T182" s="2">
        <v>727</v>
      </c>
      <c r="U182" s="2">
        <v>11</v>
      </c>
      <c r="V182" s="2"/>
    </row>
    <row r="183" spans="1:22" x14ac:dyDescent="0.35">
      <c r="A183" s="3" t="s">
        <v>814</v>
      </c>
      <c r="B183" s="3" t="s">
        <v>815</v>
      </c>
      <c r="C183" s="3" t="s">
        <v>816</v>
      </c>
      <c r="D183" s="3" t="s">
        <v>817</v>
      </c>
      <c r="E183" s="3" t="s">
        <v>58</v>
      </c>
      <c r="F183" s="3" t="s">
        <v>122</v>
      </c>
      <c r="G183" s="3" t="s">
        <v>78</v>
      </c>
      <c r="H183" s="3" t="s">
        <v>628</v>
      </c>
      <c r="I183" s="3" t="s">
        <v>41</v>
      </c>
      <c r="J183" s="3">
        <v>427</v>
      </c>
      <c r="K183" s="3">
        <v>988.56</v>
      </c>
      <c r="L183" s="3">
        <v>1226.3499999999999</v>
      </c>
      <c r="M183" s="3">
        <v>523651.45</v>
      </c>
      <c r="N183" s="3">
        <v>422115.12</v>
      </c>
      <c r="O183" s="3">
        <v>101536.33</v>
      </c>
      <c r="P183" s="3" t="s">
        <v>42</v>
      </c>
      <c r="Q183" s="3" t="s">
        <v>32</v>
      </c>
      <c r="R183" s="3">
        <v>9</v>
      </c>
      <c r="S183" s="3" t="s">
        <v>33</v>
      </c>
      <c r="T183" s="3">
        <v>4751</v>
      </c>
      <c r="U183" s="3">
        <v>6</v>
      </c>
      <c r="V183" s="3"/>
    </row>
    <row r="184" spans="1:22" x14ac:dyDescent="0.35">
      <c r="A184" s="2" t="s">
        <v>818</v>
      </c>
      <c r="B184" s="2" t="s">
        <v>819</v>
      </c>
      <c r="C184" s="2" t="s">
        <v>820</v>
      </c>
      <c r="D184" s="2" t="s">
        <v>821</v>
      </c>
      <c r="E184" s="2" t="s">
        <v>26</v>
      </c>
      <c r="F184" s="2" t="s">
        <v>92</v>
      </c>
      <c r="G184" s="2" t="s">
        <v>70</v>
      </c>
      <c r="H184" s="2" t="s">
        <v>822</v>
      </c>
      <c r="I184" s="2" t="s">
        <v>72</v>
      </c>
      <c r="J184" s="2">
        <v>302</v>
      </c>
      <c r="K184" s="2">
        <v>459.83</v>
      </c>
      <c r="L184" s="2">
        <v>682.15</v>
      </c>
      <c r="M184" s="2">
        <v>206009.3</v>
      </c>
      <c r="N184" s="2">
        <v>138868.66</v>
      </c>
      <c r="O184" s="2">
        <v>67140.639999999999</v>
      </c>
      <c r="P184" s="2" t="s">
        <v>42</v>
      </c>
      <c r="Q184" s="2" t="s">
        <v>823</v>
      </c>
      <c r="R184" s="2">
        <v>14</v>
      </c>
      <c r="S184" s="2" t="s">
        <v>53</v>
      </c>
      <c r="T184" s="2">
        <v>2067</v>
      </c>
      <c r="U184" s="2">
        <v>12</v>
      </c>
      <c r="V184" s="2"/>
    </row>
    <row r="185" spans="1:22" x14ac:dyDescent="0.35">
      <c r="A185" s="3" t="s">
        <v>824</v>
      </c>
      <c r="B185" s="3" t="s">
        <v>138</v>
      </c>
      <c r="C185" s="3" t="s">
        <v>419</v>
      </c>
      <c r="D185" s="3" t="s">
        <v>825</v>
      </c>
      <c r="E185" s="3" t="s">
        <v>48</v>
      </c>
      <c r="F185" s="3" t="s">
        <v>826</v>
      </c>
      <c r="G185" s="3" t="s">
        <v>50</v>
      </c>
      <c r="H185" s="3" t="s">
        <v>260</v>
      </c>
      <c r="I185" s="3" t="s">
        <v>118</v>
      </c>
      <c r="J185" s="3">
        <v>266</v>
      </c>
      <c r="K185" s="3">
        <v>108.54</v>
      </c>
      <c r="L185" s="3">
        <v>137.05000000000001</v>
      </c>
      <c r="M185" s="3">
        <v>36455.300000000003</v>
      </c>
      <c r="N185" s="3">
        <v>28871.64</v>
      </c>
      <c r="O185" s="3">
        <v>7583.66</v>
      </c>
      <c r="P185" s="3" t="s">
        <v>52</v>
      </c>
      <c r="Q185" s="3" t="s">
        <v>63</v>
      </c>
      <c r="R185" s="3">
        <v>4</v>
      </c>
      <c r="S185" s="3" t="s">
        <v>86</v>
      </c>
      <c r="T185" s="3">
        <v>1997</v>
      </c>
      <c r="U185" s="3">
        <v>11</v>
      </c>
      <c r="V185" s="3"/>
    </row>
    <row r="186" spans="1:22" x14ac:dyDescent="0.35">
      <c r="A186" s="2" t="s">
        <v>827</v>
      </c>
      <c r="B186" s="2" t="s">
        <v>828</v>
      </c>
      <c r="C186" s="2" t="s">
        <v>829</v>
      </c>
      <c r="D186" s="2" t="s">
        <v>830</v>
      </c>
      <c r="E186" s="2" t="s">
        <v>48</v>
      </c>
      <c r="F186" s="2" t="s">
        <v>49</v>
      </c>
      <c r="G186" s="2" t="s">
        <v>50</v>
      </c>
      <c r="H186" s="2" t="s">
        <v>135</v>
      </c>
      <c r="I186" s="2" t="s">
        <v>30</v>
      </c>
      <c r="J186" s="2">
        <v>796</v>
      </c>
      <c r="K186" s="2">
        <v>984.25</v>
      </c>
      <c r="L186" s="2">
        <v>1587.86</v>
      </c>
      <c r="M186" s="2">
        <v>1263936.56</v>
      </c>
      <c r="N186" s="2">
        <v>783463</v>
      </c>
      <c r="O186" s="2">
        <v>480473.56</v>
      </c>
      <c r="P186" s="2" t="s">
        <v>42</v>
      </c>
      <c r="Q186" s="2" t="s">
        <v>63</v>
      </c>
      <c r="R186" s="2">
        <v>5</v>
      </c>
      <c r="S186" s="2" t="s">
        <v>53</v>
      </c>
      <c r="T186" s="2">
        <v>2099</v>
      </c>
      <c r="U186" s="2">
        <v>6</v>
      </c>
      <c r="V186" s="2"/>
    </row>
    <row r="187" spans="1:22" x14ac:dyDescent="0.35">
      <c r="A187" s="3" t="s">
        <v>831</v>
      </c>
      <c r="B187" s="3" t="s">
        <v>231</v>
      </c>
      <c r="C187" s="3" t="s">
        <v>832</v>
      </c>
      <c r="D187" s="3" t="s">
        <v>833</v>
      </c>
      <c r="E187" s="3" t="s">
        <v>48</v>
      </c>
      <c r="F187" s="3" t="s">
        <v>49</v>
      </c>
      <c r="G187" s="3" t="s">
        <v>60</v>
      </c>
      <c r="H187" s="3" t="s">
        <v>834</v>
      </c>
      <c r="I187" s="3" t="s">
        <v>41</v>
      </c>
      <c r="J187" s="3">
        <v>603</v>
      </c>
      <c r="K187" s="3">
        <v>514.04999999999995</v>
      </c>
      <c r="L187" s="3">
        <v>775.27</v>
      </c>
      <c r="M187" s="3">
        <v>467487.81</v>
      </c>
      <c r="N187" s="3">
        <v>309972.15000000002</v>
      </c>
      <c r="O187" s="3">
        <v>157515.66</v>
      </c>
      <c r="P187" s="3" t="s">
        <v>52</v>
      </c>
      <c r="Q187" s="3" t="s">
        <v>63</v>
      </c>
      <c r="R187" s="3">
        <v>1</v>
      </c>
      <c r="S187" s="3" t="s">
        <v>112</v>
      </c>
      <c r="T187" s="3">
        <v>4499</v>
      </c>
      <c r="U187" s="3">
        <v>6</v>
      </c>
      <c r="V187" s="3"/>
    </row>
    <row r="188" spans="1:22" x14ac:dyDescent="0.35">
      <c r="A188" s="2" t="s">
        <v>835</v>
      </c>
      <c r="B188" s="2" t="s">
        <v>82</v>
      </c>
      <c r="C188" s="2" t="s">
        <v>138</v>
      </c>
      <c r="D188" s="2" t="s">
        <v>836</v>
      </c>
      <c r="E188" s="2" t="s">
        <v>100</v>
      </c>
      <c r="F188" s="2" t="s">
        <v>238</v>
      </c>
      <c r="G188" s="2" t="s">
        <v>189</v>
      </c>
      <c r="H188" s="2" t="s">
        <v>360</v>
      </c>
      <c r="I188" s="2" t="s">
        <v>41</v>
      </c>
      <c r="J188" s="2">
        <v>518</v>
      </c>
      <c r="K188" s="2">
        <v>625.42999999999995</v>
      </c>
      <c r="L188" s="2">
        <v>796.87</v>
      </c>
      <c r="M188" s="2">
        <v>412778.66</v>
      </c>
      <c r="N188" s="2">
        <v>323972.74</v>
      </c>
      <c r="O188" s="2">
        <v>88805.92</v>
      </c>
      <c r="P188" s="2" t="s">
        <v>42</v>
      </c>
      <c r="Q188" s="2" t="s">
        <v>32</v>
      </c>
      <c r="R188" s="2">
        <v>9</v>
      </c>
      <c r="S188" s="2" t="s">
        <v>33</v>
      </c>
      <c r="T188" s="2">
        <v>1959</v>
      </c>
      <c r="U188" s="2">
        <v>9</v>
      </c>
      <c r="V188" s="2"/>
    </row>
    <row r="189" spans="1:22" x14ac:dyDescent="0.35">
      <c r="A189" s="2" t="s">
        <v>837</v>
      </c>
      <c r="B189" s="2" t="s">
        <v>838</v>
      </c>
      <c r="C189" s="2" t="s">
        <v>771</v>
      </c>
      <c r="D189" s="2" t="s">
        <v>839</v>
      </c>
      <c r="E189" s="2" t="s">
        <v>100</v>
      </c>
      <c r="F189" s="2" t="s">
        <v>330</v>
      </c>
      <c r="G189" s="2" t="s">
        <v>78</v>
      </c>
      <c r="H189" s="2" t="s">
        <v>840</v>
      </c>
      <c r="I189" s="2" t="s">
        <v>141</v>
      </c>
      <c r="J189" s="2">
        <v>112</v>
      </c>
      <c r="K189" s="2">
        <v>233.62</v>
      </c>
      <c r="L189" s="2">
        <v>315.23</v>
      </c>
      <c r="M189" s="2">
        <v>35305.760000000002</v>
      </c>
      <c r="N189" s="2">
        <v>26165.439999999999</v>
      </c>
      <c r="O189" s="2">
        <v>9140.32</v>
      </c>
      <c r="P189" s="2" t="s">
        <v>52</v>
      </c>
      <c r="Q189" s="2" t="s">
        <v>63</v>
      </c>
      <c r="R189" s="2">
        <v>4</v>
      </c>
      <c r="S189" s="2" t="s">
        <v>33</v>
      </c>
      <c r="T189" s="2">
        <v>2272</v>
      </c>
      <c r="U189" s="2">
        <v>2</v>
      </c>
      <c r="V189" s="2"/>
    </row>
    <row r="190" spans="1:22" x14ac:dyDescent="0.35">
      <c r="A190" s="3" t="s">
        <v>841</v>
      </c>
      <c r="B190" s="3" t="s">
        <v>765</v>
      </c>
      <c r="C190" s="3" t="s">
        <v>56</v>
      </c>
      <c r="D190" s="3" t="s">
        <v>842</v>
      </c>
      <c r="E190" s="3" t="s">
        <v>58</v>
      </c>
      <c r="F190" s="3" t="s">
        <v>59</v>
      </c>
      <c r="G190" s="3" t="s">
        <v>70</v>
      </c>
      <c r="H190" s="3" t="s">
        <v>822</v>
      </c>
      <c r="I190" s="3" t="s">
        <v>293</v>
      </c>
      <c r="J190" s="3">
        <v>539</v>
      </c>
      <c r="K190" s="3">
        <v>466.25</v>
      </c>
      <c r="L190" s="3">
        <v>674.9</v>
      </c>
      <c r="M190" s="3">
        <v>363771.1</v>
      </c>
      <c r="N190" s="3">
        <v>251308.75</v>
      </c>
      <c r="O190" s="3">
        <v>112462.35</v>
      </c>
      <c r="P190" s="3" t="s">
        <v>42</v>
      </c>
      <c r="Q190" s="3" t="s">
        <v>63</v>
      </c>
      <c r="R190" s="3">
        <v>2</v>
      </c>
      <c r="S190" s="3" t="s">
        <v>43</v>
      </c>
      <c r="T190" s="3">
        <v>3140</v>
      </c>
      <c r="U190" s="3">
        <v>4</v>
      </c>
      <c r="V190" s="3"/>
    </row>
    <row r="191" spans="1:22" x14ac:dyDescent="0.35">
      <c r="A191" s="2" t="s">
        <v>843</v>
      </c>
      <c r="B191" s="2" t="s">
        <v>626</v>
      </c>
      <c r="C191" s="2" t="s">
        <v>559</v>
      </c>
      <c r="D191" s="2" t="s">
        <v>844</v>
      </c>
      <c r="E191" s="2" t="s">
        <v>58</v>
      </c>
      <c r="F191" s="2" t="s">
        <v>116</v>
      </c>
      <c r="G191" s="2" t="s">
        <v>217</v>
      </c>
      <c r="H191" s="2" t="s">
        <v>494</v>
      </c>
      <c r="I191" s="2" t="s">
        <v>293</v>
      </c>
      <c r="J191" s="2">
        <v>718</v>
      </c>
      <c r="K191" s="2">
        <v>963.75</v>
      </c>
      <c r="L191" s="2">
        <v>1261.82</v>
      </c>
      <c r="M191" s="2">
        <v>905986.76</v>
      </c>
      <c r="N191" s="2">
        <v>691972.5</v>
      </c>
      <c r="O191" s="2">
        <v>214014.26</v>
      </c>
      <c r="P191" s="2" t="s">
        <v>42</v>
      </c>
      <c r="Q191" s="2" t="s">
        <v>32</v>
      </c>
      <c r="R191" s="2">
        <v>14</v>
      </c>
      <c r="S191" s="2" t="s">
        <v>53</v>
      </c>
      <c r="T191" s="2">
        <v>996</v>
      </c>
      <c r="U191" s="2">
        <v>19</v>
      </c>
      <c r="V191" s="2"/>
    </row>
    <row r="192" spans="1:22" x14ac:dyDescent="0.35">
      <c r="A192" s="3" t="s">
        <v>845</v>
      </c>
      <c r="B192" s="3" t="s">
        <v>846</v>
      </c>
      <c r="C192" s="3" t="s">
        <v>847</v>
      </c>
      <c r="D192" s="3" t="s">
        <v>848</v>
      </c>
      <c r="E192" s="3" t="s">
        <v>100</v>
      </c>
      <c r="F192" s="3" t="s">
        <v>538</v>
      </c>
      <c r="G192" s="3" t="s">
        <v>39</v>
      </c>
      <c r="H192" s="3" t="s">
        <v>147</v>
      </c>
      <c r="I192" s="3" t="s">
        <v>41</v>
      </c>
      <c r="J192" s="3">
        <v>503</v>
      </c>
      <c r="K192" s="3">
        <v>-0.5</v>
      </c>
      <c r="L192" s="3">
        <v>525.25</v>
      </c>
      <c r="M192" s="3">
        <v>264200.75</v>
      </c>
      <c r="N192" s="3">
        <v>179274.23</v>
      </c>
      <c r="O192" s="3">
        <v>84926.52</v>
      </c>
      <c r="P192" s="3" t="s">
        <v>31</v>
      </c>
      <c r="Q192" s="3" t="s">
        <v>32</v>
      </c>
      <c r="R192" s="3">
        <v>11</v>
      </c>
      <c r="S192" s="3" t="s">
        <v>53</v>
      </c>
      <c r="T192" s="3">
        <v>3081</v>
      </c>
      <c r="U192" s="3">
        <v>8</v>
      </c>
      <c r="V192" s="3"/>
    </row>
    <row r="193" spans="1:22" x14ac:dyDescent="0.35">
      <c r="A193" s="2" t="s">
        <v>849</v>
      </c>
      <c r="B193" s="2" t="s">
        <v>338</v>
      </c>
      <c r="C193" s="2" t="s">
        <v>850</v>
      </c>
      <c r="D193" s="2" t="s">
        <v>851</v>
      </c>
      <c r="E193" s="2" t="s">
        <v>58</v>
      </c>
      <c r="F193" s="2" t="s">
        <v>122</v>
      </c>
      <c r="G193" s="2" t="s">
        <v>78</v>
      </c>
      <c r="H193" s="2" t="s">
        <v>840</v>
      </c>
      <c r="I193" s="2" t="s">
        <v>85</v>
      </c>
      <c r="J193" s="2">
        <v>143</v>
      </c>
      <c r="K193" s="2">
        <v>756.65</v>
      </c>
      <c r="L193" s="2">
        <v>1221.81</v>
      </c>
      <c r="M193" s="2">
        <v>174718.83</v>
      </c>
      <c r="N193" s="2">
        <v>108200.95</v>
      </c>
      <c r="O193" s="2">
        <v>66517.88</v>
      </c>
      <c r="P193" s="2" t="s">
        <v>52</v>
      </c>
      <c r="Q193" s="2" t="s">
        <v>32</v>
      </c>
      <c r="R193" s="2">
        <v>11</v>
      </c>
      <c r="S193" s="2" t="s">
        <v>53</v>
      </c>
      <c r="T193" s="2">
        <v>3155</v>
      </c>
      <c r="U193" s="2">
        <v>5</v>
      </c>
      <c r="V193" s="2"/>
    </row>
    <row r="194" spans="1:22" x14ac:dyDescent="0.35">
      <c r="A194" s="3" t="s">
        <v>852</v>
      </c>
      <c r="B194" s="3" t="s">
        <v>853</v>
      </c>
      <c r="C194" s="3" t="s">
        <v>352</v>
      </c>
      <c r="D194" s="3" t="s">
        <v>854</v>
      </c>
      <c r="E194" s="3" t="s">
        <v>26</v>
      </c>
      <c r="F194" s="3" t="s">
        <v>92</v>
      </c>
      <c r="G194" s="3" t="s">
        <v>50</v>
      </c>
      <c r="H194" s="3" t="s">
        <v>734</v>
      </c>
      <c r="I194" s="3" t="s">
        <v>41</v>
      </c>
      <c r="J194" s="3">
        <v>48</v>
      </c>
      <c r="K194" s="3">
        <v>415.85</v>
      </c>
      <c r="L194" s="3">
        <v>651.66</v>
      </c>
      <c r="M194" s="3">
        <v>31279.68</v>
      </c>
      <c r="N194" s="3">
        <v>19960.8</v>
      </c>
      <c r="O194" s="3">
        <v>11318.88</v>
      </c>
      <c r="P194" s="3" t="s">
        <v>95</v>
      </c>
      <c r="Q194" s="3" t="s">
        <v>63</v>
      </c>
      <c r="R194" s="3">
        <v>1</v>
      </c>
      <c r="S194" s="3" t="s">
        <v>33</v>
      </c>
      <c r="T194" s="3">
        <v>2730</v>
      </c>
      <c r="U194" s="3">
        <v>1</v>
      </c>
      <c r="V194" s="3"/>
    </row>
    <row r="195" spans="1:22" x14ac:dyDescent="0.35">
      <c r="A195" s="2" t="s">
        <v>855</v>
      </c>
      <c r="B195" s="2" t="s">
        <v>856</v>
      </c>
      <c r="C195" s="2" t="s">
        <v>194</v>
      </c>
      <c r="D195" s="2" t="s">
        <v>857</v>
      </c>
      <c r="E195" s="2" t="s">
        <v>68</v>
      </c>
      <c r="F195" s="2" t="s">
        <v>276</v>
      </c>
      <c r="G195" s="2" t="s">
        <v>39</v>
      </c>
      <c r="H195" s="2" t="s">
        <v>477</v>
      </c>
      <c r="I195" s="2" t="s">
        <v>85</v>
      </c>
      <c r="J195" s="2">
        <v>50</v>
      </c>
      <c r="K195" s="2">
        <v>864.92</v>
      </c>
      <c r="L195" s="2">
        <v>976.07</v>
      </c>
      <c r="M195" s="2">
        <v>48803.5</v>
      </c>
      <c r="N195" s="2">
        <v>43246</v>
      </c>
      <c r="O195" s="2">
        <v>5557.5</v>
      </c>
      <c r="P195" s="2" t="s">
        <v>31</v>
      </c>
      <c r="Q195" s="2" t="s">
        <v>32</v>
      </c>
      <c r="R195" s="2">
        <v>14</v>
      </c>
      <c r="S195" s="2" t="s">
        <v>33</v>
      </c>
      <c r="T195" s="2">
        <v>3185</v>
      </c>
      <c r="U195" s="2">
        <v>1</v>
      </c>
      <c r="V195" s="2"/>
    </row>
    <row r="196" spans="1:22" x14ac:dyDescent="0.35">
      <c r="A196" s="3" t="s">
        <v>858</v>
      </c>
      <c r="B196" s="3" t="s">
        <v>799</v>
      </c>
      <c r="C196" s="3" t="s">
        <v>859</v>
      </c>
      <c r="D196" s="3" t="s">
        <v>860</v>
      </c>
      <c r="E196" s="3" t="s">
        <v>26</v>
      </c>
      <c r="F196" s="3" t="s">
        <v>38</v>
      </c>
      <c r="G196" s="3" t="s">
        <v>189</v>
      </c>
      <c r="H196" s="3" t="s">
        <v>365</v>
      </c>
      <c r="I196" s="3" t="s">
        <v>141</v>
      </c>
      <c r="J196" s="3">
        <v>143</v>
      </c>
      <c r="K196" s="3">
        <v>1087.45</v>
      </c>
      <c r="L196" s="3">
        <v>1661.33</v>
      </c>
      <c r="M196" s="3">
        <v>237570.19</v>
      </c>
      <c r="N196" s="3">
        <v>155505.35</v>
      </c>
      <c r="O196" s="3">
        <v>82064.84</v>
      </c>
      <c r="P196" s="3" t="s">
        <v>31</v>
      </c>
      <c r="Q196" s="3" t="s">
        <v>32</v>
      </c>
      <c r="R196" s="3">
        <v>8</v>
      </c>
      <c r="S196" s="3" t="s">
        <v>33</v>
      </c>
      <c r="T196" s="3">
        <v>4406</v>
      </c>
      <c r="U196" s="3">
        <v>7</v>
      </c>
      <c r="V196" s="3"/>
    </row>
    <row r="197" spans="1:22" x14ac:dyDescent="0.35">
      <c r="A197" s="2" t="s">
        <v>861</v>
      </c>
      <c r="B197" s="2" t="s">
        <v>114</v>
      </c>
      <c r="C197" s="2" t="s">
        <v>862</v>
      </c>
      <c r="D197" s="2" t="s">
        <v>863</v>
      </c>
      <c r="E197" s="2" t="s">
        <v>58</v>
      </c>
      <c r="F197" s="2" t="s">
        <v>259</v>
      </c>
      <c r="G197" s="2" t="s">
        <v>78</v>
      </c>
      <c r="H197" s="2" t="s">
        <v>123</v>
      </c>
      <c r="I197" s="2" t="s">
        <v>124</v>
      </c>
      <c r="J197" s="2">
        <v>605</v>
      </c>
      <c r="K197" s="2">
        <v>211.96</v>
      </c>
      <c r="L197" s="2">
        <v>322.87</v>
      </c>
      <c r="M197" s="2">
        <v>195336.35</v>
      </c>
      <c r="N197" s="2">
        <v>128235.8</v>
      </c>
      <c r="O197" s="2">
        <v>67100.55</v>
      </c>
      <c r="P197" s="2" t="s">
        <v>31</v>
      </c>
      <c r="Q197" s="2" t="s">
        <v>63</v>
      </c>
      <c r="R197" s="2">
        <v>2</v>
      </c>
      <c r="S197" s="2" t="s">
        <v>43</v>
      </c>
      <c r="T197" s="2">
        <v>1888</v>
      </c>
      <c r="U197" s="2">
        <v>22</v>
      </c>
      <c r="V197" s="2"/>
    </row>
    <row r="198" spans="1:22" x14ac:dyDescent="0.35">
      <c r="A198" s="3" t="s">
        <v>864</v>
      </c>
      <c r="B198" s="3" t="s">
        <v>865</v>
      </c>
      <c r="C198" s="3" t="s">
        <v>300</v>
      </c>
      <c r="D198" s="3" t="s">
        <v>866</v>
      </c>
      <c r="E198" s="3" t="s">
        <v>100</v>
      </c>
      <c r="F198" s="3" t="s">
        <v>538</v>
      </c>
      <c r="G198" s="3" t="s">
        <v>39</v>
      </c>
      <c r="H198" s="3" t="s">
        <v>354</v>
      </c>
      <c r="I198" s="3" t="s">
        <v>62</v>
      </c>
      <c r="J198" s="3">
        <v>378</v>
      </c>
      <c r="K198" s="3">
        <v>1176.25</v>
      </c>
      <c r="L198" s="3">
        <v>1792.41</v>
      </c>
      <c r="M198" s="3">
        <v>677530.98</v>
      </c>
      <c r="N198" s="3">
        <v>444622.5</v>
      </c>
      <c r="O198" s="3">
        <v>232908.48</v>
      </c>
      <c r="P198" s="3" t="s">
        <v>31</v>
      </c>
      <c r="Q198" s="3" t="s">
        <v>867</v>
      </c>
      <c r="R198" s="3">
        <v>4</v>
      </c>
      <c r="S198" s="3" t="s">
        <v>33</v>
      </c>
      <c r="T198" s="3">
        <v>975</v>
      </c>
      <c r="U198" s="3">
        <v>2</v>
      </c>
      <c r="V198" s="3"/>
    </row>
    <row r="199" spans="1:22" x14ac:dyDescent="0.35">
      <c r="A199" s="2" t="s">
        <v>868</v>
      </c>
      <c r="B199" s="2" t="s">
        <v>391</v>
      </c>
      <c r="C199" s="2" t="s">
        <v>132</v>
      </c>
      <c r="D199" s="2" t="s">
        <v>869</v>
      </c>
      <c r="E199" s="2" t="s">
        <v>100</v>
      </c>
      <c r="F199" s="2" t="s">
        <v>101</v>
      </c>
      <c r="G199" s="2" t="s">
        <v>217</v>
      </c>
      <c r="H199" s="2" t="s">
        <v>684</v>
      </c>
      <c r="I199" s="2" t="s">
        <v>41</v>
      </c>
      <c r="J199" s="2">
        <v>496</v>
      </c>
      <c r="K199" s="2">
        <v>618.69000000000005</v>
      </c>
      <c r="L199" s="2">
        <v>862.46</v>
      </c>
      <c r="M199" s="2">
        <v>427780.16</v>
      </c>
      <c r="N199" s="2">
        <v>306870.24</v>
      </c>
      <c r="O199" s="2">
        <v>120909.92</v>
      </c>
      <c r="P199" s="2" t="s">
        <v>42</v>
      </c>
      <c r="Q199" s="2" t="s">
        <v>32</v>
      </c>
      <c r="R199" s="2">
        <v>13</v>
      </c>
      <c r="S199" s="2" t="s">
        <v>112</v>
      </c>
      <c r="T199" s="2">
        <v>3947</v>
      </c>
      <c r="U199" s="2">
        <v>18</v>
      </c>
      <c r="V199" s="2"/>
    </row>
    <row r="200" spans="1:22" x14ac:dyDescent="0.35">
      <c r="A200" s="3" t="s">
        <v>870</v>
      </c>
      <c r="B200" s="3" t="s">
        <v>731</v>
      </c>
      <c r="C200" s="3" t="s">
        <v>782</v>
      </c>
      <c r="D200" s="3" t="s">
        <v>871</v>
      </c>
      <c r="E200" s="3" t="s">
        <v>26</v>
      </c>
      <c r="F200" s="3" t="s">
        <v>38</v>
      </c>
      <c r="G200" s="3" t="s">
        <v>189</v>
      </c>
      <c r="H200" s="3" t="s">
        <v>561</v>
      </c>
      <c r="I200" s="3" t="s">
        <v>153</v>
      </c>
      <c r="J200" s="3">
        <v>23</v>
      </c>
      <c r="K200" s="3">
        <v>227.49</v>
      </c>
      <c r="L200" s="3">
        <v>263.91000000000003</v>
      </c>
      <c r="M200" s="3">
        <v>6069.93</v>
      </c>
      <c r="N200" s="3">
        <v>5232.2700000000004</v>
      </c>
      <c r="O200" s="3">
        <v>837.66</v>
      </c>
      <c r="P200" s="3" t="s">
        <v>52</v>
      </c>
      <c r="Q200" s="3" t="s">
        <v>63</v>
      </c>
      <c r="R200" s="3">
        <v>3</v>
      </c>
      <c r="S200" s="3" t="s">
        <v>33</v>
      </c>
      <c r="T200" s="3">
        <v>1837</v>
      </c>
      <c r="U200" s="3">
        <v>1</v>
      </c>
      <c r="V200" s="3"/>
    </row>
    <row r="201" spans="1:22" x14ac:dyDescent="0.35">
      <c r="A201" s="2" t="s">
        <v>872</v>
      </c>
      <c r="B201" s="2" t="s">
        <v>873</v>
      </c>
      <c r="C201" s="2" t="s">
        <v>874</v>
      </c>
      <c r="D201" s="2" t="s">
        <v>875</v>
      </c>
      <c r="E201" s="2" t="s">
        <v>100</v>
      </c>
      <c r="F201" s="2" t="s">
        <v>101</v>
      </c>
      <c r="G201" s="2" t="s">
        <v>70</v>
      </c>
      <c r="H201" s="2" t="s">
        <v>239</v>
      </c>
      <c r="I201" s="2" t="s">
        <v>41</v>
      </c>
      <c r="J201" s="2">
        <v>392</v>
      </c>
      <c r="K201" s="2">
        <v>795.57</v>
      </c>
      <c r="L201" s="2">
        <v>1039.98</v>
      </c>
      <c r="M201" s="2">
        <v>407672.16</v>
      </c>
      <c r="N201" s="2">
        <v>311863.44</v>
      </c>
      <c r="O201" s="2">
        <v>95808.72</v>
      </c>
      <c r="P201" s="2" t="s">
        <v>52</v>
      </c>
      <c r="Q201" s="2" t="s">
        <v>63</v>
      </c>
      <c r="R201" s="2">
        <v>5</v>
      </c>
      <c r="S201" s="2" t="s">
        <v>53</v>
      </c>
      <c r="T201" s="2">
        <v>1332</v>
      </c>
      <c r="U201" s="2">
        <v>9</v>
      </c>
      <c r="V201" s="2"/>
    </row>
    <row r="202" spans="1:22" x14ac:dyDescent="0.35">
      <c r="A202" s="3" t="s">
        <v>876</v>
      </c>
      <c r="B202" s="3" t="s">
        <v>487</v>
      </c>
      <c r="C202" s="3" t="s">
        <v>279</v>
      </c>
      <c r="D202" s="3" t="s">
        <v>877</v>
      </c>
      <c r="E202" s="3" t="s">
        <v>26</v>
      </c>
      <c r="F202" s="3" t="s">
        <v>38</v>
      </c>
      <c r="G202" s="3" t="s">
        <v>189</v>
      </c>
      <c r="H202" s="3" t="s">
        <v>190</v>
      </c>
      <c r="I202" s="3" t="s">
        <v>124</v>
      </c>
      <c r="J202" s="3">
        <v>489</v>
      </c>
      <c r="K202" s="3">
        <v>1190.8900000000001</v>
      </c>
      <c r="L202" s="3">
        <v>1776.17</v>
      </c>
      <c r="M202" s="3">
        <v>868547.13</v>
      </c>
      <c r="N202" s="3">
        <v>582345.21</v>
      </c>
      <c r="O202" s="3">
        <v>286201.92</v>
      </c>
      <c r="P202" s="3" t="s">
        <v>42</v>
      </c>
      <c r="Q202" s="3" t="s">
        <v>32</v>
      </c>
      <c r="R202" s="3">
        <v>6</v>
      </c>
      <c r="S202" s="3" t="s">
        <v>158</v>
      </c>
      <c r="T202" s="3">
        <v>32</v>
      </c>
      <c r="U202" s="3">
        <v>24</v>
      </c>
      <c r="V202" s="3"/>
    </row>
    <row r="203" spans="1:22" x14ac:dyDescent="0.35">
      <c r="A203" s="2" t="s">
        <v>878</v>
      </c>
      <c r="B203" s="2" t="s">
        <v>126</v>
      </c>
      <c r="C203" s="2" t="s">
        <v>879</v>
      </c>
      <c r="D203" s="2" t="s">
        <v>880</v>
      </c>
      <c r="E203" s="2" t="s">
        <v>48</v>
      </c>
      <c r="F203" s="2" t="s">
        <v>270</v>
      </c>
      <c r="G203" s="2" t="s">
        <v>39</v>
      </c>
      <c r="H203" s="4"/>
      <c r="I203" s="2" t="s">
        <v>118</v>
      </c>
      <c r="J203" s="2">
        <v>638</v>
      </c>
      <c r="K203" s="2">
        <v>4.79</v>
      </c>
      <c r="L203" s="2">
        <v>6.55</v>
      </c>
      <c r="M203" s="2">
        <v>4178.8999999999996</v>
      </c>
      <c r="N203" s="2">
        <v>3056.02</v>
      </c>
      <c r="O203" s="2">
        <v>1122.8800000000001</v>
      </c>
      <c r="P203" s="2" t="s">
        <v>95</v>
      </c>
      <c r="Q203" s="2" t="s">
        <v>32</v>
      </c>
      <c r="R203" s="2">
        <v>7</v>
      </c>
      <c r="S203" s="2" t="s">
        <v>112</v>
      </c>
      <c r="T203" s="2">
        <v>852</v>
      </c>
      <c r="U203" s="2">
        <v>23</v>
      </c>
      <c r="V203" s="2"/>
    </row>
    <row r="204" spans="1:22" x14ac:dyDescent="0.35">
      <c r="A204" s="3" t="s">
        <v>881</v>
      </c>
      <c r="B204" s="3" t="s">
        <v>625</v>
      </c>
      <c r="C204" s="3" t="s">
        <v>324</v>
      </c>
      <c r="D204" s="3" t="s">
        <v>882</v>
      </c>
      <c r="E204" s="3" t="s">
        <v>100</v>
      </c>
      <c r="F204" s="3" t="s">
        <v>238</v>
      </c>
      <c r="G204" s="3" t="s">
        <v>39</v>
      </c>
      <c r="H204" s="3" t="s">
        <v>147</v>
      </c>
      <c r="I204" s="3" t="s">
        <v>240</v>
      </c>
      <c r="J204" s="3">
        <v>279</v>
      </c>
      <c r="K204" s="3">
        <v>333.77</v>
      </c>
      <c r="L204" s="3">
        <v>493.03</v>
      </c>
      <c r="M204" s="3">
        <v>137555.37</v>
      </c>
      <c r="N204" s="3">
        <v>93121.83</v>
      </c>
      <c r="O204" s="3">
        <v>44433.54</v>
      </c>
      <c r="P204" s="3" t="s">
        <v>95</v>
      </c>
      <c r="Q204" s="3" t="s">
        <v>32</v>
      </c>
      <c r="R204" s="3">
        <v>13</v>
      </c>
      <c r="S204" s="3" t="s">
        <v>86</v>
      </c>
      <c r="T204" s="3">
        <v>2827</v>
      </c>
      <c r="U204" s="3">
        <v>4</v>
      </c>
      <c r="V204" s="3"/>
    </row>
    <row r="205" spans="1:22" x14ac:dyDescent="0.35">
      <c r="A205" s="2" t="s">
        <v>883</v>
      </c>
      <c r="B205" s="2" t="s">
        <v>419</v>
      </c>
      <c r="C205" s="2" t="s">
        <v>884</v>
      </c>
      <c r="D205" s="2" t="s">
        <v>885</v>
      </c>
      <c r="E205" s="2" t="s">
        <v>26</v>
      </c>
      <c r="F205" s="2" t="s">
        <v>92</v>
      </c>
      <c r="G205" s="2" t="s">
        <v>50</v>
      </c>
      <c r="H205" s="2" t="s">
        <v>107</v>
      </c>
      <c r="I205" s="2" t="s">
        <v>240</v>
      </c>
      <c r="J205" s="2">
        <v>749</v>
      </c>
      <c r="K205" s="2">
        <v>461.68</v>
      </c>
      <c r="L205" s="2">
        <v>594.97</v>
      </c>
      <c r="M205" s="2">
        <v>445632.53</v>
      </c>
      <c r="N205" s="2">
        <v>345798.32</v>
      </c>
      <c r="O205" s="2">
        <v>99834.21</v>
      </c>
      <c r="P205" s="2" t="s">
        <v>95</v>
      </c>
      <c r="Q205" s="2" t="s">
        <v>32</v>
      </c>
      <c r="R205" s="2">
        <v>11</v>
      </c>
      <c r="S205" s="2" t="s">
        <v>33</v>
      </c>
      <c r="T205" s="2">
        <v>48</v>
      </c>
      <c r="U205" s="2">
        <v>21</v>
      </c>
      <c r="V205" s="2"/>
    </row>
    <row r="206" spans="1:22" x14ac:dyDescent="0.35">
      <c r="A206" s="3" t="s">
        <v>886</v>
      </c>
      <c r="B206" s="3" t="s">
        <v>887</v>
      </c>
      <c r="C206" s="3" t="s">
        <v>645</v>
      </c>
      <c r="D206" s="3" t="s">
        <v>888</v>
      </c>
      <c r="E206" s="3" t="s">
        <v>26</v>
      </c>
      <c r="F206" s="4"/>
      <c r="G206" s="3" t="s">
        <v>78</v>
      </c>
      <c r="H206" s="3" t="s">
        <v>178</v>
      </c>
      <c r="I206" s="3" t="s">
        <v>30</v>
      </c>
      <c r="J206" s="3">
        <v>201</v>
      </c>
      <c r="K206" s="3">
        <v>249.91</v>
      </c>
      <c r="L206" s="3">
        <v>400.53</v>
      </c>
      <c r="M206" s="3">
        <v>80506.53</v>
      </c>
      <c r="N206" s="3">
        <v>50231.91</v>
      </c>
      <c r="O206" s="3">
        <v>30274.62</v>
      </c>
      <c r="P206" s="3" t="s">
        <v>95</v>
      </c>
      <c r="Q206" s="3" t="s">
        <v>32</v>
      </c>
      <c r="R206" s="3">
        <v>10</v>
      </c>
      <c r="S206" s="3" t="s">
        <v>33</v>
      </c>
      <c r="T206" s="3">
        <v>795</v>
      </c>
      <c r="U206" s="3">
        <v>6</v>
      </c>
      <c r="V206" s="3"/>
    </row>
    <row r="207" spans="1:22" x14ac:dyDescent="0.35">
      <c r="A207" s="2" t="s">
        <v>889</v>
      </c>
      <c r="B207" s="2" t="s">
        <v>299</v>
      </c>
      <c r="C207" s="2" t="s">
        <v>755</v>
      </c>
      <c r="D207" s="2" t="s">
        <v>890</v>
      </c>
      <c r="E207" s="2" t="s">
        <v>68</v>
      </c>
      <c r="F207" s="2" t="s">
        <v>276</v>
      </c>
      <c r="G207" s="2" t="s">
        <v>70</v>
      </c>
      <c r="H207" s="2" t="s">
        <v>446</v>
      </c>
      <c r="I207" s="2" t="s">
        <v>72</v>
      </c>
      <c r="J207" s="2">
        <v>345</v>
      </c>
      <c r="K207" s="2">
        <v>819.05</v>
      </c>
      <c r="L207" s="2">
        <v>1346.71</v>
      </c>
      <c r="M207" s="2">
        <v>464614.95</v>
      </c>
      <c r="N207" s="2">
        <v>282572.25</v>
      </c>
      <c r="O207" s="2">
        <v>182042.7</v>
      </c>
      <c r="P207" s="2" t="s">
        <v>52</v>
      </c>
      <c r="Q207" s="2" t="s">
        <v>32</v>
      </c>
      <c r="R207" s="2">
        <v>13</v>
      </c>
      <c r="S207" s="2" t="s">
        <v>33</v>
      </c>
      <c r="T207" s="2">
        <v>2422</v>
      </c>
      <c r="U207" s="2">
        <v>15</v>
      </c>
      <c r="V207" s="2"/>
    </row>
    <row r="208" spans="1:22" x14ac:dyDescent="0.35">
      <c r="A208" s="3" t="s">
        <v>891</v>
      </c>
      <c r="B208" s="3" t="s">
        <v>484</v>
      </c>
      <c r="C208" s="3" t="s">
        <v>892</v>
      </c>
      <c r="D208" s="3" t="s">
        <v>893</v>
      </c>
      <c r="E208" s="3" t="s">
        <v>100</v>
      </c>
      <c r="F208" s="3" t="s">
        <v>538</v>
      </c>
      <c r="G208" s="3" t="s">
        <v>129</v>
      </c>
      <c r="H208" s="3" t="s">
        <v>704</v>
      </c>
      <c r="I208" s="3" t="s">
        <v>153</v>
      </c>
      <c r="J208" s="3">
        <v>522</v>
      </c>
      <c r="K208" s="3">
        <v>528.02</v>
      </c>
      <c r="L208" s="3">
        <v>804.87</v>
      </c>
      <c r="M208" s="3">
        <v>420142.14</v>
      </c>
      <c r="N208" s="3">
        <v>275626.44</v>
      </c>
      <c r="O208" s="3">
        <v>144515.70000000001</v>
      </c>
      <c r="P208" s="3" t="s">
        <v>31</v>
      </c>
      <c r="Q208" s="3" t="s">
        <v>63</v>
      </c>
      <c r="R208" s="3">
        <v>1</v>
      </c>
      <c r="S208" s="3" t="s">
        <v>158</v>
      </c>
      <c r="T208" s="3">
        <v>1020</v>
      </c>
      <c r="U208" s="3">
        <v>3</v>
      </c>
      <c r="V208" s="3"/>
    </row>
    <row r="209" spans="1:22" x14ac:dyDescent="0.35">
      <c r="A209" s="2" t="s">
        <v>894</v>
      </c>
      <c r="B209" s="2" t="s">
        <v>895</v>
      </c>
      <c r="C209" s="2" t="s">
        <v>574</v>
      </c>
      <c r="D209" s="2" t="s">
        <v>896</v>
      </c>
      <c r="E209" s="2" t="s">
        <v>100</v>
      </c>
      <c r="F209" s="2" t="s">
        <v>106</v>
      </c>
      <c r="G209" s="2" t="s">
        <v>39</v>
      </c>
      <c r="H209" s="2" t="s">
        <v>527</v>
      </c>
      <c r="I209" s="2" t="s">
        <v>153</v>
      </c>
      <c r="J209" s="2">
        <v>104</v>
      </c>
      <c r="K209" s="2">
        <v>312.32</v>
      </c>
      <c r="L209" s="2">
        <v>382.31</v>
      </c>
      <c r="M209" s="2">
        <v>39760.239999999998</v>
      </c>
      <c r="N209" s="2">
        <v>32481.279999999999</v>
      </c>
      <c r="O209" s="2">
        <v>7278.96</v>
      </c>
      <c r="P209" s="2" t="s">
        <v>31</v>
      </c>
      <c r="Q209" s="2" t="s">
        <v>63</v>
      </c>
      <c r="R209" s="2">
        <v>2</v>
      </c>
      <c r="S209" s="2" t="s">
        <v>43</v>
      </c>
      <c r="T209" s="2">
        <v>4723</v>
      </c>
      <c r="U209" s="2">
        <v>3</v>
      </c>
      <c r="V209" s="2"/>
    </row>
    <row r="210" spans="1:22" x14ac:dyDescent="0.35">
      <c r="A210" s="3" t="s">
        <v>897</v>
      </c>
      <c r="B210" s="3" t="s">
        <v>898</v>
      </c>
      <c r="C210" s="3" t="s">
        <v>899</v>
      </c>
      <c r="D210" s="3" t="s">
        <v>900</v>
      </c>
      <c r="E210" s="3" t="s">
        <v>26</v>
      </c>
      <c r="F210" s="3" t="s">
        <v>38</v>
      </c>
      <c r="G210" s="3" t="s">
        <v>93</v>
      </c>
      <c r="H210" s="3" t="s">
        <v>140</v>
      </c>
      <c r="I210" s="3" t="s">
        <v>118</v>
      </c>
      <c r="J210" s="3">
        <v>122</v>
      </c>
      <c r="K210" s="3">
        <v>178.48</v>
      </c>
      <c r="L210" s="3">
        <v>224.29</v>
      </c>
      <c r="M210" s="3">
        <v>27363.38</v>
      </c>
      <c r="N210" s="3">
        <v>21774.560000000001</v>
      </c>
      <c r="O210" s="3">
        <v>5588.82</v>
      </c>
      <c r="P210" s="3" t="s">
        <v>42</v>
      </c>
      <c r="Q210" s="3" t="s">
        <v>63</v>
      </c>
      <c r="R210" s="3">
        <v>3</v>
      </c>
      <c r="S210" s="3" t="s">
        <v>112</v>
      </c>
      <c r="T210" s="3">
        <v>1556</v>
      </c>
      <c r="U210" s="3">
        <v>0</v>
      </c>
      <c r="V210" s="3"/>
    </row>
    <row r="211" spans="1:22" x14ac:dyDescent="0.35">
      <c r="A211" s="2" t="s">
        <v>901</v>
      </c>
      <c r="B211" s="2" t="s">
        <v>862</v>
      </c>
      <c r="C211" s="2" t="s">
        <v>464</v>
      </c>
      <c r="D211" s="2" t="s">
        <v>902</v>
      </c>
      <c r="E211" s="2" t="s">
        <v>48</v>
      </c>
      <c r="F211" s="2" t="s">
        <v>223</v>
      </c>
      <c r="G211" s="2" t="s">
        <v>60</v>
      </c>
      <c r="H211" s="2" t="s">
        <v>164</v>
      </c>
      <c r="I211" s="2" t="s">
        <v>240</v>
      </c>
      <c r="J211" s="2">
        <v>201</v>
      </c>
      <c r="K211" s="2">
        <v>774.72</v>
      </c>
      <c r="L211" s="2">
        <v>1035.3699999999999</v>
      </c>
      <c r="M211" s="2">
        <v>208109.37</v>
      </c>
      <c r="N211" s="2">
        <v>155718.72</v>
      </c>
      <c r="O211" s="2">
        <v>52390.65</v>
      </c>
      <c r="P211" s="2" t="s">
        <v>31</v>
      </c>
      <c r="Q211" s="2" t="s">
        <v>32</v>
      </c>
      <c r="R211" s="2">
        <v>15</v>
      </c>
      <c r="S211" s="2" t="s">
        <v>158</v>
      </c>
      <c r="T211" s="2">
        <v>513</v>
      </c>
      <c r="U211" s="2">
        <v>2</v>
      </c>
      <c r="V211" s="2"/>
    </row>
    <row r="212" spans="1:22" x14ac:dyDescent="0.35">
      <c r="A212" s="3" t="s">
        <v>903</v>
      </c>
      <c r="B212" s="3" t="s">
        <v>201</v>
      </c>
      <c r="C212" s="3" t="s">
        <v>904</v>
      </c>
      <c r="D212" s="3" t="s">
        <v>905</v>
      </c>
      <c r="E212" s="3" t="s">
        <v>58</v>
      </c>
      <c r="F212" s="3" t="s">
        <v>417</v>
      </c>
      <c r="G212" s="3" t="s">
        <v>28</v>
      </c>
      <c r="H212" s="3" t="s">
        <v>579</v>
      </c>
      <c r="I212" s="3" t="s">
        <v>293</v>
      </c>
      <c r="J212" s="3">
        <v>273</v>
      </c>
      <c r="K212" s="3">
        <v>1073.43</v>
      </c>
      <c r="L212" s="3">
        <v>1770.64</v>
      </c>
      <c r="M212" s="3">
        <v>483384.72</v>
      </c>
      <c r="N212" s="3">
        <v>293046.39</v>
      </c>
      <c r="O212" s="3">
        <v>190338.33</v>
      </c>
      <c r="P212" s="3" t="s">
        <v>42</v>
      </c>
      <c r="Q212" s="3" t="s">
        <v>906</v>
      </c>
      <c r="R212" s="3">
        <v>10</v>
      </c>
      <c r="S212" s="3" t="s">
        <v>43</v>
      </c>
      <c r="T212" s="3">
        <v>3724</v>
      </c>
      <c r="U212" s="3">
        <v>1</v>
      </c>
      <c r="V212" s="3"/>
    </row>
    <row r="213" spans="1:22" x14ac:dyDescent="0.35">
      <c r="A213" s="2" t="s">
        <v>907</v>
      </c>
      <c r="B213" s="2" t="s">
        <v>242</v>
      </c>
      <c r="C213" s="2" t="s">
        <v>577</v>
      </c>
      <c r="D213" s="2" t="s">
        <v>908</v>
      </c>
      <c r="E213" s="2" t="s">
        <v>58</v>
      </c>
      <c r="F213" s="2" t="s">
        <v>429</v>
      </c>
      <c r="G213" s="2" t="s">
        <v>28</v>
      </c>
      <c r="H213" s="2" t="s">
        <v>29</v>
      </c>
      <c r="I213" s="2" t="s">
        <v>240</v>
      </c>
      <c r="J213" s="2">
        <v>285</v>
      </c>
      <c r="K213" s="2">
        <v>144.41</v>
      </c>
      <c r="L213" s="2">
        <v>216.21</v>
      </c>
      <c r="M213" s="2">
        <v>61619.85</v>
      </c>
      <c r="N213" s="2">
        <v>41156.85</v>
      </c>
      <c r="O213" s="2">
        <v>20463</v>
      </c>
      <c r="P213" s="2" t="s">
        <v>95</v>
      </c>
      <c r="Q213" s="2" t="s">
        <v>32</v>
      </c>
      <c r="R213" s="2">
        <v>11</v>
      </c>
      <c r="S213" s="2" t="s">
        <v>158</v>
      </c>
      <c r="T213" s="2">
        <v>240</v>
      </c>
      <c r="U213" s="2">
        <v>4</v>
      </c>
      <c r="V213" s="2"/>
    </row>
    <row r="214" spans="1:22" x14ac:dyDescent="0.35">
      <c r="A214" s="3" t="s">
        <v>909</v>
      </c>
      <c r="B214" s="3" t="s">
        <v>296</v>
      </c>
      <c r="C214" s="3" t="s">
        <v>591</v>
      </c>
      <c r="D214" s="3" t="s">
        <v>910</v>
      </c>
      <c r="E214" s="3" t="s">
        <v>48</v>
      </c>
      <c r="F214" s="3" t="s">
        <v>270</v>
      </c>
      <c r="G214" s="3" t="s">
        <v>60</v>
      </c>
      <c r="H214" s="3" t="s">
        <v>834</v>
      </c>
      <c r="I214" s="3" t="s">
        <v>293</v>
      </c>
      <c r="J214" s="3">
        <v>689</v>
      </c>
      <c r="K214" s="3">
        <v>206.45</v>
      </c>
      <c r="L214" s="3">
        <v>283.52999999999997</v>
      </c>
      <c r="M214" s="3">
        <v>195352.17</v>
      </c>
      <c r="N214" s="3">
        <v>142244.04999999999</v>
      </c>
      <c r="O214" s="3">
        <v>53108.12</v>
      </c>
      <c r="P214" s="3" t="s">
        <v>95</v>
      </c>
      <c r="Q214" s="3" t="s">
        <v>32</v>
      </c>
      <c r="R214" s="3">
        <v>7</v>
      </c>
      <c r="S214" s="3" t="s">
        <v>86</v>
      </c>
      <c r="T214" s="3">
        <v>633</v>
      </c>
      <c r="U214" s="3">
        <v>9</v>
      </c>
      <c r="V214" s="3"/>
    </row>
    <row r="215" spans="1:22" x14ac:dyDescent="0.35">
      <c r="A215" s="2" t="s">
        <v>911</v>
      </c>
      <c r="B215" s="2" t="s">
        <v>103</v>
      </c>
      <c r="C215" s="2" t="s">
        <v>912</v>
      </c>
      <c r="D215" s="2" t="s">
        <v>913</v>
      </c>
      <c r="E215" s="2" t="s">
        <v>58</v>
      </c>
      <c r="F215" s="2" t="s">
        <v>122</v>
      </c>
      <c r="G215" s="2" t="s">
        <v>189</v>
      </c>
      <c r="H215" s="2" t="s">
        <v>369</v>
      </c>
      <c r="I215" s="2" t="s">
        <v>62</v>
      </c>
      <c r="J215" s="2">
        <v>267</v>
      </c>
      <c r="K215" s="2">
        <v>757.17</v>
      </c>
      <c r="L215" s="2">
        <v>1138.99</v>
      </c>
      <c r="M215" s="2">
        <v>304110.33</v>
      </c>
      <c r="N215" s="2">
        <v>202164.39</v>
      </c>
      <c r="O215" s="2">
        <v>101945.94</v>
      </c>
      <c r="P215" s="2" t="s">
        <v>31</v>
      </c>
      <c r="Q215" s="2" t="s">
        <v>32</v>
      </c>
      <c r="R215" s="2">
        <v>14</v>
      </c>
      <c r="S215" s="2" t="s">
        <v>43</v>
      </c>
      <c r="T215" s="2">
        <v>3637</v>
      </c>
      <c r="U215" s="2">
        <v>8</v>
      </c>
      <c r="V215" s="2"/>
    </row>
    <row r="216" spans="1:22" x14ac:dyDescent="0.35">
      <c r="A216" s="3" t="s">
        <v>914</v>
      </c>
      <c r="B216" s="3" t="s">
        <v>915</v>
      </c>
      <c r="C216" s="3" t="s">
        <v>916</v>
      </c>
      <c r="D216" s="3" t="s">
        <v>917</v>
      </c>
      <c r="E216" s="3" t="s">
        <v>100</v>
      </c>
      <c r="F216" s="3" t="s">
        <v>101</v>
      </c>
      <c r="G216" s="3" t="s">
        <v>93</v>
      </c>
      <c r="H216" s="3" t="s">
        <v>302</v>
      </c>
      <c r="I216" s="3" t="s">
        <v>41</v>
      </c>
      <c r="J216" s="3">
        <v>694</v>
      </c>
      <c r="K216" s="3">
        <v>270.82</v>
      </c>
      <c r="L216" s="3">
        <v>399.84</v>
      </c>
      <c r="M216" s="3">
        <v>277488.96000000002</v>
      </c>
      <c r="N216" s="3">
        <v>187949.08</v>
      </c>
      <c r="O216" s="3">
        <v>89539.88</v>
      </c>
      <c r="P216" s="3" t="s">
        <v>42</v>
      </c>
      <c r="Q216" s="3" t="s">
        <v>63</v>
      </c>
      <c r="R216" s="3">
        <v>5</v>
      </c>
      <c r="S216" s="3" t="s">
        <v>86</v>
      </c>
      <c r="T216" s="3">
        <v>3396</v>
      </c>
      <c r="U216" s="3">
        <v>9</v>
      </c>
      <c r="V216" s="3"/>
    </row>
    <row r="217" spans="1:22" x14ac:dyDescent="0.35">
      <c r="A217" s="2" t="s">
        <v>918</v>
      </c>
      <c r="B217" s="2" t="s">
        <v>382</v>
      </c>
      <c r="C217" s="2" t="s">
        <v>919</v>
      </c>
      <c r="D217" s="2" t="s">
        <v>920</v>
      </c>
      <c r="E217" s="2" t="s">
        <v>100</v>
      </c>
      <c r="F217" s="2" t="s">
        <v>330</v>
      </c>
      <c r="G217" s="2" t="s">
        <v>39</v>
      </c>
      <c r="H217" s="2" t="s">
        <v>147</v>
      </c>
      <c r="I217" s="2" t="s">
        <v>72</v>
      </c>
      <c r="J217" s="2">
        <v>314</v>
      </c>
      <c r="K217" s="2">
        <v>345.35</v>
      </c>
      <c r="L217" s="2">
        <v>526.87</v>
      </c>
      <c r="M217" s="2">
        <v>165437.18</v>
      </c>
      <c r="N217" s="2">
        <v>108439.9</v>
      </c>
      <c r="O217" s="2">
        <v>56997.279999999999</v>
      </c>
      <c r="P217" s="2" t="s">
        <v>95</v>
      </c>
      <c r="Q217" s="2" t="s">
        <v>63</v>
      </c>
      <c r="R217" s="2">
        <v>2</v>
      </c>
      <c r="S217" s="2" t="s">
        <v>33</v>
      </c>
      <c r="T217" s="2">
        <v>3074</v>
      </c>
      <c r="U217" s="2">
        <v>8</v>
      </c>
      <c r="V217" s="2"/>
    </row>
    <row r="218" spans="1:22" x14ac:dyDescent="0.35">
      <c r="A218" s="3" t="s">
        <v>921</v>
      </c>
      <c r="B218" s="3" t="s">
        <v>509</v>
      </c>
      <c r="C218" s="3" t="s">
        <v>662</v>
      </c>
      <c r="D218" s="3" t="s">
        <v>922</v>
      </c>
      <c r="E218" s="3" t="s">
        <v>48</v>
      </c>
      <c r="F218" s="3" t="s">
        <v>281</v>
      </c>
      <c r="G218" s="3" t="s">
        <v>39</v>
      </c>
      <c r="H218" s="3" t="s">
        <v>477</v>
      </c>
      <c r="I218" s="3" t="s">
        <v>72</v>
      </c>
      <c r="J218" s="3">
        <v>200</v>
      </c>
      <c r="K218" s="3">
        <v>454.32</v>
      </c>
      <c r="L218" s="3">
        <v>628.66</v>
      </c>
      <c r="M218" s="3">
        <v>125732</v>
      </c>
      <c r="N218" s="3">
        <v>90864</v>
      </c>
      <c r="O218" s="3">
        <v>34868</v>
      </c>
      <c r="P218" s="3" t="s">
        <v>31</v>
      </c>
      <c r="Q218" s="3" t="s">
        <v>63</v>
      </c>
      <c r="R218" s="3">
        <v>3</v>
      </c>
      <c r="S218" s="3" t="s">
        <v>53</v>
      </c>
      <c r="T218" s="3">
        <v>4745</v>
      </c>
      <c r="U218" s="3">
        <v>10</v>
      </c>
      <c r="V218" s="3"/>
    </row>
    <row r="219" spans="1:22" x14ac:dyDescent="0.35">
      <c r="A219" s="2" t="s">
        <v>923</v>
      </c>
      <c r="B219" s="2" t="s">
        <v>483</v>
      </c>
      <c r="C219" s="2" t="s">
        <v>650</v>
      </c>
      <c r="D219" s="2" t="s">
        <v>924</v>
      </c>
      <c r="E219" s="2" t="s">
        <v>26</v>
      </c>
      <c r="F219" s="2" t="s">
        <v>27</v>
      </c>
      <c r="G219" s="2" t="s">
        <v>50</v>
      </c>
      <c r="H219" s="2" t="s">
        <v>173</v>
      </c>
      <c r="I219" s="2" t="s">
        <v>141</v>
      </c>
      <c r="J219" s="2">
        <v>783</v>
      </c>
      <c r="K219" s="2">
        <v>1178.77</v>
      </c>
      <c r="L219" s="2">
        <v>1856.45</v>
      </c>
      <c r="M219" s="2">
        <v>1453600.35</v>
      </c>
      <c r="N219" s="2">
        <v>922976.91</v>
      </c>
      <c r="O219" s="2">
        <v>530623.43999999994</v>
      </c>
      <c r="P219" s="2" t="s">
        <v>42</v>
      </c>
      <c r="Q219" s="2" t="s">
        <v>32</v>
      </c>
      <c r="R219" s="2">
        <v>10</v>
      </c>
      <c r="S219" s="2" t="s">
        <v>112</v>
      </c>
      <c r="T219" s="2">
        <v>4809</v>
      </c>
      <c r="U219" s="2">
        <v>28</v>
      </c>
      <c r="V219" s="2"/>
    </row>
    <row r="220" spans="1:22" x14ac:dyDescent="0.35">
      <c r="A220" s="3" t="s">
        <v>925</v>
      </c>
      <c r="B220" s="3" t="s">
        <v>926</v>
      </c>
      <c r="C220" s="3" t="s">
        <v>133</v>
      </c>
      <c r="D220" s="3" t="s">
        <v>927</v>
      </c>
      <c r="E220" s="3" t="s">
        <v>26</v>
      </c>
      <c r="F220" s="3" t="s">
        <v>77</v>
      </c>
      <c r="G220" s="3" t="s">
        <v>129</v>
      </c>
      <c r="H220" s="3" t="s">
        <v>811</v>
      </c>
      <c r="I220" s="3" t="s">
        <v>118</v>
      </c>
      <c r="J220" s="3">
        <v>570</v>
      </c>
      <c r="K220" s="3">
        <v>1123.54</v>
      </c>
      <c r="L220" s="3">
        <v>1642.12</v>
      </c>
      <c r="M220" s="3">
        <v>936008.4</v>
      </c>
      <c r="N220" s="3">
        <v>640417.80000000005</v>
      </c>
      <c r="O220" s="3">
        <v>295590.59999999998</v>
      </c>
      <c r="P220" s="3" t="s">
        <v>52</v>
      </c>
      <c r="Q220" s="3" t="s">
        <v>32</v>
      </c>
      <c r="R220" s="3">
        <v>15</v>
      </c>
      <c r="S220" s="3" t="s">
        <v>33</v>
      </c>
      <c r="T220" s="3">
        <v>1462</v>
      </c>
      <c r="U220" s="3">
        <v>1</v>
      </c>
      <c r="V220" s="3"/>
    </row>
    <row r="221" spans="1:22" x14ac:dyDescent="0.35">
      <c r="A221" s="2" t="s">
        <v>928</v>
      </c>
      <c r="B221" s="2" t="s">
        <v>379</v>
      </c>
      <c r="C221" s="2" t="s">
        <v>929</v>
      </c>
      <c r="D221" s="2" t="s">
        <v>930</v>
      </c>
      <c r="E221" s="2" t="s">
        <v>100</v>
      </c>
      <c r="F221" s="2" t="s">
        <v>106</v>
      </c>
      <c r="G221" s="2" t="s">
        <v>60</v>
      </c>
      <c r="H221" s="2" t="s">
        <v>229</v>
      </c>
      <c r="I221" s="2" t="s">
        <v>124</v>
      </c>
      <c r="J221" s="2">
        <v>365</v>
      </c>
      <c r="K221" s="2">
        <v>370.53</v>
      </c>
      <c r="L221" s="2">
        <v>503.97</v>
      </c>
      <c r="M221" s="2">
        <v>183949.05</v>
      </c>
      <c r="N221" s="2">
        <v>135243.45000000001</v>
      </c>
      <c r="O221" s="2">
        <v>48705.599999999999</v>
      </c>
      <c r="P221" s="2" t="s">
        <v>31</v>
      </c>
      <c r="Q221" s="2" t="s">
        <v>63</v>
      </c>
      <c r="R221" s="2">
        <v>3</v>
      </c>
      <c r="S221" s="2" t="s">
        <v>33</v>
      </c>
      <c r="T221" s="2">
        <v>3157</v>
      </c>
      <c r="U221" s="2">
        <v>5</v>
      </c>
      <c r="V221" s="2"/>
    </row>
    <row r="222" spans="1:22" x14ac:dyDescent="0.35">
      <c r="A222" s="3" t="s">
        <v>931</v>
      </c>
      <c r="B222" s="3" t="s">
        <v>820</v>
      </c>
      <c r="C222" s="3" t="s">
        <v>932</v>
      </c>
      <c r="D222" s="3" t="s">
        <v>933</v>
      </c>
      <c r="E222" s="3" t="s">
        <v>100</v>
      </c>
      <c r="F222" s="3" t="s">
        <v>106</v>
      </c>
      <c r="G222" s="3" t="s">
        <v>189</v>
      </c>
      <c r="H222" s="3" t="s">
        <v>365</v>
      </c>
      <c r="I222" s="3" t="s">
        <v>191</v>
      </c>
      <c r="J222" s="3">
        <v>755</v>
      </c>
      <c r="K222" s="3">
        <v>551.30999999999995</v>
      </c>
      <c r="L222" s="3">
        <v>643.64</v>
      </c>
      <c r="M222" s="3">
        <v>485948.2</v>
      </c>
      <c r="N222" s="3">
        <v>416239.05</v>
      </c>
      <c r="O222" s="3">
        <v>69709.149999999994</v>
      </c>
      <c r="P222" s="3" t="s">
        <v>42</v>
      </c>
      <c r="Q222" s="3" t="s">
        <v>63</v>
      </c>
      <c r="R222" s="3">
        <v>2</v>
      </c>
      <c r="S222" s="3" t="s">
        <v>112</v>
      </c>
      <c r="T222" s="3">
        <v>3440</v>
      </c>
      <c r="U222" s="4"/>
      <c r="V222" s="3"/>
    </row>
    <row r="223" spans="1:22" x14ac:dyDescent="0.35">
      <c r="A223" s="2" t="s">
        <v>934</v>
      </c>
      <c r="B223" s="2" t="s">
        <v>382</v>
      </c>
      <c r="C223" s="2" t="s">
        <v>209</v>
      </c>
      <c r="D223" s="2" t="s">
        <v>935</v>
      </c>
      <c r="E223" s="2" t="s">
        <v>58</v>
      </c>
      <c r="F223" s="2" t="s">
        <v>122</v>
      </c>
      <c r="G223" s="2" t="s">
        <v>50</v>
      </c>
      <c r="H223" s="2" t="s">
        <v>135</v>
      </c>
      <c r="I223" s="2" t="s">
        <v>141</v>
      </c>
      <c r="J223" s="2">
        <v>133</v>
      </c>
      <c r="K223" s="2">
        <v>780.08</v>
      </c>
      <c r="L223" s="2">
        <v>874.43</v>
      </c>
      <c r="M223" s="2">
        <v>116299.19</v>
      </c>
      <c r="N223" s="2">
        <v>103750.64</v>
      </c>
      <c r="O223" s="2">
        <v>12548.55</v>
      </c>
      <c r="P223" s="2" t="s">
        <v>52</v>
      </c>
      <c r="Q223" s="2" t="s">
        <v>32</v>
      </c>
      <c r="R223" s="2">
        <v>6</v>
      </c>
      <c r="S223" s="2" t="s">
        <v>86</v>
      </c>
      <c r="T223" s="2">
        <v>2361</v>
      </c>
      <c r="U223" s="2">
        <v>5</v>
      </c>
      <c r="V223" s="2"/>
    </row>
    <row r="224" spans="1:22" x14ac:dyDescent="0.35">
      <c r="A224" s="3" t="s">
        <v>936</v>
      </c>
      <c r="B224" s="3" t="s">
        <v>937</v>
      </c>
      <c r="C224" s="3" t="s">
        <v>938</v>
      </c>
      <c r="D224" s="3" t="s">
        <v>939</v>
      </c>
      <c r="E224" s="3" t="s">
        <v>68</v>
      </c>
      <c r="F224" s="3" t="s">
        <v>276</v>
      </c>
      <c r="G224" s="3" t="s">
        <v>39</v>
      </c>
      <c r="H224" s="3" t="s">
        <v>412</v>
      </c>
      <c r="I224" s="4"/>
      <c r="J224" s="3">
        <v>483</v>
      </c>
      <c r="K224" s="3">
        <v>942.53</v>
      </c>
      <c r="L224" s="3">
        <v>1158.1500000000001</v>
      </c>
      <c r="M224" s="3">
        <v>559386.44999999995</v>
      </c>
      <c r="N224" s="3">
        <v>455241.99</v>
      </c>
      <c r="O224" s="3">
        <v>104144.46</v>
      </c>
      <c r="P224" s="3" t="s">
        <v>95</v>
      </c>
      <c r="Q224" s="3" t="s">
        <v>63</v>
      </c>
      <c r="R224" s="3">
        <v>3</v>
      </c>
      <c r="S224" s="3" t="s">
        <v>158</v>
      </c>
      <c r="T224" s="3">
        <v>1621</v>
      </c>
      <c r="U224" s="3">
        <v>8</v>
      </c>
      <c r="V224" s="3"/>
    </row>
    <row r="225" spans="1:22" x14ac:dyDescent="0.35">
      <c r="A225" s="2" t="s">
        <v>940</v>
      </c>
      <c r="B225" s="2" t="s">
        <v>941</v>
      </c>
      <c r="C225" s="2" t="s">
        <v>564</v>
      </c>
      <c r="D225" s="2" t="s">
        <v>942</v>
      </c>
      <c r="E225" s="2" t="s">
        <v>48</v>
      </c>
      <c r="F225" s="2" t="s">
        <v>270</v>
      </c>
      <c r="G225" s="2" t="s">
        <v>189</v>
      </c>
      <c r="H225" s="2" t="s">
        <v>190</v>
      </c>
      <c r="I225" s="2" t="s">
        <v>72</v>
      </c>
      <c r="J225" s="2">
        <v>716</v>
      </c>
      <c r="K225" s="2">
        <v>457.35</v>
      </c>
      <c r="L225" s="2">
        <v>530.51</v>
      </c>
      <c r="M225" s="2">
        <v>379845.16</v>
      </c>
      <c r="N225" s="2">
        <v>327462.59999999998</v>
      </c>
      <c r="O225" s="2">
        <v>52382.559999999998</v>
      </c>
      <c r="P225" s="2" t="s">
        <v>95</v>
      </c>
      <c r="Q225" s="2" t="s">
        <v>63</v>
      </c>
      <c r="R225" s="2">
        <v>4</v>
      </c>
      <c r="S225" s="2" t="s">
        <v>86</v>
      </c>
      <c r="T225" s="2">
        <v>4258</v>
      </c>
      <c r="U225" s="2">
        <v>34</v>
      </c>
      <c r="V225" s="2"/>
    </row>
    <row r="226" spans="1:22" x14ac:dyDescent="0.35">
      <c r="A226" s="3" t="s">
        <v>943</v>
      </c>
      <c r="B226" s="3" t="s">
        <v>149</v>
      </c>
      <c r="C226" s="3" t="s">
        <v>944</v>
      </c>
      <c r="D226" s="3" t="s">
        <v>945</v>
      </c>
      <c r="E226" s="3" t="s">
        <v>48</v>
      </c>
      <c r="F226" s="3" t="s">
        <v>270</v>
      </c>
      <c r="G226" s="3" t="s">
        <v>189</v>
      </c>
      <c r="H226" s="3" t="s">
        <v>369</v>
      </c>
      <c r="I226" s="3" t="s">
        <v>153</v>
      </c>
      <c r="J226" s="3">
        <v>463</v>
      </c>
      <c r="K226" s="3">
        <v>831.8</v>
      </c>
      <c r="L226" s="3">
        <v>1255.68</v>
      </c>
      <c r="M226" s="3">
        <v>581379.83999999997</v>
      </c>
      <c r="N226" s="3">
        <v>385123.4</v>
      </c>
      <c r="O226" s="3">
        <v>196256.44</v>
      </c>
      <c r="P226" s="3" t="s">
        <v>42</v>
      </c>
      <c r="Q226" s="3" t="s">
        <v>63</v>
      </c>
      <c r="R226" s="3">
        <v>3</v>
      </c>
      <c r="S226" s="3" t="s">
        <v>86</v>
      </c>
      <c r="T226" s="3">
        <v>741</v>
      </c>
      <c r="U226" s="3">
        <v>23</v>
      </c>
      <c r="V226" s="3"/>
    </row>
    <row r="227" spans="1:22" x14ac:dyDescent="0.35">
      <c r="A227" s="2" t="s">
        <v>946</v>
      </c>
      <c r="B227" s="2" t="s">
        <v>464</v>
      </c>
      <c r="C227" s="2" t="s">
        <v>343</v>
      </c>
      <c r="D227" s="2" t="s">
        <v>947</v>
      </c>
      <c r="E227" s="2" t="s">
        <v>48</v>
      </c>
      <c r="F227" s="2" t="s">
        <v>223</v>
      </c>
      <c r="G227" s="2" t="s">
        <v>217</v>
      </c>
      <c r="H227" s="2" t="s">
        <v>335</v>
      </c>
      <c r="I227" s="2" t="s">
        <v>72</v>
      </c>
      <c r="J227" s="2">
        <v>391</v>
      </c>
      <c r="K227" s="2">
        <v>1022.19</v>
      </c>
      <c r="L227" s="2">
        <v>1181.4000000000001</v>
      </c>
      <c r="M227" s="2">
        <v>461927.4</v>
      </c>
      <c r="N227" s="2">
        <v>399676.29</v>
      </c>
      <c r="O227" s="2">
        <v>62251.11</v>
      </c>
      <c r="P227" s="2" t="s">
        <v>52</v>
      </c>
      <c r="Q227" s="2" t="s">
        <v>63</v>
      </c>
      <c r="R227" s="2">
        <v>1</v>
      </c>
      <c r="S227" s="2" t="s">
        <v>53</v>
      </c>
      <c r="T227" s="2">
        <v>564</v>
      </c>
      <c r="U227" s="4"/>
      <c r="V227" s="2"/>
    </row>
    <row r="228" spans="1:22" x14ac:dyDescent="0.35">
      <c r="A228" s="3" t="s">
        <v>948</v>
      </c>
      <c r="B228" s="3" t="s">
        <v>949</v>
      </c>
      <c r="C228" s="3" t="s">
        <v>950</v>
      </c>
      <c r="D228" s="3" t="s">
        <v>951</v>
      </c>
      <c r="E228" s="3" t="s">
        <v>58</v>
      </c>
      <c r="F228" s="3" t="s">
        <v>417</v>
      </c>
      <c r="G228" s="3" t="s">
        <v>78</v>
      </c>
      <c r="H228" s="3" t="s">
        <v>123</v>
      </c>
      <c r="I228" s="3" t="s">
        <v>30</v>
      </c>
      <c r="J228" s="3">
        <v>647</v>
      </c>
      <c r="K228" s="3">
        <v>214.45</v>
      </c>
      <c r="L228" s="3">
        <v>313.51</v>
      </c>
      <c r="M228" s="3">
        <v>202840.97</v>
      </c>
      <c r="N228" s="3">
        <v>138749.15</v>
      </c>
      <c r="O228" s="3">
        <v>64091.82</v>
      </c>
      <c r="P228" s="3" t="s">
        <v>95</v>
      </c>
      <c r="Q228" s="3" t="s">
        <v>32</v>
      </c>
      <c r="R228" s="3">
        <v>6</v>
      </c>
      <c r="S228" s="3" t="s">
        <v>86</v>
      </c>
      <c r="T228" s="3">
        <v>1410</v>
      </c>
      <c r="U228" s="3">
        <v>7</v>
      </c>
      <c r="V228" s="3"/>
    </row>
    <row r="229" spans="1:22" x14ac:dyDescent="0.35">
      <c r="A229" s="2" t="s">
        <v>952</v>
      </c>
      <c r="B229" s="2" t="s">
        <v>953</v>
      </c>
      <c r="C229" s="2" t="s">
        <v>954</v>
      </c>
      <c r="D229" s="2" t="s">
        <v>955</v>
      </c>
      <c r="E229" s="2" t="s">
        <v>68</v>
      </c>
      <c r="F229" s="2" t="s">
        <v>249</v>
      </c>
      <c r="G229" s="2" t="s">
        <v>50</v>
      </c>
      <c r="H229" s="2" t="s">
        <v>117</v>
      </c>
      <c r="I229" s="2" t="s">
        <v>62</v>
      </c>
      <c r="J229" s="2">
        <v>369</v>
      </c>
      <c r="K229" s="2">
        <v>124.21</v>
      </c>
      <c r="L229" s="2">
        <v>165.43</v>
      </c>
      <c r="M229" s="2">
        <v>61043.67</v>
      </c>
      <c r="N229" s="2">
        <v>45833.49</v>
      </c>
      <c r="O229" s="2">
        <v>15210.18</v>
      </c>
      <c r="P229" s="2" t="s">
        <v>95</v>
      </c>
      <c r="Q229" s="2" t="s">
        <v>956</v>
      </c>
      <c r="R229" s="2">
        <v>-1</v>
      </c>
      <c r="S229" s="2" t="s">
        <v>158</v>
      </c>
      <c r="T229" s="2">
        <v>3477</v>
      </c>
      <c r="U229" s="2">
        <v>13</v>
      </c>
      <c r="V229" s="2"/>
    </row>
    <row r="230" spans="1:22" x14ac:dyDescent="0.35">
      <c r="A230" s="3" t="s">
        <v>957</v>
      </c>
      <c r="B230" s="3" t="s">
        <v>774</v>
      </c>
      <c r="C230" s="3" t="s">
        <v>137</v>
      </c>
      <c r="D230" s="3" t="s">
        <v>958</v>
      </c>
      <c r="E230" s="3" t="s">
        <v>68</v>
      </c>
      <c r="F230" s="3" t="s">
        <v>276</v>
      </c>
      <c r="G230" s="3" t="s">
        <v>78</v>
      </c>
      <c r="H230" s="3" t="s">
        <v>572</v>
      </c>
      <c r="I230" s="3" t="s">
        <v>124</v>
      </c>
      <c r="J230" s="3">
        <v>371</v>
      </c>
      <c r="K230" s="3">
        <v>1150.4000000000001</v>
      </c>
      <c r="L230" s="3">
        <v>1572.88</v>
      </c>
      <c r="M230" s="3">
        <v>583538.48</v>
      </c>
      <c r="N230" s="3">
        <v>426798.4</v>
      </c>
      <c r="O230" s="3">
        <v>156740.07999999999</v>
      </c>
      <c r="P230" s="3" t="s">
        <v>42</v>
      </c>
      <c r="Q230" s="3" t="s">
        <v>959</v>
      </c>
      <c r="R230" s="3">
        <v>14</v>
      </c>
      <c r="S230" s="3" t="s">
        <v>86</v>
      </c>
      <c r="T230" s="3">
        <v>384</v>
      </c>
      <c r="U230" s="3">
        <v>17</v>
      </c>
      <c r="V230" s="3"/>
    </row>
    <row r="231" spans="1:22" x14ac:dyDescent="0.35">
      <c r="A231" s="2" t="s">
        <v>960</v>
      </c>
      <c r="B231" s="2" t="s">
        <v>342</v>
      </c>
      <c r="C231" s="2" t="s">
        <v>747</v>
      </c>
      <c r="D231" s="2" t="s">
        <v>961</v>
      </c>
      <c r="E231" s="2" t="s">
        <v>58</v>
      </c>
      <c r="F231" s="2" t="s">
        <v>122</v>
      </c>
      <c r="G231" s="2" t="s">
        <v>39</v>
      </c>
      <c r="H231" s="2" t="s">
        <v>147</v>
      </c>
      <c r="I231" s="2" t="s">
        <v>85</v>
      </c>
      <c r="J231" s="2">
        <v>371</v>
      </c>
      <c r="K231" s="2">
        <v>28.5</v>
      </c>
      <c r="L231" s="2">
        <v>33.07</v>
      </c>
      <c r="M231" s="2">
        <v>12268.97</v>
      </c>
      <c r="N231" s="2">
        <v>10573.5</v>
      </c>
      <c r="O231" s="2">
        <v>1695.47</v>
      </c>
      <c r="P231" s="2" t="s">
        <v>52</v>
      </c>
      <c r="Q231" s="2" t="s">
        <v>32</v>
      </c>
      <c r="R231" s="2">
        <v>7</v>
      </c>
      <c r="S231" s="2" t="s">
        <v>112</v>
      </c>
      <c r="T231" s="2">
        <v>2620</v>
      </c>
      <c r="U231" s="2">
        <v>7</v>
      </c>
      <c r="V231" s="2"/>
    </row>
    <row r="232" spans="1:22" x14ac:dyDescent="0.35">
      <c r="A232" s="3" t="s">
        <v>962</v>
      </c>
      <c r="B232" s="3" t="s">
        <v>120</v>
      </c>
      <c r="C232" s="3" t="s">
        <v>379</v>
      </c>
      <c r="D232" s="3" t="s">
        <v>963</v>
      </c>
      <c r="E232" s="3" t="s">
        <v>48</v>
      </c>
      <c r="F232" s="3" t="s">
        <v>49</v>
      </c>
      <c r="G232" s="3" t="s">
        <v>78</v>
      </c>
      <c r="H232" s="3" t="s">
        <v>79</v>
      </c>
      <c r="I232" s="3" t="s">
        <v>240</v>
      </c>
      <c r="J232" s="3">
        <v>102</v>
      </c>
      <c r="K232" s="3">
        <v>905.28</v>
      </c>
      <c r="L232" s="3">
        <v>1274.6600000000001</v>
      </c>
      <c r="M232" s="3">
        <v>130015.32</v>
      </c>
      <c r="N232" s="3">
        <v>92338.559999999998</v>
      </c>
      <c r="O232" s="3">
        <v>37676.76</v>
      </c>
      <c r="P232" s="3" t="s">
        <v>95</v>
      </c>
      <c r="Q232" s="3" t="s">
        <v>63</v>
      </c>
      <c r="R232" s="3">
        <v>5</v>
      </c>
      <c r="S232" s="3" t="s">
        <v>33</v>
      </c>
      <c r="T232" s="3">
        <v>185</v>
      </c>
      <c r="U232" s="3">
        <v>4</v>
      </c>
      <c r="V232" s="3"/>
    </row>
    <row r="233" spans="1:22" x14ac:dyDescent="0.35">
      <c r="A233" s="2" t="s">
        <v>964</v>
      </c>
      <c r="B233" s="2" t="s">
        <v>513</v>
      </c>
      <c r="C233" s="2" t="s">
        <v>965</v>
      </c>
      <c r="D233" s="2" t="s">
        <v>966</v>
      </c>
      <c r="E233" s="2" t="s">
        <v>100</v>
      </c>
      <c r="F233" s="2" t="s">
        <v>538</v>
      </c>
      <c r="G233" s="2" t="s">
        <v>28</v>
      </c>
      <c r="H233" s="2" t="s">
        <v>29</v>
      </c>
      <c r="I233" s="2" t="s">
        <v>41</v>
      </c>
      <c r="J233" s="2">
        <v>454</v>
      </c>
      <c r="K233" s="2">
        <v>352.7</v>
      </c>
      <c r="L233" s="2">
        <v>447.9</v>
      </c>
      <c r="M233" s="2">
        <v>203346.6</v>
      </c>
      <c r="N233" s="2">
        <v>160125.79999999999</v>
      </c>
      <c r="O233" s="2">
        <v>43220.800000000003</v>
      </c>
      <c r="P233" s="2" t="s">
        <v>31</v>
      </c>
      <c r="Q233" s="2" t="s">
        <v>32</v>
      </c>
      <c r="R233" s="2">
        <v>7</v>
      </c>
      <c r="S233" s="2" t="s">
        <v>112</v>
      </c>
      <c r="T233" s="2">
        <v>3350</v>
      </c>
      <c r="U233" s="2">
        <v>4</v>
      </c>
      <c r="V233" s="2"/>
    </row>
    <row r="234" spans="1:22" x14ac:dyDescent="0.35">
      <c r="A234" s="3" t="s">
        <v>967</v>
      </c>
      <c r="B234" s="3" t="s">
        <v>137</v>
      </c>
      <c r="C234" s="3" t="s">
        <v>422</v>
      </c>
      <c r="D234" s="3" t="s">
        <v>968</v>
      </c>
      <c r="E234" s="3" t="s">
        <v>48</v>
      </c>
      <c r="F234" s="3" t="s">
        <v>969</v>
      </c>
      <c r="G234" s="3" t="s">
        <v>78</v>
      </c>
      <c r="H234" s="3" t="s">
        <v>79</v>
      </c>
      <c r="I234" s="3" t="s">
        <v>191</v>
      </c>
      <c r="J234" s="3">
        <v>272</v>
      </c>
      <c r="K234" s="3">
        <v>893.24</v>
      </c>
      <c r="L234" s="3">
        <v>1280.1199999999999</v>
      </c>
      <c r="M234" s="3">
        <v>348192.64</v>
      </c>
      <c r="N234" s="3">
        <v>242961.28</v>
      </c>
      <c r="O234" s="3">
        <v>105231.36</v>
      </c>
      <c r="P234" s="3" t="s">
        <v>52</v>
      </c>
      <c r="Q234" s="3" t="s">
        <v>63</v>
      </c>
      <c r="R234" s="3">
        <v>3</v>
      </c>
      <c r="S234" s="3" t="s">
        <v>86</v>
      </c>
      <c r="T234" s="3">
        <v>114</v>
      </c>
      <c r="U234" s="3">
        <v>6</v>
      </c>
      <c r="V234" s="3"/>
    </row>
    <row r="235" spans="1:22" x14ac:dyDescent="0.35">
      <c r="A235" s="2" t="s">
        <v>970</v>
      </c>
      <c r="B235" s="2" t="s">
        <v>379</v>
      </c>
      <c r="C235" s="2" t="s">
        <v>764</v>
      </c>
      <c r="D235" s="2" t="s">
        <v>971</v>
      </c>
      <c r="E235" s="2" t="s">
        <v>68</v>
      </c>
      <c r="F235" s="2" t="s">
        <v>146</v>
      </c>
      <c r="G235" s="2" t="s">
        <v>217</v>
      </c>
      <c r="H235" s="2" t="s">
        <v>340</v>
      </c>
      <c r="I235" s="2" t="s">
        <v>72</v>
      </c>
      <c r="J235" s="2">
        <v>350</v>
      </c>
      <c r="K235" s="2">
        <v>294.93</v>
      </c>
      <c r="L235" s="2">
        <v>333.04</v>
      </c>
      <c r="M235" s="2">
        <v>116564</v>
      </c>
      <c r="N235" s="2">
        <v>103225.5</v>
      </c>
      <c r="O235" s="2">
        <v>13338.5</v>
      </c>
      <c r="P235" s="2" t="s">
        <v>52</v>
      </c>
      <c r="Q235" s="2" t="s">
        <v>63</v>
      </c>
      <c r="R235" s="2">
        <v>2</v>
      </c>
      <c r="S235" s="2" t="s">
        <v>33</v>
      </c>
      <c r="T235" s="2">
        <v>4765</v>
      </c>
      <c r="U235" s="2">
        <v>1</v>
      </c>
      <c r="V235" s="2"/>
    </row>
    <row r="236" spans="1:22" x14ac:dyDescent="0.35">
      <c r="A236" s="3" t="s">
        <v>972</v>
      </c>
      <c r="B236" s="3" t="s">
        <v>149</v>
      </c>
      <c r="C236" s="3" t="s">
        <v>973</v>
      </c>
      <c r="D236" s="3" t="s">
        <v>974</v>
      </c>
      <c r="E236" s="3" t="s">
        <v>58</v>
      </c>
      <c r="F236" s="3" t="s">
        <v>417</v>
      </c>
      <c r="G236" s="3" t="s">
        <v>129</v>
      </c>
      <c r="H236" s="3" t="s">
        <v>168</v>
      </c>
      <c r="I236" s="3" t="s">
        <v>85</v>
      </c>
      <c r="J236" s="3">
        <v>705</v>
      </c>
      <c r="K236" s="3">
        <v>570.96</v>
      </c>
      <c r="L236" s="3">
        <v>872.62</v>
      </c>
      <c r="M236" s="3">
        <v>615197.1</v>
      </c>
      <c r="N236" s="3">
        <v>402526.8</v>
      </c>
      <c r="O236" s="3">
        <v>212670.3</v>
      </c>
      <c r="P236" s="3" t="s">
        <v>95</v>
      </c>
      <c r="Q236" s="3" t="s">
        <v>63</v>
      </c>
      <c r="R236" s="3">
        <v>3</v>
      </c>
      <c r="S236" s="3" t="s">
        <v>112</v>
      </c>
      <c r="T236" s="3">
        <v>3304</v>
      </c>
      <c r="U236" s="3">
        <v>34</v>
      </c>
      <c r="V236" s="3"/>
    </row>
    <row r="237" spans="1:22" x14ac:dyDescent="0.35">
      <c r="A237" s="2" t="s">
        <v>975</v>
      </c>
      <c r="B237" s="2" t="s">
        <v>483</v>
      </c>
      <c r="C237" s="2" t="s">
        <v>640</v>
      </c>
      <c r="D237" s="2" t="s">
        <v>976</v>
      </c>
      <c r="E237" s="2" t="s">
        <v>100</v>
      </c>
      <c r="F237" s="2" t="s">
        <v>238</v>
      </c>
      <c r="G237" s="2" t="s">
        <v>217</v>
      </c>
      <c r="H237" s="2" t="s">
        <v>494</v>
      </c>
      <c r="I237" s="2" t="s">
        <v>293</v>
      </c>
      <c r="J237" s="2">
        <v>334</v>
      </c>
      <c r="K237" s="2">
        <v>609.75</v>
      </c>
      <c r="L237" s="2">
        <v>889.48</v>
      </c>
      <c r="M237" s="2">
        <v>297086.32</v>
      </c>
      <c r="N237" s="2">
        <v>203656.5</v>
      </c>
      <c r="O237" s="2">
        <v>93429.82</v>
      </c>
      <c r="P237" s="2" t="s">
        <v>31</v>
      </c>
      <c r="Q237" s="2" t="s">
        <v>32</v>
      </c>
      <c r="R237" s="2">
        <v>11</v>
      </c>
      <c r="S237" s="2" t="s">
        <v>33</v>
      </c>
      <c r="T237" s="2">
        <v>1213</v>
      </c>
      <c r="U237" s="2">
        <v>0</v>
      </c>
      <c r="V237" s="2"/>
    </row>
    <row r="238" spans="1:22" x14ac:dyDescent="0.35">
      <c r="A238" s="3" t="s">
        <v>977</v>
      </c>
      <c r="B238" s="3" t="s">
        <v>149</v>
      </c>
      <c r="C238" s="3" t="s">
        <v>978</v>
      </c>
      <c r="D238" s="3" t="s">
        <v>979</v>
      </c>
      <c r="E238" s="3" t="s">
        <v>26</v>
      </c>
      <c r="F238" s="3" t="s">
        <v>77</v>
      </c>
      <c r="G238" s="3" t="s">
        <v>78</v>
      </c>
      <c r="H238" s="3" t="s">
        <v>628</v>
      </c>
      <c r="I238" s="3" t="s">
        <v>30</v>
      </c>
      <c r="J238" s="3">
        <v>452</v>
      </c>
      <c r="K238" s="3">
        <v>1096.05</v>
      </c>
      <c r="L238" s="3">
        <v>1369.93</v>
      </c>
      <c r="M238" s="4" t="s">
        <v>980</v>
      </c>
      <c r="N238" s="3">
        <v>495414.6</v>
      </c>
      <c r="O238" s="3">
        <v>123793.76</v>
      </c>
      <c r="P238" s="3" t="s">
        <v>31</v>
      </c>
      <c r="Q238" s="3" t="s">
        <v>32</v>
      </c>
      <c r="R238" s="3">
        <v>7</v>
      </c>
      <c r="S238" s="3" t="s">
        <v>158</v>
      </c>
      <c r="T238" s="3">
        <v>3211</v>
      </c>
      <c r="U238" s="3">
        <v>1</v>
      </c>
      <c r="V238" s="3"/>
    </row>
    <row r="239" spans="1:22" x14ac:dyDescent="0.35">
      <c r="A239" s="2" t="s">
        <v>981</v>
      </c>
      <c r="B239" s="2" t="s">
        <v>982</v>
      </c>
      <c r="C239" s="2" t="s">
        <v>435</v>
      </c>
      <c r="D239" s="2" t="s">
        <v>983</v>
      </c>
      <c r="E239" s="2" t="s">
        <v>26</v>
      </c>
      <c r="F239" s="2" t="s">
        <v>27</v>
      </c>
      <c r="G239" s="2" t="s">
        <v>70</v>
      </c>
      <c r="H239" s="2" t="s">
        <v>239</v>
      </c>
      <c r="I239" s="2" t="s">
        <v>141</v>
      </c>
      <c r="J239" s="2">
        <v>152</v>
      </c>
      <c r="K239" s="2">
        <v>1107.8399999999999</v>
      </c>
      <c r="L239" s="2">
        <v>1307.47</v>
      </c>
      <c r="M239" s="2">
        <v>198735.44</v>
      </c>
      <c r="N239" s="2">
        <v>168391.67999999999</v>
      </c>
      <c r="O239" s="2">
        <v>30343.759999999998</v>
      </c>
      <c r="P239" s="2" t="s">
        <v>42</v>
      </c>
      <c r="Q239" s="2" t="s">
        <v>32</v>
      </c>
      <c r="R239" s="2">
        <v>7</v>
      </c>
      <c r="S239" s="2" t="s">
        <v>33</v>
      </c>
      <c r="T239" s="2">
        <v>4759</v>
      </c>
      <c r="U239" s="2">
        <v>7</v>
      </c>
      <c r="V239" s="2"/>
    </row>
    <row r="240" spans="1:22" x14ac:dyDescent="0.35">
      <c r="A240" s="3" t="s">
        <v>984</v>
      </c>
      <c r="B240" s="3" t="s">
        <v>300</v>
      </c>
      <c r="C240" s="3" t="s">
        <v>390</v>
      </c>
      <c r="D240" s="3" t="s">
        <v>985</v>
      </c>
      <c r="E240" s="3" t="s">
        <v>26</v>
      </c>
      <c r="F240" s="3" t="s">
        <v>92</v>
      </c>
      <c r="G240" s="3" t="s">
        <v>93</v>
      </c>
      <c r="H240" s="3" t="s">
        <v>140</v>
      </c>
      <c r="I240" s="3" t="s">
        <v>72</v>
      </c>
      <c r="J240" s="3">
        <v>101</v>
      </c>
      <c r="K240" s="3">
        <v>437.77</v>
      </c>
      <c r="L240" s="3">
        <v>573.22</v>
      </c>
      <c r="M240" s="3">
        <v>57895.22</v>
      </c>
      <c r="N240" s="3">
        <v>44214.77</v>
      </c>
      <c r="O240" s="3">
        <v>13680.45</v>
      </c>
      <c r="P240" s="3" t="s">
        <v>52</v>
      </c>
      <c r="Q240" s="3" t="s">
        <v>63</v>
      </c>
      <c r="R240" s="3">
        <v>1</v>
      </c>
      <c r="S240" s="3" t="s">
        <v>158</v>
      </c>
      <c r="T240" s="3">
        <v>2924</v>
      </c>
      <c r="U240" s="4"/>
      <c r="V240" s="3"/>
    </row>
    <row r="241" spans="1:22" x14ac:dyDescent="0.35">
      <c r="A241" s="2" t="s">
        <v>986</v>
      </c>
      <c r="B241" s="2" t="s">
        <v>987</v>
      </c>
      <c r="C241" s="2" t="s">
        <v>988</v>
      </c>
      <c r="D241" s="2" t="s">
        <v>989</v>
      </c>
      <c r="E241" s="2" t="s">
        <v>100</v>
      </c>
      <c r="F241" s="2" t="s">
        <v>990</v>
      </c>
      <c r="G241" s="2" t="s">
        <v>50</v>
      </c>
      <c r="H241" s="2" t="s">
        <v>173</v>
      </c>
      <c r="I241" s="2" t="s">
        <v>30</v>
      </c>
      <c r="J241" s="2">
        <v>444</v>
      </c>
      <c r="K241" s="2">
        <v>117.97</v>
      </c>
      <c r="L241" s="2">
        <v>149.57</v>
      </c>
      <c r="M241" s="2">
        <v>66409.08</v>
      </c>
      <c r="N241" s="2">
        <v>52378.68</v>
      </c>
      <c r="O241" s="2">
        <v>14030.4</v>
      </c>
      <c r="P241" s="2" t="s">
        <v>31</v>
      </c>
      <c r="Q241" s="2" t="s">
        <v>32</v>
      </c>
      <c r="R241" s="2">
        <v>8</v>
      </c>
      <c r="S241" s="2" t="s">
        <v>43</v>
      </c>
      <c r="T241" s="2">
        <v>1812</v>
      </c>
      <c r="U241" s="2">
        <v>7</v>
      </c>
      <c r="V241" s="2"/>
    </row>
    <row r="242" spans="1:22" x14ac:dyDescent="0.35">
      <c r="A242" s="3" t="s">
        <v>991</v>
      </c>
      <c r="B242" s="3" t="s">
        <v>992</v>
      </c>
      <c r="C242" s="3" t="s">
        <v>97</v>
      </c>
      <c r="D242" s="3" t="s">
        <v>993</v>
      </c>
      <c r="E242" s="3" t="s">
        <v>26</v>
      </c>
      <c r="F242" s="3" t="s">
        <v>228</v>
      </c>
      <c r="G242" s="3" t="s">
        <v>50</v>
      </c>
      <c r="H242" s="4"/>
      <c r="I242" s="3" t="s">
        <v>191</v>
      </c>
      <c r="J242" s="3">
        <v>603</v>
      </c>
      <c r="K242" s="3">
        <v>10.99</v>
      </c>
      <c r="L242" s="3">
        <v>13.23</v>
      </c>
      <c r="M242" s="3">
        <v>7977.69</v>
      </c>
      <c r="N242" s="3">
        <v>6626.97</v>
      </c>
      <c r="O242" s="3">
        <v>1350.72</v>
      </c>
      <c r="P242" s="3" t="s">
        <v>31</v>
      </c>
      <c r="Q242" s="3" t="s">
        <v>32</v>
      </c>
      <c r="R242" s="3">
        <v>6</v>
      </c>
      <c r="S242" s="3" t="s">
        <v>43</v>
      </c>
      <c r="T242" s="3">
        <v>794</v>
      </c>
      <c r="U242" s="3">
        <v>7</v>
      </c>
      <c r="V242" s="3"/>
    </row>
    <row r="243" spans="1:22" x14ac:dyDescent="0.35">
      <c r="A243" s="2" t="s">
        <v>994</v>
      </c>
      <c r="B243" s="2" t="s">
        <v>262</v>
      </c>
      <c r="C243" s="2" t="s">
        <v>55</v>
      </c>
      <c r="D243" s="2" t="s">
        <v>995</v>
      </c>
      <c r="E243" s="2" t="s">
        <v>48</v>
      </c>
      <c r="F243" s="2" t="s">
        <v>223</v>
      </c>
      <c r="G243" s="2" t="s">
        <v>60</v>
      </c>
      <c r="H243" s="2" t="s">
        <v>400</v>
      </c>
      <c r="I243" s="2" t="s">
        <v>41</v>
      </c>
      <c r="J243" s="2">
        <v>591</v>
      </c>
      <c r="K243" s="2">
        <v>20.59</v>
      </c>
      <c r="L243" s="2">
        <v>26.04</v>
      </c>
      <c r="M243" s="2">
        <v>15389.64</v>
      </c>
      <c r="N243" s="2">
        <v>12168.69</v>
      </c>
      <c r="O243" s="2">
        <v>3220.95</v>
      </c>
      <c r="P243" s="2" t="s">
        <v>52</v>
      </c>
      <c r="Q243" s="2" t="s">
        <v>32</v>
      </c>
      <c r="R243" s="2">
        <v>12</v>
      </c>
      <c r="S243" s="2" t="s">
        <v>33</v>
      </c>
      <c r="T243" s="2">
        <v>4070</v>
      </c>
      <c r="U243" s="2">
        <v>14</v>
      </c>
      <c r="V243" s="2"/>
    </row>
    <row r="244" spans="1:22" x14ac:dyDescent="0.35">
      <c r="A244" s="3" t="s">
        <v>996</v>
      </c>
      <c r="B244" s="3" t="s">
        <v>166</v>
      </c>
      <c r="C244" s="3" t="s">
        <v>764</v>
      </c>
      <c r="D244" s="3" t="s">
        <v>997</v>
      </c>
      <c r="E244" s="3" t="s">
        <v>58</v>
      </c>
      <c r="F244" s="3" t="s">
        <v>59</v>
      </c>
      <c r="G244" s="3" t="s">
        <v>129</v>
      </c>
      <c r="H244" s="3" t="s">
        <v>704</v>
      </c>
      <c r="I244" s="3" t="s">
        <v>30</v>
      </c>
      <c r="J244" s="3">
        <v>418</v>
      </c>
      <c r="K244" s="3">
        <v>54.04</v>
      </c>
      <c r="L244" s="3">
        <v>65.819999999999993</v>
      </c>
      <c r="M244" s="3">
        <v>27512.76</v>
      </c>
      <c r="N244" s="3">
        <v>22588.720000000001</v>
      </c>
      <c r="O244" s="3">
        <v>4924.04</v>
      </c>
      <c r="P244" s="3" t="s">
        <v>52</v>
      </c>
      <c r="Q244" s="3" t="s">
        <v>63</v>
      </c>
      <c r="R244" s="3">
        <v>2</v>
      </c>
      <c r="S244" s="3" t="s">
        <v>53</v>
      </c>
      <c r="T244" s="3">
        <v>1020</v>
      </c>
      <c r="U244" s="3">
        <v>2</v>
      </c>
      <c r="V244" s="3"/>
    </row>
    <row r="245" spans="1:22" x14ac:dyDescent="0.35">
      <c r="A245" s="2" t="s">
        <v>998</v>
      </c>
      <c r="B245" s="2" t="s">
        <v>999</v>
      </c>
      <c r="C245" s="2" t="s">
        <v>371</v>
      </c>
      <c r="D245" s="2" t="s">
        <v>1000</v>
      </c>
      <c r="E245" s="2" t="s">
        <v>68</v>
      </c>
      <c r="F245" s="2" t="s">
        <v>276</v>
      </c>
      <c r="G245" s="2" t="s">
        <v>39</v>
      </c>
      <c r="H245" s="2" t="s">
        <v>647</v>
      </c>
      <c r="I245" s="2" t="s">
        <v>30</v>
      </c>
      <c r="J245" s="2">
        <v>708</v>
      </c>
      <c r="K245" s="2">
        <v>545.63</v>
      </c>
      <c r="L245" s="2">
        <v>887.01</v>
      </c>
      <c r="M245" s="2">
        <v>628003.07999999996</v>
      </c>
      <c r="N245" s="2">
        <v>386306.04</v>
      </c>
      <c r="O245" s="2">
        <v>241697.04</v>
      </c>
      <c r="P245" s="2" t="s">
        <v>95</v>
      </c>
      <c r="Q245" s="2" t="s">
        <v>32</v>
      </c>
      <c r="R245" s="2">
        <v>14</v>
      </c>
      <c r="S245" s="2" t="s">
        <v>86</v>
      </c>
      <c r="T245" s="2">
        <v>139</v>
      </c>
      <c r="U245" s="2">
        <v>31</v>
      </c>
      <c r="V245" s="2"/>
    </row>
    <row r="246" spans="1:22" x14ac:dyDescent="0.35">
      <c r="A246" s="3" t="s">
        <v>1001</v>
      </c>
      <c r="B246" s="3" t="s">
        <v>1002</v>
      </c>
      <c r="C246" s="3" t="s">
        <v>1003</v>
      </c>
      <c r="D246" s="3" t="s">
        <v>1004</v>
      </c>
      <c r="E246" s="3" t="s">
        <v>100</v>
      </c>
      <c r="F246" s="3" t="s">
        <v>538</v>
      </c>
      <c r="G246" s="3" t="s">
        <v>129</v>
      </c>
      <c r="H246" s="3" t="s">
        <v>704</v>
      </c>
      <c r="I246" s="3" t="s">
        <v>30</v>
      </c>
      <c r="J246" s="3">
        <v>495</v>
      </c>
      <c r="K246" s="3">
        <v>845.96</v>
      </c>
      <c r="L246" s="3">
        <v>1367.19</v>
      </c>
      <c r="M246" s="3">
        <v>676759.05</v>
      </c>
      <c r="N246" s="3">
        <v>418750.2</v>
      </c>
      <c r="O246" s="3">
        <v>258008.85</v>
      </c>
      <c r="P246" s="3" t="s">
        <v>95</v>
      </c>
      <c r="Q246" s="3" t="s">
        <v>32</v>
      </c>
      <c r="R246" s="3">
        <v>11</v>
      </c>
      <c r="S246" s="3" t="s">
        <v>86</v>
      </c>
      <c r="T246" s="3">
        <v>3073</v>
      </c>
      <c r="U246" s="3">
        <v>24</v>
      </c>
      <c r="V246" s="3"/>
    </row>
    <row r="247" spans="1:22" x14ac:dyDescent="0.35">
      <c r="A247" s="2" t="s">
        <v>1005</v>
      </c>
      <c r="B247" s="2" t="s">
        <v>1006</v>
      </c>
      <c r="C247" s="2" t="s">
        <v>1007</v>
      </c>
      <c r="D247" s="2" t="s">
        <v>1008</v>
      </c>
      <c r="E247" s="2" t="s">
        <v>68</v>
      </c>
      <c r="F247" s="2" t="s">
        <v>69</v>
      </c>
      <c r="G247" s="2" t="s">
        <v>50</v>
      </c>
      <c r="H247" s="2" t="s">
        <v>135</v>
      </c>
      <c r="I247" s="2" t="s">
        <v>293</v>
      </c>
      <c r="J247" s="2">
        <v>213</v>
      </c>
      <c r="K247" s="2">
        <v>79.2</v>
      </c>
      <c r="L247" s="2">
        <v>121.47</v>
      </c>
      <c r="M247" s="2">
        <v>25873.11</v>
      </c>
      <c r="N247" s="2">
        <v>16869.599999999999</v>
      </c>
      <c r="O247" s="2">
        <v>9003.51</v>
      </c>
      <c r="P247" s="2" t="s">
        <v>31</v>
      </c>
      <c r="Q247" s="2" t="s">
        <v>32</v>
      </c>
      <c r="R247" s="2">
        <v>11</v>
      </c>
      <c r="S247" s="2" t="s">
        <v>86</v>
      </c>
      <c r="T247" s="2">
        <v>2716</v>
      </c>
      <c r="U247" s="2">
        <v>7</v>
      </c>
      <c r="V247" s="2"/>
    </row>
    <row r="248" spans="1:22" x14ac:dyDescent="0.35">
      <c r="A248" s="3" t="s">
        <v>1009</v>
      </c>
      <c r="B248" s="3" t="s">
        <v>1010</v>
      </c>
      <c r="C248" s="3" t="s">
        <v>552</v>
      </c>
      <c r="D248" s="3" t="s">
        <v>1011</v>
      </c>
      <c r="E248" s="3" t="s">
        <v>26</v>
      </c>
      <c r="F248" s="3" t="s">
        <v>253</v>
      </c>
      <c r="G248" s="3" t="s">
        <v>39</v>
      </c>
      <c r="H248" s="3" t="s">
        <v>477</v>
      </c>
      <c r="I248" s="3" t="s">
        <v>62</v>
      </c>
      <c r="J248" s="3">
        <v>376</v>
      </c>
      <c r="K248" s="3">
        <v>234.39</v>
      </c>
      <c r="L248" s="3">
        <v>350.01</v>
      </c>
      <c r="M248" s="3">
        <v>131603.76</v>
      </c>
      <c r="N248" s="3">
        <v>88130.64</v>
      </c>
      <c r="O248" s="3">
        <v>43473.120000000003</v>
      </c>
      <c r="P248" s="3" t="s">
        <v>52</v>
      </c>
      <c r="Q248" s="3" t="s">
        <v>32</v>
      </c>
      <c r="R248" s="3">
        <v>10</v>
      </c>
      <c r="S248" s="3" t="s">
        <v>112</v>
      </c>
      <c r="T248" s="3">
        <v>3014</v>
      </c>
      <c r="U248" s="3">
        <v>4</v>
      </c>
      <c r="V248" s="3"/>
    </row>
    <row r="249" spans="1:22" x14ac:dyDescent="0.35">
      <c r="A249" s="2" t="s">
        <v>1012</v>
      </c>
      <c r="B249" s="2" t="s">
        <v>394</v>
      </c>
      <c r="C249" s="2" t="s">
        <v>458</v>
      </c>
      <c r="D249" s="2" t="s">
        <v>1013</v>
      </c>
      <c r="E249" s="2" t="s">
        <v>26</v>
      </c>
      <c r="F249" s="2" t="s">
        <v>38</v>
      </c>
      <c r="G249" s="2" t="s">
        <v>189</v>
      </c>
      <c r="H249" s="2" t="s">
        <v>311</v>
      </c>
      <c r="I249" s="2" t="s">
        <v>62</v>
      </c>
      <c r="J249" s="2">
        <v>110</v>
      </c>
      <c r="K249" s="2">
        <v>139.53</v>
      </c>
      <c r="L249" s="2">
        <v>198.34</v>
      </c>
      <c r="M249" s="2">
        <v>21817.4</v>
      </c>
      <c r="N249" s="2">
        <v>15348.3</v>
      </c>
      <c r="O249" s="2">
        <v>6469.1</v>
      </c>
      <c r="P249" s="2" t="s">
        <v>52</v>
      </c>
      <c r="Q249" s="2" t="s">
        <v>32</v>
      </c>
      <c r="R249" s="2">
        <v>15</v>
      </c>
      <c r="S249" s="2" t="s">
        <v>158</v>
      </c>
      <c r="T249" s="2">
        <v>2323</v>
      </c>
      <c r="U249" s="2">
        <v>2</v>
      </c>
      <c r="V249" s="2"/>
    </row>
    <row r="250" spans="1:22" x14ac:dyDescent="0.35">
      <c r="A250" s="3" t="s">
        <v>1014</v>
      </c>
      <c r="B250" s="3" t="s">
        <v>819</v>
      </c>
      <c r="C250" s="3" t="s">
        <v>1015</v>
      </c>
      <c r="D250" s="3" t="s">
        <v>1016</v>
      </c>
      <c r="E250" s="3" t="s">
        <v>26</v>
      </c>
      <c r="F250" s="3" t="s">
        <v>228</v>
      </c>
      <c r="G250" s="3" t="s">
        <v>70</v>
      </c>
      <c r="H250" s="3" t="s">
        <v>71</v>
      </c>
      <c r="I250" s="3" t="s">
        <v>141</v>
      </c>
      <c r="J250" s="3">
        <v>320</v>
      </c>
      <c r="K250" s="3">
        <v>451.19</v>
      </c>
      <c r="L250" s="3">
        <v>607.38</v>
      </c>
      <c r="M250" s="3">
        <v>194361.60000000001</v>
      </c>
      <c r="N250" s="3">
        <v>144380.79999999999</v>
      </c>
      <c r="O250" s="3">
        <v>49980.800000000003</v>
      </c>
      <c r="P250" s="3" t="s">
        <v>52</v>
      </c>
      <c r="Q250" s="3" t="s">
        <v>32</v>
      </c>
      <c r="R250" s="3">
        <v>15</v>
      </c>
      <c r="S250" s="3" t="s">
        <v>158</v>
      </c>
      <c r="T250" s="3">
        <v>3066</v>
      </c>
      <c r="U250" s="3">
        <v>0</v>
      </c>
      <c r="V250" s="3"/>
    </row>
    <row r="251" spans="1:22" x14ac:dyDescent="0.35">
      <c r="A251" s="2" t="s">
        <v>1017</v>
      </c>
      <c r="B251" s="2" t="s">
        <v>351</v>
      </c>
      <c r="C251" s="2" t="s">
        <v>982</v>
      </c>
      <c r="D251" s="2" t="s">
        <v>1018</v>
      </c>
      <c r="E251" s="2" t="s">
        <v>48</v>
      </c>
      <c r="F251" s="2" t="s">
        <v>270</v>
      </c>
      <c r="G251" s="2" t="s">
        <v>70</v>
      </c>
      <c r="H251" s="2" t="s">
        <v>1019</v>
      </c>
      <c r="I251" s="2" t="s">
        <v>1020</v>
      </c>
      <c r="J251" s="2">
        <v>139</v>
      </c>
      <c r="K251" s="2">
        <v>1149.48</v>
      </c>
      <c r="L251" s="2">
        <v>1586.41</v>
      </c>
      <c r="M251" s="2">
        <v>220510.99</v>
      </c>
      <c r="N251" s="2">
        <v>159777.72</v>
      </c>
      <c r="O251" s="2">
        <v>60733.27</v>
      </c>
      <c r="P251" s="2" t="s">
        <v>52</v>
      </c>
      <c r="Q251" s="2" t="s">
        <v>63</v>
      </c>
      <c r="R251" s="2">
        <v>1</v>
      </c>
      <c r="S251" s="2" t="s">
        <v>33</v>
      </c>
      <c r="T251" s="2">
        <v>1987</v>
      </c>
      <c r="U251" s="2">
        <v>6</v>
      </c>
      <c r="V251" s="2"/>
    </row>
    <row r="252" spans="1:22" x14ac:dyDescent="0.35">
      <c r="A252" s="3" t="s">
        <v>1021</v>
      </c>
      <c r="B252" s="3" t="s">
        <v>1022</v>
      </c>
      <c r="C252" s="3" t="s">
        <v>1023</v>
      </c>
      <c r="D252" s="3" t="s">
        <v>1024</v>
      </c>
      <c r="E252" s="3" t="s">
        <v>58</v>
      </c>
      <c r="F252" s="3" t="s">
        <v>417</v>
      </c>
      <c r="G252" s="3" t="s">
        <v>28</v>
      </c>
      <c r="H252" s="3" t="s">
        <v>714</v>
      </c>
      <c r="I252" s="3" t="s">
        <v>153</v>
      </c>
      <c r="J252" s="3">
        <v>208</v>
      </c>
      <c r="K252" s="3">
        <v>460.65</v>
      </c>
      <c r="L252" s="3">
        <v>654.21</v>
      </c>
      <c r="M252" s="3">
        <v>136075.68</v>
      </c>
      <c r="N252" s="3">
        <v>95815.2</v>
      </c>
      <c r="O252" s="3">
        <v>40260.480000000003</v>
      </c>
      <c r="P252" s="3" t="s">
        <v>1025</v>
      </c>
      <c r="Q252" s="3" t="s">
        <v>63</v>
      </c>
      <c r="R252" s="3">
        <v>2</v>
      </c>
      <c r="S252" s="3" t="s">
        <v>112</v>
      </c>
      <c r="T252" s="3">
        <v>4093</v>
      </c>
      <c r="U252" s="3">
        <v>10</v>
      </c>
      <c r="V252" s="3"/>
    </row>
    <row r="253" spans="1:22" x14ac:dyDescent="0.35">
      <c r="A253" s="2" t="s">
        <v>1026</v>
      </c>
      <c r="B253" s="2" t="s">
        <v>1027</v>
      </c>
      <c r="C253" s="2" t="s">
        <v>1028</v>
      </c>
      <c r="D253" s="2" t="s">
        <v>1029</v>
      </c>
      <c r="E253" s="2" t="s">
        <v>58</v>
      </c>
      <c r="F253" s="2" t="s">
        <v>116</v>
      </c>
      <c r="G253" s="2" t="s">
        <v>189</v>
      </c>
      <c r="H253" s="2" t="s">
        <v>271</v>
      </c>
      <c r="I253" s="2" t="s">
        <v>1030</v>
      </c>
      <c r="J253" s="2">
        <v>170</v>
      </c>
      <c r="K253" s="2">
        <v>357.7</v>
      </c>
      <c r="L253" s="2">
        <v>458.13</v>
      </c>
      <c r="M253" s="2">
        <v>77882.100000000006</v>
      </c>
      <c r="N253" s="2">
        <v>60809</v>
      </c>
      <c r="O253" s="2">
        <v>17073.099999999999</v>
      </c>
      <c r="P253" s="2" t="s">
        <v>52</v>
      </c>
      <c r="Q253" s="2" t="s">
        <v>32</v>
      </c>
      <c r="R253" s="2">
        <v>12</v>
      </c>
      <c r="S253" s="2" t="s">
        <v>158</v>
      </c>
      <c r="T253" s="2">
        <v>3558</v>
      </c>
      <c r="U253" s="2">
        <v>3</v>
      </c>
      <c r="V253" s="2"/>
    </row>
    <row r="254" spans="1:22" x14ac:dyDescent="0.35">
      <c r="A254" s="3" t="s">
        <v>1031</v>
      </c>
      <c r="B254" s="3" t="s">
        <v>668</v>
      </c>
      <c r="C254" s="3" t="s">
        <v>468</v>
      </c>
      <c r="D254" s="3" t="s">
        <v>1032</v>
      </c>
      <c r="E254" s="3" t="s">
        <v>100</v>
      </c>
      <c r="F254" s="3" t="s">
        <v>538</v>
      </c>
      <c r="G254" s="3" t="s">
        <v>78</v>
      </c>
      <c r="H254" s="3" t="s">
        <v>79</v>
      </c>
      <c r="I254" s="3" t="s">
        <v>191</v>
      </c>
      <c r="J254" s="3">
        <v>612</v>
      </c>
      <c r="K254" s="3">
        <v>698.88</v>
      </c>
      <c r="L254" s="3">
        <v>1096.24</v>
      </c>
      <c r="M254" s="3">
        <v>670898.88</v>
      </c>
      <c r="N254" s="3">
        <v>427714.56</v>
      </c>
      <c r="O254" s="3">
        <v>243184.32</v>
      </c>
      <c r="P254" s="3" t="s">
        <v>95</v>
      </c>
      <c r="Q254" s="3" t="s">
        <v>32</v>
      </c>
      <c r="R254" s="3">
        <v>14</v>
      </c>
      <c r="S254" s="3" t="s">
        <v>112</v>
      </c>
      <c r="T254" s="3">
        <v>864</v>
      </c>
      <c r="U254" s="3">
        <v>8</v>
      </c>
      <c r="V254" s="3"/>
    </row>
    <row r="255" spans="1:22" x14ac:dyDescent="0.35">
      <c r="A255" s="2" t="s">
        <v>1033</v>
      </c>
      <c r="B255" s="2" t="s">
        <v>865</v>
      </c>
      <c r="C255" s="2" t="s">
        <v>1034</v>
      </c>
      <c r="D255" s="2" t="s">
        <v>1035</v>
      </c>
      <c r="E255" s="2" t="s">
        <v>26</v>
      </c>
      <c r="F255" s="2" t="s">
        <v>27</v>
      </c>
      <c r="G255" s="2" t="s">
        <v>78</v>
      </c>
      <c r="H255" s="2" t="s">
        <v>79</v>
      </c>
      <c r="I255" s="2" t="s">
        <v>153</v>
      </c>
      <c r="J255" s="2">
        <v>185</v>
      </c>
      <c r="K255" s="2">
        <v>402.4</v>
      </c>
      <c r="L255" s="2">
        <v>564.79</v>
      </c>
      <c r="M255" s="2">
        <v>104486.15</v>
      </c>
      <c r="N255" s="2">
        <v>74444</v>
      </c>
      <c r="O255" s="2">
        <v>30042.15</v>
      </c>
      <c r="P255" s="2" t="s">
        <v>31</v>
      </c>
      <c r="Q255" s="2" t="s">
        <v>32</v>
      </c>
      <c r="R255" s="2">
        <v>9</v>
      </c>
      <c r="S255" s="2" t="s">
        <v>53</v>
      </c>
      <c r="T255" s="2">
        <v>1568</v>
      </c>
      <c r="U255" s="2">
        <v>4</v>
      </c>
      <c r="V255" s="2"/>
    </row>
    <row r="256" spans="1:22" x14ac:dyDescent="0.35">
      <c r="A256" s="3" t="s">
        <v>1036</v>
      </c>
      <c r="B256" s="3" t="s">
        <v>736</v>
      </c>
      <c r="C256" s="3" t="s">
        <v>1037</v>
      </c>
      <c r="D256" s="3" t="s">
        <v>1038</v>
      </c>
      <c r="E256" s="3" t="s">
        <v>26</v>
      </c>
      <c r="F256" s="3" t="s">
        <v>27</v>
      </c>
      <c r="G256" s="3" t="s">
        <v>217</v>
      </c>
      <c r="H256" s="3" t="s">
        <v>524</v>
      </c>
      <c r="I256" s="3" t="s">
        <v>293</v>
      </c>
      <c r="J256" s="3">
        <v>250</v>
      </c>
      <c r="K256" s="3">
        <v>401.62</v>
      </c>
      <c r="L256" s="3">
        <v>485.97</v>
      </c>
      <c r="M256" s="3">
        <v>121492.5</v>
      </c>
      <c r="N256" s="3">
        <v>100405</v>
      </c>
      <c r="O256" s="3">
        <v>21087.5</v>
      </c>
      <c r="P256" s="3" t="s">
        <v>52</v>
      </c>
      <c r="Q256" s="3" t="s">
        <v>32</v>
      </c>
      <c r="R256" s="3">
        <v>6</v>
      </c>
      <c r="S256" s="3" t="s">
        <v>112</v>
      </c>
      <c r="T256" s="3">
        <v>4398</v>
      </c>
      <c r="U256" s="3">
        <v>12</v>
      </c>
      <c r="V256" s="3"/>
    </row>
    <row r="257" spans="1:22" x14ac:dyDescent="0.35">
      <c r="A257" s="2" t="s">
        <v>1039</v>
      </c>
      <c r="B257" s="2" t="s">
        <v>706</v>
      </c>
      <c r="C257" s="2" t="s">
        <v>1040</v>
      </c>
      <c r="D257" s="2" t="s">
        <v>1041</v>
      </c>
      <c r="E257" s="2" t="s">
        <v>26</v>
      </c>
      <c r="F257" s="2" t="s">
        <v>77</v>
      </c>
      <c r="G257" s="2" t="s">
        <v>50</v>
      </c>
      <c r="H257" s="2" t="s">
        <v>117</v>
      </c>
      <c r="I257" s="2" t="s">
        <v>85</v>
      </c>
      <c r="J257" s="2">
        <v>465</v>
      </c>
      <c r="K257" s="2">
        <v>369.5</v>
      </c>
      <c r="L257" s="2">
        <v>565.77</v>
      </c>
      <c r="M257" s="2">
        <v>263083.05</v>
      </c>
      <c r="N257" s="2">
        <v>171817.5</v>
      </c>
      <c r="O257" s="2">
        <v>91265.55</v>
      </c>
      <c r="P257" s="2" t="s">
        <v>31</v>
      </c>
      <c r="Q257" s="2" t="s">
        <v>63</v>
      </c>
      <c r="R257" s="2">
        <v>3</v>
      </c>
      <c r="S257" s="2" t="s">
        <v>33</v>
      </c>
      <c r="T257" s="2">
        <v>2975</v>
      </c>
      <c r="U257" s="2">
        <v>5</v>
      </c>
      <c r="V257" s="2"/>
    </row>
    <row r="258" spans="1:22" x14ac:dyDescent="0.35">
      <c r="A258" s="3" t="s">
        <v>1042</v>
      </c>
      <c r="B258" s="3" t="s">
        <v>1043</v>
      </c>
      <c r="C258" s="3" t="s">
        <v>256</v>
      </c>
      <c r="D258" s="3" t="s">
        <v>1044</v>
      </c>
      <c r="E258" s="3" t="s">
        <v>26</v>
      </c>
      <c r="F258" s="3" t="s">
        <v>77</v>
      </c>
      <c r="G258" s="3" t="s">
        <v>39</v>
      </c>
      <c r="H258" s="3" t="s">
        <v>477</v>
      </c>
      <c r="I258" s="3" t="s">
        <v>153</v>
      </c>
      <c r="J258" s="3">
        <v>295</v>
      </c>
      <c r="K258" s="3">
        <v>143.68</v>
      </c>
      <c r="L258" s="3">
        <v>196.28</v>
      </c>
      <c r="M258" s="3">
        <v>57902.6</v>
      </c>
      <c r="N258" s="3">
        <v>42385.599999999999</v>
      </c>
      <c r="O258" s="3">
        <v>15517</v>
      </c>
      <c r="P258" s="3" t="s">
        <v>31</v>
      </c>
      <c r="Q258" s="4"/>
      <c r="R258" s="3">
        <v>7</v>
      </c>
      <c r="S258" s="3" t="s">
        <v>43</v>
      </c>
      <c r="T258" s="3">
        <v>595</v>
      </c>
      <c r="U258" s="3">
        <v>10</v>
      </c>
      <c r="V258" s="3"/>
    </row>
    <row r="259" spans="1:22" x14ac:dyDescent="0.35">
      <c r="A259" s="3" t="s">
        <v>1045</v>
      </c>
      <c r="B259" s="3" t="s">
        <v>356</v>
      </c>
      <c r="C259" s="3" t="s">
        <v>1046</v>
      </c>
      <c r="D259" s="3" t="s">
        <v>1047</v>
      </c>
      <c r="E259" s="3" t="s">
        <v>48</v>
      </c>
      <c r="F259" s="3" t="s">
        <v>223</v>
      </c>
      <c r="G259" s="3" t="s">
        <v>217</v>
      </c>
      <c r="H259" s="3" t="s">
        <v>335</v>
      </c>
      <c r="I259" s="3" t="s">
        <v>41</v>
      </c>
      <c r="J259" s="3">
        <v>435</v>
      </c>
      <c r="K259" s="3">
        <v>911.75</v>
      </c>
      <c r="L259" s="3">
        <v>1025.03</v>
      </c>
      <c r="M259" s="3">
        <v>445888.05</v>
      </c>
      <c r="N259" s="3">
        <v>396611.25</v>
      </c>
      <c r="O259" s="3">
        <v>49276.800000000003</v>
      </c>
      <c r="P259" s="3" t="s">
        <v>95</v>
      </c>
      <c r="Q259" s="3" t="s">
        <v>63</v>
      </c>
      <c r="R259" s="3">
        <v>3</v>
      </c>
      <c r="S259" s="3" t="s">
        <v>53</v>
      </c>
      <c r="T259" s="3">
        <v>2278</v>
      </c>
      <c r="U259" s="3">
        <v>17</v>
      </c>
      <c r="V259" s="3"/>
    </row>
    <row r="260" spans="1:22" x14ac:dyDescent="0.35">
      <c r="A260" s="2" t="s">
        <v>1048</v>
      </c>
      <c r="B260" s="2" t="s">
        <v>1049</v>
      </c>
      <c r="C260" s="2" t="s">
        <v>1050</v>
      </c>
      <c r="D260" s="2" t="s">
        <v>1051</v>
      </c>
      <c r="E260" s="2" t="s">
        <v>58</v>
      </c>
      <c r="F260" s="2" t="s">
        <v>417</v>
      </c>
      <c r="G260" s="2" t="s">
        <v>70</v>
      </c>
      <c r="H260" s="2" t="s">
        <v>446</v>
      </c>
      <c r="I260" s="2" t="s">
        <v>124</v>
      </c>
      <c r="J260" s="2">
        <v>188</v>
      </c>
      <c r="K260" s="2">
        <v>713.17</v>
      </c>
      <c r="L260" s="2">
        <v>1019.6</v>
      </c>
      <c r="M260" s="2">
        <v>191684.8</v>
      </c>
      <c r="N260" s="2">
        <v>134075.96</v>
      </c>
      <c r="O260" s="2">
        <v>57608.84</v>
      </c>
      <c r="P260" s="2" t="s">
        <v>52</v>
      </c>
      <c r="Q260" s="2" t="s">
        <v>32</v>
      </c>
      <c r="R260" s="2">
        <v>11</v>
      </c>
      <c r="S260" s="2" t="s">
        <v>33</v>
      </c>
      <c r="T260" s="2">
        <v>202</v>
      </c>
      <c r="U260" s="2">
        <v>0</v>
      </c>
      <c r="V260" s="2"/>
    </row>
    <row r="261" spans="1:22" x14ac:dyDescent="0.35">
      <c r="A261" s="3" t="s">
        <v>1052</v>
      </c>
      <c r="B261" s="3" t="s">
        <v>1053</v>
      </c>
      <c r="C261" s="3" t="s">
        <v>887</v>
      </c>
      <c r="D261" s="3" t="s">
        <v>1054</v>
      </c>
      <c r="E261" s="3" t="s">
        <v>58</v>
      </c>
      <c r="F261" s="3" t="s">
        <v>259</v>
      </c>
      <c r="G261" s="3" t="s">
        <v>129</v>
      </c>
      <c r="H261" s="3" t="s">
        <v>168</v>
      </c>
      <c r="I261" s="3" t="s">
        <v>240</v>
      </c>
      <c r="J261" s="3">
        <v>477</v>
      </c>
      <c r="K261" s="3">
        <v>714.1</v>
      </c>
      <c r="L261" s="3">
        <v>887.42</v>
      </c>
      <c r="M261" s="3">
        <v>423299.34</v>
      </c>
      <c r="N261" s="3">
        <v>340625.7</v>
      </c>
      <c r="O261" s="3">
        <v>82673.64</v>
      </c>
      <c r="P261" s="3" t="s">
        <v>95</v>
      </c>
      <c r="Q261" s="3" t="s">
        <v>32</v>
      </c>
      <c r="R261" s="3">
        <v>9</v>
      </c>
      <c r="S261" s="3" t="s">
        <v>86</v>
      </c>
      <c r="T261" s="3">
        <v>4781</v>
      </c>
      <c r="U261" s="3">
        <v>17</v>
      </c>
      <c r="V261" s="3"/>
    </row>
    <row r="262" spans="1:22" x14ac:dyDescent="0.35">
      <c r="A262" s="2" t="s">
        <v>1055</v>
      </c>
      <c r="B262" s="2" t="s">
        <v>133</v>
      </c>
      <c r="C262" s="2" t="s">
        <v>719</v>
      </c>
      <c r="D262" s="2" t="s">
        <v>1056</v>
      </c>
      <c r="E262" s="2" t="s">
        <v>100</v>
      </c>
      <c r="F262" s="2" t="s">
        <v>101</v>
      </c>
      <c r="G262" s="2" t="s">
        <v>50</v>
      </c>
      <c r="H262" s="2" t="s">
        <v>51</v>
      </c>
      <c r="I262" s="2" t="s">
        <v>30</v>
      </c>
      <c r="J262" s="2">
        <v>712</v>
      </c>
      <c r="K262" s="2">
        <v>737.03</v>
      </c>
      <c r="L262" s="2">
        <v>830.63</v>
      </c>
      <c r="M262" s="2">
        <v>591408.56000000006</v>
      </c>
      <c r="N262" s="2">
        <v>524765.36</v>
      </c>
      <c r="O262" s="2">
        <v>66643.199999999997</v>
      </c>
      <c r="P262" s="2" t="s">
        <v>95</v>
      </c>
      <c r="Q262" s="2" t="s">
        <v>32</v>
      </c>
      <c r="R262" s="2">
        <v>12</v>
      </c>
      <c r="S262" s="2" t="s">
        <v>86</v>
      </c>
      <c r="T262" s="2">
        <v>135</v>
      </c>
      <c r="U262" s="2">
        <v>32</v>
      </c>
      <c r="V262" s="2"/>
    </row>
    <row r="263" spans="1:22" x14ac:dyDescent="0.35">
      <c r="A263" s="3" t="s">
        <v>1057</v>
      </c>
      <c r="B263" s="3" t="s">
        <v>454</v>
      </c>
      <c r="C263" s="3" t="s">
        <v>748</v>
      </c>
      <c r="D263" s="3" t="s">
        <v>1058</v>
      </c>
      <c r="E263" s="3" t="s">
        <v>100</v>
      </c>
      <c r="F263" s="3" t="s">
        <v>106</v>
      </c>
      <c r="G263" s="3" t="s">
        <v>78</v>
      </c>
      <c r="H263" s="3" t="s">
        <v>840</v>
      </c>
      <c r="I263" s="3" t="s">
        <v>30</v>
      </c>
      <c r="J263" s="3">
        <v>693</v>
      </c>
      <c r="K263" s="3">
        <v>235.67</v>
      </c>
      <c r="L263" s="3">
        <v>267.26</v>
      </c>
      <c r="M263" s="3">
        <v>185211.18</v>
      </c>
      <c r="N263" s="3">
        <v>163319.31</v>
      </c>
      <c r="O263" s="3">
        <v>21891.87</v>
      </c>
      <c r="P263" s="3" t="s">
        <v>42</v>
      </c>
      <c r="Q263" s="3" t="s">
        <v>63</v>
      </c>
      <c r="R263" s="3">
        <v>2</v>
      </c>
      <c r="S263" s="3" t="s">
        <v>33</v>
      </c>
      <c r="T263" s="3">
        <v>1342</v>
      </c>
      <c r="U263" s="3">
        <v>11</v>
      </c>
      <c r="V263" s="3"/>
    </row>
    <row r="264" spans="1:22" x14ac:dyDescent="0.35">
      <c r="A264" s="2" t="s">
        <v>405</v>
      </c>
      <c r="B264" s="2" t="s">
        <v>406</v>
      </c>
      <c r="C264" s="2" t="s">
        <v>407</v>
      </c>
      <c r="D264" s="2" t="s">
        <v>408</v>
      </c>
      <c r="E264" s="2" t="s">
        <v>48</v>
      </c>
      <c r="F264" s="2" t="s">
        <v>223</v>
      </c>
      <c r="G264" s="2" t="s">
        <v>70</v>
      </c>
      <c r="H264" s="2" t="s">
        <v>446</v>
      </c>
      <c r="I264" s="2" t="s">
        <v>1059</v>
      </c>
      <c r="J264" s="2">
        <v>144</v>
      </c>
      <c r="K264" s="2">
        <v>498.67</v>
      </c>
      <c r="L264" s="2">
        <v>771.66</v>
      </c>
      <c r="M264" s="2">
        <v>111119.03999999999</v>
      </c>
      <c r="N264" s="2">
        <v>71808.479999999996</v>
      </c>
      <c r="O264" s="2">
        <v>39310.559999999998</v>
      </c>
      <c r="P264" s="2" t="s">
        <v>95</v>
      </c>
      <c r="Q264" s="2" t="s">
        <v>32</v>
      </c>
      <c r="R264" s="2">
        <v>11</v>
      </c>
      <c r="S264" s="2" t="s">
        <v>33</v>
      </c>
      <c r="T264" s="2">
        <v>3605</v>
      </c>
      <c r="U264" s="2">
        <v>3</v>
      </c>
      <c r="V264" s="2"/>
    </row>
    <row r="265" spans="1:22" x14ac:dyDescent="0.35">
      <c r="A265" s="3" t="s">
        <v>1060</v>
      </c>
      <c r="B265" s="3" t="s">
        <v>1061</v>
      </c>
      <c r="C265" s="3" t="s">
        <v>1062</v>
      </c>
      <c r="D265" s="3" t="s">
        <v>1063</v>
      </c>
      <c r="E265" s="3" t="s">
        <v>26</v>
      </c>
      <c r="F265" s="3" t="s">
        <v>92</v>
      </c>
      <c r="G265" s="3" t="s">
        <v>70</v>
      </c>
      <c r="H265" s="3" t="s">
        <v>84</v>
      </c>
      <c r="I265" s="3" t="s">
        <v>1020</v>
      </c>
      <c r="J265" s="3">
        <v>529</v>
      </c>
      <c r="K265" s="3">
        <v>108.51</v>
      </c>
      <c r="L265" s="3">
        <v>156.16</v>
      </c>
      <c r="M265" s="3">
        <v>82608.639999999999</v>
      </c>
      <c r="N265" s="3">
        <v>57401.79</v>
      </c>
      <c r="O265" s="3">
        <v>25206.85</v>
      </c>
      <c r="P265" s="3" t="s">
        <v>31</v>
      </c>
      <c r="Q265" s="3" t="s">
        <v>63</v>
      </c>
      <c r="R265" s="3">
        <v>2</v>
      </c>
      <c r="S265" s="3" t="s">
        <v>43</v>
      </c>
      <c r="T265" s="3">
        <v>1907</v>
      </c>
      <c r="U265" s="3">
        <v>22</v>
      </c>
      <c r="V265" s="3"/>
    </row>
    <row r="266" spans="1:22" x14ac:dyDescent="0.35">
      <c r="A266" s="2" t="s">
        <v>1064</v>
      </c>
      <c r="B266" s="2" t="s">
        <v>1065</v>
      </c>
      <c r="C266" s="2" t="s">
        <v>1066</v>
      </c>
      <c r="D266" s="2" t="s">
        <v>1067</v>
      </c>
      <c r="E266" s="2" t="s">
        <v>100</v>
      </c>
      <c r="F266" s="2" t="s">
        <v>101</v>
      </c>
      <c r="G266" s="2" t="s">
        <v>129</v>
      </c>
      <c r="H266" s="2" t="s">
        <v>316</v>
      </c>
      <c r="I266" s="2" t="s">
        <v>124</v>
      </c>
      <c r="J266" s="2">
        <v>678</v>
      </c>
      <c r="K266" s="2">
        <v>815</v>
      </c>
      <c r="L266" s="2">
        <v>1277.71</v>
      </c>
      <c r="M266" s="2">
        <v>866287.38</v>
      </c>
      <c r="N266" s="2">
        <v>552570</v>
      </c>
      <c r="O266" s="2">
        <v>313717.38</v>
      </c>
      <c r="P266" s="2" t="s">
        <v>52</v>
      </c>
      <c r="Q266" s="2" t="s">
        <v>32</v>
      </c>
      <c r="R266" s="2">
        <v>13</v>
      </c>
      <c r="S266" s="2" t="s">
        <v>112</v>
      </c>
      <c r="T266" s="2">
        <v>2665</v>
      </c>
      <c r="U266" s="2">
        <v>10</v>
      </c>
      <c r="V266" s="2"/>
    </row>
    <row r="267" spans="1:22" x14ac:dyDescent="0.35">
      <c r="A267" s="3" t="s">
        <v>1068</v>
      </c>
      <c r="B267" s="3" t="s">
        <v>592</v>
      </c>
      <c r="C267" s="3" t="s">
        <v>671</v>
      </c>
      <c r="D267" s="3" t="s">
        <v>1069</v>
      </c>
      <c r="E267" s="3" t="s">
        <v>100</v>
      </c>
      <c r="F267" s="3" t="s">
        <v>101</v>
      </c>
      <c r="G267" s="3" t="s">
        <v>70</v>
      </c>
      <c r="H267" s="3" t="s">
        <v>384</v>
      </c>
      <c r="I267" s="3" t="s">
        <v>30</v>
      </c>
      <c r="J267" s="3">
        <v>481</v>
      </c>
      <c r="K267" s="3">
        <v>1105.1600000000001</v>
      </c>
      <c r="L267" s="3">
        <v>1635.69</v>
      </c>
      <c r="M267" s="3">
        <v>786766.89</v>
      </c>
      <c r="N267" s="3">
        <v>531581.96</v>
      </c>
      <c r="O267" s="3">
        <v>255184.93</v>
      </c>
      <c r="P267" s="3" t="s">
        <v>31</v>
      </c>
      <c r="Q267" s="3" t="s">
        <v>63</v>
      </c>
      <c r="R267" s="3">
        <v>5</v>
      </c>
      <c r="S267" s="3" t="s">
        <v>86</v>
      </c>
      <c r="T267" s="3">
        <v>2209</v>
      </c>
      <c r="U267" s="3">
        <v>19</v>
      </c>
      <c r="V267" s="3"/>
    </row>
    <row r="268" spans="1:22" x14ac:dyDescent="0.35">
      <c r="A268" s="2" t="s">
        <v>1070</v>
      </c>
      <c r="B268" s="2" t="s">
        <v>232</v>
      </c>
      <c r="C268" s="2" t="s">
        <v>736</v>
      </c>
      <c r="D268" s="2" t="s">
        <v>1071</v>
      </c>
      <c r="E268" s="2" t="s">
        <v>26</v>
      </c>
      <c r="F268" s="2" t="s">
        <v>77</v>
      </c>
      <c r="G268" s="2" t="s">
        <v>28</v>
      </c>
      <c r="H268" s="2" t="s">
        <v>29</v>
      </c>
      <c r="I268" s="2" t="s">
        <v>191</v>
      </c>
      <c r="J268" s="2">
        <v>191</v>
      </c>
      <c r="K268" s="2">
        <v>647.52</v>
      </c>
      <c r="L268" s="2">
        <v>1042.4100000000001</v>
      </c>
      <c r="M268" s="2">
        <v>199100.31</v>
      </c>
      <c r="N268" s="2">
        <v>123676.32</v>
      </c>
      <c r="O268" s="2">
        <v>75423.990000000005</v>
      </c>
      <c r="P268" s="2" t="s">
        <v>52</v>
      </c>
      <c r="Q268" s="2" t="s">
        <v>32</v>
      </c>
      <c r="R268" s="2">
        <v>8</v>
      </c>
      <c r="S268" s="2" t="s">
        <v>43</v>
      </c>
      <c r="T268" s="2">
        <v>40</v>
      </c>
      <c r="U268" s="2">
        <v>9</v>
      </c>
      <c r="V268" s="2"/>
    </row>
    <row r="269" spans="1:22" x14ac:dyDescent="0.35">
      <c r="A269" s="3" t="s">
        <v>1072</v>
      </c>
      <c r="B269" s="3" t="s">
        <v>1073</v>
      </c>
      <c r="C269" s="3" t="s">
        <v>1074</v>
      </c>
      <c r="D269" s="3" t="s">
        <v>1075</v>
      </c>
      <c r="E269" s="3" t="s">
        <v>26</v>
      </c>
      <c r="F269" s="3" t="s">
        <v>38</v>
      </c>
      <c r="G269" s="3" t="s">
        <v>93</v>
      </c>
      <c r="H269" s="3" t="s">
        <v>184</v>
      </c>
      <c r="I269" s="3" t="s">
        <v>153</v>
      </c>
      <c r="J269" s="3">
        <v>517</v>
      </c>
      <c r="K269" s="3">
        <v>660.57</v>
      </c>
      <c r="L269" s="3">
        <v>854.46</v>
      </c>
      <c r="M269" s="3">
        <v>441755.82</v>
      </c>
      <c r="N269" s="3">
        <v>341514.69</v>
      </c>
      <c r="O269" s="3">
        <v>100241.13</v>
      </c>
      <c r="P269" s="3" t="s">
        <v>31</v>
      </c>
      <c r="Q269" s="3" t="s">
        <v>32</v>
      </c>
      <c r="R269" s="3">
        <v>12</v>
      </c>
      <c r="S269" s="3" t="s">
        <v>86</v>
      </c>
      <c r="T269" s="3">
        <v>2282</v>
      </c>
      <c r="U269" s="3">
        <v>14</v>
      </c>
      <c r="V269" s="3"/>
    </row>
    <row r="270" spans="1:22" x14ac:dyDescent="0.35">
      <c r="A270" s="2" t="s">
        <v>1076</v>
      </c>
      <c r="B270" s="2" t="s">
        <v>109</v>
      </c>
      <c r="C270" s="2" t="s">
        <v>1077</v>
      </c>
      <c r="D270" s="2" t="s">
        <v>1078</v>
      </c>
      <c r="E270" s="2" t="s">
        <v>48</v>
      </c>
      <c r="F270" s="2" t="s">
        <v>183</v>
      </c>
      <c r="G270" s="2" t="s">
        <v>93</v>
      </c>
      <c r="H270" s="2" t="s">
        <v>302</v>
      </c>
      <c r="I270" s="2" t="s">
        <v>118</v>
      </c>
      <c r="J270" s="2">
        <v>687</v>
      </c>
      <c r="K270" s="2">
        <v>589.71</v>
      </c>
      <c r="L270" s="2">
        <v>805.95</v>
      </c>
      <c r="M270" s="2">
        <v>553687.65</v>
      </c>
      <c r="N270" s="2">
        <v>405130.77</v>
      </c>
      <c r="O270" s="2">
        <v>148556.88</v>
      </c>
      <c r="P270" s="2" t="s">
        <v>95</v>
      </c>
      <c r="Q270" s="2" t="s">
        <v>32</v>
      </c>
      <c r="R270" s="2">
        <v>15</v>
      </c>
      <c r="S270" s="2" t="s">
        <v>53</v>
      </c>
      <c r="T270" s="2">
        <v>3059</v>
      </c>
      <c r="U270" s="2">
        <v>32</v>
      </c>
      <c r="V270" s="2"/>
    </row>
    <row r="271" spans="1:22" x14ac:dyDescent="0.35">
      <c r="A271" s="3" t="s">
        <v>1079</v>
      </c>
      <c r="B271" s="3" t="s">
        <v>1080</v>
      </c>
      <c r="C271" s="3" t="s">
        <v>617</v>
      </c>
      <c r="D271" s="3" t="s">
        <v>1081</v>
      </c>
      <c r="E271" s="3" t="s">
        <v>48</v>
      </c>
      <c r="F271" s="3" t="s">
        <v>753</v>
      </c>
      <c r="G271" s="3" t="s">
        <v>78</v>
      </c>
      <c r="H271" s="3" t="s">
        <v>840</v>
      </c>
      <c r="I271" s="4"/>
      <c r="J271" s="3">
        <v>789</v>
      </c>
      <c r="K271" s="3">
        <v>72.75</v>
      </c>
      <c r="L271" s="3">
        <v>90.3</v>
      </c>
      <c r="M271" s="3">
        <v>71246.7</v>
      </c>
      <c r="N271" s="3">
        <v>57399.75</v>
      </c>
      <c r="O271" s="3">
        <v>13846.95</v>
      </c>
      <c r="P271" s="3" t="s">
        <v>52</v>
      </c>
      <c r="Q271" s="3" t="s">
        <v>63</v>
      </c>
      <c r="R271" s="3">
        <v>2</v>
      </c>
      <c r="S271" s="3" t="s">
        <v>43</v>
      </c>
      <c r="T271" s="3">
        <v>299</v>
      </c>
      <c r="U271" s="3">
        <v>19</v>
      </c>
      <c r="V271" s="3"/>
    </row>
    <row r="272" spans="1:22" x14ac:dyDescent="0.35">
      <c r="A272" s="2" t="s">
        <v>1082</v>
      </c>
      <c r="B272" s="2" t="s">
        <v>395</v>
      </c>
      <c r="C272" s="2" t="s">
        <v>194</v>
      </c>
      <c r="D272" s="2" t="s">
        <v>1083</v>
      </c>
      <c r="E272" s="2" t="s">
        <v>26</v>
      </c>
      <c r="F272" s="2" t="s">
        <v>92</v>
      </c>
      <c r="G272" s="2" t="s">
        <v>60</v>
      </c>
      <c r="H272" s="2" t="s">
        <v>780</v>
      </c>
      <c r="I272" s="2" t="s">
        <v>41</v>
      </c>
      <c r="J272" s="2">
        <v>679</v>
      </c>
      <c r="K272" s="2">
        <v>208.74</v>
      </c>
      <c r="L272" s="2">
        <v>342.6</v>
      </c>
      <c r="M272" s="2">
        <v>232625.4</v>
      </c>
      <c r="N272" s="2">
        <v>141734.46</v>
      </c>
      <c r="O272" s="2">
        <v>90890.94</v>
      </c>
      <c r="P272" s="2" t="s">
        <v>95</v>
      </c>
      <c r="Q272" s="2" t="s">
        <v>63</v>
      </c>
      <c r="R272" s="2">
        <v>4</v>
      </c>
      <c r="S272" s="2" t="s">
        <v>112</v>
      </c>
      <c r="T272" s="2">
        <v>1411</v>
      </c>
      <c r="U272" s="2">
        <v>21</v>
      </c>
      <c r="V272" s="2"/>
    </row>
    <row r="273" spans="1:22" x14ac:dyDescent="0.35">
      <c r="A273" s="3" t="s">
        <v>1084</v>
      </c>
      <c r="B273" s="3" t="s">
        <v>1002</v>
      </c>
      <c r="C273" s="3" t="s">
        <v>347</v>
      </c>
      <c r="D273" s="3" t="s">
        <v>1085</v>
      </c>
      <c r="E273" s="3" t="s">
        <v>26</v>
      </c>
      <c r="F273" s="3" t="s">
        <v>228</v>
      </c>
      <c r="G273" s="3" t="s">
        <v>28</v>
      </c>
      <c r="H273" s="3" t="s">
        <v>714</v>
      </c>
      <c r="I273" s="3" t="s">
        <v>1086</v>
      </c>
      <c r="J273" s="3">
        <v>153</v>
      </c>
      <c r="K273" s="3">
        <v>165.63</v>
      </c>
      <c r="L273" s="3">
        <v>210.63</v>
      </c>
      <c r="M273" s="3">
        <v>32226.39</v>
      </c>
      <c r="N273" s="3">
        <v>25341.39</v>
      </c>
      <c r="O273" s="3">
        <v>6885</v>
      </c>
      <c r="P273" s="3" t="s">
        <v>42</v>
      </c>
      <c r="Q273" s="3" t="s">
        <v>32</v>
      </c>
      <c r="R273" s="3">
        <v>8</v>
      </c>
      <c r="S273" s="3" t="s">
        <v>158</v>
      </c>
      <c r="T273" s="3">
        <v>3136</v>
      </c>
      <c r="U273" s="3">
        <v>4</v>
      </c>
      <c r="V273" s="3"/>
    </row>
    <row r="274" spans="1:22" x14ac:dyDescent="0.35">
      <c r="A274" s="2" t="s">
        <v>1087</v>
      </c>
      <c r="B274" s="2" t="s">
        <v>391</v>
      </c>
      <c r="C274" s="2" t="s">
        <v>723</v>
      </c>
      <c r="D274" s="2" t="s">
        <v>1088</v>
      </c>
      <c r="E274" s="2" t="s">
        <v>68</v>
      </c>
      <c r="F274" s="2" t="s">
        <v>276</v>
      </c>
      <c r="G274" s="2" t="s">
        <v>70</v>
      </c>
      <c r="H274" s="2" t="s">
        <v>239</v>
      </c>
      <c r="I274" s="2" t="s">
        <v>240</v>
      </c>
      <c r="J274" s="2">
        <v>630</v>
      </c>
      <c r="K274" s="2">
        <v>826.71</v>
      </c>
      <c r="L274" s="2">
        <v>1297.8900000000001</v>
      </c>
      <c r="M274" s="2">
        <v>817670.7</v>
      </c>
      <c r="N274" s="2">
        <v>520827.3</v>
      </c>
      <c r="O274" s="2">
        <v>296843.40000000002</v>
      </c>
      <c r="P274" s="2" t="s">
        <v>31</v>
      </c>
      <c r="Q274" s="2" t="s">
        <v>32</v>
      </c>
      <c r="R274" s="2">
        <v>8</v>
      </c>
      <c r="S274" s="2" t="s">
        <v>86</v>
      </c>
      <c r="T274" s="2">
        <v>21</v>
      </c>
      <c r="U274" s="2">
        <v>0</v>
      </c>
      <c r="V274" s="2"/>
    </row>
    <row r="275" spans="1:22" x14ac:dyDescent="0.35">
      <c r="A275" s="3" t="s">
        <v>1089</v>
      </c>
      <c r="B275" s="3" t="s">
        <v>1003</v>
      </c>
      <c r="C275" s="3" t="s">
        <v>1090</v>
      </c>
      <c r="D275" s="3" t="s">
        <v>1091</v>
      </c>
      <c r="E275" s="3" t="s">
        <v>68</v>
      </c>
      <c r="F275" s="3" t="s">
        <v>249</v>
      </c>
      <c r="G275" s="3" t="s">
        <v>50</v>
      </c>
      <c r="H275" s="3" t="s">
        <v>282</v>
      </c>
      <c r="I275" s="3" t="s">
        <v>41</v>
      </c>
      <c r="J275" s="3">
        <v>640</v>
      </c>
      <c r="K275" s="3">
        <v>208.55</v>
      </c>
      <c r="L275" s="3">
        <v>334.83</v>
      </c>
      <c r="M275" s="3">
        <v>214291.20000000001</v>
      </c>
      <c r="N275" s="3">
        <v>133472</v>
      </c>
      <c r="O275" s="3">
        <v>80819.199999999997</v>
      </c>
      <c r="P275" s="3" t="s">
        <v>42</v>
      </c>
      <c r="Q275" s="3" t="s">
        <v>32</v>
      </c>
      <c r="R275" s="3">
        <v>14</v>
      </c>
      <c r="S275" s="3" t="s">
        <v>86</v>
      </c>
      <c r="T275" s="3">
        <v>1977</v>
      </c>
      <c r="U275" s="3">
        <v>10</v>
      </c>
      <c r="V275" s="3"/>
    </row>
    <row r="276" spans="1:22" x14ac:dyDescent="0.35">
      <c r="A276" s="2" t="s">
        <v>1092</v>
      </c>
      <c r="B276" s="2" t="s">
        <v>711</v>
      </c>
      <c r="C276" s="2" t="s">
        <v>1093</v>
      </c>
      <c r="D276" s="2" t="s">
        <v>1094</v>
      </c>
      <c r="E276" s="2" t="s">
        <v>26</v>
      </c>
      <c r="F276" s="2" t="s">
        <v>38</v>
      </c>
      <c r="G276" s="2" t="s">
        <v>70</v>
      </c>
      <c r="H276" s="2" t="s">
        <v>1019</v>
      </c>
      <c r="I276" s="2" t="s">
        <v>240</v>
      </c>
      <c r="J276" s="2">
        <v>91</v>
      </c>
      <c r="K276" s="2">
        <v>244.89</v>
      </c>
      <c r="L276" s="2">
        <v>380.53</v>
      </c>
      <c r="M276" s="2">
        <v>34628.230000000003</v>
      </c>
      <c r="N276" s="2">
        <v>22284.99</v>
      </c>
      <c r="O276" s="2">
        <v>12343.24</v>
      </c>
      <c r="P276" s="2" t="s">
        <v>95</v>
      </c>
      <c r="Q276" s="2" t="s">
        <v>32</v>
      </c>
      <c r="R276" s="2">
        <v>11</v>
      </c>
      <c r="S276" s="2" t="s">
        <v>33</v>
      </c>
      <c r="T276" s="2">
        <v>4395</v>
      </c>
      <c r="U276" s="2">
        <v>2</v>
      </c>
      <c r="V276" s="2"/>
    </row>
    <row r="277" spans="1:22" x14ac:dyDescent="0.35">
      <c r="A277" s="3" t="s">
        <v>1095</v>
      </c>
      <c r="B277" s="3" t="s">
        <v>1096</v>
      </c>
      <c r="C277" s="3" t="s">
        <v>1097</v>
      </c>
      <c r="D277" s="3" t="s">
        <v>1098</v>
      </c>
      <c r="E277" s="3" t="s">
        <v>100</v>
      </c>
      <c r="F277" s="3" t="s">
        <v>451</v>
      </c>
      <c r="G277" s="3" t="s">
        <v>39</v>
      </c>
      <c r="H277" s="3" t="s">
        <v>354</v>
      </c>
      <c r="I277" s="3" t="s">
        <v>62</v>
      </c>
      <c r="J277" s="3">
        <v>720</v>
      </c>
      <c r="K277" s="3">
        <v>845.89</v>
      </c>
      <c r="L277" s="3">
        <v>1277.1400000000001</v>
      </c>
      <c r="M277" s="3">
        <v>919540.8</v>
      </c>
      <c r="N277" s="3">
        <v>609040.80000000005</v>
      </c>
      <c r="O277" s="3">
        <v>310500</v>
      </c>
      <c r="P277" s="3" t="s">
        <v>31</v>
      </c>
      <c r="Q277" s="3" t="s">
        <v>63</v>
      </c>
      <c r="R277" s="3">
        <v>1</v>
      </c>
      <c r="S277" s="3" t="s">
        <v>33</v>
      </c>
      <c r="T277" s="3">
        <v>1538</v>
      </c>
      <c r="U277" s="3">
        <v>30</v>
      </c>
      <c r="V277" s="3"/>
    </row>
    <row r="278" spans="1:22" x14ac:dyDescent="0.35">
      <c r="A278" s="2" t="s">
        <v>1099</v>
      </c>
      <c r="B278" s="2" t="s">
        <v>904</v>
      </c>
      <c r="C278" s="2" t="s">
        <v>1100</v>
      </c>
      <c r="D278" s="2" t="s">
        <v>1101</v>
      </c>
      <c r="E278" s="2" t="s">
        <v>100</v>
      </c>
      <c r="F278" s="2" t="s">
        <v>238</v>
      </c>
      <c r="G278" s="2" t="s">
        <v>60</v>
      </c>
      <c r="H278" s="2" t="s">
        <v>265</v>
      </c>
      <c r="I278" s="2" t="s">
        <v>41</v>
      </c>
      <c r="J278" s="2">
        <v>321</v>
      </c>
      <c r="K278" s="2">
        <v>344.49</v>
      </c>
      <c r="L278" s="2">
        <v>422.2</v>
      </c>
      <c r="M278" s="2">
        <v>135526.20000000001</v>
      </c>
      <c r="N278" s="2">
        <v>110581.29</v>
      </c>
      <c r="O278" s="2">
        <v>24944.91</v>
      </c>
      <c r="P278" s="2" t="s">
        <v>52</v>
      </c>
      <c r="Q278" s="2" t="s">
        <v>63</v>
      </c>
      <c r="R278" s="2">
        <v>3</v>
      </c>
      <c r="S278" s="2" t="s">
        <v>53</v>
      </c>
      <c r="T278" s="2">
        <v>3393</v>
      </c>
      <c r="U278" s="2">
        <v>2</v>
      </c>
      <c r="V278" s="2"/>
    </row>
    <row r="279" spans="1:22" x14ac:dyDescent="0.35">
      <c r="A279" s="3" t="s">
        <v>1102</v>
      </c>
      <c r="B279" s="3" t="s">
        <v>1103</v>
      </c>
      <c r="C279" s="3" t="s">
        <v>1104</v>
      </c>
      <c r="D279" s="3" t="s">
        <v>1105</v>
      </c>
      <c r="E279" s="3" t="s">
        <v>48</v>
      </c>
      <c r="F279" s="3" t="s">
        <v>281</v>
      </c>
      <c r="G279" s="3" t="s">
        <v>217</v>
      </c>
      <c r="H279" s="3" t="s">
        <v>494</v>
      </c>
      <c r="I279" s="3" t="s">
        <v>153</v>
      </c>
      <c r="J279" s="3">
        <v>649</v>
      </c>
      <c r="K279" s="3">
        <v>147.97999999999999</v>
      </c>
      <c r="L279" s="3">
        <v>166.86</v>
      </c>
      <c r="M279" s="3">
        <v>108292.14</v>
      </c>
      <c r="N279" s="3">
        <v>96039.02</v>
      </c>
      <c r="O279" s="3">
        <v>12253.12</v>
      </c>
      <c r="P279" s="3" t="s">
        <v>95</v>
      </c>
      <c r="Q279" s="3" t="s">
        <v>63</v>
      </c>
      <c r="R279" s="3">
        <v>2</v>
      </c>
      <c r="S279" s="3" t="s">
        <v>33</v>
      </c>
      <c r="T279" s="3">
        <v>2821</v>
      </c>
      <c r="U279" s="3">
        <v>32</v>
      </c>
      <c r="V279" s="3"/>
    </row>
    <row r="280" spans="1:22" x14ac:dyDescent="0.35">
      <c r="A280" s="2" t="s">
        <v>1106</v>
      </c>
      <c r="B280" s="2" t="s">
        <v>1107</v>
      </c>
      <c r="C280" s="2" t="s">
        <v>759</v>
      </c>
      <c r="D280" s="2" t="s">
        <v>1108</v>
      </c>
      <c r="E280" s="4"/>
      <c r="F280" s="2" t="s">
        <v>49</v>
      </c>
      <c r="G280" s="2" t="s">
        <v>78</v>
      </c>
      <c r="H280" s="2" t="s">
        <v>840</v>
      </c>
      <c r="I280" s="2" t="s">
        <v>293</v>
      </c>
      <c r="J280" s="2">
        <v>0</v>
      </c>
      <c r="K280" s="2">
        <v>1131.3499999999999</v>
      </c>
      <c r="L280" s="2">
        <v>1856.75</v>
      </c>
      <c r="M280" s="2">
        <v>1156755.25</v>
      </c>
      <c r="N280" s="2">
        <v>704831.05</v>
      </c>
      <c r="O280" s="2">
        <v>451924.2</v>
      </c>
      <c r="P280" s="2" t="s">
        <v>42</v>
      </c>
      <c r="Q280" s="2" t="s">
        <v>63</v>
      </c>
      <c r="R280" s="2">
        <v>2</v>
      </c>
      <c r="S280" s="2" t="s">
        <v>43</v>
      </c>
      <c r="T280" s="2">
        <v>2357</v>
      </c>
      <c r="U280" s="2">
        <v>21</v>
      </c>
      <c r="V280" s="2"/>
    </row>
    <row r="281" spans="1:22" x14ac:dyDescent="0.35">
      <c r="A281" s="3" t="s">
        <v>1109</v>
      </c>
      <c r="B281" s="3" t="s">
        <v>1110</v>
      </c>
      <c r="C281" s="3" t="s">
        <v>1111</v>
      </c>
      <c r="D281" s="3" t="s">
        <v>1112</v>
      </c>
      <c r="E281" s="3" t="s">
        <v>58</v>
      </c>
      <c r="F281" s="3" t="s">
        <v>59</v>
      </c>
      <c r="G281" s="3" t="s">
        <v>217</v>
      </c>
      <c r="H281" s="3" t="s">
        <v>340</v>
      </c>
      <c r="I281" s="3" t="s">
        <v>153</v>
      </c>
      <c r="J281" s="3">
        <v>246</v>
      </c>
      <c r="K281" s="3">
        <v>439.38</v>
      </c>
      <c r="L281" s="3">
        <v>680.8</v>
      </c>
      <c r="M281" s="3">
        <v>167476.79999999999</v>
      </c>
      <c r="N281" s="3">
        <v>108087.48</v>
      </c>
      <c r="O281" s="3">
        <v>59389.32</v>
      </c>
      <c r="P281" s="3" t="s">
        <v>95</v>
      </c>
      <c r="Q281" s="3" t="s">
        <v>32</v>
      </c>
      <c r="R281" s="3">
        <v>15</v>
      </c>
      <c r="S281" s="3" t="s">
        <v>86</v>
      </c>
      <c r="T281" s="3">
        <v>311</v>
      </c>
      <c r="U281" s="3">
        <v>11</v>
      </c>
      <c r="V281" s="3"/>
    </row>
    <row r="282" spans="1:22" x14ac:dyDescent="0.35">
      <c r="A282" s="2" t="s">
        <v>1113</v>
      </c>
      <c r="B282" s="2" t="s">
        <v>1114</v>
      </c>
      <c r="C282" s="2" t="s">
        <v>1115</v>
      </c>
      <c r="D282" s="2" t="s">
        <v>1116</v>
      </c>
      <c r="E282" s="2" t="s">
        <v>26</v>
      </c>
      <c r="F282" s="2" t="s">
        <v>38</v>
      </c>
      <c r="G282" s="2" t="s">
        <v>78</v>
      </c>
      <c r="H282" s="2" t="s">
        <v>572</v>
      </c>
      <c r="I282" s="2" t="s">
        <v>41</v>
      </c>
      <c r="J282" s="2">
        <v>597</v>
      </c>
      <c r="K282" s="2">
        <v>671.95</v>
      </c>
      <c r="L282" s="2">
        <v>908.95</v>
      </c>
      <c r="M282" s="2">
        <v>542643.15</v>
      </c>
      <c r="N282" s="2">
        <v>401154.15</v>
      </c>
      <c r="O282" s="2">
        <v>141489</v>
      </c>
      <c r="P282" s="2" t="s">
        <v>1117</v>
      </c>
      <c r="Q282" s="2" t="s">
        <v>63</v>
      </c>
      <c r="R282" s="2">
        <v>2</v>
      </c>
      <c r="S282" s="2" t="s">
        <v>158</v>
      </c>
      <c r="T282" s="2">
        <v>3001</v>
      </c>
      <c r="U282" s="2">
        <v>25</v>
      </c>
      <c r="V282" s="2"/>
    </row>
    <row r="283" spans="1:22" x14ac:dyDescent="0.35">
      <c r="A283" s="3" t="s">
        <v>1118</v>
      </c>
      <c r="B283" s="3" t="s">
        <v>175</v>
      </c>
      <c r="C283" s="3" t="s">
        <v>1119</v>
      </c>
      <c r="D283" s="3" t="s">
        <v>1120</v>
      </c>
      <c r="E283" s="3" t="s">
        <v>100</v>
      </c>
      <c r="F283" s="3" t="s">
        <v>101</v>
      </c>
      <c r="G283" s="3" t="s">
        <v>70</v>
      </c>
      <c r="H283" s="3" t="s">
        <v>71</v>
      </c>
      <c r="I283" s="3" t="s">
        <v>293</v>
      </c>
      <c r="J283" s="3">
        <v>510</v>
      </c>
      <c r="K283" s="3">
        <v>113.89</v>
      </c>
      <c r="L283" s="3">
        <v>145.69999999999999</v>
      </c>
      <c r="M283" s="3">
        <v>74307</v>
      </c>
      <c r="N283" s="3">
        <v>58083.9</v>
      </c>
      <c r="O283" s="3">
        <v>16223.1</v>
      </c>
      <c r="P283" s="3" t="s">
        <v>31</v>
      </c>
      <c r="Q283" s="3" t="s">
        <v>32</v>
      </c>
      <c r="R283" s="3">
        <v>12</v>
      </c>
      <c r="S283" s="3" t="s">
        <v>86</v>
      </c>
      <c r="T283" s="3">
        <v>2796</v>
      </c>
      <c r="U283" s="3">
        <v>13</v>
      </c>
      <c r="V283" s="3"/>
    </row>
    <row r="284" spans="1:22" x14ac:dyDescent="0.35">
      <c r="A284" s="2" t="s">
        <v>1121</v>
      </c>
      <c r="B284" s="2" t="s">
        <v>732</v>
      </c>
      <c r="C284" s="2" t="s">
        <v>1122</v>
      </c>
      <c r="D284" s="2" t="s">
        <v>1123</v>
      </c>
      <c r="E284" s="2" t="s">
        <v>100</v>
      </c>
      <c r="F284" s="2" t="s">
        <v>238</v>
      </c>
      <c r="G284" s="2" t="s">
        <v>217</v>
      </c>
      <c r="H284" s="2" t="s">
        <v>524</v>
      </c>
      <c r="I284" s="2" t="s">
        <v>30</v>
      </c>
      <c r="J284" s="2">
        <v>699</v>
      </c>
      <c r="K284" s="2">
        <v>138.94</v>
      </c>
      <c r="L284" s="2">
        <v>164.87</v>
      </c>
      <c r="M284" s="2">
        <v>115244.13</v>
      </c>
      <c r="N284" s="2">
        <v>97119.06</v>
      </c>
      <c r="O284" s="2">
        <v>18125.07</v>
      </c>
      <c r="P284" s="2" t="s">
        <v>31</v>
      </c>
      <c r="Q284" s="2" t="s">
        <v>63</v>
      </c>
      <c r="R284" s="2">
        <v>3</v>
      </c>
      <c r="S284" s="2" t="s">
        <v>112</v>
      </c>
      <c r="T284" s="2">
        <v>708</v>
      </c>
      <c r="U284" s="2">
        <v>2</v>
      </c>
      <c r="V284" s="2"/>
    </row>
    <row r="285" spans="1:22" x14ac:dyDescent="0.35">
      <c r="A285" s="3" t="s">
        <v>1124</v>
      </c>
      <c r="B285" s="3" t="s">
        <v>1125</v>
      </c>
      <c r="C285" s="3" t="s">
        <v>887</v>
      </c>
      <c r="D285" s="3" t="s">
        <v>1126</v>
      </c>
      <c r="E285" s="3" t="s">
        <v>58</v>
      </c>
      <c r="F285" s="3" t="s">
        <v>122</v>
      </c>
      <c r="G285" s="3" t="s">
        <v>50</v>
      </c>
      <c r="H285" s="3" t="s">
        <v>117</v>
      </c>
      <c r="I285" s="3" t="s">
        <v>141</v>
      </c>
      <c r="J285" s="3">
        <v>629</v>
      </c>
      <c r="K285" s="3">
        <v>741.75</v>
      </c>
      <c r="L285" s="3">
        <v>1081.31</v>
      </c>
      <c r="M285" s="3">
        <v>680143.99</v>
      </c>
      <c r="N285" s="3">
        <v>466560.75</v>
      </c>
      <c r="O285" s="3">
        <v>213583.24</v>
      </c>
      <c r="P285" s="3" t="s">
        <v>42</v>
      </c>
      <c r="Q285" s="3" t="s">
        <v>32</v>
      </c>
      <c r="R285" s="3">
        <v>6</v>
      </c>
      <c r="S285" s="3" t="s">
        <v>112</v>
      </c>
      <c r="T285" s="3">
        <v>2050</v>
      </c>
      <c r="U285" s="3">
        <v>30</v>
      </c>
      <c r="V285" s="3"/>
    </row>
    <row r="286" spans="1:22" x14ac:dyDescent="0.35">
      <c r="A286" s="2" t="s">
        <v>1127</v>
      </c>
      <c r="B286" s="2" t="s">
        <v>467</v>
      </c>
      <c r="C286" s="2" t="s">
        <v>352</v>
      </c>
      <c r="D286" s="2" t="s">
        <v>1128</v>
      </c>
      <c r="E286" s="2" t="s">
        <v>100</v>
      </c>
      <c r="F286" s="2" t="s">
        <v>106</v>
      </c>
      <c r="G286" s="2" t="s">
        <v>39</v>
      </c>
      <c r="H286" s="2" t="s">
        <v>412</v>
      </c>
      <c r="I286" s="2" t="s">
        <v>293</v>
      </c>
      <c r="J286" s="2">
        <v>231</v>
      </c>
      <c r="K286" s="2">
        <v>995.15</v>
      </c>
      <c r="L286" s="2">
        <v>1339.29</v>
      </c>
      <c r="M286" s="2">
        <v>309375.99</v>
      </c>
      <c r="N286" s="2">
        <v>229879.65</v>
      </c>
      <c r="O286" s="2">
        <v>79496.34</v>
      </c>
      <c r="P286" s="2" t="s">
        <v>42</v>
      </c>
      <c r="Q286" s="2" t="s">
        <v>63</v>
      </c>
      <c r="R286" s="2">
        <v>2</v>
      </c>
      <c r="S286" s="2" t="s">
        <v>158</v>
      </c>
      <c r="T286" s="2">
        <v>837</v>
      </c>
      <c r="U286" s="2">
        <v>11</v>
      </c>
      <c r="V286" s="2"/>
    </row>
    <row r="287" spans="1:22" x14ac:dyDescent="0.35">
      <c r="A287" s="3" t="s">
        <v>1129</v>
      </c>
      <c r="B287" s="3" t="s">
        <v>1130</v>
      </c>
      <c r="C287" s="3" t="s">
        <v>559</v>
      </c>
      <c r="D287" s="3" t="s">
        <v>1131</v>
      </c>
      <c r="E287" s="3" t="s">
        <v>26</v>
      </c>
      <c r="F287" s="3" t="s">
        <v>92</v>
      </c>
      <c r="G287" s="3" t="s">
        <v>129</v>
      </c>
      <c r="H287" s="3" t="s">
        <v>704</v>
      </c>
      <c r="I287" s="3" t="s">
        <v>153</v>
      </c>
      <c r="J287" s="3">
        <v>476</v>
      </c>
      <c r="K287" s="3">
        <v>864.15</v>
      </c>
      <c r="L287" s="3">
        <v>1097.57</v>
      </c>
      <c r="M287" s="3">
        <v>522443.32</v>
      </c>
      <c r="N287" s="3">
        <v>411335.4</v>
      </c>
      <c r="O287" s="3">
        <v>111107.92</v>
      </c>
      <c r="P287" s="3" t="s">
        <v>31</v>
      </c>
      <c r="Q287" s="3" t="s">
        <v>32</v>
      </c>
      <c r="R287" s="3">
        <v>7</v>
      </c>
      <c r="S287" s="3" t="s">
        <v>53</v>
      </c>
      <c r="T287" s="3">
        <v>1537</v>
      </c>
      <c r="U287" s="3">
        <v>13</v>
      </c>
      <c r="V287" s="3"/>
    </row>
    <row r="288" spans="1:22" x14ac:dyDescent="0.35">
      <c r="A288" s="2" t="s">
        <v>1132</v>
      </c>
      <c r="B288" s="2" t="s">
        <v>1133</v>
      </c>
      <c r="C288" s="2" t="s">
        <v>406</v>
      </c>
      <c r="D288" s="2" t="s">
        <v>1134</v>
      </c>
      <c r="E288" s="2" t="s">
        <v>26</v>
      </c>
      <c r="F288" s="2" t="s">
        <v>27</v>
      </c>
      <c r="G288" s="2" t="s">
        <v>50</v>
      </c>
      <c r="H288" s="2" t="s">
        <v>107</v>
      </c>
      <c r="I288" s="2" t="s">
        <v>30</v>
      </c>
      <c r="J288" s="2">
        <v>331</v>
      </c>
      <c r="K288" s="2">
        <v>463.46</v>
      </c>
      <c r="L288" s="2">
        <v>667.26</v>
      </c>
      <c r="M288" s="2">
        <v>220863.06</v>
      </c>
      <c r="N288" s="2">
        <v>153405.26</v>
      </c>
      <c r="O288" s="4"/>
      <c r="P288" s="2" t="s">
        <v>31</v>
      </c>
      <c r="Q288" s="2" t="s">
        <v>32</v>
      </c>
      <c r="R288" s="2">
        <v>7</v>
      </c>
      <c r="S288" s="2" t="s">
        <v>158</v>
      </c>
      <c r="T288" s="2">
        <v>1013</v>
      </c>
      <c r="U288" s="2">
        <v>15</v>
      </c>
      <c r="V288" s="2"/>
    </row>
    <row r="289" spans="1:22" x14ac:dyDescent="0.35">
      <c r="A289" s="3" t="s">
        <v>1135</v>
      </c>
      <c r="B289" s="3" t="s">
        <v>46</v>
      </c>
      <c r="C289" s="3" t="s">
        <v>36</v>
      </c>
      <c r="D289" s="3" t="s">
        <v>1136</v>
      </c>
      <c r="E289" s="3" t="s">
        <v>58</v>
      </c>
      <c r="F289" s="3" t="s">
        <v>259</v>
      </c>
      <c r="G289" s="3" t="s">
        <v>50</v>
      </c>
      <c r="H289" s="3" t="s">
        <v>51</v>
      </c>
      <c r="I289" s="3" t="s">
        <v>41</v>
      </c>
      <c r="J289" s="3">
        <v>562</v>
      </c>
      <c r="K289" s="3">
        <v>47.51</v>
      </c>
      <c r="L289" s="3">
        <v>59.04</v>
      </c>
      <c r="M289" s="3">
        <v>33180.480000000003</v>
      </c>
      <c r="N289" s="3">
        <v>26700.62</v>
      </c>
      <c r="O289" s="3">
        <v>6479.86</v>
      </c>
      <c r="P289" s="3" t="s">
        <v>52</v>
      </c>
      <c r="Q289" s="3" t="s">
        <v>32</v>
      </c>
      <c r="R289" s="3">
        <v>12</v>
      </c>
      <c r="S289" s="3" t="s">
        <v>86</v>
      </c>
      <c r="T289" s="3">
        <v>816</v>
      </c>
      <c r="U289" s="3">
        <v>3</v>
      </c>
      <c r="V289" s="3"/>
    </row>
    <row r="290" spans="1:22" x14ac:dyDescent="0.35">
      <c r="A290" s="2" t="s">
        <v>1137</v>
      </c>
      <c r="B290" s="2" t="s">
        <v>1138</v>
      </c>
      <c r="C290" s="2" t="s">
        <v>472</v>
      </c>
      <c r="D290" s="2" t="s">
        <v>469</v>
      </c>
      <c r="E290" s="2" t="s">
        <v>100</v>
      </c>
      <c r="F290" s="2" t="s">
        <v>330</v>
      </c>
      <c r="G290" s="2" t="s">
        <v>60</v>
      </c>
      <c r="H290" s="2" t="s">
        <v>400</v>
      </c>
      <c r="I290" s="2" t="s">
        <v>293</v>
      </c>
      <c r="J290" s="2">
        <v>113</v>
      </c>
      <c r="K290" s="2">
        <v>551.27</v>
      </c>
      <c r="L290" s="2">
        <v>784.92</v>
      </c>
      <c r="M290" s="2">
        <v>88695.96</v>
      </c>
      <c r="N290" s="2">
        <v>62293.51</v>
      </c>
      <c r="O290" s="2">
        <v>26402.45</v>
      </c>
      <c r="P290" s="2" t="s">
        <v>42</v>
      </c>
      <c r="Q290" s="2" t="s">
        <v>32</v>
      </c>
      <c r="R290" s="2">
        <v>7</v>
      </c>
      <c r="S290" s="2" t="s">
        <v>53</v>
      </c>
      <c r="T290" s="2">
        <v>1015</v>
      </c>
      <c r="U290" s="2">
        <v>5</v>
      </c>
      <c r="V290" s="2"/>
    </row>
    <row r="291" spans="1:22" x14ac:dyDescent="0.35">
      <c r="A291" s="3" t="s">
        <v>1139</v>
      </c>
      <c r="B291" s="3" t="s">
        <v>988</v>
      </c>
      <c r="C291" s="3" t="s">
        <v>1140</v>
      </c>
      <c r="D291" s="3" t="s">
        <v>1141</v>
      </c>
      <c r="E291" s="3" t="s">
        <v>26</v>
      </c>
      <c r="F291" s="3" t="s">
        <v>27</v>
      </c>
      <c r="G291" s="3" t="s">
        <v>28</v>
      </c>
      <c r="H291" s="3" t="s">
        <v>29</v>
      </c>
      <c r="I291" s="3" t="s">
        <v>191</v>
      </c>
      <c r="J291" s="3">
        <v>78</v>
      </c>
      <c r="K291" s="3">
        <v>1016.23</v>
      </c>
      <c r="L291" s="3">
        <v>1265.8900000000001</v>
      </c>
      <c r="M291" s="3">
        <v>98739.42</v>
      </c>
      <c r="N291" s="3">
        <v>79265.94</v>
      </c>
      <c r="O291" s="3">
        <v>19473.48</v>
      </c>
      <c r="P291" s="3" t="s">
        <v>95</v>
      </c>
      <c r="Q291" s="3" t="s">
        <v>32</v>
      </c>
      <c r="R291" s="3">
        <v>15</v>
      </c>
      <c r="S291" s="3" t="s">
        <v>158</v>
      </c>
      <c r="T291" s="3">
        <v>4086</v>
      </c>
      <c r="U291" s="3">
        <v>1</v>
      </c>
      <c r="V291" s="3"/>
    </row>
    <row r="292" spans="1:22" x14ac:dyDescent="0.35">
      <c r="A292" s="2" t="s">
        <v>1142</v>
      </c>
      <c r="B292" s="2" t="s">
        <v>338</v>
      </c>
      <c r="C292" s="2" t="s">
        <v>1143</v>
      </c>
      <c r="D292" s="2" t="s">
        <v>1144</v>
      </c>
      <c r="E292" s="2" t="s">
        <v>68</v>
      </c>
      <c r="F292" s="2" t="s">
        <v>146</v>
      </c>
      <c r="G292" s="2" t="s">
        <v>78</v>
      </c>
      <c r="H292" s="2" t="s">
        <v>481</v>
      </c>
      <c r="I292" s="4"/>
      <c r="J292" s="2">
        <v>393</v>
      </c>
      <c r="K292" s="2">
        <v>869.85</v>
      </c>
      <c r="L292" s="2">
        <v>1295.21</v>
      </c>
      <c r="M292" s="2">
        <v>509017.53</v>
      </c>
      <c r="N292" s="2">
        <v>341851.05</v>
      </c>
      <c r="O292" s="2">
        <v>167166.48000000001</v>
      </c>
      <c r="P292" s="2" t="s">
        <v>31</v>
      </c>
      <c r="Q292" s="2" t="s">
        <v>32</v>
      </c>
      <c r="R292" s="2">
        <v>15</v>
      </c>
      <c r="S292" s="2" t="s">
        <v>86</v>
      </c>
      <c r="T292" s="2">
        <v>1052</v>
      </c>
      <c r="U292" s="2">
        <v>15</v>
      </c>
      <c r="V292" s="2"/>
    </row>
    <row r="293" spans="1:22" x14ac:dyDescent="0.35">
      <c r="A293" s="3" t="s">
        <v>1145</v>
      </c>
      <c r="B293" s="3" t="s">
        <v>1146</v>
      </c>
      <c r="C293" s="3" t="s">
        <v>706</v>
      </c>
      <c r="D293" s="3" t="s">
        <v>1147</v>
      </c>
      <c r="E293" s="3" t="s">
        <v>58</v>
      </c>
      <c r="F293" s="3" t="s">
        <v>59</v>
      </c>
      <c r="G293" s="3" t="s">
        <v>217</v>
      </c>
      <c r="H293" s="3" t="s">
        <v>218</v>
      </c>
      <c r="I293" s="3" t="s">
        <v>141</v>
      </c>
      <c r="J293" s="3">
        <v>786</v>
      </c>
      <c r="K293" s="3">
        <v>893.56</v>
      </c>
      <c r="L293" s="3">
        <v>1011.9</v>
      </c>
      <c r="M293" s="3">
        <v>795353.4</v>
      </c>
      <c r="N293" s="3">
        <v>702338.16</v>
      </c>
      <c r="O293" s="4"/>
      <c r="P293" s="3" t="s">
        <v>31</v>
      </c>
      <c r="Q293" s="3" t="s">
        <v>32</v>
      </c>
      <c r="R293" s="3">
        <v>11</v>
      </c>
      <c r="S293" s="3" t="s">
        <v>112</v>
      </c>
      <c r="T293" s="3">
        <v>1145</v>
      </c>
      <c r="U293" s="3">
        <v>7</v>
      </c>
      <c r="V293" s="3"/>
    </row>
    <row r="294" spans="1:22" x14ac:dyDescent="0.35">
      <c r="A294" s="2" t="s">
        <v>1148</v>
      </c>
      <c r="B294" s="2" t="s">
        <v>706</v>
      </c>
      <c r="C294" s="2" t="s">
        <v>1149</v>
      </c>
      <c r="D294" s="2" t="s">
        <v>1150</v>
      </c>
      <c r="E294" s="2" t="s">
        <v>68</v>
      </c>
      <c r="F294" s="2" t="s">
        <v>146</v>
      </c>
      <c r="G294" s="2" t="s">
        <v>129</v>
      </c>
      <c r="H294" s="2" t="s">
        <v>316</v>
      </c>
      <c r="I294" s="2" t="s">
        <v>62</v>
      </c>
      <c r="J294" s="2">
        <v>299</v>
      </c>
      <c r="K294" s="2">
        <v>782.16</v>
      </c>
      <c r="L294" s="2">
        <v>1115.76</v>
      </c>
      <c r="M294" s="2">
        <v>333612.24</v>
      </c>
      <c r="N294" s="2">
        <v>233865.84</v>
      </c>
      <c r="O294" s="2">
        <v>99746.4</v>
      </c>
      <c r="P294" s="2" t="s">
        <v>31</v>
      </c>
      <c r="Q294" s="2" t="s">
        <v>32</v>
      </c>
      <c r="R294" s="2">
        <v>6</v>
      </c>
      <c r="S294" s="2" t="s">
        <v>33</v>
      </c>
      <c r="T294" s="2">
        <v>511</v>
      </c>
      <c r="U294" s="2">
        <v>3</v>
      </c>
      <c r="V294" s="2"/>
    </row>
    <row r="295" spans="1:22" x14ac:dyDescent="0.35">
      <c r="A295" s="3" t="s">
        <v>1151</v>
      </c>
      <c r="B295" s="3" t="s">
        <v>1152</v>
      </c>
      <c r="C295" s="3" t="s">
        <v>475</v>
      </c>
      <c r="D295" s="3" t="s">
        <v>1153</v>
      </c>
      <c r="E295" s="3" t="s">
        <v>26</v>
      </c>
      <c r="F295" s="3" t="s">
        <v>92</v>
      </c>
      <c r="G295" s="3" t="s">
        <v>189</v>
      </c>
      <c r="H295" s="3" t="s">
        <v>437</v>
      </c>
      <c r="I295" s="3" t="s">
        <v>141</v>
      </c>
      <c r="J295" s="3">
        <v>177</v>
      </c>
      <c r="K295" s="4"/>
      <c r="L295" s="3">
        <v>1211.8399999999999</v>
      </c>
      <c r="M295" s="3">
        <v>214495.68</v>
      </c>
      <c r="N295" s="3">
        <v>155400.69</v>
      </c>
      <c r="O295" s="3">
        <v>59094.99</v>
      </c>
      <c r="P295" s="3" t="s">
        <v>95</v>
      </c>
      <c r="Q295" s="3" t="s">
        <v>63</v>
      </c>
      <c r="R295" s="3">
        <v>5</v>
      </c>
      <c r="S295" s="3" t="s">
        <v>86</v>
      </c>
      <c r="T295" s="3">
        <v>552</v>
      </c>
      <c r="U295" s="3">
        <v>4</v>
      </c>
      <c r="V295" s="3"/>
    </row>
    <row r="296" spans="1:22" x14ac:dyDescent="0.35">
      <c r="A296" s="2" t="s">
        <v>1154</v>
      </c>
      <c r="B296" s="2" t="s">
        <v>694</v>
      </c>
      <c r="C296" s="2" t="s">
        <v>1149</v>
      </c>
      <c r="D296" s="2" t="s">
        <v>1155</v>
      </c>
      <c r="E296" s="2" t="s">
        <v>68</v>
      </c>
      <c r="F296" s="2" t="s">
        <v>69</v>
      </c>
      <c r="G296" s="2" t="s">
        <v>50</v>
      </c>
      <c r="H296" s="2" t="s">
        <v>107</v>
      </c>
      <c r="I296" s="2" t="s">
        <v>72</v>
      </c>
      <c r="J296" s="2">
        <v>457</v>
      </c>
      <c r="K296" s="2">
        <v>304.64999999999998</v>
      </c>
      <c r="L296" s="2">
        <v>342.69</v>
      </c>
      <c r="M296" s="2">
        <v>156609.32999999999</v>
      </c>
      <c r="N296" s="2">
        <v>139225.04999999999</v>
      </c>
      <c r="O296" s="2">
        <v>17384.28</v>
      </c>
      <c r="P296" s="2" t="s">
        <v>31</v>
      </c>
      <c r="Q296" s="2" t="s">
        <v>32</v>
      </c>
      <c r="R296" s="2">
        <v>10</v>
      </c>
      <c r="S296" s="2" t="s">
        <v>86</v>
      </c>
      <c r="T296" s="4"/>
      <c r="U296" s="2">
        <v>10</v>
      </c>
      <c r="V296" s="2"/>
    </row>
    <row r="297" spans="1:22" x14ac:dyDescent="0.35">
      <c r="A297" s="3" t="s">
        <v>1156</v>
      </c>
      <c r="B297" s="3" t="s">
        <v>1146</v>
      </c>
      <c r="C297" s="3" t="s">
        <v>1157</v>
      </c>
      <c r="D297" s="3" t="s">
        <v>1158</v>
      </c>
      <c r="E297" s="3" t="s">
        <v>48</v>
      </c>
      <c r="F297" s="3" t="s">
        <v>281</v>
      </c>
      <c r="G297" s="3" t="s">
        <v>60</v>
      </c>
      <c r="H297" s="3" t="s">
        <v>834</v>
      </c>
      <c r="I297" s="3" t="s">
        <v>141</v>
      </c>
      <c r="J297" s="3">
        <v>565</v>
      </c>
      <c r="K297" s="3">
        <v>812.14</v>
      </c>
      <c r="L297" s="3">
        <v>1262.75</v>
      </c>
      <c r="M297" s="3">
        <v>713453.75</v>
      </c>
      <c r="N297" s="3">
        <v>458859.1</v>
      </c>
      <c r="O297" s="3">
        <v>254594.65</v>
      </c>
      <c r="P297" s="3" t="s">
        <v>42</v>
      </c>
      <c r="Q297" s="3" t="s">
        <v>63</v>
      </c>
      <c r="R297" s="3">
        <v>5</v>
      </c>
      <c r="S297" s="3" t="s">
        <v>112</v>
      </c>
      <c r="T297" s="3">
        <v>2298</v>
      </c>
      <c r="U297" s="3">
        <v>27</v>
      </c>
      <c r="V297" s="3"/>
    </row>
    <row r="298" spans="1:22" x14ac:dyDescent="0.35">
      <c r="A298" s="2" t="s">
        <v>1159</v>
      </c>
      <c r="B298" s="2" t="s">
        <v>231</v>
      </c>
      <c r="C298" s="2" t="s">
        <v>1160</v>
      </c>
      <c r="D298" s="2" t="s">
        <v>1161</v>
      </c>
      <c r="E298" s="2" t="s">
        <v>100</v>
      </c>
      <c r="F298" s="2" t="s">
        <v>106</v>
      </c>
      <c r="G298" s="2" t="s">
        <v>50</v>
      </c>
      <c r="H298" s="2" t="s">
        <v>135</v>
      </c>
      <c r="I298" s="2" t="s">
        <v>118</v>
      </c>
      <c r="J298" s="2">
        <v>180</v>
      </c>
      <c r="K298" s="2">
        <v>956.98</v>
      </c>
      <c r="L298" s="2">
        <v>1261.93</v>
      </c>
      <c r="M298" s="2">
        <v>227147.4</v>
      </c>
      <c r="N298" s="2">
        <v>172256.4</v>
      </c>
      <c r="O298" s="2">
        <v>54891</v>
      </c>
      <c r="P298" s="2" t="s">
        <v>31</v>
      </c>
      <c r="Q298" s="2" t="s">
        <v>63</v>
      </c>
      <c r="R298" s="2">
        <v>2</v>
      </c>
      <c r="S298" s="2" t="s">
        <v>112</v>
      </c>
      <c r="T298" s="2">
        <v>4290</v>
      </c>
      <c r="U298" s="2">
        <v>3</v>
      </c>
      <c r="V298" s="2"/>
    </row>
    <row r="299" spans="1:22" x14ac:dyDescent="0.35">
      <c r="A299" s="3" t="s">
        <v>1162</v>
      </c>
      <c r="B299" s="3" t="s">
        <v>672</v>
      </c>
      <c r="C299" s="3" t="s">
        <v>357</v>
      </c>
      <c r="D299" s="4"/>
      <c r="E299" s="3" t="s">
        <v>26</v>
      </c>
      <c r="F299" s="3" t="s">
        <v>228</v>
      </c>
      <c r="G299" s="3" t="s">
        <v>78</v>
      </c>
      <c r="H299" s="3" t="s">
        <v>123</v>
      </c>
      <c r="I299" s="3" t="s">
        <v>41</v>
      </c>
      <c r="J299" s="3">
        <v>328</v>
      </c>
      <c r="K299" s="3">
        <v>678.18</v>
      </c>
      <c r="L299" s="3">
        <v>915.36</v>
      </c>
      <c r="M299" s="3">
        <v>300238.08000000002</v>
      </c>
      <c r="N299" s="3">
        <v>222443.04</v>
      </c>
      <c r="O299" s="3">
        <v>77795.039999999994</v>
      </c>
      <c r="P299" s="3" t="s">
        <v>95</v>
      </c>
      <c r="Q299" s="3" t="s">
        <v>32</v>
      </c>
      <c r="R299" s="3">
        <v>9</v>
      </c>
      <c r="S299" s="3" t="s">
        <v>86</v>
      </c>
      <c r="T299" s="3">
        <v>1784</v>
      </c>
      <c r="U299" s="3">
        <v>3</v>
      </c>
      <c r="V299" s="3"/>
    </row>
    <row r="300" spans="1:22" x14ac:dyDescent="0.35">
      <c r="A300" s="2" t="s">
        <v>1163</v>
      </c>
      <c r="B300" s="2" t="s">
        <v>1164</v>
      </c>
      <c r="C300" s="2" t="s">
        <v>1165</v>
      </c>
      <c r="D300" s="2" t="s">
        <v>1166</v>
      </c>
      <c r="E300" s="2" t="s">
        <v>58</v>
      </c>
      <c r="F300" s="2" t="s">
        <v>417</v>
      </c>
      <c r="G300" s="2" t="s">
        <v>129</v>
      </c>
      <c r="H300" s="2" t="s">
        <v>520</v>
      </c>
      <c r="I300" s="2" t="s">
        <v>1167</v>
      </c>
      <c r="J300" s="2">
        <v>460</v>
      </c>
      <c r="K300" s="2">
        <v>870.34</v>
      </c>
      <c r="L300" s="2">
        <v>998.5</v>
      </c>
      <c r="M300" s="2">
        <v>459310</v>
      </c>
      <c r="N300" s="2">
        <v>400356.4</v>
      </c>
      <c r="O300" s="2">
        <v>58953.599999999999</v>
      </c>
      <c r="P300" s="2" t="s">
        <v>52</v>
      </c>
      <c r="Q300" s="2" t="s">
        <v>63</v>
      </c>
      <c r="R300" s="2">
        <v>3</v>
      </c>
      <c r="S300" s="2" t="s">
        <v>43</v>
      </c>
      <c r="T300" s="2">
        <v>4240</v>
      </c>
      <c r="U300" s="2">
        <v>20</v>
      </c>
      <c r="V300" s="2"/>
    </row>
    <row r="301" spans="1:22" x14ac:dyDescent="0.35">
      <c r="A301" s="3" t="s">
        <v>1168</v>
      </c>
      <c r="B301" s="3" t="s">
        <v>987</v>
      </c>
      <c r="C301" s="3" t="s">
        <v>1169</v>
      </c>
      <c r="D301" s="3" t="s">
        <v>1170</v>
      </c>
      <c r="E301" s="3" t="s">
        <v>100</v>
      </c>
      <c r="F301" s="3" t="s">
        <v>330</v>
      </c>
      <c r="G301" s="3" t="s">
        <v>70</v>
      </c>
      <c r="H301" s="3" t="s">
        <v>84</v>
      </c>
      <c r="I301" s="3" t="s">
        <v>153</v>
      </c>
      <c r="J301" s="3">
        <v>746</v>
      </c>
      <c r="K301" s="3">
        <v>462.77</v>
      </c>
      <c r="L301" s="3">
        <v>539.16</v>
      </c>
      <c r="M301" s="3">
        <v>402213.36</v>
      </c>
      <c r="N301" s="3">
        <v>345226.42</v>
      </c>
      <c r="O301" s="3">
        <v>56986.94</v>
      </c>
      <c r="P301" s="3" t="s">
        <v>31</v>
      </c>
      <c r="Q301" s="3" t="s">
        <v>63</v>
      </c>
      <c r="R301" s="3">
        <v>3</v>
      </c>
      <c r="S301" s="3" t="s">
        <v>158</v>
      </c>
      <c r="T301" s="3">
        <v>648</v>
      </c>
      <c r="U301" s="3">
        <v>1</v>
      </c>
      <c r="V301" s="3"/>
    </row>
    <row r="302" spans="1:22" x14ac:dyDescent="0.35">
      <c r="A302" s="2" t="s">
        <v>1171</v>
      </c>
      <c r="B302" s="2" t="s">
        <v>978</v>
      </c>
      <c r="C302" s="2" t="s">
        <v>1172</v>
      </c>
      <c r="D302" s="2" t="s">
        <v>583</v>
      </c>
      <c r="E302" s="2" t="s">
        <v>68</v>
      </c>
      <c r="F302" s="2" t="s">
        <v>146</v>
      </c>
      <c r="G302" s="2" t="s">
        <v>217</v>
      </c>
      <c r="H302" s="2" t="s">
        <v>494</v>
      </c>
      <c r="I302" s="2" t="s">
        <v>153</v>
      </c>
      <c r="J302" s="2">
        <v>466</v>
      </c>
      <c r="K302" s="2">
        <v>682.75</v>
      </c>
      <c r="L302" s="2">
        <v>1118.21</v>
      </c>
      <c r="M302" s="2">
        <v>521085.86</v>
      </c>
      <c r="N302" s="2">
        <v>318161.5</v>
      </c>
      <c r="O302" s="2">
        <v>202924.36</v>
      </c>
      <c r="P302" s="2" t="s">
        <v>31</v>
      </c>
      <c r="Q302" s="2" t="s">
        <v>32</v>
      </c>
      <c r="R302" s="2">
        <v>10</v>
      </c>
      <c r="S302" s="2" t="s">
        <v>53</v>
      </c>
      <c r="T302" s="2">
        <v>353</v>
      </c>
      <c r="U302" s="2">
        <v>15</v>
      </c>
      <c r="V302" s="2"/>
    </row>
    <row r="303" spans="1:22" x14ac:dyDescent="0.35">
      <c r="A303" s="3" t="s">
        <v>1173</v>
      </c>
      <c r="B303" s="3" t="s">
        <v>574</v>
      </c>
      <c r="C303" s="3" t="s">
        <v>1174</v>
      </c>
      <c r="D303" s="3" t="s">
        <v>1175</v>
      </c>
      <c r="E303" s="3" t="s">
        <v>100</v>
      </c>
      <c r="F303" s="3" t="s">
        <v>538</v>
      </c>
      <c r="G303" s="3" t="s">
        <v>78</v>
      </c>
      <c r="H303" s="3" t="s">
        <v>79</v>
      </c>
      <c r="I303" s="3" t="s">
        <v>124</v>
      </c>
      <c r="J303" s="3">
        <v>560</v>
      </c>
      <c r="K303" s="3">
        <v>315.89999999999998</v>
      </c>
      <c r="L303" s="3">
        <v>401.94</v>
      </c>
      <c r="M303" s="3">
        <v>225086.4</v>
      </c>
      <c r="N303" s="3">
        <v>176904</v>
      </c>
      <c r="O303" s="3">
        <v>48182.400000000001</v>
      </c>
      <c r="P303" s="3" t="s">
        <v>42</v>
      </c>
      <c r="Q303" s="3" t="s">
        <v>32</v>
      </c>
      <c r="R303" s="3">
        <v>14</v>
      </c>
      <c r="S303" s="3" t="s">
        <v>53</v>
      </c>
      <c r="T303" s="3">
        <v>2772</v>
      </c>
      <c r="U303" s="3">
        <v>24</v>
      </c>
      <c r="V303" s="3"/>
    </row>
    <row r="304" spans="1:22" x14ac:dyDescent="0.35">
      <c r="A304" s="2" t="s">
        <v>1176</v>
      </c>
      <c r="B304" s="2" t="s">
        <v>1177</v>
      </c>
      <c r="C304" s="2" t="s">
        <v>246</v>
      </c>
      <c r="D304" s="2" t="s">
        <v>1178</v>
      </c>
      <c r="E304" s="2" t="s">
        <v>26</v>
      </c>
      <c r="F304" s="2" t="s">
        <v>27</v>
      </c>
      <c r="G304" s="2" t="s">
        <v>78</v>
      </c>
      <c r="H304" s="2" t="s">
        <v>178</v>
      </c>
      <c r="I304" s="2" t="s">
        <v>118</v>
      </c>
      <c r="J304" s="2">
        <v>115</v>
      </c>
      <c r="K304" s="2">
        <v>241.93</v>
      </c>
      <c r="L304" s="2">
        <v>376.39</v>
      </c>
      <c r="M304" s="2">
        <v>43284.85</v>
      </c>
      <c r="N304" s="2">
        <v>27821.95</v>
      </c>
      <c r="O304" s="2">
        <v>15462.9</v>
      </c>
      <c r="P304" s="2" t="s">
        <v>95</v>
      </c>
      <c r="Q304" s="2" t="s">
        <v>32</v>
      </c>
      <c r="R304" s="2">
        <v>13</v>
      </c>
      <c r="S304" s="2" t="s">
        <v>43</v>
      </c>
      <c r="T304" s="2">
        <v>3021</v>
      </c>
      <c r="U304" s="2">
        <v>1</v>
      </c>
      <c r="V304" s="2"/>
    </row>
    <row r="305" spans="1:22" x14ac:dyDescent="0.35">
      <c r="A305" s="3" t="s">
        <v>1179</v>
      </c>
      <c r="B305" s="3" t="s">
        <v>1180</v>
      </c>
      <c r="C305" s="3" t="s">
        <v>1110</v>
      </c>
      <c r="D305" s="3" t="s">
        <v>1181</v>
      </c>
      <c r="E305" s="3" t="s">
        <v>68</v>
      </c>
      <c r="F305" s="3" t="s">
        <v>146</v>
      </c>
      <c r="G305" s="3" t="s">
        <v>28</v>
      </c>
      <c r="H305" s="3" t="s">
        <v>254</v>
      </c>
      <c r="I305" s="3" t="s">
        <v>118</v>
      </c>
      <c r="J305" s="3">
        <v>705</v>
      </c>
      <c r="K305" s="3">
        <v>934.45</v>
      </c>
      <c r="L305" s="3">
        <v>1276.29</v>
      </c>
      <c r="M305" s="3">
        <v>899784.45</v>
      </c>
      <c r="N305" s="3">
        <v>658787.25</v>
      </c>
      <c r="O305" s="3">
        <v>240997.2</v>
      </c>
      <c r="P305" s="3" t="s">
        <v>31</v>
      </c>
      <c r="Q305" s="3" t="s">
        <v>32</v>
      </c>
      <c r="R305" s="3">
        <v>15</v>
      </c>
      <c r="S305" s="3" t="s">
        <v>53</v>
      </c>
      <c r="T305" s="3">
        <v>961</v>
      </c>
      <c r="U305" s="3">
        <v>11</v>
      </c>
      <c r="V305" s="3"/>
    </row>
    <row r="306" spans="1:22" x14ac:dyDescent="0.35">
      <c r="A306" s="2" t="s">
        <v>1182</v>
      </c>
      <c r="B306" s="2" t="s">
        <v>1183</v>
      </c>
      <c r="C306" s="2" t="s">
        <v>553</v>
      </c>
      <c r="D306" s="2" t="s">
        <v>1184</v>
      </c>
      <c r="E306" s="2" t="s">
        <v>58</v>
      </c>
      <c r="F306" s="2" t="s">
        <v>116</v>
      </c>
      <c r="G306" s="2" t="s">
        <v>70</v>
      </c>
      <c r="H306" s="2" t="s">
        <v>84</v>
      </c>
      <c r="I306" s="2" t="s">
        <v>293</v>
      </c>
      <c r="J306" s="2">
        <v>220</v>
      </c>
      <c r="K306" s="2">
        <v>877.68</v>
      </c>
      <c r="L306" s="2">
        <v>1111.8</v>
      </c>
      <c r="M306" s="2">
        <v>244596</v>
      </c>
      <c r="N306" s="2">
        <v>193089.6</v>
      </c>
      <c r="O306" s="2">
        <v>51506.400000000001</v>
      </c>
      <c r="P306" s="2" t="s">
        <v>42</v>
      </c>
      <c r="Q306" s="2" t="s">
        <v>63</v>
      </c>
      <c r="R306" s="2">
        <v>1</v>
      </c>
      <c r="S306" s="2" t="s">
        <v>53</v>
      </c>
      <c r="T306" s="2">
        <v>304</v>
      </c>
      <c r="U306" s="2">
        <v>5</v>
      </c>
      <c r="V306" s="2"/>
    </row>
    <row r="307" spans="1:22" x14ac:dyDescent="0.35">
      <c r="A307" s="3" t="s">
        <v>1185</v>
      </c>
      <c r="B307" s="3" t="s">
        <v>536</v>
      </c>
      <c r="C307" s="3" t="s">
        <v>1186</v>
      </c>
      <c r="D307" s="3" t="s">
        <v>1187</v>
      </c>
      <c r="E307" s="3" t="s">
        <v>48</v>
      </c>
      <c r="F307" s="3" t="s">
        <v>281</v>
      </c>
      <c r="G307" s="3" t="s">
        <v>189</v>
      </c>
      <c r="H307" s="3" t="s">
        <v>311</v>
      </c>
      <c r="I307" s="3" t="s">
        <v>1020</v>
      </c>
      <c r="J307" s="3">
        <v>148</v>
      </c>
      <c r="K307" s="3">
        <v>177.11</v>
      </c>
      <c r="L307" s="3">
        <v>203.55</v>
      </c>
      <c r="M307" s="3">
        <v>30125.4</v>
      </c>
      <c r="N307" s="3">
        <v>26212.28</v>
      </c>
      <c r="O307" s="3">
        <v>3913.12</v>
      </c>
      <c r="P307" s="3" t="s">
        <v>42</v>
      </c>
      <c r="Q307" s="3" t="s">
        <v>32</v>
      </c>
      <c r="R307" s="3">
        <v>13</v>
      </c>
      <c r="S307" s="3" t="s">
        <v>33</v>
      </c>
      <c r="T307" s="4"/>
      <c r="U307" s="3">
        <v>4</v>
      </c>
      <c r="V307" s="3"/>
    </row>
    <row r="308" spans="1:22" x14ac:dyDescent="0.35">
      <c r="A308" s="2" t="s">
        <v>1188</v>
      </c>
      <c r="B308" s="2" t="s">
        <v>742</v>
      </c>
      <c r="C308" s="2" t="s">
        <v>1189</v>
      </c>
      <c r="D308" s="2" t="s">
        <v>1190</v>
      </c>
      <c r="E308" s="2" t="s">
        <v>26</v>
      </c>
      <c r="F308" s="2" t="s">
        <v>92</v>
      </c>
      <c r="G308" s="2" t="s">
        <v>78</v>
      </c>
      <c r="H308" s="2" t="s">
        <v>628</v>
      </c>
      <c r="I308" s="2" t="s">
        <v>240</v>
      </c>
      <c r="J308" s="2">
        <v>78</v>
      </c>
      <c r="K308" s="2">
        <v>676.71</v>
      </c>
      <c r="L308" s="2">
        <v>824.78</v>
      </c>
      <c r="M308" s="2">
        <v>64332.84</v>
      </c>
      <c r="N308" s="2">
        <v>52783.38</v>
      </c>
      <c r="O308" s="2">
        <v>11549.46</v>
      </c>
      <c r="P308" s="2" t="s">
        <v>52</v>
      </c>
      <c r="Q308" s="2" t="s">
        <v>32</v>
      </c>
      <c r="R308" s="2">
        <v>12</v>
      </c>
      <c r="S308" s="2" t="s">
        <v>43</v>
      </c>
      <c r="T308" s="2">
        <v>4670</v>
      </c>
      <c r="U308" s="2">
        <v>2</v>
      </c>
      <c r="V308" s="2"/>
    </row>
    <row r="309" spans="1:22" x14ac:dyDescent="0.35">
      <c r="A309" s="3" t="s">
        <v>1191</v>
      </c>
      <c r="B309" s="3" t="s">
        <v>1192</v>
      </c>
      <c r="C309" s="3" t="s">
        <v>120</v>
      </c>
      <c r="D309" s="3" t="s">
        <v>1193</v>
      </c>
      <c r="E309" s="3" t="s">
        <v>58</v>
      </c>
      <c r="F309" s="3" t="s">
        <v>122</v>
      </c>
      <c r="G309" s="3" t="s">
        <v>70</v>
      </c>
      <c r="H309" s="3" t="s">
        <v>384</v>
      </c>
      <c r="I309" s="3" t="s">
        <v>240</v>
      </c>
      <c r="J309" s="3">
        <v>304</v>
      </c>
      <c r="K309" s="3">
        <v>925.14</v>
      </c>
      <c r="L309" s="3">
        <v>1334.28</v>
      </c>
      <c r="M309" s="3">
        <v>405621.12</v>
      </c>
      <c r="N309" s="3">
        <v>281242.56</v>
      </c>
      <c r="O309" s="3">
        <v>124378.56</v>
      </c>
      <c r="P309" s="3" t="s">
        <v>31</v>
      </c>
      <c r="Q309" s="3" t="s">
        <v>32</v>
      </c>
      <c r="R309" s="3">
        <v>15</v>
      </c>
      <c r="S309" s="3" t="s">
        <v>43</v>
      </c>
      <c r="T309" s="3">
        <v>2087</v>
      </c>
      <c r="U309" s="3">
        <v>12</v>
      </c>
      <c r="V309" s="3"/>
    </row>
    <row r="310" spans="1:22" x14ac:dyDescent="0.35">
      <c r="A310" s="2" t="s">
        <v>1194</v>
      </c>
      <c r="B310" s="2" t="s">
        <v>206</v>
      </c>
      <c r="C310" s="2" t="s">
        <v>1195</v>
      </c>
      <c r="D310" s="2" t="s">
        <v>1196</v>
      </c>
      <c r="E310" s="2" t="s">
        <v>26</v>
      </c>
      <c r="F310" s="2" t="s">
        <v>92</v>
      </c>
      <c r="G310" s="2" t="s">
        <v>28</v>
      </c>
      <c r="H310" s="2" t="s">
        <v>29</v>
      </c>
      <c r="I310" s="2" t="s">
        <v>191</v>
      </c>
      <c r="J310" s="2">
        <v>409</v>
      </c>
      <c r="K310" s="2">
        <v>968.45</v>
      </c>
      <c r="L310" s="2">
        <v>1433.87</v>
      </c>
      <c r="M310" s="2">
        <v>586452.82999999996</v>
      </c>
      <c r="N310" s="2">
        <v>396096.05</v>
      </c>
      <c r="O310" s="2">
        <v>190356.78</v>
      </c>
      <c r="P310" s="2" t="s">
        <v>95</v>
      </c>
      <c r="Q310" s="2" t="s">
        <v>63</v>
      </c>
      <c r="R310" s="2">
        <v>5</v>
      </c>
      <c r="S310" s="2" t="s">
        <v>43</v>
      </c>
      <c r="T310" s="2">
        <v>2961</v>
      </c>
      <c r="U310" s="2">
        <v>13</v>
      </c>
      <c r="V310" s="2"/>
    </row>
    <row r="311" spans="1:22" x14ac:dyDescent="0.35">
      <c r="A311" s="3" t="s">
        <v>1197</v>
      </c>
      <c r="B311" s="3" t="s">
        <v>1198</v>
      </c>
      <c r="C311" s="3" t="s">
        <v>427</v>
      </c>
      <c r="D311" s="3" t="s">
        <v>1199</v>
      </c>
      <c r="E311" s="3" t="s">
        <v>26</v>
      </c>
      <c r="F311" s="3" t="s">
        <v>77</v>
      </c>
      <c r="G311" s="3" t="s">
        <v>50</v>
      </c>
      <c r="H311" s="3" t="s">
        <v>734</v>
      </c>
      <c r="I311" s="3" t="s">
        <v>118</v>
      </c>
      <c r="J311" s="3">
        <v>43</v>
      </c>
      <c r="K311" s="3">
        <v>794.22</v>
      </c>
      <c r="L311" s="3">
        <v>1183.3</v>
      </c>
      <c r="M311" s="3">
        <v>50881.9</v>
      </c>
      <c r="N311" s="3">
        <v>34151.46</v>
      </c>
      <c r="O311" s="3">
        <v>16730.439999999999</v>
      </c>
      <c r="P311" s="3" t="s">
        <v>95</v>
      </c>
      <c r="Q311" s="3" t="s">
        <v>32</v>
      </c>
      <c r="R311" s="3">
        <v>7</v>
      </c>
      <c r="S311" s="3" t="s">
        <v>112</v>
      </c>
      <c r="T311" s="3">
        <v>1965</v>
      </c>
      <c r="U311" s="3">
        <v>2</v>
      </c>
      <c r="V311" s="3"/>
    </row>
    <row r="312" spans="1:22" x14ac:dyDescent="0.35">
      <c r="A312" s="2" t="s">
        <v>1200</v>
      </c>
      <c r="B312" s="2" t="s">
        <v>132</v>
      </c>
      <c r="C312" s="2" t="s">
        <v>1201</v>
      </c>
      <c r="D312" s="2" t="s">
        <v>1202</v>
      </c>
      <c r="E312" s="2" t="s">
        <v>26</v>
      </c>
      <c r="F312" s="2" t="s">
        <v>27</v>
      </c>
      <c r="G312" s="2" t="s">
        <v>28</v>
      </c>
      <c r="H312" s="2" t="s">
        <v>111</v>
      </c>
      <c r="I312" s="2" t="s">
        <v>41</v>
      </c>
      <c r="J312" s="2">
        <v>234</v>
      </c>
      <c r="K312" s="2">
        <v>255.25</v>
      </c>
      <c r="L312" s="2">
        <v>406.75</v>
      </c>
      <c r="M312" s="2">
        <v>95179.5</v>
      </c>
      <c r="N312" s="2">
        <v>59728.5</v>
      </c>
      <c r="O312" s="2">
        <v>35451</v>
      </c>
      <c r="P312" s="2" t="s">
        <v>42</v>
      </c>
      <c r="Q312" s="2" t="s">
        <v>32</v>
      </c>
      <c r="R312" s="2">
        <v>13</v>
      </c>
      <c r="S312" s="2" t="s">
        <v>112</v>
      </c>
      <c r="T312" s="2">
        <v>1476</v>
      </c>
      <c r="U312" s="2">
        <v>11</v>
      </c>
      <c r="V312" s="2"/>
    </row>
    <row r="313" spans="1:22" x14ac:dyDescent="0.35">
      <c r="A313" s="3" t="s">
        <v>1203</v>
      </c>
      <c r="B313" s="3" t="s">
        <v>1114</v>
      </c>
      <c r="C313" s="3" t="s">
        <v>1146</v>
      </c>
      <c r="D313" s="3" t="s">
        <v>1204</v>
      </c>
      <c r="E313" s="3" t="s">
        <v>48</v>
      </c>
      <c r="F313" s="3" t="s">
        <v>183</v>
      </c>
      <c r="G313" s="3" t="s">
        <v>50</v>
      </c>
      <c r="H313" s="3" t="s">
        <v>282</v>
      </c>
      <c r="I313" s="3" t="s">
        <v>72</v>
      </c>
      <c r="J313" s="3">
        <v>15</v>
      </c>
      <c r="K313" s="3">
        <v>676.65</v>
      </c>
      <c r="L313" s="3">
        <v>822.25</v>
      </c>
      <c r="M313" s="3">
        <v>12333.75</v>
      </c>
      <c r="N313" s="3">
        <v>10149.75</v>
      </c>
      <c r="O313" s="3">
        <v>2184</v>
      </c>
      <c r="P313" s="3" t="s">
        <v>42</v>
      </c>
      <c r="Q313" s="3" t="s">
        <v>32</v>
      </c>
      <c r="R313" s="3">
        <v>14</v>
      </c>
      <c r="S313" s="3" t="s">
        <v>43</v>
      </c>
      <c r="T313" s="3">
        <v>252</v>
      </c>
      <c r="U313" s="3">
        <v>0</v>
      </c>
      <c r="V313" s="3"/>
    </row>
    <row r="314" spans="1:22" x14ac:dyDescent="0.35">
      <c r="A314" s="2" t="s">
        <v>1205</v>
      </c>
      <c r="B314" s="2" t="s">
        <v>176</v>
      </c>
      <c r="C314" s="2" t="s">
        <v>1206</v>
      </c>
      <c r="D314" s="2" t="s">
        <v>1207</v>
      </c>
      <c r="E314" s="2" t="s">
        <v>100</v>
      </c>
      <c r="F314" s="2" t="s">
        <v>106</v>
      </c>
      <c r="G314" s="2" t="s">
        <v>28</v>
      </c>
      <c r="H314" s="2" t="s">
        <v>674</v>
      </c>
      <c r="I314" s="2" t="s">
        <v>41</v>
      </c>
      <c r="J314" s="2">
        <v>778</v>
      </c>
      <c r="K314" s="2">
        <v>121.7</v>
      </c>
      <c r="L314" s="2">
        <v>170.18</v>
      </c>
      <c r="M314" s="2">
        <v>132400.04</v>
      </c>
      <c r="N314" s="2">
        <v>94682.6</v>
      </c>
      <c r="O314" s="2">
        <v>37717.440000000002</v>
      </c>
      <c r="P314" s="2" t="s">
        <v>42</v>
      </c>
      <c r="Q314" s="2" t="s">
        <v>32</v>
      </c>
      <c r="R314" s="2">
        <v>10</v>
      </c>
      <c r="S314" s="2" t="s">
        <v>86</v>
      </c>
      <c r="T314" s="2">
        <v>4372</v>
      </c>
      <c r="U314" s="2">
        <v>26</v>
      </c>
      <c r="V314" s="2"/>
    </row>
    <row r="315" spans="1:22" x14ac:dyDescent="0.35">
      <c r="A315" s="3" t="s">
        <v>1208</v>
      </c>
      <c r="B315" s="3" t="s">
        <v>1209</v>
      </c>
      <c r="C315" s="3" t="s">
        <v>1210</v>
      </c>
      <c r="D315" s="3" t="s">
        <v>1211</v>
      </c>
      <c r="E315" s="3" t="s">
        <v>58</v>
      </c>
      <c r="F315" s="3" t="s">
        <v>259</v>
      </c>
      <c r="G315" s="3" t="s">
        <v>39</v>
      </c>
      <c r="H315" s="3" t="s">
        <v>354</v>
      </c>
      <c r="I315" s="3" t="s">
        <v>41</v>
      </c>
      <c r="J315" s="3">
        <v>191</v>
      </c>
      <c r="K315" s="3">
        <v>246.16</v>
      </c>
      <c r="L315" s="3">
        <v>313.77999999999997</v>
      </c>
      <c r="M315" s="3">
        <v>59931.98</v>
      </c>
      <c r="N315" s="3">
        <v>47016.56</v>
      </c>
      <c r="O315" s="3">
        <v>12915.42</v>
      </c>
      <c r="P315" s="3" t="s">
        <v>31</v>
      </c>
      <c r="Q315" s="3" t="s">
        <v>63</v>
      </c>
      <c r="R315" s="3">
        <v>2</v>
      </c>
      <c r="S315" s="3" t="s">
        <v>53</v>
      </c>
      <c r="T315" s="3">
        <v>2499</v>
      </c>
      <c r="U315" s="3">
        <v>7</v>
      </c>
      <c r="V315" s="3"/>
    </row>
    <row r="316" spans="1:22" x14ac:dyDescent="0.35">
      <c r="A316" s="2" t="s">
        <v>1212</v>
      </c>
      <c r="B316" s="2" t="s">
        <v>1213</v>
      </c>
      <c r="C316" s="2" t="s">
        <v>333</v>
      </c>
      <c r="D316" s="2" t="s">
        <v>1214</v>
      </c>
      <c r="E316" s="2" t="s">
        <v>100</v>
      </c>
      <c r="F316" s="2" t="s">
        <v>330</v>
      </c>
      <c r="G316" s="2" t="s">
        <v>93</v>
      </c>
      <c r="H316" s="2" t="s">
        <v>321</v>
      </c>
      <c r="I316" s="2" t="s">
        <v>191</v>
      </c>
      <c r="J316" s="2">
        <v>291</v>
      </c>
      <c r="K316" s="2">
        <v>872.92</v>
      </c>
      <c r="L316" s="2">
        <v>1339.91</v>
      </c>
      <c r="M316" s="2">
        <v>389913.81</v>
      </c>
      <c r="N316" s="2">
        <v>254019.72</v>
      </c>
      <c r="O316" s="2">
        <v>135894.09</v>
      </c>
      <c r="P316" s="2" t="s">
        <v>52</v>
      </c>
      <c r="Q316" s="2" t="s">
        <v>32</v>
      </c>
      <c r="R316" s="2">
        <v>15</v>
      </c>
      <c r="S316" s="2" t="s">
        <v>33</v>
      </c>
      <c r="T316" s="2">
        <v>825</v>
      </c>
      <c r="U316" s="2">
        <v>6</v>
      </c>
      <c r="V316" s="2"/>
    </row>
    <row r="317" spans="1:22" x14ac:dyDescent="0.35">
      <c r="A317" s="3" t="s">
        <v>1215</v>
      </c>
      <c r="B317" s="3" t="s">
        <v>1216</v>
      </c>
      <c r="C317" s="3" t="s">
        <v>1217</v>
      </c>
      <c r="D317" s="3" t="s">
        <v>1218</v>
      </c>
      <c r="E317" s="3" t="s">
        <v>68</v>
      </c>
      <c r="F317" s="3" t="s">
        <v>249</v>
      </c>
      <c r="G317" s="3" t="s">
        <v>50</v>
      </c>
      <c r="H317" s="3" t="s">
        <v>107</v>
      </c>
      <c r="I317" s="3" t="s">
        <v>85</v>
      </c>
      <c r="J317" s="3">
        <v>285</v>
      </c>
      <c r="K317" s="3">
        <v>569.48</v>
      </c>
      <c r="L317" s="3">
        <v>823.94</v>
      </c>
      <c r="M317" s="3">
        <v>234822.9</v>
      </c>
      <c r="N317" s="3">
        <v>162301.79999999999</v>
      </c>
      <c r="O317" s="3">
        <v>72521.100000000006</v>
      </c>
      <c r="P317" s="3" t="s">
        <v>42</v>
      </c>
      <c r="Q317" s="3" t="s">
        <v>32</v>
      </c>
      <c r="R317" s="3">
        <v>13</v>
      </c>
      <c r="S317" s="3" t="s">
        <v>112</v>
      </c>
      <c r="T317" s="3">
        <v>1577</v>
      </c>
      <c r="U317" s="3">
        <v>13</v>
      </c>
      <c r="V317" s="3"/>
    </row>
    <row r="318" spans="1:22" x14ac:dyDescent="0.35">
      <c r="A318" s="2" t="s">
        <v>1219</v>
      </c>
      <c r="B318" s="2" t="s">
        <v>1220</v>
      </c>
      <c r="C318" s="2" t="s">
        <v>1143</v>
      </c>
      <c r="D318" s="4"/>
      <c r="E318" s="2" t="s">
        <v>26</v>
      </c>
      <c r="F318" s="2" t="s">
        <v>38</v>
      </c>
      <c r="G318" s="2" t="s">
        <v>78</v>
      </c>
      <c r="H318" s="2" t="s">
        <v>481</v>
      </c>
      <c r="I318" s="2" t="s">
        <v>191</v>
      </c>
      <c r="J318" s="2">
        <v>21</v>
      </c>
      <c r="K318" s="2">
        <v>687.52</v>
      </c>
      <c r="L318" s="2">
        <v>1134.3599999999999</v>
      </c>
      <c r="M318" s="2">
        <v>23821.56</v>
      </c>
      <c r="N318" s="2">
        <v>14437.92</v>
      </c>
      <c r="O318" s="2">
        <v>9383.64</v>
      </c>
      <c r="P318" s="2" t="s">
        <v>31</v>
      </c>
      <c r="Q318" s="2" t="s">
        <v>32</v>
      </c>
      <c r="R318" s="2">
        <v>15</v>
      </c>
      <c r="S318" s="2" t="s">
        <v>86</v>
      </c>
      <c r="T318" s="2">
        <v>3370</v>
      </c>
      <c r="U318" s="2">
        <v>0</v>
      </c>
      <c r="V318" s="2"/>
    </row>
    <row r="319" spans="1:22" x14ac:dyDescent="0.35">
      <c r="A319" s="3" t="s">
        <v>1221</v>
      </c>
      <c r="B319" s="3" t="s">
        <v>1222</v>
      </c>
      <c r="C319" s="3" t="s">
        <v>1223</v>
      </c>
      <c r="D319" s="3" t="s">
        <v>1224</v>
      </c>
      <c r="E319" s="3" t="s">
        <v>100</v>
      </c>
      <c r="F319" s="3" t="s">
        <v>101</v>
      </c>
      <c r="G319" s="3" t="s">
        <v>93</v>
      </c>
      <c r="H319" s="3" t="s">
        <v>485</v>
      </c>
      <c r="I319" s="3" t="s">
        <v>30</v>
      </c>
      <c r="J319" s="3">
        <v>259</v>
      </c>
      <c r="K319" s="3">
        <v>1148.49</v>
      </c>
      <c r="L319" s="3">
        <v>1784.17</v>
      </c>
      <c r="M319" s="3">
        <v>462100.03</v>
      </c>
      <c r="N319" s="3">
        <v>297458.90999999997</v>
      </c>
      <c r="O319" s="3">
        <v>164641.12</v>
      </c>
      <c r="P319" s="3" t="s">
        <v>31</v>
      </c>
      <c r="Q319" s="3" t="s">
        <v>63</v>
      </c>
      <c r="R319" s="3">
        <v>5</v>
      </c>
      <c r="S319" s="3" t="s">
        <v>86</v>
      </c>
      <c r="T319" s="3">
        <v>3386</v>
      </c>
      <c r="U319" s="3">
        <v>10</v>
      </c>
      <c r="V319" s="3"/>
    </row>
    <row r="320" spans="1:22" x14ac:dyDescent="0.35">
      <c r="A320" s="2" t="s">
        <v>1225</v>
      </c>
      <c r="B320" s="2" t="s">
        <v>764</v>
      </c>
      <c r="C320" s="2" t="s">
        <v>1226</v>
      </c>
      <c r="D320" s="2" t="s">
        <v>1227</v>
      </c>
      <c r="E320" s="2" t="s">
        <v>100</v>
      </c>
      <c r="F320" s="2" t="s">
        <v>330</v>
      </c>
      <c r="G320" s="2" t="s">
        <v>28</v>
      </c>
      <c r="H320" s="2" t="s">
        <v>507</v>
      </c>
      <c r="I320" s="2" t="s">
        <v>118</v>
      </c>
      <c r="J320" s="2">
        <v>686</v>
      </c>
      <c r="K320" s="2">
        <v>1181.31</v>
      </c>
      <c r="L320" s="2">
        <v>1543.07</v>
      </c>
      <c r="M320" s="2">
        <v>1058546.02</v>
      </c>
      <c r="N320" s="2">
        <v>810378.66</v>
      </c>
      <c r="O320" s="2">
        <v>248167.36</v>
      </c>
      <c r="P320" s="2" t="s">
        <v>31</v>
      </c>
      <c r="Q320" s="2" t="s">
        <v>32</v>
      </c>
      <c r="R320" s="2">
        <v>10</v>
      </c>
      <c r="S320" s="2" t="s">
        <v>33</v>
      </c>
      <c r="T320" s="2">
        <v>2078</v>
      </c>
      <c r="U320" s="2">
        <v>8</v>
      </c>
      <c r="V320" s="2"/>
    </row>
    <row r="321" spans="1:22" x14ac:dyDescent="0.35">
      <c r="A321" s="3" t="s">
        <v>1228</v>
      </c>
      <c r="B321" s="3" t="s">
        <v>496</v>
      </c>
      <c r="C321" s="3" t="s">
        <v>448</v>
      </c>
      <c r="D321" s="3" t="s">
        <v>1229</v>
      </c>
      <c r="E321" s="3" t="s">
        <v>100</v>
      </c>
      <c r="F321" s="3" t="s">
        <v>330</v>
      </c>
      <c r="G321" s="3" t="s">
        <v>217</v>
      </c>
      <c r="H321" s="3" t="s">
        <v>725</v>
      </c>
      <c r="I321" s="3" t="s">
        <v>118</v>
      </c>
      <c r="J321" s="3">
        <v>227</v>
      </c>
      <c r="K321" s="3">
        <v>373.28</v>
      </c>
      <c r="L321" s="3">
        <v>433.87</v>
      </c>
      <c r="M321" s="3">
        <v>98488.49</v>
      </c>
      <c r="N321" s="3">
        <v>84734.56</v>
      </c>
      <c r="O321" s="3">
        <v>13753.93</v>
      </c>
      <c r="P321" s="3" t="s">
        <v>95</v>
      </c>
      <c r="Q321" s="3" t="s">
        <v>32</v>
      </c>
      <c r="R321" s="3">
        <v>7</v>
      </c>
      <c r="S321" s="3" t="s">
        <v>33</v>
      </c>
      <c r="T321" s="3">
        <v>2466</v>
      </c>
      <c r="U321" s="3">
        <v>10</v>
      </c>
      <c r="V321" s="3"/>
    </row>
    <row r="322" spans="1:22" x14ac:dyDescent="0.35">
      <c r="A322" s="2" t="s">
        <v>266</v>
      </c>
      <c r="B322" s="2" t="s">
        <v>267</v>
      </c>
      <c r="C322" s="2" t="s">
        <v>1061</v>
      </c>
      <c r="D322" s="2" t="s">
        <v>269</v>
      </c>
      <c r="E322" s="2" t="s">
        <v>48</v>
      </c>
      <c r="F322" s="2" t="s">
        <v>270</v>
      </c>
      <c r="G322" s="2" t="s">
        <v>189</v>
      </c>
      <c r="H322" s="2" t="s">
        <v>271</v>
      </c>
      <c r="I322" s="2" t="s">
        <v>1230</v>
      </c>
      <c r="J322" s="2">
        <v>708</v>
      </c>
      <c r="K322" s="2">
        <v>623.86</v>
      </c>
      <c r="L322" s="2">
        <v>896.1</v>
      </c>
      <c r="M322" s="2">
        <v>634438.80000000005</v>
      </c>
      <c r="N322" s="2">
        <v>441692.88</v>
      </c>
      <c r="O322" s="2">
        <v>192745.92</v>
      </c>
      <c r="P322" s="2" t="s">
        <v>42</v>
      </c>
      <c r="Q322" s="2" t="s">
        <v>32</v>
      </c>
      <c r="R322" s="2">
        <v>9</v>
      </c>
      <c r="S322" s="2" t="s">
        <v>86</v>
      </c>
      <c r="T322" s="2">
        <v>3800</v>
      </c>
      <c r="U322" s="2">
        <v>6</v>
      </c>
      <c r="V322" s="2"/>
    </row>
    <row r="323" spans="1:22" x14ac:dyDescent="0.35">
      <c r="A323" s="3" t="s">
        <v>1231</v>
      </c>
      <c r="B323" s="3" t="s">
        <v>1232</v>
      </c>
      <c r="C323" s="3" t="s">
        <v>1233</v>
      </c>
      <c r="D323" s="3" t="s">
        <v>1234</v>
      </c>
      <c r="E323" s="3" t="s">
        <v>68</v>
      </c>
      <c r="F323" s="3" t="s">
        <v>69</v>
      </c>
      <c r="G323" s="3" t="s">
        <v>78</v>
      </c>
      <c r="H323" s="3" t="s">
        <v>178</v>
      </c>
      <c r="I323" s="3" t="s">
        <v>153</v>
      </c>
      <c r="J323" s="3">
        <v>183</v>
      </c>
      <c r="K323" s="3">
        <v>414.43</v>
      </c>
      <c r="L323" s="3">
        <v>544.42999999999995</v>
      </c>
      <c r="M323" s="3">
        <v>99630.69</v>
      </c>
      <c r="N323" s="3">
        <v>75840.69</v>
      </c>
      <c r="O323" s="3">
        <v>23790</v>
      </c>
      <c r="P323" s="3" t="s">
        <v>42</v>
      </c>
      <c r="Q323" s="3" t="s">
        <v>63</v>
      </c>
      <c r="R323" s="3">
        <v>3</v>
      </c>
      <c r="S323" s="3" t="s">
        <v>86</v>
      </c>
      <c r="T323" s="3">
        <v>1373</v>
      </c>
      <c r="U323" s="3">
        <v>1</v>
      </c>
      <c r="V323" s="3"/>
    </row>
    <row r="324" spans="1:22" x14ac:dyDescent="0.35">
      <c r="A324" s="2" t="s">
        <v>1235</v>
      </c>
      <c r="B324" s="2" t="s">
        <v>1236</v>
      </c>
      <c r="C324" s="2" t="s">
        <v>1237</v>
      </c>
      <c r="D324" s="2" t="s">
        <v>1238</v>
      </c>
      <c r="E324" s="2" t="s">
        <v>26</v>
      </c>
      <c r="F324" s="2" t="s">
        <v>38</v>
      </c>
      <c r="G324" s="2" t="s">
        <v>129</v>
      </c>
      <c r="H324" s="2" t="s">
        <v>168</v>
      </c>
      <c r="I324" s="2" t="s">
        <v>118</v>
      </c>
      <c r="J324" s="2">
        <v>371</v>
      </c>
      <c r="K324" s="2">
        <v>822.71</v>
      </c>
      <c r="L324" s="2">
        <v>1070.5999999999999</v>
      </c>
      <c r="M324" s="2">
        <v>397192.6</v>
      </c>
      <c r="N324" s="2">
        <v>305225.40999999997</v>
      </c>
      <c r="O324" s="2">
        <v>91967.19</v>
      </c>
      <c r="P324" s="2" t="s">
        <v>42</v>
      </c>
      <c r="Q324" s="2" t="s">
        <v>32</v>
      </c>
      <c r="R324" s="2">
        <v>12</v>
      </c>
      <c r="S324" s="2" t="s">
        <v>86</v>
      </c>
      <c r="T324" s="2">
        <v>819</v>
      </c>
      <c r="U324" s="2">
        <v>1</v>
      </c>
      <c r="V324" s="2"/>
    </row>
    <row r="325" spans="1:22" x14ac:dyDescent="0.35">
      <c r="A325" s="3" t="s">
        <v>1239</v>
      </c>
      <c r="B325" s="3" t="s">
        <v>1240</v>
      </c>
      <c r="C325" s="3" t="s">
        <v>809</v>
      </c>
      <c r="D325" s="3" t="s">
        <v>1241</v>
      </c>
      <c r="E325" s="3" t="s">
        <v>100</v>
      </c>
      <c r="F325" s="3" t="s">
        <v>1242</v>
      </c>
      <c r="G325" s="3" t="s">
        <v>129</v>
      </c>
      <c r="H325" s="3" t="s">
        <v>811</v>
      </c>
      <c r="I325" s="3" t="s">
        <v>41</v>
      </c>
      <c r="J325" s="3">
        <v>685</v>
      </c>
      <c r="K325" s="3">
        <v>1116.4100000000001</v>
      </c>
      <c r="L325" s="3">
        <v>1818.99</v>
      </c>
      <c r="M325" s="3">
        <v>1246008.1499999999</v>
      </c>
      <c r="N325" s="3">
        <v>764740.85</v>
      </c>
      <c r="O325" s="3">
        <v>481267.3</v>
      </c>
      <c r="P325" s="3" t="s">
        <v>31</v>
      </c>
      <c r="Q325" s="3" t="s">
        <v>32</v>
      </c>
      <c r="R325" s="3">
        <v>9</v>
      </c>
      <c r="S325" s="3" t="s">
        <v>33</v>
      </c>
      <c r="T325" s="3">
        <v>2270</v>
      </c>
      <c r="U325" s="3">
        <v>4</v>
      </c>
      <c r="V325" s="3"/>
    </row>
    <row r="326" spans="1:22" x14ac:dyDescent="0.35">
      <c r="A326" s="2" t="s">
        <v>1243</v>
      </c>
      <c r="B326" s="2" t="s">
        <v>1002</v>
      </c>
      <c r="C326" s="2" t="s">
        <v>1201</v>
      </c>
      <c r="D326" s="2" t="s">
        <v>1244</v>
      </c>
      <c r="E326" s="4"/>
      <c r="F326" s="2" t="s">
        <v>183</v>
      </c>
      <c r="G326" s="2" t="s">
        <v>129</v>
      </c>
      <c r="H326" s="2" t="s">
        <v>811</v>
      </c>
      <c r="I326" s="2" t="s">
        <v>30</v>
      </c>
      <c r="J326" s="2">
        <v>115</v>
      </c>
      <c r="K326" s="2">
        <v>289.08</v>
      </c>
      <c r="L326" s="2">
        <v>426.98</v>
      </c>
      <c r="M326" s="2">
        <v>49102.7</v>
      </c>
      <c r="N326" s="2">
        <v>33244.199999999997</v>
      </c>
      <c r="O326" s="2">
        <v>15858.5</v>
      </c>
      <c r="P326" s="2" t="s">
        <v>95</v>
      </c>
      <c r="Q326" s="2" t="s">
        <v>32</v>
      </c>
      <c r="R326" s="2">
        <v>7</v>
      </c>
      <c r="S326" s="2" t="s">
        <v>43</v>
      </c>
      <c r="T326" s="2">
        <v>2668</v>
      </c>
      <c r="U326" s="2">
        <v>5</v>
      </c>
      <c r="V326" s="2"/>
    </row>
    <row r="327" spans="1:22" x14ac:dyDescent="0.35">
      <c r="A327" s="3" t="s">
        <v>1245</v>
      </c>
      <c r="B327" s="3" t="s">
        <v>668</v>
      </c>
      <c r="C327" s="3" t="s">
        <v>1246</v>
      </c>
      <c r="D327" s="3" t="s">
        <v>1247</v>
      </c>
      <c r="E327" s="3" t="s">
        <v>68</v>
      </c>
      <c r="F327" s="3" t="s">
        <v>146</v>
      </c>
      <c r="G327" s="3" t="s">
        <v>60</v>
      </c>
      <c r="H327" s="3" t="s">
        <v>229</v>
      </c>
      <c r="I327" s="3" t="s">
        <v>293</v>
      </c>
      <c r="J327" s="3">
        <v>540</v>
      </c>
      <c r="K327" s="3">
        <v>750.1</v>
      </c>
      <c r="L327" s="3">
        <v>1016.27</v>
      </c>
      <c r="M327" s="3">
        <v>548785.80000000005</v>
      </c>
      <c r="N327" s="3">
        <v>405054</v>
      </c>
      <c r="O327" s="3">
        <v>143731.79999999999</v>
      </c>
      <c r="P327" s="3" t="s">
        <v>42</v>
      </c>
      <c r="Q327" s="3" t="s">
        <v>32</v>
      </c>
      <c r="R327" s="3">
        <v>9</v>
      </c>
      <c r="S327" s="3" t="s">
        <v>33</v>
      </c>
      <c r="T327" s="3">
        <v>536</v>
      </c>
      <c r="U327" s="3">
        <v>7</v>
      </c>
      <c r="V327" s="3"/>
    </row>
    <row r="328" spans="1:22" x14ac:dyDescent="0.35">
      <c r="A328" s="2" t="s">
        <v>1248</v>
      </c>
      <c r="B328" s="2" t="s">
        <v>1249</v>
      </c>
      <c r="C328" s="2" t="s">
        <v>1046</v>
      </c>
      <c r="D328" s="2" t="s">
        <v>1250</v>
      </c>
      <c r="E328" s="2" t="s">
        <v>26</v>
      </c>
      <c r="F328" s="2" t="s">
        <v>38</v>
      </c>
      <c r="G328" s="2" t="s">
        <v>60</v>
      </c>
      <c r="H328" s="2" t="s">
        <v>61</v>
      </c>
      <c r="I328" s="2" t="s">
        <v>72</v>
      </c>
      <c r="J328" s="2">
        <v>218</v>
      </c>
      <c r="K328" s="2">
        <v>308.5</v>
      </c>
      <c r="L328" s="2">
        <v>445.95</v>
      </c>
      <c r="M328" s="2">
        <v>97217.1</v>
      </c>
      <c r="N328" s="2">
        <v>67253</v>
      </c>
      <c r="O328" s="2">
        <v>29964.1</v>
      </c>
      <c r="P328" s="2" t="s">
        <v>42</v>
      </c>
      <c r="Q328" s="2" t="s">
        <v>32</v>
      </c>
      <c r="R328" s="2">
        <v>12</v>
      </c>
      <c r="S328" s="2" t="s">
        <v>112</v>
      </c>
      <c r="T328" s="2">
        <v>1081</v>
      </c>
      <c r="U328" s="2">
        <v>9</v>
      </c>
      <c r="V328" s="2"/>
    </row>
    <row r="329" spans="1:22" x14ac:dyDescent="0.35">
      <c r="A329" s="3" t="s">
        <v>1251</v>
      </c>
      <c r="B329" s="3" t="s">
        <v>1252</v>
      </c>
      <c r="C329" s="3" t="s">
        <v>1253</v>
      </c>
      <c r="D329" s="3" t="s">
        <v>1254</v>
      </c>
      <c r="E329" s="3" t="s">
        <v>26</v>
      </c>
      <c r="F329" s="3" t="s">
        <v>77</v>
      </c>
      <c r="G329" s="3" t="s">
        <v>50</v>
      </c>
      <c r="H329" s="3" t="s">
        <v>117</v>
      </c>
      <c r="I329" s="3" t="s">
        <v>153</v>
      </c>
      <c r="J329" s="3">
        <v>38</v>
      </c>
      <c r="K329" s="3">
        <v>456.72</v>
      </c>
      <c r="L329" s="3">
        <v>729.74</v>
      </c>
      <c r="M329" s="3">
        <v>27730.12</v>
      </c>
      <c r="N329" s="3">
        <v>17355.36</v>
      </c>
      <c r="O329" s="3">
        <v>10374.76</v>
      </c>
      <c r="P329" s="3" t="s">
        <v>95</v>
      </c>
      <c r="Q329" s="3" t="s">
        <v>63</v>
      </c>
      <c r="R329" s="3">
        <v>3</v>
      </c>
      <c r="S329" s="3" t="s">
        <v>158</v>
      </c>
      <c r="T329" s="3">
        <v>3504</v>
      </c>
      <c r="U329" s="3">
        <v>0</v>
      </c>
      <c r="V329" s="3"/>
    </row>
    <row r="330" spans="1:22" x14ac:dyDescent="0.35">
      <c r="A330" s="2" t="s">
        <v>1255</v>
      </c>
      <c r="B330" s="2" t="s">
        <v>731</v>
      </c>
      <c r="C330" s="2" t="s">
        <v>790</v>
      </c>
      <c r="D330" s="2" t="s">
        <v>1256</v>
      </c>
      <c r="E330" s="2" t="s">
        <v>58</v>
      </c>
      <c r="F330" s="2" t="s">
        <v>417</v>
      </c>
      <c r="G330" s="2" t="s">
        <v>217</v>
      </c>
      <c r="H330" s="2" t="s">
        <v>340</v>
      </c>
      <c r="I330" s="2" t="s">
        <v>141</v>
      </c>
      <c r="J330" s="2">
        <v>793</v>
      </c>
      <c r="K330" s="2">
        <v>695.15</v>
      </c>
      <c r="L330" s="2">
        <v>863.86</v>
      </c>
      <c r="M330" s="2">
        <v>685040.98</v>
      </c>
      <c r="N330" s="2">
        <v>551253.94999999995</v>
      </c>
      <c r="O330" s="2">
        <v>133787.03</v>
      </c>
      <c r="P330" s="2" t="s">
        <v>95</v>
      </c>
      <c r="Q330" s="2" t="s">
        <v>32</v>
      </c>
      <c r="R330" s="2">
        <v>11</v>
      </c>
      <c r="S330" s="2" t="s">
        <v>86</v>
      </c>
      <c r="T330" s="2">
        <v>2418</v>
      </c>
      <c r="U330" s="2">
        <v>20</v>
      </c>
      <c r="V330" s="2"/>
    </row>
    <row r="331" spans="1:22" x14ac:dyDescent="0.35">
      <c r="A331" s="3" t="s">
        <v>1257</v>
      </c>
      <c r="B331" s="3" t="s">
        <v>347</v>
      </c>
      <c r="C331" s="3" t="s">
        <v>36</v>
      </c>
      <c r="D331" s="3" t="s">
        <v>1258</v>
      </c>
      <c r="E331" s="3" t="s">
        <v>26</v>
      </c>
      <c r="F331" s="3" t="s">
        <v>38</v>
      </c>
      <c r="G331" s="3" t="s">
        <v>189</v>
      </c>
      <c r="H331" s="3" t="s">
        <v>561</v>
      </c>
      <c r="I331" s="3" t="s">
        <v>141</v>
      </c>
      <c r="J331" s="3">
        <v>562</v>
      </c>
      <c r="K331" s="3">
        <v>655.12</v>
      </c>
      <c r="L331" s="3">
        <v>863.12</v>
      </c>
      <c r="M331" s="3">
        <v>485073.44</v>
      </c>
      <c r="N331" s="3">
        <v>368177.44</v>
      </c>
      <c r="O331" s="3">
        <v>116896</v>
      </c>
      <c r="P331" s="3" t="s">
        <v>52</v>
      </c>
      <c r="Q331" s="3" t="s">
        <v>63</v>
      </c>
      <c r="R331" s="3">
        <v>5</v>
      </c>
      <c r="S331" s="3" t="s">
        <v>158</v>
      </c>
      <c r="T331" s="3">
        <v>1669</v>
      </c>
      <c r="U331" s="3">
        <v>24</v>
      </c>
      <c r="V331" s="3"/>
    </row>
    <row r="332" spans="1:22" x14ac:dyDescent="0.35">
      <c r="A332" s="2" t="s">
        <v>1259</v>
      </c>
      <c r="B332" s="2" t="s">
        <v>1260</v>
      </c>
      <c r="C332" s="2" t="s">
        <v>1261</v>
      </c>
      <c r="D332" s="2" t="s">
        <v>1262</v>
      </c>
      <c r="E332" s="2" t="s">
        <v>26</v>
      </c>
      <c r="F332" s="2" t="s">
        <v>77</v>
      </c>
      <c r="G332" s="2" t="s">
        <v>217</v>
      </c>
      <c r="H332" s="2" t="s">
        <v>494</v>
      </c>
      <c r="I332" s="2" t="s">
        <v>240</v>
      </c>
      <c r="J332" s="2">
        <v>99</v>
      </c>
      <c r="K332" s="2">
        <v>603.62</v>
      </c>
      <c r="L332" s="2">
        <v>849.52</v>
      </c>
      <c r="M332" s="2">
        <v>84102.48</v>
      </c>
      <c r="N332" s="2">
        <v>59758.38</v>
      </c>
      <c r="O332" s="2">
        <v>24344.1</v>
      </c>
      <c r="P332" s="2" t="s">
        <v>95</v>
      </c>
      <c r="Q332" s="2" t="s">
        <v>32</v>
      </c>
      <c r="R332" s="2">
        <v>12</v>
      </c>
      <c r="S332" s="2" t="s">
        <v>112</v>
      </c>
      <c r="T332" s="2">
        <v>4065</v>
      </c>
      <c r="U332" s="2">
        <v>3</v>
      </c>
      <c r="V332" s="2"/>
    </row>
    <row r="333" spans="1:22" x14ac:dyDescent="0.35">
      <c r="A333" s="3" t="s">
        <v>1263</v>
      </c>
      <c r="B333" s="3" t="s">
        <v>1264</v>
      </c>
      <c r="C333" s="3" t="s">
        <v>1265</v>
      </c>
      <c r="D333" s="3" t="s">
        <v>1266</v>
      </c>
      <c r="E333" s="3" t="s">
        <v>26</v>
      </c>
      <c r="F333" s="4"/>
      <c r="G333" s="3" t="s">
        <v>50</v>
      </c>
      <c r="H333" s="3" t="s">
        <v>51</v>
      </c>
      <c r="I333" s="3" t="s">
        <v>62</v>
      </c>
      <c r="J333" s="3">
        <v>523</v>
      </c>
      <c r="K333" s="3">
        <v>328.49</v>
      </c>
      <c r="L333" s="3">
        <v>527.36</v>
      </c>
      <c r="M333" s="3">
        <v>275809.28000000003</v>
      </c>
      <c r="N333" s="3">
        <v>171800.27</v>
      </c>
      <c r="O333" s="3">
        <v>104009.01</v>
      </c>
      <c r="P333" s="3" t="s">
        <v>95</v>
      </c>
      <c r="Q333" s="3" t="s">
        <v>32</v>
      </c>
      <c r="R333" s="3">
        <v>11</v>
      </c>
      <c r="S333" s="3" t="s">
        <v>112</v>
      </c>
      <c r="T333" s="3">
        <v>4277</v>
      </c>
      <c r="U333" s="3">
        <v>14</v>
      </c>
      <c r="V333" s="3"/>
    </row>
    <row r="334" spans="1:22" x14ac:dyDescent="0.35">
      <c r="A334" s="2" t="s">
        <v>1267</v>
      </c>
      <c r="B334" s="2" t="s">
        <v>1268</v>
      </c>
      <c r="C334" s="2" t="s">
        <v>1269</v>
      </c>
      <c r="D334" s="2" t="s">
        <v>1270</v>
      </c>
      <c r="E334" s="2" t="s">
        <v>58</v>
      </c>
      <c r="F334" s="2" t="s">
        <v>122</v>
      </c>
      <c r="G334" s="2" t="s">
        <v>129</v>
      </c>
      <c r="H334" s="2" t="s">
        <v>316</v>
      </c>
      <c r="I334" s="2" t="s">
        <v>240</v>
      </c>
      <c r="J334" s="2">
        <v>341</v>
      </c>
      <c r="K334" s="2">
        <v>1043.46</v>
      </c>
      <c r="L334" s="2">
        <v>1525.48</v>
      </c>
      <c r="M334" s="2">
        <v>520188.68</v>
      </c>
      <c r="N334" s="2">
        <v>355819.86</v>
      </c>
      <c r="O334" s="2">
        <v>164368.82</v>
      </c>
      <c r="P334" s="2" t="s">
        <v>31</v>
      </c>
      <c r="Q334" s="2" t="s">
        <v>32</v>
      </c>
      <c r="R334" s="2">
        <v>7</v>
      </c>
      <c r="S334" s="2" t="s">
        <v>86</v>
      </c>
      <c r="T334" s="2">
        <v>2796</v>
      </c>
      <c r="U334" s="2">
        <v>5</v>
      </c>
      <c r="V334" s="2"/>
    </row>
    <row r="335" spans="1:22" x14ac:dyDescent="0.35">
      <c r="A335" s="3" t="s">
        <v>1271</v>
      </c>
      <c r="B335" s="3" t="s">
        <v>608</v>
      </c>
      <c r="C335" s="3" t="s">
        <v>75</v>
      </c>
      <c r="D335" s="3" t="s">
        <v>1272</v>
      </c>
      <c r="E335" s="3" t="s">
        <v>58</v>
      </c>
      <c r="F335" s="3" t="s">
        <v>417</v>
      </c>
      <c r="G335" s="3" t="s">
        <v>129</v>
      </c>
      <c r="H335" s="3" t="s">
        <v>316</v>
      </c>
      <c r="I335" s="3" t="s">
        <v>141</v>
      </c>
      <c r="J335" s="3">
        <v>586</v>
      </c>
      <c r="K335" s="3">
        <v>164.4</v>
      </c>
      <c r="L335" s="3">
        <v>264.19</v>
      </c>
      <c r="M335" s="3">
        <v>154815.34</v>
      </c>
      <c r="N335" s="3">
        <v>96338.4</v>
      </c>
      <c r="O335" s="3">
        <v>58476.94</v>
      </c>
      <c r="P335" s="3" t="s">
        <v>31</v>
      </c>
      <c r="Q335" s="3" t="s">
        <v>63</v>
      </c>
      <c r="R335" s="3">
        <v>5</v>
      </c>
      <c r="S335" s="3" t="s">
        <v>43</v>
      </c>
      <c r="T335" s="3">
        <v>2261</v>
      </c>
      <c r="U335" s="3">
        <v>23</v>
      </c>
      <c r="V335" s="3"/>
    </row>
    <row r="336" spans="1:22" x14ac:dyDescent="0.35">
      <c r="A336" s="2" t="s">
        <v>1273</v>
      </c>
      <c r="B336" s="2" t="s">
        <v>846</v>
      </c>
      <c r="C336" s="2" t="s">
        <v>751</v>
      </c>
      <c r="D336" s="2" t="s">
        <v>1274</v>
      </c>
      <c r="E336" s="2" t="s">
        <v>58</v>
      </c>
      <c r="F336" s="2" t="s">
        <v>59</v>
      </c>
      <c r="G336" s="2" t="s">
        <v>60</v>
      </c>
      <c r="H336" s="2" t="s">
        <v>229</v>
      </c>
      <c r="I336" s="2" t="s">
        <v>153</v>
      </c>
      <c r="J336" s="2">
        <v>390</v>
      </c>
      <c r="K336" s="2">
        <v>370.7</v>
      </c>
      <c r="L336" s="2">
        <v>604.34</v>
      </c>
      <c r="M336" s="2">
        <v>235692.6</v>
      </c>
      <c r="N336" s="2">
        <v>144573</v>
      </c>
      <c r="O336" s="2">
        <v>91119.6</v>
      </c>
      <c r="P336" s="2" t="s">
        <v>95</v>
      </c>
      <c r="Q336" s="2" t="s">
        <v>32</v>
      </c>
      <c r="R336" s="2">
        <v>9</v>
      </c>
      <c r="S336" s="2" t="s">
        <v>43</v>
      </c>
      <c r="T336" s="2">
        <v>2810</v>
      </c>
      <c r="U336" s="2">
        <v>11</v>
      </c>
      <c r="V336" s="2"/>
    </row>
    <row r="337" spans="1:22" x14ac:dyDescent="0.35">
      <c r="A337" s="3" t="s">
        <v>1275</v>
      </c>
      <c r="B337" s="3" t="s">
        <v>608</v>
      </c>
      <c r="C337" s="3" t="s">
        <v>1276</v>
      </c>
      <c r="D337" s="3" t="s">
        <v>1277</v>
      </c>
      <c r="E337" s="3" t="s">
        <v>48</v>
      </c>
      <c r="F337" s="3" t="s">
        <v>281</v>
      </c>
      <c r="G337" s="3" t="s">
        <v>189</v>
      </c>
      <c r="H337" s="3" t="s">
        <v>561</v>
      </c>
      <c r="I337" s="3" t="s">
        <v>141</v>
      </c>
      <c r="J337" s="3">
        <v>118</v>
      </c>
      <c r="K337" s="3">
        <v>332.47</v>
      </c>
      <c r="L337" s="3">
        <v>466.69</v>
      </c>
      <c r="M337" s="3">
        <v>55069.42</v>
      </c>
      <c r="N337" s="3">
        <v>39231.46</v>
      </c>
      <c r="O337" s="3">
        <v>15837.96</v>
      </c>
      <c r="P337" s="3" t="s">
        <v>31</v>
      </c>
      <c r="Q337" s="3" t="s">
        <v>63</v>
      </c>
      <c r="R337" s="3">
        <v>2</v>
      </c>
      <c r="S337" s="3" t="s">
        <v>158</v>
      </c>
      <c r="T337" s="3">
        <v>4905</v>
      </c>
      <c r="U337" s="3">
        <v>1</v>
      </c>
      <c r="V337" s="3"/>
    </row>
    <row r="338" spans="1:22" x14ac:dyDescent="0.35">
      <c r="A338" s="2" t="s">
        <v>1278</v>
      </c>
      <c r="B338" s="2" t="s">
        <v>274</v>
      </c>
      <c r="C338" s="2" t="s">
        <v>599</v>
      </c>
      <c r="D338" s="2" t="s">
        <v>1279</v>
      </c>
      <c r="E338" s="2" t="s">
        <v>58</v>
      </c>
      <c r="F338" s="2" t="s">
        <v>259</v>
      </c>
      <c r="G338" s="2" t="s">
        <v>60</v>
      </c>
      <c r="H338" s="2" t="s">
        <v>164</v>
      </c>
      <c r="I338" s="2" t="s">
        <v>293</v>
      </c>
      <c r="J338" s="2">
        <v>436</v>
      </c>
      <c r="K338" s="2">
        <v>1136.82</v>
      </c>
      <c r="L338" s="4"/>
      <c r="M338" s="2">
        <v>600071.16</v>
      </c>
      <c r="N338" s="2">
        <v>495653.52</v>
      </c>
      <c r="O338" s="2">
        <v>104417.64</v>
      </c>
      <c r="P338" s="2" t="s">
        <v>31</v>
      </c>
      <c r="Q338" s="2" t="s">
        <v>63</v>
      </c>
      <c r="R338" s="2">
        <v>4</v>
      </c>
      <c r="S338" s="2" t="s">
        <v>53</v>
      </c>
      <c r="T338" s="2">
        <v>2424</v>
      </c>
      <c r="U338" s="2">
        <v>5</v>
      </c>
      <c r="V338" s="2"/>
    </row>
    <row r="339" spans="1:22" x14ac:dyDescent="0.35">
      <c r="A339" s="3" t="s">
        <v>1280</v>
      </c>
      <c r="B339" s="3" t="s">
        <v>104</v>
      </c>
      <c r="C339" s="3" t="s">
        <v>592</v>
      </c>
      <c r="D339" s="3" t="s">
        <v>1281</v>
      </c>
      <c r="E339" s="3" t="s">
        <v>26</v>
      </c>
      <c r="F339" s="3" t="s">
        <v>77</v>
      </c>
      <c r="G339" s="3" t="s">
        <v>60</v>
      </c>
      <c r="H339" s="3" t="s">
        <v>229</v>
      </c>
      <c r="I339" s="3" t="s">
        <v>118</v>
      </c>
      <c r="J339" s="3">
        <v>668</v>
      </c>
      <c r="K339" s="3">
        <v>292.93</v>
      </c>
      <c r="L339" s="3">
        <v>363.99</v>
      </c>
      <c r="M339" s="3">
        <v>243145.32</v>
      </c>
      <c r="N339" s="3">
        <v>195677.24</v>
      </c>
      <c r="O339" s="3">
        <v>47468.08</v>
      </c>
      <c r="P339" s="3" t="s">
        <v>95</v>
      </c>
      <c r="Q339" s="3" t="s">
        <v>63</v>
      </c>
      <c r="R339" s="3">
        <v>4</v>
      </c>
      <c r="S339" s="3" t="s">
        <v>86</v>
      </c>
      <c r="T339" s="3">
        <v>2614</v>
      </c>
      <c r="U339" s="3">
        <v>25</v>
      </c>
      <c r="V339" s="3"/>
    </row>
    <row r="340" spans="1:22" x14ac:dyDescent="0.35">
      <c r="A340" s="2" t="s">
        <v>1282</v>
      </c>
      <c r="B340" s="2" t="s">
        <v>742</v>
      </c>
      <c r="C340" s="2" t="s">
        <v>1226</v>
      </c>
      <c r="D340" s="2" t="s">
        <v>974</v>
      </c>
      <c r="E340" s="2" t="s">
        <v>48</v>
      </c>
      <c r="F340" s="2" t="s">
        <v>223</v>
      </c>
      <c r="G340" s="2" t="s">
        <v>70</v>
      </c>
      <c r="H340" s="2" t="s">
        <v>446</v>
      </c>
      <c r="I340" s="2" t="s">
        <v>141</v>
      </c>
      <c r="J340" s="2">
        <v>134</v>
      </c>
      <c r="K340" s="2">
        <v>270.13</v>
      </c>
      <c r="L340" s="2">
        <v>415.72</v>
      </c>
      <c r="M340" s="2">
        <v>55706.48</v>
      </c>
      <c r="N340" s="2">
        <v>36197.42</v>
      </c>
      <c r="O340" s="2">
        <v>19509.060000000001</v>
      </c>
      <c r="P340" s="2" t="s">
        <v>95</v>
      </c>
      <c r="Q340" s="2" t="s">
        <v>63</v>
      </c>
      <c r="R340" s="2">
        <v>4</v>
      </c>
      <c r="S340" s="2" t="s">
        <v>43</v>
      </c>
      <c r="T340" s="2">
        <v>4025</v>
      </c>
      <c r="U340" s="2">
        <v>4</v>
      </c>
      <c r="V340" s="2"/>
    </row>
    <row r="341" spans="1:22" x14ac:dyDescent="0.35">
      <c r="A341" s="3" t="s">
        <v>1283</v>
      </c>
      <c r="B341" s="3" t="s">
        <v>1284</v>
      </c>
      <c r="C341" s="3" t="s">
        <v>1285</v>
      </c>
      <c r="D341" s="3" t="s">
        <v>1286</v>
      </c>
      <c r="E341" s="3" t="s">
        <v>26</v>
      </c>
      <c r="F341" s="3" t="s">
        <v>92</v>
      </c>
      <c r="G341" s="3" t="s">
        <v>50</v>
      </c>
      <c r="H341" s="3" t="s">
        <v>135</v>
      </c>
      <c r="I341" s="3" t="s">
        <v>293</v>
      </c>
      <c r="J341" s="3">
        <v>402</v>
      </c>
      <c r="K341" s="3">
        <v>88.41</v>
      </c>
      <c r="L341" s="3">
        <v>133.83000000000001</v>
      </c>
      <c r="M341" s="3">
        <v>53799.66</v>
      </c>
      <c r="N341" s="3">
        <v>35540.82</v>
      </c>
      <c r="O341" s="3">
        <v>18258.84</v>
      </c>
      <c r="P341" s="3" t="s">
        <v>95</v>
      </c>
      <c r="Q341" s="3" t="s">
        <v>63</v>
      </c>
      <c r="R341" s="3">
        <v>4</v>
      </c>
      <c r="S341" s="3" t="s">
        <v>43</v>
      </c>
      <c r="T341" s="3">
        <v>2997</v>
      </c>
      <c r="U341" s="3">
        <v>17</v>
      </c>
      <c r="V341" s="3"/>
    </row>
    <row r="342" spans="1:22" x14ac:dyDescent="0.35">
      <c r="A342" s="2" t="s">
        <v>1287</v>
      </c>
      <c r="B342" s="2" t="s">
        <v>605</v>
      </c>
      <c r="C342" s="2" t="s">
        <v>1288</v>
      </c>
      <c r="D342" s="2" t="s">
        <v>1289</v>
      </c>
      <c r="E342" s="2" t="s">
        <v>48</v>
      </c>
      <c r="F342" s="2" t="s">
        <v>270</v>
      </c>
      <c r="G342" s="2" t="s">
        <v>93</v>
      </c>
      <c r="H342" s="2" t="s">
        <v>643</v>
      </c>
      <c r="I342" s="2" t="s">
        <v>118</v>
      </c>
      <c r="J342" s="2">
        <v>259</v>
      </c>
      <c r="K342" s="2">
        <v>162.49</v>
      </c>
      <c r="L342" s="2">
        <v>189.44</v>
      </c>
      <c r="M342" s="2">
        <v>49064.959999999999</v>
      </c>
      <c r="N342" s="2">
        <v>42084.91</v>
      </c>
      <c r="O342" s="2">
        <v>6980.05</v>
      </c>
      <c r="P342" s="2" t="s">
        <v>52</v>
      </c>
      <c r="Q342" s="2" t="s">
        <v>32</v>
      </c>
      <c r="R342" s="2">
        <v>9</v>
      </c>
      <c r="S342" s="2" t="s">
        <v>53</v>
      </c>
      <c r="T342" s="2">
        <v>4412</v>
      </c>
      <c r="U342" s="2">
        <v>1</v>
      </c>
      <c r="V342" s="2"/>
    </row>
    <row r="343" spans="1:22" x14ac:dyDescent="0.35">
      <c r="A343" s="3" t="s">
        <v>1290</v>
      </c>
      <c r="B343" s="3" t="s">
        <v>65</v>
      </c>
      <c r="C343" s="3" t="s">
        <v>1291</v>
      </c>
      <c r="D343" s="3" t="s">
        <v>1292</v>
      </c>
      <c r="E343" s="3" t="s">
        <v>48</v>
      </c>
      <c r="F343" s="3" t="s">
        <v>183</v>
      </c>
      <c r="G343" s="3" t="s">
        <v>78</v>
      </c>
      <c r="H343" s="3" t="s">
        <v>123</v>
      </c>
      <c r="I343" s="3" t="s">
        <v>62</v>
      </c>
      <c r="J343" s="3">
        <v>603</v>
      </c>
      <c r="K343" s="3">
        <v>813.32</v>
      </c>
      <c r="L343" s="3">
        <v>1250.73</v>
      </c>
      <c r="M343" s="3">
        <v>754190.19</v>
      </c>
      <c r="N343" s="3">
        <v>490431.96</v>
      </c>
      <c r="O343" s="3">
        <v>263758.23</v>
      </c>
      <c r="P343" s="3" t="s">
        <v>52</v>
      </c>
      <c r="Q343" s="3" t="s">
        <v>32</v>
      </c>
      <c r="R343" s="3">
        <v>15</v>
      </c>
      <c r="S343" s="3" t="s">
        <v>112</v>
      </c>
      <c r="T343" s="3">
        <v>3512</v>
      </c>
      <c r="U343" s="3">
        <v>6</v>
      </c>
      <c r="V343" s="3"/>
    </row>
    <row r="344" spans="1:22" x14ac:dyDescent="0.35">
      <c r="A344" s="2" t="s">
        <v>1293</v>
      </c>
      <c r="B344" s="2" t="s">
        <v>1294</v>
      </c>
      <c r="C344" s="2" t="s">
        <v>1295</v>
      </c>
      <c r="D344" s="2" t="s">
        <v>1296</v>
      </c>
      <c r="E344" s="2" t="s">
        <v>48</v>
      </c>
      <c r="F344" s="2" t="s">
        <v>183</v>
      </c>
      <c r="G344" s="2" t="s">
        <v>28</v>
      </c>
      <c r="H344" s="2" t="s">
        <v>254</v>
      </c>
      <c r="I344" s="2" t="s">
        <v>118</v>
      </c>
      <c r="J344" s="2">
        <v>64</v>
      </c>
      <c r="K344" s="2">
        <v>1005.84</v>
      </c>
      <c r="L344" s="2">
        <v>1315.9</v>
      </c>
      <c r="M344" s="2">
        <v>84217.600000000006</v>
      </c>
      <c r="N344" s="2">
        <v>64373.760000000002</v>
      </c>
      <c r="O344" s="2">
        <v>19843.84</v>
      </c>
      <c r="P344" s="2" t="s">
        <v>42</v>
      </c>
      <c r="Q344" s="2" t="s">
        <v>32</v>
      </c>
      <c r="R344" s="2">
        <v>12</v>
      </c>
      <c r="S344" s="2" t="s">
        <v>43</v>
      </c>
      <c r="T344" s="2">
        <v>3580</v>
      </c>
      <c r="U344" s="2">
        <v>0</v>
      </c>
      <c r="V344" s="2"/>
    </row>
    <row r="345" spans="1:22" x14ac:dyDescent="0.35">
      <c r="A345" s="3" t="s">
        <v>1297</v>
      </c>
      <c r="B345" s="3" t="s">
        <v>1298</v>
      </c>
      <c r="C345" s="3" t="s">
        <v>1299</v>
      </c>
      <c r="D345" s="3" t="s">
        <v>1300</v>
      </c>
      <c r="E345" s="3" t="s">
        <v>58</v>
      </c>
      <c r="F345" s="3" t="s">
        <v>122</v>
      </c>
      <c r="G345" s="3" t="s">
        <v>28</v>
      </c>
      <c r="H345" s="3" t="s">
        <v>212</v>
      </c>
      <c r="I345" s="3" t="s">
        <v>124</v>
      </c>
      <c r="J345" s="3">
        <v>331</v>
      </c>
      <c r="K345" s="3">
        <v>698.5</v>
      </c>
      <c r="L345" s="3">
        <v>1117.44</v>
      </c>
      <c r="M345" s="3">
        <v>369872.64000000001</v>
      </c>
      <c r="N345" s="3">
        <v>231203.5</v>
      </c>
      <c r="O345" s="3">
        <v>138669.14000000001</v>
      </c>
      <c r="P345" s="3" t="s">
        <v>95</v>
      </c>
      <c r="Q345" s="3" t="s">
        <v>32</v>
      </c>
      <c r="R345" s="3">
        <v>13</v>
      </c>
      <c r="S345" s="3" t="s">
        <v>33</v>
      </c>
      <c r="T345" s="3">
        <v>949</v>
      </c>
      <c r="U345" s="3">
        <v>13</v>
      </c>
      <c r="V345" s="3"/>
    </row>
    <row r="346" spans="1:22" x14ac:dyDescent="0.35">
      <c r="A346" s="2" t="s">
        <v>1301</v>
      </c>
      <c r="B346" s="2" t="s">
        <v>736</v>
      </c>
      <c r="C346" s="2" t="s">
        <v>1216</v>
      </c>
      <c r="D346" s="2" t="s">
        <v>1302</v>
      </c>
      <c r="E346" s="2" t="s">
        <v>100</v>
      </c>
      <c r="F346" s="2" t="s">
        <v>330</v>
      </c>
      <c r="G346" s="2" t="s">
        <v>28</v>
      </c>
      <c r="H346" s="2" t="s">
        <v>254</v>
      </c>
      <c r="I346" s="2" t="s">
        <v>153</v>
      </c>
      <c r="J346" s="2">
        <v>133</v>
      </c>
      <c r="K346" s="2">
        <v>960.75</v>
      </c>
      <c r="L346" s="2">
        <v>1572.31</v>
      </c>
      <c r="M346" s="2">
        <v>209117.23</v>
      </c>
      <c r="N346" s="2">
        <v>127779.75</v>
      </c>
      <c r="O346" s="2">
        <v>81337.48</v>
      </c>
      <c r="P346" s="2" t="s">
        <v>95</v>
      </c>
      <c r="Q346" s="2" t="s">
        <v>63</v>
      </c>
      <c r="R346" s="2">
        <v>1</v>
      </c>
      <c r="S346" s="2" t="s">
        <v>158</v>
      </c>
      <c r="T346" s="2">
        <v>4980</v>
      </c>
      <c r="U346" s="2">
        <v>4</v>
      </c>
      <c r="V346" s="2"/>
    </row>
    <row r="347" spans="1:22" x14ac:dyDescent="0.35">
      <c r="A347" s="3" t="s">
        <v>1303</v>
      </c>
      <c r="B347" s="3" t="s">
        <v>1304</v>
      </c>
      <c r="C347" s="3" t="s">
        <v>1177</v>
      </c>
      <c r="D347" s="3" t="s">
        <v>1305</v>
      </c>
      <c r="E347" s="3" t="s">
        <v>68</v>
      </c>
      <c r="F347" s="3" t="s">
        <v>69</v>
      </c>
      <c r="G347" s="3" t="s">
        <v>93</v>
      </c>
      <c r="H347" s="3" t="s">
        <v>485</v>
      </c>
      <c r="I347" s="3" t="s">
        <v>240</v>
      </c>
      <c r="J347" s="3">
        <v>655</v>
      </c>
      <c r="K347" s="3">
        <v>124.42</v>
      </c>
      <c r="L347" s="3">
        <v>198.06</v>
      </c>
      <c r="M347" s="3">
        <v>129729.3</v>
      </c>
      <c r="N347" s="3">
        <v>81495.100000000006</v>
      </c>
      <c r="O347" s="3">
        <v>48234.2</v>
      </c>
      <c r="P347" s="3" t="s">
        <v>42</v>
      </c>
      <c r="Q347" s="3" t="s">
        <v>32</v>
      </c>
      <c r="R347" s="3">
        <v>15</v>
      </c>
      <c r="S347" s="3" t="s">
        <v>158</v>
      </c>
      <c r="T347" s="3">
        <v>2899</v>
      </c>
      <c r="U347" s="3">
        <v>16</v>
      </c>
      <c r="V347" s="3"/>
    </row>
    <row r="348" spans="1:22" x14ac:dyDescent="0.35">
      <c r="A348" s="2" t="s">
        <v>1306</v>
      </c>
      <c r="B348" s="2" t="s">
        <v>1307</v>
      </c>
      <c r="C348" s="2" t="s">
        <v>251</v>
      </c>
      <c r="D348" s="2" t="s">
        <v>1308</v>
      </c>
      <c r="E348" s="2" t="s">
        <v>48</v>
      </c>
      <c r="F348" s="2" t="s">
        <v>183</v>
      </c>
      <c r="G348" s="2" t="s">
        <v>60</v>
      </c>
      <c r="H348" s="2" t="s">
        <v>539</v>
      </c>
      <c r="I348" s="2" t="s">
        <v>240</v>
      </c>
      <c r="J348" s="2">
        <v>702</v>
      </c>
      <c r="K348" s="2">
        <v>244.9</v>
      </c>
      <c r="L348" s="2">
        <v>388.52</v>
      </c>
      <c r="M348" s="2">
        <v>272741.03999999998</v>
      </c>
      <c r="N348" s="2">
        <v>171919.8</v>
      </c>
      <c r="O348" s="2">
        <v>100821.24</v>
      </c>
      <c r="P348" s="2" t="s">
        <v>31</v>
      </c>
      <c r="Q348" s="2" t="s">
        <v>63</v>
      </c>
      <c r="R348" s="2">
        <v>3</v>
      </c>
      <c r="S348" s="2" t="s">
        <v>86</v>
      </c>
      <c r="T348" s="4" t="s">
        <v>1309</v>
      </c>
      <c r="U348" s="2">
        <v>33</v>
      </c>
      <c r="V348" s="2"/>
    </row>
    <row r="349" spans="1:22" x14ac:dyDescent="0.35">
      <c r="A349" s="3" t="s">
        <v>1310</v>
      </c>
      <c r="B349" s="3" t="s">
        <v>1311</v>
      </c>
      <c r="C349" s="3" t="s">
        <v>1312</v>
      </c>
      <c r="D349" s="3" t="s">
        <v>1313</v>
      </c>
      <c r="E349" s="4"/>
      <c r="F349" s="3" t="s">
        <v>106</v>
      </c>
      <c r="G349" s="3" t="s">
        <v>70</v>
      </c>
      <c r="H349" s="3" t="s">
        <v>84</v>
      </c>
      <c r="I349" s="3" t="s">
        <v>1167</v>
      </c>
      <c r="J349" s="3">
        <v>315</v>
      </c>
      <c r="K349" s="3">
        <v>259.41000000000003</v>
      </c>
      <c r="L349" s="3">
        <v>370.35</v>
      </c>
      <c r="M349" s="3">
        <v>116660.25</v>
      </c>
      <c r="N349" s="3">
        <v>81714.149999999994</v>
      </c>
      <c r="O349" s="3">
        <v>34946.1</v>
      </c>
      <c r="P349" s="3" t="s">
        <v>95</v>
      </c>
      <c r="Q349" s="3" t="s">
        <v>32</v>
      </c>
      <c r="R349" s="3">
        <v>12</v>
      </c>
      <c r="S349" s="3" t="s">
        <v>158</v>
      </c>
      <c r="T349" s="3">
        <v>4635</v>
      </c>
      <c r="U349" s="3">
        <v>13</v>
      </c>
      <c r="V349" s="3"/>
    </row>
    <row r="350" spans="1:22" x14ac:dyDescent="0.35">
      <c r="A350" s="2" t="s">
        <v>1314</v>
      </c>
      <c r="B350" s="2" t="s">
        <v>898</v>
      </c>
      <c r="C350" s="2" t="s">
        <v>712</v>
      </c>
      <c r="D350" s="2" t="s">
        <v>1315</v>
      </c>
      <c r="E350" s="2" t="s">
        <v>48</v>
      </c>
      <c r="F350" s="2" t="s">
        <v>183</v>
      </c>
      <c r="G350" s="2" t="s">
        <v>28</v>
      </c>
      <c r="H350" s="2" t="s">
        <v>111</v>
      </c>
      <c r="I350" s="2" t="s">
        <v>118</v>
      </c>
      <c r="J350" s="2">
        <v>222</v>
      </c>
      <c r="K350" s="2">
        <v>849.56</v>
      </c>
      <c r="L350" s="2">
        <v>1398.58</v>
      </c>
      <c r="M350" s="2">
        <v>310484.76</v>
      </c>
      <c r="N350" s="2">
        <v>188602.32</v>
      </c>
      <c r="O350" s="2">
        <v>121882.44</v>
      </c>
      <c r="P350" s="2" t="s">
        <v>42</v>
      </c>
      <c r="Q350" s="2" t="s">
        <v>63</v>
      </c>
      <c r="R350" s="2">
        <v>2</v>
      </c>
      <c r="S350" s="2" t="s">
        <v>43</v>
      </c>
      <c r="T350" s="2">
        <v>3246</v>
      </c>
      <c r="U350" s="2">
        <v>10</v>
      </c>
      <c r="V350" s="2"/>
    </row>
    <row r="351" spans="1:22" x14ac:dyDescent="0.35">
      <c r="A351" s="3" t="s">
        <v>1316</v>
      </c>
      <c r="B351" s="3" t="s">
        <v>765</v>
      </c>
      <c r="C351" s="3" t="s">
        <v>614</v>
      </c>
      <c r="D351" s="3" t="s">
        <v>1317</v>
      </c>
      <c r="E351" s="3" t="s">
        <v>48</v>
      </c>
      <c r="F351" s="3" t="s">
        <v>183</v>
      </c>
      <c r="G351" s="3" t="s">
        <v>39</v>
      </c>
      <c r="H351" s="3" t="s">
        <v>647</v>
      </c>
      <c r="I351" s="3" t="s">
        <v>191</v>
      </c>
      <c r="J351" s="3">
        <v>382</v>
      </c>
      <c r="K351" s="3">
        <v>164.35</v>
      </c>
      <c r="L351" s="3">
        <v>240.93</v>
      </c>
      <c r="M351" s="3">
        <v>92035.26</v>
      </c>
      <c r="N351" s="3">
        <v>62781.7</v>
      </c>
      <c r="O351" s="3">
        <v>29253.56</v>
      </c>
      <c r="P351" s="3" t="s">
        <v>52</v>
      </c>
      <c r="Q351" s="3" t="s">
        <v>823</v>
      </c>
      <c r="R351" s="3">
        <v>8</v>
      </c>
      <c r="S351" s="3" t="s">
        <v>33</v>
      </c>
      <c r="T351" s="3">
        <v>126</v>
      </c>
      <c r="U351" s="3">
        <v>11</v>
      </c>
      <c r="V351" s="3"/>
    </row>
    <row r="352" spans="1:22" x14ac:dyDescent="0.35">
      <c r="A352" s="2" t="s">
        <v>1318</v>
      </c>
      <c r="B352" s="2" t="s">
        <v>1319</v>
      </c>
      <c r="C352" s="2" t="s">
        <v>765</v>
      </c>
      <c r="D352" s="2" t="s">
        <v>1320</v>
      </c>
      <c r="E352" s="2" t="s">
        <v>26</v>
      </c>
      <c r="F352" s="2" t="s">
        <v>38</v>
      </c>
      <c r="G352" s="2" t="s">
        <v>50</v>
      </c>
      <c r="H352" s="2" t="s">
        <v>117</v>
      </c>
      <c r="I352" s="2" t="s">
        <v>62</v>
      </c>
      <c r="J352" s="2">
        <v>275</v>
      </c>
      <c r="K352" s="2">
        <v>1135.42</v>
      </c>
      <c r="L352" s="2">
        <v>1453.85</v>
      </c>
      <c r="M352" s="2">
        <v>399808.75</v>
      </c>
      <c r="N352" s="2">
        <v>312240.5</v>
      </c>
      <c r="O352" s="2">
        <v>87568.25</v>
      </c>
      <c r="P352" s="2" t="s">
        <v>42</v>
      </c>
      <c r="Q352" s="2" t="s">
        <v>63</v>
      </c>
      <c r="R352" s="2">
        <v>1</v>
      </c>
      <c r="S352" s="2" t="s">
        <v>86</v>
      </c>
      <c r="T352" s="2">
        <v>4569</v>
      </c>
      <c r="U352" s="2">
        <v>4</v>
      </c>
      <c r="V352" s="2"/>
    </row>
    <row r="353" spans="1:22" x14ac:dyDescent="0.35">
      <c r="A353" s="3" t="s">
        <v>1321</v>
      </c>
      <c r="B353" s="3" t="s">
        <v>328</v>
      </c>
      <c r="C353" s="3" t="s">
        <v>1322</v>
      </c>
      <c r="D353" s="3" t="s">
        <v>1323</v>
      </c>
      <c r="E353" s="3" t="s">
        <v>26</v>
      </c>
      <c r="F353" s="3" t="s">
        <v>228</v>
      </c>
      <c r="G353" s="3" t="s">
        <v>50</v>
      </c>
      <c r="H353" s="3" t="s">
        <v>51</v>
      </c>
      <c r="I353" s="3" t="s">
        <v>41</v>
      </c>
      <c r="J353" s="3">
        <v>697</v>
      </c>
      <c r="K353" s="3">
        <v>1058.22</v>
      </c>
      <c r="L353" s="3">
        <v>1376.62</v>
      </c>
      <c r="M353" s="3">
        <v>959504.14</v>
      </c>
      <c r="N353" s="3">
        <v>737579.34</v>
      </c>
      <c r="O353" s="3">
        <v>221924.8</v>
      </c>
      <c r="P353" s="3" t="s">
        <v>42</v>
      </c>
      <c r="Q353" s="3" t="s">
        <v>32</v>
      </c>
      <c r="R353" s="3">
        <v>10</v>
      </c>
      <c r="S353" s="3" t="s">
        <v>33</v>
      </c>
      <c r="T353" s="4"/>
      <c r="U353" s="3">
        <v>2</v>
      </c>
      <c r="V353" s="3"/>
    </row>
    <row r="354" spans="1:22" x14ac:dyDescent="0.35">
      <c r="A354" s="2" t="s">
        <v>1324</v>
      </c>
      <c r="B354" s="2" t="s">
        <v>932</v>
      </c>
      <c r="C354" s="2" t="s">
        <v>1325</v>
      </c>
      <c r="D354" s="2" t="s">
        <v>1326</v>
      </c>
      <c r="E354" s="2" t="s">
        <v>26</v>
      </c>
      <c r="F354" s="2" t="s">
        <v>92</v>
      </c>
      <c r="G354" s="2" t="s">
        <v>28</v>
      </c>
      <c r="H354" s="2" t="s">
        <v>111</v>
      </c>
      <c r="I354" s="2" t="s">
        <v>153</v>
      </c>
      <c r="J354" s="2">
        <v>795</v>
      </c>
      <c r="K354" s="2">
        <v>757.31</v>
      </c>
      <c r="L354" s="2">
        <v>1062.19</v>
      </c>
      <c r="M354" s="2">
        <v>844441.05</v>
      </c>
      <c r="N354" s="2">
        <v>602061.44999999995</v>
      </c>
      <c r="O354" s="2">
        <v>242379.6</v>
      </c>
      <c r="P354" s="2" t="s">
        <v>31</v>
      </c>
      <c r="Q354" s="2" t="s">
        <v>63</v>
      </c>
      <c r="R354" s="2">
        <v>1</v>
      </c>
      <c r="S354" s="2" t="s">
        <v>53</v>
      </c>
      <c r="T354" s="2">
        <v>1449</v>
      </c>
      <c r="U354" s="2">
        <v>27</v>
      </c>
      <c r="V354" s="2"/>
    </row>
    <row r="355" spans="1:22" x14ac:dyDescent="0.35">
      <c r="A355" s="3" t="s">
        <v>1327</v>
      </c>
      <c r="B355" s="3" t="s">
        <v>742</v>
      </c>
      <c r="C355" s="3" t="s">
        <v>1328</v>
      </c>
      <c r="D355" s="3" t="s">
        <v>1329</v>
      </c>
      <c r="E355" s="3" t="s">
        <v>26</v>
      </c>
      <c r="F355" s="3" t="s">
        <v>38</v>
      </c>
      <c r="G355" s="3" t="s">
        <v>78</v>
      </c>
      <c r="H355" s="3" t="s">
        <v>79</v>
      </c>
      <c r="I355" s="3" t="s">
        <v>141</v>
      </c>
      <c r="J355" s="3">
        <v>613</v>
      </c>
      <c r="K355" s="3">
        <v>421.27</v>
      </c>
      <c r="L355" s="3">
        <v>630.4</v>
      </c>
      <c r="M355" s="3">
        <v>386435.2</v>
      </c>
      <c r="N355" s="3">
        <v>258238.51</v>
      </c>
      <c r="O355" s="3">
        <v>128196.69</v>
      </c>
      <c r="P355" s="3" t="s">
        <v>31</v>
      </c>
      <c r="Q355" s="3" t="s">
        <v>63</v>
      </c>
      <c r="R355" s="3">
        <v>5</v>
      </c>
      <c r="S355" s="3" t="s">
        <v>53</v>
      </c>
      <c r="T355" s="3">
        <v>2227</v>
      </c>
      <c r="U355" s="3">
        <v>25</v>
      </c>
      <c r="V355" s="3"/>
    </row>
    <row r="356" spans="1:22" x14ac:dyDescent="0.35">
      <c r="A356" s="2" t="s">
        <v>1330</v>
      </c>
      <c r="B356" s="2" t="s">
        <v>1233</v>
      </c>
      <c r="C356" s="2" t="s">
        <v>759</v>
      </c>
      <c r="D356" s="2" t="s">
        <v>1331</v>
      </c>
      <c r="E356" s="2" t="s">
        <v>68</v>
      </c>
      <c r="F356" s="2" t="s">
        <v>276</v>
      </c>
      <c r="G356" s="2" t="s">
        <v>78</v>
      </c>
      <c r="H356" s="2" t="s">
        <v>178</v>
      </c>
      <c r="I356" s="2" t="s">
        <v>191</v>
      </c>
      <c r="J356" s="2">
        <v>407</v>
      </c>
      <c r="K356" s="2">
        <v>1093.1199999999999</v>
      </c>
      <c r="L356" s="2">
        <v>1594.21</v>
      </c>
      <c r="M356" s="2">
        <v>648843.47</v>
      </c>
      <c r="N356" s="2">
        <v>444899.84000000003</v>
      </c>
      <c r="O356" s="4" t="s">
        <v>1309</v>
      </c>
      <c r="P356" s="2" t="s">
        <v>95</v>
      </c>
      <c r="Q356" s="2" t="s">
        <v>63</v>
      </c>
      <c r="R356" s="2">
        <v>4</v>
      </c>
      <c r="S356" s="2" t="s">
        <v>158</v>
      </c>
      <c r="T356" s="2">
        <v>4697</v>
      </c>
      <c r="U356" s="2">
        <v>12</v>
      </c>
      <c r="V356" s="2"/>
    </row>
    <row r="357" spans="1:22" x14ac:dyDescent="0.35">
      <c r="A357" s="3" t="s">
        <v>1332</v>
      </c>
      <c r="B357" s="3" t="s">
        <v>1333</v>
      </c>
      <c r="C357" s="3" t="s">
        <v>1189</v>
      </c>
      <c r="D357" s="3" t="s">
        <v>1334</v>
      </c>
      <c r="E357" s="3" t="s">
        <v>58</v>
      </c>
      <c r="F357" s="3" t="s">
        <v>417</v>
      </c>
      <c r="G357" s="3" t="s">
        <v>60</v>
      </c>
      <c r="H357" s="3" t="s">
        <v>61</v>
      </c>
      <c r="I357" s="3" t="s">
        <v>1335</v>
      </c>
      <c r="J357" s="3">
        <v>423</v>
      </c>
      <c r="K357" s="3">
        <v>231.48</v>
      </c>
      <c r="L357" s="3">
        <v>301.88</v>
      </c>
      <c r="M357" s="3">
        <v>127695.24</v>
      </c>
      <c r="N357" s="3">
        <v>97916.04</v>
      </c>
      <c r="O357" s="3">
        <v>29779.200000000001</v>
      </c>
      <c r="P357" s="3" t="s">
        <v>95</v>
      </c>
      <c r="Q357" s="3" t="s">
        <v>32</v>
      </c>
      <c r="R357" s="3">
        <v>12</v>
      </c>
      <c r="S357" s="3" t="s">
        <v>53</v>
      </c>
      <c r="T357" s="3">
        <v>4877</v>
      </c>
      <c r="U357" s="3">
        <v>1</v>
      </c>
      <c r="V357" s="3"/>
    </row>
    <row r="358" spans="1:22" x14ac:dyDescent="0.35">
      <c r="A358" s="2" t="s">
        <v>1336</v>
      </c>
      <c r="B358" s="2" t="s">
        <v>284</v>
      </c>
      <c r="C358" s="2" t="s">
        <v>1074</v>
      </c>
      <c r="D358" s="2" t="s">
        <v>1337</v>
      </c>
      <c r="E358" s="2" t="s">
        <v>100</v>
      </c>
      <c r="F358" s="2" t="s">
        <v>238</v>
      </c>
      <c r="G358" s="2" t="s">
        <v>39</v>
      </c>
      <c r="H358" s="2" t="s">
        <v>40</v>
      </c>
      <c r="I358" s="2" t="s">
        <v>153</v>
      </c>
      <c r="J358" s="2">
        <v>570</v>
      </c>
      <c r="K358" s="2">
        <v>747.43</v>
      </c>
      <c r="L358" s="2">
        <v>848.96</v>
      </c>
      <c r="M358" s="2">
        <v>483907.2</v>
      </c>
      <c r="N358" s="2">
        <v>426035.1</v>
      </c>
      <c r="O358" s="2">
        <v>57872.1</v>
      </c>
      <c r="P358" s="2" t="s">
        <v>95</v>
      </c>
      <c r="Q358" s="2" t="s">
        <v>63</v>
      </c>
      <c r="R358" s="2">
        <v>2</v>
      </c>
      <c r="S358" s="2" t="s">
        <v>86</v>
      </c>
      <c r="T358" s="2">
        <v>841</v>
      </c>
      <c r="U358" s="2">
        <v>13</v>
      </c>
      <c r="V358" s="2"/>
    </row>
    <row r="359" spans="1:22" x14ac:dyDescent="0.35">
      <c r="A359" s="3" t="s">
        <v>1338</v>
      </c>
      <c r="B359" s="3" t="s">
        <v>314</v>
      </c>
      <c r="C359" s="3" t="s">
        <v>581</v>
      </c>
      <c r="D359" s="3" t="s">
        <v>1339</v>
      </c>
      <c r="E359" s="3" t="s">
        <v>58</v>
      </c>
      <c r="F359" s="3" t="s">
        <v>417</v>
      </c>
      <c r="G359" s="3" t="s">
        <v>39</v>
      </c>
      <c r="H359" s="3" t="s">
        <v>527</v>
      </c>
      <c r="I359" s="3" t="s">
        <v>191</v>
      </c>
      <c r="J359" s="3">
        <v>458</v>
      </c>
      <c r="K359" s="3">
        <v>427.03</v>
      </c>
      <c r="L359" s="3">
        <v>571.44000000000005</v>
      </c>
      <c r="M359" s="3">
        <v>261719.52</v>
      </c>
      <c r="N359" s="3">
        <v>195579.74</v>
      </c>
      <c r="O359" s="3">
        <v>66139.78</v>
      </c>
      <c r="P359" s="3" t="s">
        <v>95</v>
      </c>
      <c r="Q359" s="3" t="s">
        <v>63</v>
      </c>
      <c r="R359" s="3">
        <v>4</v>
      </c>
      <c r="S359" s="3" t="s">
        <v>112</v>
      </c>
      <c r="T359" s="3">
        <v>3526</v>
      </c>
      <c r="U359" s="3">
        <v>20</v>
      </c>
      <c r="V359" s="3"/>
    </row>
    <row r="360" spans="1:22" x14ac:dyDescent="0.35">
      <c r="A360" s="2" t="s">
        <v>1340</v>
      </c>
      <c r="B360" s="2" t="s">
        <v>1341</v>
      </c>
      <c r="C360" s="2" t="s">
        <v>592</v>
      </c>
      <c r="D360" s="2" t="s">
        <v>1342</v>
      </c>
      <c r="E360" s="2" t="s">
        <v>68</v>
      </c>
      <c r="F360" s="2" t="s">
        <v>146</v>
      </c>
      <c r="G360" s="2" t="s">
        <v>217</v>
      </c>
      <c r="H360" s="2" t="s">
        <v>494</v>
      </c>
      <c r="I360" s="2" t="s">
        <v>293</v>
      </c>
      <c r="J360" s="2">
        <v>396</v>
      </c>
      <c r="K360" s="2">
        <v>131.13999999999999</v>
      </c>
      <c r="L360" s="2">
        <v>164.32</v>
      </c>
      <c r="M360" s="2">
        <v>65070.720000000001</v>
      </c>
      <c r="N360" s="2">
        <v>51931.44</v>
      </c>
      <c r="O360" s="2">
        <v>13139.28</v>
      </c>
      <c r="P360" s="2" t="s">
        <v>52</v>
      </c>
      <c r="Q360" s="2" t="s">
        <v>32</v>
      </c>
      <c r="R360" s="2">
        <v>6</v>
      </c>
      <c r="S360" s="2" t="s">
        <v>112</v>
      </c>
      <c r="T360" s="2">
        <v>973</v>
      </c>
      <c r="U360" s="4" t="s">
        <v>87</v>
      </c>
      <c r="V360" s="2"/>
    </row>
    <row r="361" spans="1:22" x14ac:dyDescent="0.35">
      <c r="A361" s="3" t="s">
        <v>1343</v>
      </c>
      <c r="B361" s="3" t="s">
        <v>1291</v>
      </c>
      <c r="C361" s="3" t="s">
        <v>1344</v>
      </c>
      <c r="D361" s="3" t="s">
        <v>1345</v>
      </c>
      <c r="E361" s="3" t="s">
        <v>68</v>
      </c>
      <c r="F361" s="3" t="s">
        <v>249</v>
      </c>
      <c r="G361" s="3" t="s">
        <v>60</v>
      </c>
      <c r="H361" s="3" t="s">
        <v>539</v>
      </c>
      <c r="I361" s="3" t="s">
        <v>85</v>
      </c>
      <c r="J361" s="3">
        <v>258</v>
      </c>
      <c r="K361" s="3">
        <v>53.7</v>
      </c>
      <c r="L361" s="3">
        <v>62.72</v>
      </c>
      <c r="M361" s="3">
        <v>16181.76</v>
      </c>
      <c r="N361" s="3">
        <v>13854.6</v>
      </c>
      <c r="O361" s="3">
        <v>2327.16</v>
      </c>
      <c r="P361" s="3" t="s">
        <v>95</v>
      </c>
      <c r="Q361" s="3" t="s">
        <v>32</v>
      </c>
      <c r="R361" s="3">
        <v>8</v>
      </c>
      <c r="S361" s="3" t="s">
        <v>112</v>
      </c>
      <c r="T361" s="3">
        <v>2951</v>
      </c>
      <c r="U361" s="3">
        <v>10</v>
      </c>
      <c r="V361" s="3"/>
    </row>
    <row r="362" spans="1:22" x14ac:dyDescent="0.35">
      <c r="A362" s="2" t="s">
        <v>1346</v>
      </c>
      <c r="B362" s="2" t="s">
        <v>1347</v>
      </c>
      <c r="C362" s="2" t="s">
        <v>1348</v>
      </c>
      <c r="D362" s="2" t="s">
        <v>1349</v>
      </c>
      <c r="E362" s="2" t="s">
        <v>100</v>
      </c>
      <c r="F362" s="2" t="s">
        <v>101</v>
      </c>
      <c r="G362" s="2" t="s">
        <v>70</v>
      </c>
      <c r="H362" s="2" t="s">
        <v>84</v>
      </c>
      <c r="I362" s="2" t="s">
        <v>118</v>
      </c>
      <c r="J362" s="2">
        <v>713</v>
      </c>
      <c r="K362" s="2">
        <v>575.16999999999996</v>
      </c>
      <c r="L362" s="2">
        <v>896.11</v>
      </c>
      <c r="M362" s="2">
        <v>638926.43000000005</v>
      </c>
      <c r="N362" s="2">
        <v>410096.21</v>
      </c>
      <c r="O362" s="2">
        <v>228830.22</v>
      </c>
      <c r="P362" s="2" t="s">
        <v>95</v>
      </c>
      <c r="Q362" s="2" t="s">
        <v>32</v>
      </c>
      <c r="R362" s="2">
        <v>15</v>
      </c>
      <c r="S362" s="2" t="s">
        <v>53</v>
      </c>
      <c r="T362" s="2">
        <v>4262</v>
      </c>
      <c r="U362" s="2">
        <v>15</v>
      </c>
      <c r="V362" s="2"/>
    </row>
    <row r="363" spans="1:22" x14ac:dyDescent="0.35">
      <c r="A363" s="3" t="s">
        <v>1350</v>
      </c>
      <c r="B363" s="3" t="s">
        <v>356</v>
      </c>
      <c r="C363" s="3" t="s">
        <v>588</v>
      </c>
      <c r="D363" s="3" t="s">
        <v>1351</v>
      </c>
      <c r="E363" s="3" t="s">
        <v>58</v>
      </c>
      <c r="F363" s="3" t="s">
        <v>116</v>
      </c>
      <c r="G363" s="3" t="s">
        <v>78</v>
      </c>
      <c r="H363" s="3" t="s">
        <v>178</v>
      </c>
      <c r="I363" s="3" t="s">
        <v>293</v>
      </c>
      <c r="J363" s="3">
        <v>42</v>
      </c>
      <c r="K363" s="3">
        <v>1074.0899999999999</v>
      </c>
      <c r="L363" s="3">
        <v>1228.8</v>
      </c>
      <c r="M363" s="3">
        <v>51609.599999999999</v>
      </c>
      <c r="N363" s="3">
        <v>45111.78</v>
      </c>
      <c r="O363" s="3">
        <v>6497.82</v>
      </c>
      <c r="P363" s="3" t="s">
        <v>95</v>
      </c>
      <c r="Q363" s="3" t="s">
        <v>32</v>
      </c>
      <c r="R363" s="3">
        <v>11</v>
      </c>
      <c r="S363" s="3" t="s">
        <v>43</v>
      </c>
      <c r="T363" s="3">
        <v>4266</v>
      </c>
      <c r="U363" s="3">
        <v>0</v>
      </c>
      <c r="V363" s="3"/>
    </row>
    <row r="364" spans="1:22" x14ac:dyDescent="0.35">
      <c r="A364" s="2" t="s">
        <v>1352</v>
      </c>
      <c r="B364" s="2" t="s">
        <v>671</v>
      </c>
      <c r="C364" s="2" t="s">
        <v>1353</v>
      </c>
      <c r="D364" s="2" t="s">
        <v>1354</v>
      </c>
      <c r="E364" s="2" t="s">
        <v>100</v>
      </c>
      <c r="F364" s="2" t="s">
        <v>238</v>
      </c>
      <c r="G364" s="2" t="s">
        <v>78</v>
      </c>
      <c r="H364" s="2" t="s">
        <v>425</v>
      </c>
      <c r="I364" s="2" t="s">
        <v>124</v>
      </c>
      <c r="J364" s="2">
        <v>509</v>
      </c>
      <c r="K364" s="2">
        <v>1012.46</v>
      </c>
      <c r="L364" s="2">
        <v>1524.1</v>
      </c>
      <c r="M364" s="2">
        <v>775766.9</v>
      </c>
      <c r="N364" s="2">
        <v>515342.14</v>
      </c>
      <c r="O364" s="2">
        <v>260424.76</v>
      </c>
      <c r="P364" s="2" t="s">
        <v>52</v>
      </c>
      <c r="Q364" s="2" t="s">
        <v>32</v>
      </c>
      <c r="R364" s="2">
        <v>8</v>
      </c>
      <c r="S364" s="2" t="s">
        <v>112</v>
      </c>
      <c r="T364" s="2">
        <v>1437</v>
      </c>
      <c r="U364" s="2">
        <v>22</v>
      </c>
      <c r="V364" s="2"/>
    </row>
    <row r="365" spans="1:22" x14ac:dyDescent="0.35">
      <c r="A365" s="3" t="s">
        <v>1355</v>
      </c>
      <c r="B365" s="3" t="s">
        <v>1356</v>
      </c>
      <c r="C365" s="3" t="s">
        <v>1357</v>
      </c>
      <c r="D365" s="3" t="s">
        <v>1358</v>
      </c>
      <c r="E365" s="3" t="s">
        <v>58</v>
      </c>
      <c r="F365" s="3" t="s">
        <v>417</v>
      </c>
      <c r="G365" s="3" t="s">
        <v>39</v>
      </c>
      <c r="H365" s="3" t="s">
        <v>412</v>
      </c>
      <c r="I365" s="3" t="s">
        <v>30</v>
      </c>
      <c r="J365" s="3">
        <v>249</v>
      </c>
      <c r="K365" s="3">
        <v>839.95</v>
      </c>
      <c r="L365" s="3">
        <v>1130.74</v>
      </c>
      <c r="M365" s="3">
        <v>281554.26</v>
      </c>
      <c r="N365" s="3">
        <v>209147.55</v>
      </c>
      <c r="O365" s="3">
        <v>72406.710000000006</v>
      </c>
      <c r="P365" s="3" t="s">
        <v>52</v>
      </c>
      <c r="Q365" s="3" t="s">
        <v>32</v>
      </c>
      <c r="R365" s="3">
        <v>15</v>
      </c>
      <c r="S365" s="3" t="s">
        <v>158</v>
      </c>
      <c r="T365" s="3">
        <v>2809</v>
      </c>
      <c r="U365" s="3">
        <v>3</v>
      </c>
      <c r="V365" s="3"/>
    </row>
    <row r="366" spans="1:22" x14ac:dyDescent="0.35">
      <c r="A366" s="2" t="s">
        <v>1359</v>
      </c>
      <c r="B366" s="2" t="s">
        <v>1360</v>
      </c>
      <c r="C366" s="2" t="s">
        <v>1049</v>
      </c>
      <c r="D366" s="2" t="s">
        <v>1361</v>
      </c>
      <c r="E366" s="2" t="s">
        <v>58</v>
      </c>
      <c r="F366" s="2" t="s">
        <v>122</v>
      </c>
      <c r="G366" s="2" t="s">
        <v>189</v>
      </c>
      <c r="H366" s="2" t="s">
        <v>311</v>
      </c>
      <c r="I366" s="2" t="s">
        <v>41</v>
      </c>
      <c r="J366" s="2">
        <v>416</v>
      </c>
      <c r="K366" s="2">
        <v>1009.92</v>
      </c>
      <c r="L366" s="2">
        <v>1217.6500000000001</v>
      </c>
      <c r="M366" s="2">
        <v>506542.4</v>
      </c>
      <c r="N366" s="2">
        <v>420126.71999999997</v>
      </c>
      <c r="O366" s="2">
        <v>86415.679999999993</v>
      </c>
      <c r="P366" s="2" t="s">
        <v>31</v>
      </c>
      <c r="Q366" s="2" t="s">
        <v>63</v>
      </c>
      <c r="R366" s="2">
        <v>3</v>
      </c>
      <c r="S366" s="2" t="s">
        <v>86</v>
      </c>
      <c r="T366" s="2">
        <v>2996</v>
      </c>
      <c r="U366" s="2">
        <v>6</v>
      </c>
      <c r="V366" s="2"/>
    </row>
    <row r="367" spans="1:22" x14ac:dyDescent="0.35">
      <c r="A367" s="3" t="s">
        <v>1362</v>
      </c>
      <c r="B367" s="3" t="s">
        <v>1363</v>
      </c>
      <c r="C367" s="3" t="s">
        <v>1217</v>
      </c>
      <c r="D367" s="3" t="s">
        <v>1364</v>
      </c>
      <c r="E367" s="3" t="s">
        <v>68</v>
      </c>
      <c r="F367" s="3" t="s">
        <v>276</v>
      </c>
      <c r="G367" s="3" t="s">
        <v>93</v>
      </c>
      <c r="H367" s="3" t="s">
        <v>485</v>
      </c>
      <c r="I367" s="3" t="s">
        <v>30</v>
      </c>
      <c r="J367" s="3">
        <v>482</v>
      </c>
      <c r="K367" s="3">
        <v>437.17</v>
      </c>
      <c r="L367" s="3">
        <v>690.3</v>
      </c>
      <c r="M367" s="3">
        <v>332724.59999999998</v>
      </c>
      <c r="N367" s="3">
        <v>210715.94</v>
      </c>
      <c r="O367" s="3">
        <v>122008.66</v>
      </c>
      <c r="P367" s="3" t="s">
        <v>31</v>
      </c>
      <c r="Q367" s="3" t="s">
        <v>32</v>
      </c>
      <c r="R367" s="3">
        <v>15</v>
      </c>
      <c r="S367" s="3" t="s">
        <v>112</v>
      </c>
      <c r="T367" s="3">
        <v>3046</v>
      </c>
      <c r="U367" s="3">
        <v>3</v>
      </c>
      <c r="V367" s="3"/>
    </row>
    <row r="368" spans="1:22" x14ac:dyDescent="0.35">
      <c r="A368" s="2" t="s">
        <v>1365</v>
      </c>
      <c r="B368" s="2" t="s">
        <v>1189</v>
      </c>
      <c r="C368" s="2" t="s">
        <v>328</v>
      </c>
      <c r="D368" s="2" t="s">
        <v>1366</v>
      </c>
      <c r="E368" s="2" t="s">
        <v>48</v>
      </c>
      <c r="F368" s="2" t="s">
        <v>183</v>
      </c>
      <c r="G368" s="2" t="s">
        <v>93</v>
      </c>
      <c r="H368" s="4"/>
      <c r="I368" s="2" t="s">
        <v>191</v>
      </c>
      <c r="J368" s="2">
        <v>253</v>
      </c>
      <c r="K368" s="2">
        <v>810.1</v>
      </c>
      <c r="L368" s="2">
        <v>1124.78</v>
      </c>
      <c r="M368" s="2">
        <v>284569.34000000003</v>
      </c>
      <c r="N368" s="2">
        <v>204955.3</v>
      </c>
      <c r="O368" s="2">
        <v>79614.039999999994</v>
      </c>
      <c r="P368" s="2" t="s">
        <v>52</v>
      </c>
      <c r="Q368" s="2" t="s">
        <v>63</v>
      </c>
      <c r="R368" s="2">
        <v>1</v>
      </c>
      <c r="S368" s="2" t="s">
        <v>158</v>
      </c>
      <c r="T368" s="2">
        <v>4544</v>
      </c>
      <c r="U368" s="2">
        <v>2</v>
      </c>
      <c r="V368" s="2"/>
    </row>
    <row r="369" spans="1:22" x14ac:dyDescent="0.35">
      <c r="A369" s="3" t="s">
        <v>1367</v>
      </c>
      <c r="B369" s="3" t="s">
        <v>1269</v>
      </c>
      <c r="C369" s="3" t="s">
        <v>1368</v>
      </c>
      <c r="D369" s="3" t="s">
        <v>1369</v>
      </c>
      <c r="E369" s="3" t="s">
        <v>58</v>
      </c>
      <c r="F369" s="3" t="s">
        <v>116</v>
      </c>
      <c r="G369" s="3" t="s">
        <v>28</v>
      </c>
      <c r="H369" s="3" t="s">
        <v>254</v>
      </c>
      <c r="I369" s="3" t="s">
        <v>240</v>
      </c>
      <c r="J369" s="3">
        <v>518</v>
      </c>
      <c r="K369" s="3">
        <v>1068.52</v>
      </c>
      <c r="L369" s="3">
        <v>1252.1600000000001</v>
      </c>
      <c r="M369" s="3">
        <v>648618.88</v>
      </c>
      <c r="N369" s="3">
        <v>553493.36</v>
      </c>
      <c r="O369" s="3">
        <v>95125.52</v>
      </c>
      <c r="P369" s="3" t="s">
        <v>52</v>
      </c>
      <c r="Q369" s="3" t="s">
        <v>32</v>
      </c>
      <c r="R369" s="3">
        <v>14</v>
      </c>
      <c r="S369" s="3" t="s">
        <v>53</v>
      </c>
      <c r="T369" s="3">
        <v>1238</v>
      </c>
      <c r="U369" s="3">
        <v>9</v>
      </c>
      <c r="V369" s="3"/>
    </row>
    <row r="370" spans="1:22" x14ac:dyDescent="0.35">
      <c r="A370" s="2" t="s">
        <v>1370</v>
      </c>
      <c r="B370" s="2" t="s">
        <v>599</v>
      </c>
      <c r="C370" s="2" t="s">
        <v>1265</v>
      </c>
      <c r="D370" s="2" t="s">
        <v>1371</v>
      </c>
      <c r="E370" s="2" t="s">
        <v>58</v>
      </c>
      <c r="F370" s="2" t="s">
        <v>259</v>
      </c>
      <c r="G370" s="2" t="s">
        <v>93</v>
      </c>
      <c r="H370" s="2" t="s">
        <v>643</v>
      </c>
      <c r="I370" s="2" t="s">
        <v>118</v>
      </c>
      <c r="J370" s="2">
        <v>358</v>
      </c>
      <c r="K370" s="2">
        <v>748.51</v>
      </c>
      <c r="L370" s="2">
        <v>1177.81</v>
      </c>
      <c r="M370" s="2">
        <v>421655.98</v>
      </c>
      <c r="N370" s="2">
        <v>267966.58</v>
      </c>
      <c r="O370" s="2">
        <v>153689.4</v>
      </c>
      <c r="P370" s="2" t="s">
        <v>42</v>
      </c>
      <c r="Q370" s="2" t="s">
        <v>32</v>
      </c>
      <c r="R370" s="2">
        <v>11</v>
      </c>
      <c r="S370" s="2" t="s">
        <v>158</v>
      </c>
      <c r="T370" s="2">
        <v>3323</v>
      </c>
      <c r="U370" s="2">
        <v>14</v>
      </c>
      <c r="V370" s="2"/>
    </row>
    <row r="371" spans="1:22" x14ac:dyDescent="0.35">
      <c r="A371" s="3" t="s">
        <v>1372</v>
      </c>
      <c r="B371" s="3" t="s">
        <v>522</v>
      </c>
      <c r="C371" s="3" t="s">
        <v>348</v>
      </c>
      <c r="D371" s="3" t="s">
        <v>1373</v>
      </c>
      <c r="E371" s="3" t="s">
        <v>68</v>
      </c>
      <c r="F371" s="3" t="s">
        <v>163</v>
      </c>
      <c r="G371" s="3" t="s">
        <v>70</v>
      </c>
      <c r="H371" s="3" t="s">
        <v>822</v>
      </c>
      <c r="I371" s="3" t="s">
        <v>30</v>
      </c>
      <c r="J371" s="3">
        <v>265</v>
      </c>
      <c r="K371" s="3">
        <v>350.77</v>
      </c>
      <c r="L371" s="3">
        <v>435.67</v>
      </c>
      <c r="M371" s="3">
        <v>115452.55</v>
      </c>
      <c r="N371" s="3">
        <v>92954.05</v>
      </c>
      <c r="O371" s="3">
        <v>22498.5</v>
      </c>
      <c r="P371" s="3" t="s">
        <v>42</v>
      </c>
      <c r="Q371" s="3" t="s">
        <v>32</v>
      </c>
      <c r="R371" s="3">
        <v>8</v>
      </c>
      <c r="S371" s="3" t="s">
        <v>43</v>
      </c>
      <c r="T371" s="3">
        <v>1413</v>
      </c>
      <c r="U371" s="3">
        <v>12</v>
      </c>
      <c r="V371" s="3"/>
    </row>
    <row r="372" spans="1:22" x14ac:dyDescent="0.35">
      <c r="A372" s="2" t="s">
        <v>1374</v>
      </c>
      <c r="B372" s="2" t="s">
        <v>741</v>
      </c>
      <c r="C372" s="2" t="s">
        <v>1375</v>
      </c>
      <c r="D372" s="2" t="s">
        <v>1376</v>
      </c>
      <c r="E372" s="2" t="s">
        <v>58</v>
      </c>
      <c r="F372" s="2" t="s">
        <v>59</v>
      </c>
      <c r="G372" s="2" t="s">
        <v>189</v>
      </c>
      <c r="H372" s="2" t="s">
        <v>365</v>
      </c>
      <c r="I372" s="2" t="s">
        <v>153</v>
      </c>
      <c r="J372" s="2">
        <v>217</v>
      </c>
      <c r="K372" s="2">
        <v>373.98</v>
      </c>
      <c r="L372" s="2">
        <v>523.84</v>
      </c>
      <c r="M372" s="2">
        <v>113673.28</v>
      </c>
      <c r="N372" s="2">
        <v>81153.66</v>
      </c>
      <c r="O372" s="2">
        <v>32519.62</v>
      </c>
      <c r="P372" s="2" t="s">
        <v>52</v>
      </c>
      <c r="Q372" s="2" t="s">
        <v>32</v>
      </c>
      <c r="R372" s="2">
        <v>15</v>
      </c>
      <c r="S372" s="2" t="s">
        <v>158</v>
      </c>
      <c r="T372" s="2">
        <v>2317</v>
      </c>
      <c r="U372" s="2">
        <v>3</v>
      </c>
      <c r="V372" s="2"/>
    </row>
    <row r="373" spans="1:22" x14ac:dyDescent="0.35">
      <c r="A373" s="3" t="s">
        <v>1377</v>
      </c>
      <c r="B373" s="3" t="s">
        <v>999</v>
      </c>
      <c r="C373" s="3" t="s">
        <v>1378</v>
      </c>
      <c r="D373" s="3" t="s">
        <v>121</v>
      </c>
      <c r="E373" s="3" t="s">
        <v>26</v>
      </c>
      <c r="F373" s="3" t="s">
        <v>38</v>
      </c>
      <c r="G373" s="3" t="s">
        <v>39</v>
      </c>
      <c r="H373" s="3" t="s">
        <v>647</v>
      </c>
      <c r="I373" s="3" t="s">
        <v>240</v>
      </c>
      <c r="J373" s="3">
        <v>755</v>
      </c>
      <c r="K373" s="3">
        <v>7.55</v>
      </c>
      <c r="L373" s="3">
        <v>9.65</v>
      </c>
      <c r="M373" s="3">
        <v>7285.75</v>
      </c>
      <c r="N373" s="3">
        <v>5700.25</v>
      </c>
      <c r="O373" s="3">
        <v>1585.5</v>
      </c>
      <c r="P373" s="3" t="s">
        <v>52</v>
      </c>
      <c r="Q373" s="3" t="s">
        <v>32</v>
      </c>
      <c r="R373" s="3">
        <v>14</v>
      </c>
      <c r="S373" s="3" t="s">
        <v>158</v>
      </c>
      <c r="T373" s="3">
        <v>4191</v>
      </c>
      <c r="U373" s="3">
        <v>37</v>
      </c>
      <c r="V373" s="3"/>
    </row>
    <row r="374" spans="1:22" x14ac:dyDescent="0.35">
      <c r="A374" s="2" t="s">
        <v>1379</v>
      </c>
      <c r="B374" s="2" t="s">
        <v>581</v>
      </c>
      <c r="C374" s="2" t="s">
        <v>1380</v>
      </c>
      <c r="D374" s="2" t="s">
        <v>1381</v>
      </c>
      <c r="E374" s="2" t="s">
        <v>26</v>
      </c>
      <c r="F374" s="2" t="s">
        <v>27</v>
      </c>
      <c r="G374" s="2" t="s">
        <v>60</v>
      </c>
      <c r="H374" s="2" t="s">
        <v>834</v>
      </c>
      <c r="I374" s="2" t="s">
        <v>85</v>
      </c>
      <c r="J374" s="2">
        <v>297</v>
      </c>
      <c r="K374" s="2">
        <v>289.44</v>
      </c>
      <c r="L374" s="2">
        <v>368.44</v>
      </c>
      <c r="M374" s="2">
        <v>109426.68</v>
      </c>
      <c r="N374" s="2">
        <v>85963.68</v>
      </c>
      <c r="O374" s="2">
        <v>23463</v>
      </c>
      <c r="P374" s="2" t="s">
        <v>31</v>
      </c>
      <c r="Q374" s="2" t="s">
        <v>63</v>
      </c>
      <c r="R374" s="2">
        <v>3</v>
      </c>
      <c r="S374" s="2" t="s">
        <v>53</v>
      </c>
      <c r="T374" s="2">
        <v>3910</v>
      </c>
      <c r="U374" s="2">
        <v>13</v>
      </c>
      <c r="V374" s="2"/>
    </row>
    <row r="375" spans="1:22" x14ac:dyDescent="0.35">
      <c r="A375" s="3" t="s">
        <v>1382</v>
      </c>
      <c r="B375" s="3" t="s">
        <v>832</v>
      </c>
      <c r="C375" s="3" t="s">
        <v>231</v>
      </c>
      <c r="D375" s="3" t="s">
        <v>1383</v>
      </c>
      <c r="E375" s="3" t="s">
        <v>68</v>
      </c>
      <c r="F375" s="3" t="s">
        <v>163</v>
      </c>
      <c r="G375" s="3" t="s">
        <v>28</v>
      </c>
      <c r="H375" s="4"/>
      <c r="I375" s="3" t="s">
        <v>118</v>
      </c>
      <c r="J375" s="3">
        <v>687</v>
      </c>
      <c r="K375" s="3">
        <v>98.92</v>
      </c>
      <c r="L375" s="3">
        <v>161.13</v>
      </c>
      <c r="M375" s="3">
        <v>110696.31</v>
      </c>
      <c r="N375" s="3">
        <v>67958.039999999994</v>
      </c>
      <c r="O375" s="3">
        <v>42738.27</v>
      </c>
      <c r="P375" s="3" t="s">
        <v>52</v>
      </c>
      <c r="Q375" s="3" t="s">
        <v>63</v>
      </c>
      <c r="R375" s="3">
        <v>2</v>
      </c>
      <c r="S375" s="3" t="s">
        <v>112</v>
      </c>
      <c r="T375" s="3">
        <v>3122</v>
      </c>
      <c r="U375" s="3">
        <v>31</v>
      </c>
      <c r="V375" s="3"/>
    </row>
    <row r="376" spans="1:22" x14ac:dyDescent="0.35">
      <c r="A376" s="2" t="s">
        <v>1384</v>
      </c>
      <c r="B376" s="2" t="s">
        <v>347</v>
      </c>
      <c r="C376" s="2" t="s">
        <v>1385</v>
      </c>
      <c r="D376" s="2" t="s">
        <v>1386</v>
      </c>
      <c r="E376" s="2" t="s">
        <v>26</v>
      </c>
      <c r="F376" s="2" t="s">
        <v>38</v>
      </c>
      <c r="G376" s="2" t="s">
        <v>217</v>
      </c>
      <c r="H376" s="2" t="s">
        <v>494</v>
      </c>
      <c r="I376" s="2" t="s">
        <v>141</v>
      </c>
      <c r="J376" s="2">
        <v>50</v>
      </c>
      <c r="K376" s="2">
        <v>1013.17</v>
      </c>
      <c r="L376" s="2">
        <v>1478.72</v>
      </c>
      <c r="M376" s="2">
        <v>73936</v>
      </c>
      <c r="N376" s="2">
        <v>50658.5</v>
      </c>
      <c r="O376" s="2">
        <v>23277.5</v>
      </c>
      <c r="P376" s="2" t="s">
        <v>31</v>
      </c>
      <c r="Q376" s="2" t="s">
        <v>32</v>
      </c>
      <c r="R376" s="2">
        <v>8</v>
      </c>
      <c r="S376" s="2" t="s">
        <v>112</v>
      </c>
      <c r="T376" s="2">
        <v>2832</v>
      </c>
      <c r="U376" s="2">
        <v>2</v>
      </c>
      <c r="V376" s="2"/>
    </row>
    <row r="377" spans="1:22" x14ac:dyDescent="0.35">
      <c r="A377" s="3" t="s">
        <v>1387</v>
      </c>
      <c r="B377" s="3" t="s">
        <v>1066</v>
      </c>
      <c r="C377" s="3" t="s">
        <v>1388</v>
      </c>
      <c r="D377" s="3" t="s">
        <v>1389</v>
      </c>
      <c r="E377" s="3" t="s">
        <v>48</v>
      </c>
      <c r="F377" s="3" t="s">
        <v>281</v>
      </c>
      <c r="G377" s="3" t="s">
        <v>50</v>
      </c>
      <c r="H377" s="3" t="s">
        <v>117</v>
      </c>
      <c r="I377" s="3" t="s">
        <v>153</v>
      </c>
      <c r="J377" s="3">
        <v>163</v>
      </c>
      <c r="K377" s="3">
        <v>745.14</v>
      </c>
      <c r="L377" s="3">
        <v>1085.4100000000001</v>
      </c>
      <c r="M377" s="3">
        <v>176921.83</v>
      </c>
      <c r="N377" s="3">
        <v>121457.82</v>
      </c>
      <c r="O377" s="3">
        <v>55464.01</v>
      </c>
      <c r="P377" s="3" t="s">
        <v>52</v>
      </c>
      <c r="Q377" s="3" t="s">
        <v>32</v>
      </c>
      <c r="R377" s="3">
        <v>10</v>
      </c>
      <c r="S377" s="3" t="s">
        <v>112</v>
      </c>
      <c r="T377" s="3">
        <v>4623</v>
      </c>
      <c r="U377" s="3">
        <v>8</v>
      </c>
      <c r="V377" s="3"/>
    </row>
    <row r="378" spans="1:22" x14ac:dyDescent="0.35">
      <c r="A378" s="2" t="s">
        <v>1390</v>
      </c>
      <c r="B378" s="2" t="s">
        <v>805</v>
      </c>
      <c r="C378" s="2" t="s">
        <v>513</v>
      </c>
      <c r="D378" s="2" t="s">
        <v>1391</v>
      </c>
      <c r="E378" s="2" t="s">
        <v>68</v>
      </c>
      <c r="F378" s="2" t="s">
        <v>146</v>
      </c>
      <c r="G378" s="2" t="s">
        <v>50</v>
      </c>
      <c r="H378" s="2" t="s">
        <v>107</v>
      </c>
      <c r="I378" s="2" t="s">
        <v>191</v>
      </c>
      <c r="J378" s="2">
        <v>741</v>
      </c>
      <c r="K378" s="2">
        <v>728.6</v>
      </c>
      <c r="L378" s="2">
        <v>1082.76</v>
      </c>
      <c r="M378" s="2">
        <v>802325.16</v>
      </c>
      <c r="N378" s="2">
        <v>539892.6</v>
      </c>
      <c r="O378" s="2">
        <v>262432.56</v>
      </c>
      <c r="P378" s="2" t="s">
        <v>52</v>
      </c>
      <c r="Q378" s="2" t="s">
        <v>32</v>
      </c>
      <c r="R378" s="2">
        <v>10</v>
      </c>
      <c r="S378" s="2" t="s">
        <v>112</v>
      </c>
      <c r="T378" s="2">
        <v>2648</v>
      </c>
      <c r="U378" s="2">
        <v>24</v>
      </c>
      <c r="V378" s="2"/>
    </row>
    <row r="379" spans="1:22" x14ac:dyDescent="0.35">
      <c r="A379" s="3" t="s">
        <v>1392</v>
      </c>
      <c r="B379" s="3" t="s">
        <v>1393</v>
      </c>
      <c r="C379" s="3" t="s">
        <v>214</v>
      </c>
      <c r="D379" s="3" t="s">
        <v>1394</v>
      </c>
      <c r="E379" s="3" t="s">
        <v>48</v>
      </c>
      <c r="F379" s="3" t="s">
        <v>223</v>
      </c>
      <c r="G379" s="3" t="s">
        <v>70</v>
      </c>
      <c r="H379" s="3" t="s">
        <v>446</v>
      </c>
      <c r="I379" s="3" t="s">
        <v>72</v>
      </c>
      <c r="J379" s="3">
        <v>76</v>
      </c>
      <c r="K379" s="3">
        <v>667.84</v>
      </c>
      <c r="L379" s="3">
        <v>852.73</v>
      </c>
      <c r="M379" s="3">
        <v>64807.48</v>
      </c>
      <c r="N379" s="3">
        <v>50755.839999999997</v>
      </c>
      <c r="O379" s="3">
        <v>14051.64</v>
      </c>
      <c r="P379" s="3" t="s">
        <v>42</v>
      </c>
      <c r="Q379" s="3" t="s">
        <v>32</v>
      </c>
      <c r="R379" s="3">
        <v>9</v>
      </c>
      <c r="S379" s="3" t="s">
        <v>53</v>
      </c>
      <c r="T379" s="3">
        <v>956</v>
      </c>
      <c r="U379" s="3">
        <v>2</v>
      </c>
      <c r="V379" s="3"/>
    </row>
    <row r="380" spans="1:22" x14ac:dyDescent="0.35">
      <c r="A380" s="2" t="s">
        <v>1395</v>
      </c>
      <c r="B380" s="2" t="s">
        <v>367</v>
      </c>
      <c r="C380" s="2" t="s">
        <v>394</v>
      </c>
      <c r="D380" s="2" t="s">
        <v>1396</v>
      </c>
      <c r="E380" s="2" t="s">
        <v>100</v>
      </c>
      <c r="F380" s="2" t="s">
        <v>238</v>
      </c>
      <c r="G380" s="2" t="s">
        <v>50</v>
      </c>
      <c r="H380" s="2" t="s">
        <v>51</v>
      </c>
      <c r="I380" s="2" t="s">
        <v>293</v>
      </c>
      <c r="J380" s="2">
        <v>780</v>
      </c>
      <c r="K380" s="2">
        <v>817.7</v>
      </c>
      <c r="L380" s="2">
        <v>966.93</v>
      </c>
      <c r="M380" s="2">
        <v>754205.4</v>
      </c>
      <c r="N380" s="2">
        <v>637806</v>
      </c>
      <c r="O380" s="2">
        <v>116399.4</v>
      </c>
      <c r="P380" s="2" t="s">
        <v>52</v>
      </c>
      <c r="Q380" s="2" t="s">
        <v>63</v>
      </c>
      <c r="R380" s="2">
        <v>1</v>
      </c>
      <c r="S380" s="2" t="s">
        <v>53</v>
      </c>
      <c r="T380" s="2">
        <v>3329</v>
      </c>
      <c r="U380" s="2">
        <v>8</v>
      </c>
      <c r="V380" s="2"/>
    </row>
    <row r="381" spans="1:22" x14ac:dyDescent="0.35">
      <c r="A381" s="3" t="s">
        <v>1397</v>
      </c>
      <c r="B381" s="3" t="s">
        <v>1398</v>
      </c>
      <c r="C381" s="3" t="s">
        <v>1399</v>
      </c>
      <c r="D381" s="3" t="s">
        <v>1400</v>
      </c>
      <c r="E381" s="3" t="s">
        <v>68</v>
      </c>
      <c r="F381" s="3" t="s">
        <v>69</v>
      </c>
      <c r="G381" s="3" t="s">
        <v>70</v>
      </c>
      <c r="H381" s="3" t="s">
        <v>1019</v>
      </c>
      <c r="I381" s="3" t="s">
        <v>85</v>
      </c>
      <c r="J381" s="3">
        <v>40</v>
      </c>
      <c r="K381" s="3">
        <v>1008.78</v>
      </c>
      <c r="L381" s="3">
        <v>1577.89</v>
      </c>
      <c r="M381" s="3">
        <v>63115.6</v>
      </c>
      <c r="N381" s="3">
        <v>40351.199999999997</v>
      </c>
      <c r="O381" s="3">
        <v>22764.400000000001</v>
      </c>
      <c r="P381" s="3" t="s">
        <v>42</v>
      </c>
      <c r="Q381" s="3" t="s">
        <v>63</v>
      </c>
      <c r="R381" s="3">
        <v>2</v>
      </c>
      <c r="S381" s="3" t="s">
        <v>43</v>
      </c>
      <c r="T381" s="3">
        <v>2793</v>
      </c>
      <c r="U381" s="3">
        <v>2</v>
      </c>
      <c r="V381" s="3"/>
    </row>
    <row r="382" spans="1:22" x14ac:dyDescent="0.35">
      <c r="A382" s="2" t="s">
        <v>1401</v>
      </c>
      <c r="B382" s="2" t="s">
        <v>1206</v>
      </c>
      <c r="C382" s="2" t="s">
        <v>74</v>
      </c>
      <c r="D382" s="2" t="s">
        <v>1402</v>
      </c>
      <c r="E382" s="2" t="s">
        <v>100</v>
      </c>
      <c r="F382" s="2" t="s">
        <v>1403</v>
      </c>
      <c r="G382" s="2" t="s">
        <v>189</v>
      </c>
      <c r="H382" s="2" t="s">
        <v>437</v>
      </c>
      <c r="I382" s="2" t="s">
        <v>141</v>
      </c>
      <c r="J382" s="2">
        <v>105</v>
      </c>
      <c r="K382" s="2">
        <v>78.47</v>
      </c>
      <c r="L382" s="2">
        <v>122.48</v>
      </c>
      <c r="M382" s="2">
        <v>12860.4</v>
      </c>
      <c r="N382" s="2">
        <v>8239.35</v>
      </c>
      <c r="O382" s="2">
        <v>4621.05</v>
      </c>
      <c r="P382" s="2" t="s">
        <v>42</v>
      </c>
      <c r="Q382" s="2" t="s">
        <v>32</v>
      </c>
      <c r="R382" s="2">
        <v>14</v>
      </c>
      <c r="S382" s="2" t="s">
        <v>86</v>
      </c>
      <c r="T382" s="2">
        <v>2734</v>
      </c>
      <c r="U382" s="2">
        <v>4</v>
      </c>
      <c r="V382" s="2"/>
    </row>
    <row r="383" spans="1:22" x14ac:dyDescent="0.35">
      <c r="A383" s="3" t="s">
        <v>1404</v>
      </c>
      <c r="B383" s="3" t="s">
        <v>1133</v>
      </c>
      <c r="C383" s="3" t="s">
        <v>954</v>
      </c>
      <c r="D383" s="3" t="s">
        <v>1405</v>
      </c>
      <c r="E383" s="3" t="s">
        <v>26</v>
      </c>
      <c r="F383" s="3" t="s">
        <v>27</v>
      </c>
      <c r="G383" s="3" t="s">
        <v>28</v>
      </c>
      <c r="H383" s="3" t="s">
        <v>29</v>
      </c>
      <c r="I383" s="3" t="s">
        <v>72</v>
      </c>
      <c r="J383" s="3">
        <v>727</v>
      </c>
      <c r="K383" s="3">
        <v>1171.0899999999999</v>
      </c>
      <c r="L383" s="3">
        <v>1906.34</v>
      </c>
      <c r="M383" s="3">
        <v>1385909.18</v>
      </c>
      <c r="N383" s="3">
        <v>851382.43</v>
      </c>
      <c r="O383" s="3">
        <v>534526.75</v>
      </c>
      <c r="P383" s="3" t="s">
        <v>31</v>
      </c>
      <c r="Q383" s="3" t="s">
        <v>63</v>
      </c>
      <c r="R383" s="3">
        <v>1</v>
      </c>
      <c r="S383" s="3" t="s">
        <v>33</v>
      </c>
      <c r="T383" s="3">
        <v>1799</v>
      </c>
      <c r="U383" s="3">
        <v>13</v>
      </c>
      <c r="V383" s="3"/>
    </row>
    <row r="384" spans="1:22" x14ac:dyDescent="0.35">
      <c r="A384" s="2" t="s">
        <v>1406</v>
      </c>
      <c r="B384" s="2" t="s">
        <v>1125</v>
      </c>
      <c r="C384" s="2" t="s">
        <v>468</v>
      </c>
      <c r="D384" s="2" t="s">
        <v>1407</v>
      </c>
      <c r="E384" s="2" t="s">
        <v>26</v>
      </c>
      <c r="F384" s="2" t="s">
        <v>92</v>
      </c>
      <c r="G384" s="2" t="s">
        <v>129</v>
      </c>
      <c r="H384" s="2" t="s">
        <v>345</v>
      </c>
      <c r="I384" s="2" t="s">
        <v>41</v>
      </c>
      <c r="J384" s="2">
        <v>341</v>
      </c>
      <c r="K384" s="2">
        <v>1019.99</v>
      </c>
      <c r="L384" s="2">
        <v>1281.48</v>
      </c>
      <c r="M384" s="2">
        <v>436984.68</v>
      </c>
      <c r="N384" s="2">
        <v>347816.59</v>
      </c>
      <c r="O384" s="2">
        <v>89168.09</v>
      </c>
      <c r="P384" s="2" t="s">
        <v>95</v>
      </c>
      <c r="Q384" s="2" t="s">
        <v>32</v>
      </c>
      <c r="R384" s="2">
        <v>14</v>
      </c>
      <c r="S384" s="2" t="s">
        <v>158</v>
      </c>
      <c r="T384" s="2">
        <v>2774</v>
      </c>
      <c r="U384" s="2">
        <v>9</v>
      </c>
      <c r="V384" s="2"/>
    </row>
    <row r="385" spans="1:22" x14ac:dyDescent="0.35">
      <c r="A385" s="3" t="s">
        <v>1408</v>
      </c>
      <c r="B385" s="3" t="s">
        <v>114</v>
      </c>
      <c r="C385" s="3" t="s">
        <v>1409</v>
      </c>
      <c r="D385" s="3" t="s">
        <v>1410</v>
      </c>
      <c r="E385" s="3" t="s">
        <v>68</v>
      </c>
      <c r="F385" s="3" t="s">
        <v>69</v>
      </c>
      <c r="G385" s="3" t="s">
        <v>217</v>
      </c>
      <c r="H385" s="3" t="s">
        <v>494</v>
      </c>
      <c r="I385" s="3" t="s">
        <v>41</v>
      </c>
      <c r="J385" s="3">
        <v>779</v>
      </c>
      <c r="K385" s="3">
        <v>159.75</v>
      </c>
      <c r="L385" s="3">
        <v>250.36</v>
      </c>
      <c r="M385" s="3">
        <v>195030.44</v>
      </c>
      <c r="N385" s="3">
        <v>124445.25</v>
      </c>
      <c r="O385" s="3">
        <v>70585.19</v>
      </c>
      <c r="P385" s="3" t="s">
        <v>52</v>
      </c>
      <c r="Q385" s="3" t="s">
        <v>32</v>
      </c>
      <c r="R385" s="3">
        <v>11</v>
      </c>
      <c r="S385" s="3" t="s">
        <v>158</v>
      </c>
      <c r="T385" s="3">
        <v>722</v>
      </c>
      <c r="U385" s="3">
        <v>1</v>
      </c>
      <c r="V385" s="3"/>
    </row>
    <row r="386" spans="1:22" x14ac:dyDescent="0.35">
      <c r="A386" s="2" t="s">
        <v>1411</v>
      </c>
      <c r="B386" s="2" t="s">
        <v>215</v>
      </c>
      <c r="C386" s="2" t="s">
        <v>805</v>
      </c>
      <c r="D386" s="2" t="s">
        <v>1412</v>
      </c>
      <c r="E386" s="4"/>
      <c r="F386" s="2" t="s">
        <v>49</v>
      </c>
      <c r="G386" s="2" t="s">
        <v>189</v>
      </c>
      <c r="H386" s="2" t="s">
        <v>437</v>
      </c>
      <c r="I386" s="2" t="s">
        <v>191</v>
      </c>
      <c r="J386" s="2">
        <v>705</v>
      </c>
      <c r="K386" s="2">
        <v>864.27</v>
      </c>
      <c r="L386" s="2">
        <v>1075.6099999999999</v>
      </c>
      <c r="M386" s="2">
        <v>758305.05</v>
      </c>
      <c r="N386" s="2">
        <v>609310.35</v>
      </c>
      <c r="O386" s="2">
        <v>148994.70000000001</v>
      </c>
      <c r="P386" s="2" t="s">
        <v>52</v>
      </c>
      <c r="Q386" s="2" t="s">
        <v>32</v>
      </c>
      <c r="R386" s="2">
        <v>10</v>
      </c>
      <c r="S386" s="2" t="s">
        <v>158</v>
      </c>
      <c r="T386" s="2">
        <v>2597</v>
      </c>
      <c r="U386" s="2">
        <v>2</v>
      </c>
      <c r="V386" s="2"/>
    </row>
    <row r="387" spans="1:22" x14ac:dyDescent="0.35">
      <c r="A387" s="3" t="s">
        <v>1413</v>
      </c>
      <c r="B387" s="3" t="s">
        <v>278</v>
      </c>
      <c r="C387" s="3" t="s">
        <v>846</v>
      </c>
      <c r="D387" s="3" t="s">
        <v>1414</v>
      </c>
      <c r="E387" s="3" t="s">
        <v>48</v>
      </c>
      <c r="F387" s="3" t="s">
        <v>270</v>
      </c>
      <c r="G387" s="3" t="s">
        <v>93</v>
      </c>
      <c r="H387" s="3" t="s">
        <v>94</v>
      </c>
      <c r="I387" s="3" t="s">
        <v>240</v>
      </c>
      <c r="J387" s="3">
        <v>460</v>
      </c>
      <c r="K387" s="3">
        <v>415.62</v>
      </c>
      <c r="L387" s="3">
        <v>571.84</v>
      </c>
      <c r="M387" s="3">
        <v>263046.40000000002</v>
      </c>
      <c r="N387" s="3">
        <v>191185.2</v>
      </c>
      <c r="O387" s="4" t="s">
        <v>87</v>
      </c>
      <c r="P387" s="3" t="s">
        <v>95</v>
      </c>
      <c r="Q387" s="3" t="s">
        <v>63</v>
      </c>
      <c r="R387" s="3">
        <v>3</v>
      </c>
      <c r="S387" s="3" t="s">
        <v>43</v>
      </c>
      <c r="T387" s="3">
        <v>1731</v>
      </c>
      <c r="U387" s="3">
        <v>9</v>
      </c>
      <c r="V387" s="3"/>
    </row>
    <row r="388" spans="1:22" x14ac:dyDescent="0.35">
      <c r="A388" s="2" t="s">
        <v>1415</v>
      </c>
      <c r="B388" s="2" t="s">
        <v>1295</v>
      </c>
      <c r="C388" s="2" t="s">
        <v>595</v>
      </c>
      <c r="D388" s="2" t="s">
        <v>1416</v>
      </c>
      <c r="E388" s="2" t="s">
        <v>48</v>
      </c>
      <c r="F388" s="2" t="s">
        <v>270</v>
      </c>
      <c r="G388" s="2" t="s">
        <v>217</v>
      </c>
      <c r="H388" s="2" t="s">
        <v>725</v>
      </c>
      <c r="I388" s="2" t="s">
        <v>141</v>
      </c>
      <c r="J388" s="2">
        <v>154</v>
      </c>
      <c r="K388" s="2">
        <v>1019.47</v>
      </c>
      <c r="L388" s="2">
        <v>1629.48</v>
      </c>
      <c r="M388" s="2">
        <v>250939.92</v>
      </c>
      <c r="N388" s="2">
        <v>156998.38</v>
      </c>
      <c r="O388" s="2">
        <v>93941.54</v>
      </c>
      <c r="P388" s="2" t="s">
        <v>42</v>
      </c>
      <c r="Q388" s="2" t="s">
        <v>63</v>
      </c>
      <c r="R388" s="2">
        <v>4</v>
      </c>
      <c r="S388" s="2" t="s">
        <v>112</v>
      </c>
      <c r="T388" s="2">
        <v>1769</v>
      </c>
      <c r="U388" s="2">
        <v>0</v>
      </c>
      <c r="V388" s="2"/>
    </row>
    <row r="389" spans="1:22" x14ac:dyDescent="0.35">
      <c r="A389" s="3" t="s">
        <v>1417</v>
      </c>
      <c r="B389" s="3" t="s">
        <v>398</v>
      </c>
      <c r="C389" s="3" t="s">
        <v>1080</v>
      </c>
      <c r="D389" s="3" t="s">
        <v>1418</v>
      </c>
      <c r="E389" s="3" t="s">
        <v>68</v>
      </c>
      <c r="F389" s="3" t="s">
        <v>69</v>
      </c>
      <c r="G389" s="3" t="s">
        <v>217</v>
      </c>
      <c r="H389" s="3" t="s">
        <v>292</v>
      </c>
      <c r="I389" s="3" t="s">
        <v>124</v>
      </c>
      <c r="J389" s="3">
        <v>454</v>
      </c>
      <c r="K389" s="3">
        <v>954.16</v>
      </c>
      <c r="L389" s="3">
        <v>1463.87</v>
      </c>
      <c r="M389" s="3">
        <v>664596.98</v>
      </c>
      <c r="N389" s="3">
        <v>433188.64</v>
      </c>
      <c r="O389" s="3">
        <v>231408.34</v>
      </c>
      <c r="P389" s="3" t="s">
        <v>31</v>
      </c>
      <c r="Q389" s="3" t="s">
        <v>32</v>
      </c>
      <c r="R389" s="3">
        <v>6</v>
      </c>
      <c r="S389" s="3" t="s">
        <v>43</v>
      </c>
      <c r="T389" s="3">
        <v>3863</v>
      </c>
      <c r="U389" s="3">
        <v>6</v>
      </c>
      <c r="V389" s="3"/>
    </row>
    <row r="390" spans="1:22" x14ac:dyDescent="0.35">
      <c r="A390" s="2" t="s">
        <v>1419</v>
      </c>
      <c r="B390" s="2" t="s">
        <v>625</v>
      </c>
      <c r="C390" s="2" t="s">
        <v>941</v>
      </c>
      <c r="D390" s="2" t="s">
        <v>1420</v>
      </c>
      <c r="E390" s="2" t="s">
        <v>26</v>
      </c>
      <c r="F390" s="2" t="s">
        <v>27</v>
      </c>
      <c r="G390" s="2" t="s">
        <v>60</v>
      </c>
      <c r="H390" s="2" t="s">
        <v>539</v>
      </c>
      <c r="I390" s="2" t="s">
        <v>72</v>
      </c>
      <c r="J390" s="2">
        <v>113</v>
      </c>
      <c r="K390" s="2">
        <v>357.8</v>
      </c>
      <c r="L390" s="2">
        <v>569.92999999999995</v>
      </c>
      <c r="M390" s="2">
        <v>64402.09</v>
      </c>
      <c r="N390" s="2">
        <v>40431.4</v>
      </c>
      <c r="O390" s="2">
        <v>23970.69</v>
      </c>
      <c r="P390" s="2" t="s">
        <v>52</v>
      </c>
      <c r="Q390" s="2" t="s">
        <v>63</v>
      </c>
      <c r="R390" s="2">
        <v>2</v>
      </c>
      <c r="S390" s="2" t="s">
        <v>112</v>
      </c>
      <c r="T390" s="2">
        <v>1322</v>
      </c>
      <c r="U390" s="2">
        <v>0</v>
      </c>
      <c r="V390" s="2"/>
    </row>
    <row r="391" spans="1:22" x14ac:dyDescent="0.35">
      <c r="A391" s="3" t="s">
        <v>1421</v>
      </c>
      <c r="B391" s="3" t="s">
        <v>785</v>
      </c>
      <c r="C391" s="3" t="s">
        <v>1090</v>
      </c>
      <c r="D391" s="3" t="s">
        <v>1422</v>
      </c>
      <c r="E391" s="3" t="s">
        <v>58</v>
      </c>
      <c r="F391" s="3" t="s">
        <v>122</v>
      </c>
      <c r="G391" s="3" t="s">
        <v>28</v>
      </c>
      <c r="H391" s="3" t="s">
        <v>579</v>
      </c>
      <c r="I391" s="3" t="s">
        <v>85</v>
      </c>
      <c r="J391" s="3">
        <v>124</v>
      </c>
      <c r="K391" s="3">
        <v>1139.3</v>
      </c>
      <c r="L391" s="3">
        <v>1733.41</v>
      </c>
      <c r="M391" s="3">
        <v>214942.84</v>
      </c>
      <c r="N391" s="3">
        <v>141273.20000000001</v>
      </c>
      <c r="O391" s="3">
        <v>73669.64</v>
      </c>
      <c r="P391" s="3" t="s">
        <v>95</v>
      </c>
      <c r="Q391" s="3" t="s">
        <v>32</v>
      </c>
      <c r="R391" s="3">
        <v>11</v>
      </c>
      <c r="S391" s="3" t="s">
        <v>33</v>
      </c>
      <c r="T391" s="3">
        <v>1483</v>
      </c>
      <c r="U391" s="3">
        <v>0</v>
      </c>
      <c r="V391" s="3"/>
    </row>
    <row r="392" spans="1:22" x14ac:dyDescent="0.35">
      <c r="A392" s="2" t="s">
        <v>1423</v>
      </c>
      <c r="B392" s="2" t="s">
        <v>1424</v>
      </c>
      <c r="C392" s="2" t="s">
        <v>257</v>
      </c>
      <c r="D392" s="2" t="s">
        <v>1425</v>
      </c>
      <c r="E392" s="2" t="s">
        <v>48</v>
      </c>
      <c r="F392" s="2" t="s">
        <v>270</v>
      </c>
      <c r="G392" s="2" t="s">
        <v>78</v>
      </c>
      <c r="H392" s="2" t="s">
        <v>572</v>
      </c>
      <c r="I392" s="2" t="s">
        <v>41</v>
      </c>
      <c r="J392" s="2">
        <v>243</v>
      </c>
      <c r="K392" s="2">
        <v>411.56</v>
      </c>
      <c r="L392" s="2">
        <v>489.76</v>
      </c>
      <c r="M392" s="2">
        <v>119011.68</v>
      </c>
      <c r="N392" s="2">
        <v>100009.08</v>
      </c>
      <c r="O392" s="2">
        <v>19002.599999999999</v>
      </c>
      <c r="P392" s="2" t="s">
        <v>95</v>
      </c>
      <c r="Q392" s="2" t="s">
        <v>32</v>
      </c>
      <c r="R392" s="2">
        <v>6</v>
      </c>
      <c r="S392" s="2" t="s">
        <v>112</v>
      </c>
      <c r="T392" s="2">
        <v>1309</v>
      </c>
      <c r="U392" s="2">
        <v>3</v>
      </c>
      <c r="V392" s="2"/>
    </row>
    <row r="393" spans="1:22" x14ac:dyDescent="0.35">
      <c r="A393" s="3" t="s">
        <v>1426</v>
      </c>
      <c r="B393" s="3" t="s">
        <v>1050</v>
      </c>
      <c r="C393" s="3" t="s">
        <v>1015</v>
      </c>
      <c r="D393" s="3" t="s">
        <v>1427</v>
      </c>
      <c r="E393" s="3" t="s">
        <v>68</v>
      </c>
      <c r="F393" s="3" t="s">
        <v>249</v>
      </c>
      <c r="G393" s="3" t="s">
        <v>39</v>
      </c>
      <c r="H393" s="3" t="s">
        <v>647</v>
      </c>
      <c r="I393" s="3" t="s">
        <v>72</v>
      </c>
      <c r="J393" s="3">
        <v>117</v>
      </c>
      <c r="K393" s="3">
        <v>164.4</v>
      </c>
      <c r="L393" s="3">
        <v>267.64</v>
      </c>
      <c r="M393" s="3">
        <v>31313.88</v>
      </c>
      <c r="N393" s="3">
        <v>19234.8</v>
      </c>
      <c r="O393" s="3">
        <v>12079.08</v>
      </c>
      <c r="P393" s="3" t="s">
        <v>95</v>
      </c>
      <c r="Q393" s="3" t="s">
        <v>32</v>
      </c>
      <c r="R393" s="3">
        <v>14</v>
      </c>
      <c r="S393" s="3" t="s">
        <v>86</v>
      </c>
      <c r="T393" s="3">
        <v>3523</v>
      </c>
      <c r="U393" s="3">
        <v>2</v>
      </c>
      <c r="V393" s="3"/>
    </row>
    <row r="394" spans="1:22" x14ac:dyDescent="0.35">
      <c r="A394" s="2" t="s">
        <v>1428</v>
      </c>
      <c r="B394" s="2" t="s">
        <v>937</v>
      </c>
      <c r="C394" s="2" t="s">
        <v>236</v>
      </c>
      <c r="D394" s="2" t="s">
        <v>1429</v>
      </c>
      <c r="E394" s="2" t="s">
        <v>26</v>
      </c>
      <c r="F394" s="2" t="s">
        <v>27</v>
      </c>
      <c r="G394" s="2" t="s">
        <v>50</v>
      </c>
      <c r="H394" s="2" t="s">
        <v>117</v>
      </c>
      <c r="I394" s="2" t="s">
        <v>41</v>
      </c>
      <c r="J394" s="2">
        <v>213</v>
      </c>
      <c r="K394" s="2">
        <v>561.1</v>
      </c>
      <c r="L394" s="2">
        <v>694.16</v>
      </c>
      <c r="M394" s="2">
        <v>147856.07999999999</v>
      </c>
      <c r="N394" s="2">
        <v>119514.3</v>
      </c>
      <c r="O394" s="2">
        <v>28341.78</v>
      </c>
      <c r="P394" s="2" t="s">
        <v>52</v>
      </c>
      <c r="Q394" s="2" t="s">
        <v>63</v>
      </c>
      <c r="R394" s="2">
        <v>4</v>
      </c>
      <c r="S394" s="2" t="s">
        <v>53</v>
      </c>
      <c r="T394" s="2">
        <v>3898</v>
      </c>
      <c r="U394" s="2">
        <v>5</v>
      </c>
      <c r="V394" s="2"/>
    </row>
    <row r="395" spans="1:22" x14ac:dyDescent="0.35">
      <c r="A395" s="3" t="s">
        <v>1430</v>
      </c>
      <c r="B395" s="3" t="s">
        <v>1253</v>
      </c>
      <c r="C395" s="3" t="s">
        <v>701</v>
      </c>
      <c r="D395" s="3" t="s">
        <v>1431</v>
      </c>
      <c r="E395" s="3" t="s">
        <v>68</v>
      </c>
      <c r="F395" s="3" t="s">
        <v>249</v>
      </c>
      <c r="G395" s="3" t="s">
        <v>129</v>
      </c>
      <c r="H395" s="3" t="s">
        <v>316</v>
      </c>
      <c r="I395" s="3" t="s">
        <v>124</v>
      </c>
      <c r="J395" s="3">
        <v>50</v>
      </c>
      <c r="K395" s="3">
        <v>122.72</v>
      </c>
      <c r="L395" s="3">
        <v>168.23</v>
      </c>
      <c r="M395" s="3">
        <v>8411.5</v>
      </c>
      <c r="N395" s="3">
        <v>6136</v>
      </c>
      <c r="O395" s="3">
        <v>2275.5</v>
      </c>
      <c r="P395" s="3" t="s">
        <v>31</v>
      </c>
      <c r="Q395" s="3" t="s">
        <v>32</v>
      </c>
      <c r="R395" s="3">
        <v>10</v>
      </c>
      <c r="S395" s="3" t="s">
        <v>158</v>
      </c>
      <c r="T395" s="3">
        <v>4762</v>
      </c>
      <c r="U395" s="3">
        <v>0</v>
      </c>
      <c r="V395" s="3"/>
    </row>
    <row r="396" spans="1:22" x14ac:dyDescent="0.35">
      <c r="A396" s="2" t="s">
        <v>1432</v>
      </c>
      <c r="B396" s="2" t="s">
        <v>1433</v>
      </c>
      <c r="C396" s="2" t="s">
        <v>755</v>
      </c>
      <c r="D396" s="2" t="s">
        <v>1434</v>
      </c>
      <c r="E396" s="2" t="s">
        <v>48</v>
      </c>
      <c r="F396" s="2" t="s">
        <v>281</v>
      </c>
      <c r="G396" s="2" t="s">
        <v>78</v>
      </c>
      <c r="H396" s="2" t="s">
        <v>425</v>
      </c>
      <c r="I396" s="2" t="s">
        <v>72</v>
      </c>
      <c r="J396" s="2">
        <v>783</v>
      </c>
      <c r="K396" s="2">
        <v>756.05</v>
      </c>
      <c r="L396" s="2">
        <v>1063.45</v>
      </c>
      <c r="M396" s="2">
        <v>832681.35</v>
      </c>
      <c r="N396" s="2">
        <v>591987.15</v>
      </c>
      <c r="O396" s="2">
        <v>240694.2</v>
      </c>
      <c r="P396" s="2" t="s">
        <v>31</v>
      </c>
      <c r="Q396" s="2" t="s">
        <v>32</v>
      </c>
      <c r="R396" s="2">
        <v>11</v>
      </c>
      <c r="S396" s="2" t="s">
        <v>33</v>
      </c>
      <c r="T396" s="2">
        <v>3225</v>
      </c>
      <c r="U396" s="2">
        <v>38</v>
      </c>
      <c r="V396" s="2"/>
    </row>
    <row r="397" spans="1:22" x14ac:dyDescent="0.35">
      <c r="A397" s="3" t="s">
        <v>1435</v>
      </c>
      <c r="B397" s="3" t="s">
        <v>517</v>
      </c>
      <c r="C397" s="3" t="s">
        <v>328</v>
      </c>
      <c r="D397" s="3" t="s">
        <v>1436</v>
      </c>
      <c r="E397" s="3" t="s">
        <v>100</v>
      </c>
      <c r="F397" s="3" t="s">
        <v>330</v>
      </c>
      <c r="G397" s="3" t="s">
        <v>39</v>
      </c>
      <c r="H397" s="3" t="s">
        <v>527</v>
      </c>
      <c r="I397" s="3" t="s">
        <v>293</v>
      </c>
      <c r="J397" s="3">
        <v>645</v>
      </c>
      <c r="K397" s="3">
        <v>42</v>
      </c>
      <c r="L397" s="3">
        <v>52.59</v>
      </c>
      <c r="M397" s="3">
        <v>33920.550000000003</v>
      </c>
      <c r="N397" s="3">
        <v>27090</v>
      </c>
      <c r="O397" s="3">
        <v>6830.55</v>
      </c>
      <c r="P397" s="3" t="s">
        <v>52</v>
      </c>
      <c r="Q397" s="3" t="s">
        <v>32</v>
      </c>
      <c r="R397" s="3">
        <v>14</v>
      </c>
      <c r="S397" s="3" t="s">
        <v>43</v>
      </c>
      <c r="T397" s="3">
        <v>4081</v>
      </c>
      <c r="U397" s="3">
        <v>8</v>
      </c>
      <c r="V397" s="3"/>
    </row>
    <row r="398" spans="1:22" x14ac:dyDescent="0.35">
      <c r="A398" s="2" t="s">
        <v>1437</v>
      </c>
      <c r="B398" s="2" t="s">
        <v>379</v>
      </c>
      <c r="C398" s="2" t="s">
        <v>1438</v>
      </c>
      <c r="D398" s="2" t="s">
        <v>1439</v>
      </c>
      <c r="E398" s="2" t="s">
        <v>48</v>
      </c>
      <c r="F398" s="2" t="s">
        <v>49</v>
      </c>
      <c r="G398" s="2" t="s">
        <v>78</v>
      </c>
      <c r="H398" s="2" t="s">
        <v>572</v>
      </c>
      <c r="I398" s="2" t="s">
        <v>118</v>
      </c>
      <c r="J398" s="2">
        <v>263</v>
      </c>
      <c r="K398" s="2">
        <v>714.96</v>
      </c>
      <c r="L398" s="2">
        <v>848.5</v>
      </c>
      <c r="M398" s="2">
        <v>223155.5</v>
      </c>
      <c r="N398" s="2">
        <v>188034.48</v>
      </c>
      <c r="O398" s="2">
        <v>35121.019999999997</v>
      </c>
      <c r="P398" s="2" t="s">
        <v>52</v>
      </c>
      <c r="Q398" s="2" t="s">
        <v>32</v>
      </c>
      <c r="R398" s="2">
        <v>11</v>
      </c>
      <c r="S398" s="2" t="s">
        <v>33</v>
      </c>
      <c r="T398" s="2">
        <v>671</v>
      </c>
      <c r="U398" s="2">
        <v>2</v>
      </c>
      <c r="V398" s="2"/>
    </row>
    <row r="399" spans="1:22" x14ac:dyDescent="0.35">
      <c r="A399" s="3" t="s">
        <v>1440</v>
      </c>
      <c r="B399" s="3" t="s">
        <v>193</v>
      </c>
      <c r="C399" s="3" t="s">
        <v>657</v>
      </c>
      <c r="D399" s="3" t="s">
        <v>1441</v>
      </c>
      <c r="E399" s="3" t="s">
        <v>68</v>
      </c>
      <c r="F399" s="3" t="s">
        <v>276</v>
      </c>
      <c r="G399" s="3" t="s">
        <v>93</v>
      </c>
      <c r="H399" s="3" t="s">
        <v>1442</v>
      </c>
      <c r="I399" s="3" t="s">
        <v>118</v>
      </c>
      <c r="J399" s="3">
        <v>28</v>
      </c>
      <c r="K399" s="3">
        <v>1074.1500000000001</v>
      </c>
      <c r="L399" s="3">
        <v>1260.9000000000001</v>
      </c>
      <c r="M399" s="3">
        <v>35305.199999999997</v>
      </c>
      <c r="N399" s="3">
        <v>30076.2</v>
      </c>
      <c r="O399" s="3">
        <v>5229</v>
      </c>
      <c r="P399" s="3" t="s">
        <v>31</v>
      </c>
      <c r="Q399" s="3" t="s">
        <v>32</v>
      </c>
      <c r="R399" s="3">
        <v>12</v>
      </c>
      <c r="S399" s="3" t="s">
        <v>86</v>
      </c>
      <c r="T399" s="3">
        <v>3428</v>
      </c>
      <c r="U399" s="3">
        <v>1</v>
      </c>
      <c r="V399" s="3"/>
    </row>
    <row r="400" spans="1:22" x14ac:dyDescent="0.35">
      <c r="A400" s="2" t="s">
        <v>1443</v>
      </c>
      <c r="B400" s="2" t="s">
        <v>1444</v>
      </c>
      <c r="C400" s="2" t="s">
        <v>1445</v>
      </c>
      <c r="D400" s="2" t="s">
        <v>1446</v>
      </c>
      <c r="E400" s="2" t="s">
        <v>100</v>
      </c>
      <c r="F400" s="2" t="s">
        <v>238</v>
      </c>
      <c r="G400" s="2" t="s">
        <v>93</v>
      </c>
      <c r="H400" s="2" t="s">
        <v>1442</v>
      </c>
      <c r="I400" s="2" t="s">
        <v>41</v>
      </c>
      <c r="J400" s="2">
        <v>494</v>
      </c>
      <c r="K400" s="2">
        <v>424.43</v>
      </c>
      <c r="L400" s="2">
        <v>516.05999999999995</v>
      </c>
      <c r="M400" s="2">
        <v>254933.64</v>
      </c>
      <c r="N400" s="2">
        <v>209668.42</v>
      </c>
      <c r="O400" s="2">
        <v>45265.22</v>
      </c>
      <c r="P400" s="2" t="s">
        <v>31</v>
      </c>
      <c r="Q400" s="2" t="s">
        <v>456</v>
      </c>
      <c r="R400" s="2">
        <v>7</v>
      </c>
      <c r="S400" s="2" t="s">
        <v>158</v>
      </c>
      <c r="T400" s="2">
        <v>3143</v>
      </c>
      <c r="U400" s="2">
        <v>8</v>
      </c>
      <c r="V400" s="2"/>
    </row>
    <row r="401" spans="1:22" x14ac:dyDescent="0.35">
      <c r="A401" s="3" t="s">
        <v>1447</v>
      </c>
      <c r="B401" s="3" t="s">
        <v>1010</v>
      </c>
      <c r="C401" s="3" t="s">
        <v>1237</v>
      </c>
      <c r="D401" s="3" t="s">
        <v>1448</v>
      </c>
      <c r="E401" s="3" t="s">
        <v>48</v>
      </c>
      <c r="F401" s="3" t="s">
        <v>49</v>
      </c>
      <c r="G401" s="3" t="s">
        <v>217</v>
      </c>
      <c r="H401" s="3" t="s">
        <v>218</v>
      </c>
      <c r="I401" s="3" t="s">
        <v>118</v>
      </c>
      <c r="J401" s="3">
        <v>-12</v>
      </c>
      <c r="K401" s="3">
        <v>199.77</v>
      </c>
      <c r="L401" s="3">
        <v>328.01</v>
      </c>
      <c r="M401" s="3">
        <v>161708.93</v>
      </c>
      <c r="N401" s="3">
        <v>98486.61</v>
      </c>
      <c r="O401" s="3">
        <v>63222.32</v>
      </c>
      <c r="P401" s="3" t="s">
        <v>95</v>
      </c>
      <c r="Q401" s="3" t="s">
        <v>32</v>
      </c>
      <c r="R401" s="3">
        <v>10</v>
      </c>
      <c r="S401" s="3" t="s">
        <v>43</v>
      </c>
      <c r="T401" s="3">
        <v>2599</v>
      </c>
      <c r="U401" s="3">
        <v>9</v>
      </c>
      <c r="V401" s="3"/>
    </row>
    <row r="402" spans="1:22" x14ac:dyDescent="0.35">
      <c r="A402" s="2" t="s">
        <v>1449</v>
      </c>
      <c r="B402" s="2" t="s">
        <v>1450</v>
      </c>
      <c r="C402" s="2" t="s">
        <v>1451</v>
      </c>
      <c r="D402" s="2" t="s">
        <v>1452</v>
      </c>
      <c r="E402" s="2" t="s">
        <v>58</v>
      </c>
      <c r="F402" s="2" t="s">
        <v>259</v>
      </c>
      <c r="G402" s="2" t="s">
        <v>50</v>
      </c>
      <c r="H402" s="2" t="s">
        <v>173</v>
      </c>
      <c r="I402" s="2" t="s">
        <v>293</v>
      </c>
      <c r="J402" s="2">
        <v>798</v>
      </c>
      <c r="K402" s="2">
        <v>800.82</v>
      </c>
      <c r="L402" s="2">
        <v>1195.8399999999999</v>
      </c>
      <c r="M402" s="2">
        <v>954280.32</v>
      </c>
      <c r="N402" s="2">
        <v>639054.36</v>
      </c>
      <c r="O402" s="2">
        <v>315225.96000000002</v>
      </c>
      <c r="P402" s="2" t="s">
        <v>42</v>
      </c>
      <c r="Q402" s="2" t="s">
        <v>32</v>
      </c>
      <c r="R402" s="2">
        <v>13</v>
      </c>
      <c r="S402" s="2" t="s">
        <v>158</v>
      </c>
      <c r="T402" s="2">
        <v>219</v>
      </c>
      <c r="U402" s="2">
        <v>13</v>
      </c>
      <c r="V402" s="2"/>
    </row>
    <row r="403" spans="1:22" x14ac:dyDescent="0.35">
      <c r="A403" s="3" t="s">
        <v>1453</v>
      </c>
      <c r="B403" s="3" t="s">
        <v>736</v>
      </c>
      <c r="C403" s="3" t="s">
        <v>1454</v>
      </c>
      <c r="D403" s="3" t="s">
        <v>1455</v>
      </c>
      <c r="E403" s="3" t="s">
        <v>100</v>
      </c>
      <c r="F403" s="3" t="s">
        <v>106</v>
      </c>
      <c r="G403" s="3" t="s">
        <v>70</v>
      </c>
      <c r="H403" s="3" t="s">
        <v>239</v>
      </c>
      <c r="I403" s="3" t="s">
        <v>118</v>
      </c>
      <c r="J403" s="3">
        <v>224</v>
      </c>
      <c r="K403" s="3">
        <v>634.77</v>
      </c>
      <c r="L403" s="3">
        <v>991.32</v>
      </c>
      <c r="M403" s="3">
        <v>222055.67999999999</v>
      </c>
      <c r="N403" s="3">
        <v>142188.48000000001</v>
      </c>
      <c r="O403" s="3">
        <v>79867.199999999997</v>
      </c>
      <c r="P403" s="3" t="s">
        <v>52</v>
      </c>
      <c r="Q403" s="3" t="s">
        <v>32</v>
      </c>
      <c r="R403" s="3">
        <v>11</v>
      </c>
      <c r="S403" s="3" t="s">
        <v>158</v>
      </c>
      <c r="T403" s="3">
        <v>2763</v>
      </c>
      <c r="U403" s="3">
        <v>4</v>
      </c>
      <c r="V403" s="3"/>
    </row>
    <row r="404" spans="1:22" x14ac:dyDescent="0.35">
      <c r="A404" s="2" t="s">
        <v>1456</v>
      </c>
      <c r="B404" s="2" t="s">
        <v>328</v>
      </c>
      <c r="C404" s="2" t="s">
        <v>774</v>
      </c>
      <c r="D404" s="2" t="s">
        <v>1457</v>
      </c>
      <c r="E404" s="2" t="s">
        <v>58</v>
      </c>
      <c r="F404" s="2" t="s">
        <v>122</v>
      </c>
      <c r="G404" s="2" t="s">
        <v>189</v>
      </c>
      <c r="H404" s="2" t="s">
        <v>360</v>
      </c>
      <c r="I404" s="2" t="s">
        <v>153</v>
      </c>
      <c r="J404" s="2">
        <v>15</v>
      </c>
      <c r="K404" s="2">
        <v>809.29</v>
      </c>
      <c r="L404" s="2">
        <v>1293.06</v>
      </c>
      <c r="M404" s="2">
        <v>19395.900000000001</v>
      </c>
      <c r="N404" s="2">
        <v>12139.35</v>
      </c>
      <c r="O404" s="2">
        <v>7256.55</v>
      </c>
      <c r="P404" s="2" t="s">
        <v>42</v>
      </c>
      <c r="Q404" s="2" t="s">
        <v>63</v>
      </c>
      <c r="R404" s="2">
        <v>4</v>
      </c>
      <c r="S404" s="2" t="s">
        <v>43</v>
      </c>
      <c r="T404" s="2">
        <v>864</v>
      </c>
      <c r="U404" s="2">
        <v>1</v>
      </c>
      <c r="V404" s="2"/>
    </row>
    <row r="405" spans="1:22" x14ac:dyDescent="0.35">
      <c r="A405" s="3" t="s">
        <v>1458</v>
      </c>
      <c r="B405" s="3" t="s">
        <v>1459</v>
      </c>
      <c r="C405" s="3" t="s">
        <v>1460</v>
      </c>
      <c r="D405" s="3" t="s">
        <v>1461</v>
      </c>
      <c r="E405" s="4"/>
      <c r="F405" s="3" t="s">
        <v>270</v>
      </c>
      <c r="G405" s="3" t="s">
        <v>78</v>
      </c>
      <c r="H405" s="3" t="s">
        <v>425</v>
      </c>
      <c r="I405" s="3" t="s">
        <v>240</v>
      </c>
      <c r="J405" s="3">
        <v>324</v>
      </c>
      <c r="K405" s="3">
        <v>877.69</v>
      </c>
      <c r="L405" s="3">
        <v>1286.07</v>
      </c>
      <c r="M405" s="3">
        <v>416686.68</v>
      </c>
      <c r="N405" s="3">
        <v>284371.56</v>
      </c>
      <c r="O405" s="3">
        <v>132315.12</v>
      </c>
      <c r="P405" s="3" t="s">
        <v>52</v>
      </c>
      <c r="Q405" s="3" t="s">
        <v>63</v>
      </c>
      <c r="R405" s="3">
        <v>2</v>
      </c>
      <c r="S405" s="3" t="s">
        <v>33</v>
      </c>
      <c r="T405" s="3">
        <v>4816</v>
      </c>
      <c r="U405" s="3">
        <v>2</v>
      </c>
      <c r="V405" s="3"/>
    </row>
    <row r="406" spans="1:22" x14ac:dyDescent="0.35">
      <c r="A406" s="2" t="s">
        <v>1462</v>
      </c>
      <c r="B406" s="2" t="s">
        <v>1065</v>
      </c>
      <c r="C406" s="2" t="s">
        <v>1463</v>
      </c>
      <c r="D406" s="2" t="s">
        <v>1464</v>
      </c>
      <c r="E406" s="2" t="s">
        <v>26</v>
      </c>
      <c r="F406" s="2" t="s">
        <v>92</v>
      </c>
      <c r="G406" s="2" t="s">
        <v>28</v>
      </c>
      <c r="H406" s="2" t="s">
        <v>674</v>
      </c>
      <c r="I406" s="2" t="s">
        <v>141</v>
      </c>
      <c r="J406" s="2">
        <v>301</v>
      </c>
      <c r="K406" s="2">
        <v>1095.21</v>
      </c>
      <c r="L406" s="2">
        <v>1606.92</v>
      </c>
      <c r="M406" s="2">
        <v>483682.92</v>
      </c>
      <c r="N406" s="2">
        <v>329658.21000000002</v>
      </c>
      <c r="O406" s="2">
        <v>154024.71</v>
      </c>
      <c r="P406" s="2" t="s">
        <v>95</v>
      </c>
      <c r="Q406" s="2" t="s">
        <v>63</v>
      </c>
      <c r="R406" s="2">
        <v>2</v>
      </c>
      <c r="S406" s="2" t="s">
        <v>112</v>
      </c>
      <c r="T406" s="2">
        <v>2085</v>
      </c>
      <c r="U406" s="2">
        <v>9</v>
      </c>
      <c r="V406" s="2"/>
    </row>
    <row r="407" spans="1:22" x14ac:dyDescent="0.35">
      <c r="A407" s="3" t="s">
        <v>1465</v>
      </c>
      <c r="B407" s="3" t="s">
        <v>1201</v>
      </c>
      <c r="C407" s="3" t="s">
        <v>846</v>
      </c>
      <c r="D407" s="3" t="s">
        <v>1466</v>
      </c>
      <c r="E407" s="3" t="s">
        <v>68</v>
      </c>
      <c r="F407" s="3" t="s">
        <v>146</v>
      </c>
      <c r="G407" s="3" t="s">
        <v>78</v>
      </c>
      <c r="H407" s="3" t="s">
        <v>572</v>
      </c>
      <c r="I407" s="3" t="s">
        <v>118</v>
      </c>
      <c r="J407" s="3">
        <v>606</v>
      </c>
      <c r="K407" s="3">
        <v>308.29000000000002</v>
      </c>
      <c r="L407" s="3">
        <v>489.67</v>
      </c>
      <c r="M407" s="3">
        <v>296740.02</v>
      </c>
      <c r="N407" s="3">
        <v>186823.74</v>
      </c>
      <c r="O407" s="3">
        <v>109916.28</v>
      </c>
      <c r="P407" s="3" t="s">
        <v>42</v>
      </c>
      <c r="Q407" s="3" t="s">
        <v>32</v>
      </c>
      <c r="R407" s="3">
        <v>12</v>
      </c>
      <c r="S407" s="3" t="s">
        <v>86</v>
      </c>
      <c r="T407" s="3">
        <v>260</v>
      </c>
      <c r="U407" s="3">
        <v>9</v>
      </c>
      <c r="V407" s="3"/>
    </row>
    <row r="408" spans="1:22" x14ac:dyDescent="0.35">
      <c r="A408" s="2" t="s">
        <v>1467</v>
      </c>
      <c r="B408" s="2" t="s">
        <v>1468</v>
      </c>
      <c r="C408" s="2" t="s">
        <v>808</v>
      </c>
      <c r="D408" s="2" t="s">
        <v>1469</v>
      </c>
      <c r="E408" s="2" t="s">
        <v>58</v>
      </c>
      <c r="F408" s="2" t="s">
        <v>259</v>
      </c>
      <c r="G408" s="2" t="s">
        <v>93</v>
      </c>
      <c r="H408" s="2" t="s">
        <v>321</v>
      </c>
      <c r="I408" s="2" t="s">
        <v>72</v>
      </c>
      <c r="J408" s="2">
        <v>486</v>
      </c>
      <c r="K408" s="2">
        <v>723.11</v>
      </c>
      <c r="L408" s="2">
        <v>860.32</v>
      </c>
      <c r="M408" s="2">
        <v>418115.52</v>
      </c>
      <c r="N408" s="2">
        <v>351431.46</v>
      </c>
      <c r="O408" s="2">
        <v>66684.06</v>
      </c>
      <c r="P408" s="2" t="s">
        <v>52</v>
      </c>
      <c r="Q408" s="2" t="s">
        <v>32</v>
      </c>
      <c r="R408" s="2">
        <v>6</v>
      </c>
      <c r="S408" s="2" t="s">
        <v>112</v>
      </c>
      <c r="T408" s="2">
        <v>3267</v>
      </c>
      <c r="U408" s="2">
        <v>13</v>
      </c>
      <c r="V408" s="2"/>
    </row>
    <row r="409" spans="1:22" x14ac:dyDescent="0.35">
      <c r="A409" s="3" t="s">
        <v>1470</v>
      </c>
      <c r="B409" s="3" t="s">
        <v>668</v>
      </c>
      <c r="C409" s="3" t="s">
        <v>1471</v>
      </c>
      <c r="D409" s="3" t="s">
        <v>1472</v>
      </c>
      <c r="E409" s="3" t="s">
        <v>48</v>
      </c>
      <c r="F409" s="3" t="s">
        <v>281</v>
      </c>
      <c r="G409" s="3" t="s">
        <v>60</v>
      </c>
      <c r="H409" s="3" t="s">
        <v>229</v>
      </c>
      <c r="I409" s="3" t="s">
        <v>141</v>
      </c>
      <c r="J409" s="3">
        <v>220</v>
      </c>
      <c r="K409" s="3">
        <v>830.55</v>
      </c>
      <c r="L409" s="3">
        <v>970.57</v>
      </c>
      <c r="M409" s="3">
        <v>213525.4</v>
      </c>
      <c r="N409" s="3">
        <v>182721</v>
      </c>
      <c r="O409" s="3">
        <v>30804.400000000001</v>
      </c>
      <c r="P409" s="3" t="s">
        <v>52</v>
      </c>
      <c r="Q409" s="3" t="s">
        <v>32</v>
      </c>
      <c r="R409" s="3">
        <v>14</v>
      </c>
      <c r="S409" s="3" t="s">
        <v>112</v>
      </c>
      <c r="T409" s="3">
        <v>4225</v>
      </c>
      <c r="U409" s="3">
        <v>7</v>
      </c>
      <c r="V409" s="3"/>
    </row>
    <row r="410" spans="1:22" x14ac:dyDescent="0.35">
      <c r="A410" s="2" t="s">
        <v>1473</v>
      </c>
      <c r="B410" s="2" t="s">
        <v>459</v>
      </c>
      <c r="C410" s="2" t="s">
        <v>1474</v>
      </c>
      <c r="D410" s="2" t="s">
        <v>1475</v>
      </c>
      <c r="E410" s="2" t="s">
        <v>48</v>
      </c>
      <c r="F410" s="2" t="s">
        <v>270</v>
      </c>
      <c r="G410" s="2" t="s">
        <v>129</v>
      </c>
      <c r="H410" s="2" t="s">
        <v>704</v>
      </c>
      <c r="I410" s="2" t="s">
        <v>124</v>
      </c>
      <c r="J410" s="2">
        <v>79</v>
      </c>
      <c r="K410" s="2">
        <v>87.74</v>
      </c>
      <c r="L410" s="2">
        <v>116.45</v>
      </c>
      <c r="M410" s="2">
        <v>9199.5499999999993</v>
      </c>
      <c r="N410" s="2">
        <v>6931.46</v>
      </c>
      <c r="O410" s="2">
        <v>2268.09</v>
      </c>
      <c r="P410" s="2" t="s">
        <v>42</v>
      </c>
      <c r="Q410" s="2" t="s">
        <v>63</v>
      </c>
      <c r="R410" s="2">
        <v>5</v>
      </c>
      <c r="S410" s="2" t="s">
        <v>112</v>
      </c>
      <c r="T410" s="2">
        <v>4185</v>
      </c>
      <c r="U410" s="2">
        <v>0</v>
      </c>
      <c r="V410" s="2"/>
    </row>
    <row r="411" spans="1:22" x14ac:dyDescent="0.35">
      <c r="A411" s="3" t="s">
        <v>1476</v>
      </c>
      <c r="B411" s="3" t="s">
        <v>1477</v>
      </c>
      <c r="C411" s="3" t="s">
        <v>1478</v>
      </c>
      <c r="D411" s="3" t="s">
        <v>1479</v>
      </c>
      <c r="E411" s="3" t="s">
        <v>26</v>
      </c>
      <c r="F411" s="3" t="s">
        <v>27</v>
      </c>
      <c r="G411" s="3" t="s">
        <v>39</v>
      </c>
      <c r="H411" s="3" t="s">
        <v>354</v>
      </c>
      <c r="I411" s="3" t="s">
        <v>153</v>
      </c>
      <c r="J411" s="3">
        <v>775</v>
      </c>
      <c r="K411" s="3">
        <v>562.04999999999995</v>
      </c>
      <c r="L411" s="3">
        <v>848.57</v>
      </c>
      <c r="M411" s="3">
        <v>657641.75</v>
      </c>
      <c r="N411" s="3">
        <v>435588.75</v>
      </c>
      <c r="O411" s="3">
        <v>222053</v>
      </c>
      <c r="P411" s="3" t="s">
        <v>95</v>
      </c>
      <c r="Q411" s="3" t="s">
        <v>32</v>
      </c>
      <c r="R411" s="3">
        <v>8</v>
      </c>
      <c r="S411" s="3" t="s">
        <v>112</v>
      </c>
      <c r="T411" s="3">
        <v>910</v>
      </c>
      <c r="U411" s="3">
        <v>23</v>
      </c>
      <c r="V411" s="3"/>
    </row>
    <row r="412" spans="1:22" x14ac:dyDescent="0.35">
      <c r="A412" s="2" t="s">
        <v>1480</v>
      </c>
      <c r="B412" s="2" t="s">
        <v>954</v>
      </c>
      <c r="C412" s="2" t="s">
        <v>595</v>
      </c>
      <c r="D412" s="2" t="s">
        <v>1481</v>
      </c>
      <c r="E412" s="2" t="s">
        <v>26</v>
      </c>
      <c r="F412" s="2" t="s">
        <v>27</v>
      </c>
      <c r="G412" s="2" t="s">
        <v>78</v>
      </c>
      <c r="H412" s="2" t="s">
        <v>481</v>
      </c>
      <c r="I412" s="2" t="s">
        <v>62</v>
      </c>
      <c r="J412" s="2">
        <v>632</v>
      </c>
      <c r="K412" s="2">
        <v>441.26</v>
      </c>
      <c r="L412" s="2">
        <v>564.22</v>
      </c>
      <c r="M412" s="2">
        <v>356587.04</v>
      </c>
      <c r="N412" s="2">
        <v>278876.32</v>
      </c>
      <c r="O412" s="2">
        <v>77710.720000000001</v>
      </c>
      <c r="P412" s="2" t="s">
        <v>95</v>
      </c>
      <c r="Q412" s="2" t="s">
        <v>32</v>
      </c>
      <c r="R412" s="2">
        <v>10</v>
      </c>
      <c r="S412" s="2" t="s">
        <v>158</v>
      </c>
      <c r="T412" s="4"/>
      <c r="U412" s="2">
        <v>6</v>
      </c>
      <c r="V412" s="2"/>
    </row>
    <row r="413" spans="1:22" x14ac:dyDescent="0.35">
      <c r="A413" s="3" t="s">
        <v>1482</v>
      </c>
      <c r="B413" s="3" t="s">
        <v>1483</v>
      </c>
      <c r="C413" s="3" t="s">
        <v>487</v>
      </c>
      <c r="D413" s="3" t="s">
        <v>1484</v>
      </c>
      <c r="E413" s="3" t="s">
        <v>58</v>
      </c>
      <c r="F413" s="3" t="s">
        <v>259</v>
      </c>
      <c r="G413" s="3" t="s">
        <v>217</v>
      </c>
      <c r="H413" s="3" t="s">
        <v>524</v>
      </c>
      <c r="I413" s="3" t="s">
        <v>85</v>
      </c>
      <c r="J413" s="3">
        <v>125</v>
      </c>
      <c r="K413" s="3">
        <v>815.74</v>
      </c>
      <c r="L413" s="3">
        <v>1036.55</v>
      </c>
      <c r="M413" s="3">
        <v>129568.75</v>
      </c>
      <c r="N413" s="3">
        <v>101967.5</v>
      </c>
      <c r="O413" s="3">
        <v>27601.25</v>
      </c>
      <c r="P413" s="3" t="s">
        <v>52</v>
      </c>
      <c r="Q413" s="3" t="s">
        <v>32</v>
      </c>
      <c r="R413" s="3">
        <v>15</v>
      </c>
      <c r="S413" s="3" t="s">
        <v>53</v>
      </c>
      <c r="T413" s="3">
        <v>4448</v>
      </c>
      <c r="U413" s="3">
        <v>1</v>
      </c>
      <c r="V413" s="3"/>
    </row>
    <row r="414" spans="1:22" x14ac:dyDescent="0.35">
      <c r="A414" s="2" t="s">
        <v>1485</v>
      </c>
      <c r="B414" s="2" t="s">
        <v>711</v>
      </c>
      <c r="C414" s="2" t="s">
        <v>742</v>
      </c>
      <c r="D414" s="2" t="s">
        <v>1486</v>
      </c>
      <c r="E414" s="2" t="s">
        <v>100</v>
      </c>
      <c r="F414" s="2" t="s">
        <v>101</v>
      </c>
      <c r="G414" s="2" t="s">
        <v>28</v>
      </c>
      <c r="H414" s="2" t="s">
        <v>507</v>
      </c>
      <c r="I414" s="2" t="s">
        <v>41</v>
      </c>
      <c r="J414" s="2">
        <v>258</v>
      </c>
      <c r="K414" s="2">
        <v>116.43</v>
      </c>
      <c r="L414" s="2">
        <v>151.58000000000001</v>
      </c>
      <c r="M414" s="2">
        <v>39107.64</v>
      </c>
      <c r="N414" s="2">
        <v>30038.94</v>
      </c>
      <c r="O414" s="2">
        <v>9068.7000000000007</v>
      </c>
      <c r="P414" s="2" t="s">
        <v>52</v>
      </c>
      <c r="Q414" s="2" t="s">
        <v>63</v>
      </c>
      <c r="R414" s="2">
        <v>2</v>
      </c>
      <c r="S414" s="2" t="s">
        <v>53</v>
      </c>
      <c r="T414" s="2">
        <v>765</v>
      </c>
      <c r="U414" s="2">
        <v>3</v>
      </c>
      <c r="V414" s="2"/>
    </row>
    <row r="415" spans="1:22" x14ac:dyDescent="0.35">
      <c r="A415" s="3" t="s">
        <v>1487</v>
      </c>
      <c r="B415" s="3" t="s">
        <v>1488</v>
      </c>
      <c r="C415" s="3" t="s">
        <v>155</v>
      </c>
      <c r="D415" s="3" t="s">
        <v>1489</v>
      </c>
      <c r="E415" s="3" t="s">
        <v>26</v>
      </c>
      <c r="F415" s="3" t="s">
        <v>77</v>
      </c>
      <c r="G415" s="3" t="s">
        <v>28</v>
      </c>
      <c r="H415" s="3" t="s">
        <v>29</v>
      </c>
      <c r="I415" s="3" t="s">
        <v>240</v>
      </c>
      <c r="J415" s="3">
        <v>773</v>
      </c>
      <c r="K415" s="3">
        <v>1059.69</v>
      </c>
      <c r="L415" s="3">
        <v>1563.75</v>
      </c>
      <c r="M415" s="3">
        <v>1208778.75</v>
      </c>
      <c r="N415" s="3">
        <v>819140.37</v>
      </c>
      <c r="O415" s="3">
        <v>389638.38</v>
      </c>
      <c r="P415" s="3" t="s">
        <v>95</v>
      </c>
      <c r="Q415" s="3" t="s">
        <v>32</v>
      </c>
      <c r="R415" s="3">
        <v>8</v>
      </c>
      <c r="S415" s="3" t="s">
        <v>112</v>
      </c>
      <c r="T415" s="3">
        <v>4853</v>
      </c>
      <c r="U415" s="3">
        <v>33</v>
      </c>
      <c r="V415" s="3"/>
    </row>
    <row r="416" spans="1:22" x14ac:dyDescent="0.35">
      <c r="A416" s="2" t="s">
        <v>1490</v>
      </c>
      <c r="B416" s="2" t="s">
        <v>919</v>
      </c>
      <c r="C416" s="2" t="s">
        <v>1183</v>
      </c>
      <c r="D416" s="2" t="s">
        <v>1491</v>
      </c>
      <c r="E416" s="2" t="s">
        <v>58</v>
      </c>
      <c r="F416" s="2" t="s">
        <v>417</v>
      </c>
      <c r="G416" s="2" t="s">
        <v>70</v>
      </c>
      <c r="H416" s="2" t="s">
        <v>623</v>
      </c>
      <c r="I416" s="2" t="s">
        <v>124</v>
      </c>
      <c r="J416" s="2">
        <v>117</v>
      </c>
      <c r="K416" s="2">
        <v>545.87</v>
      </c>
      <c r="L416" s="4"/>
      <c r="M416" s="2">
        <v>81086.850000000006</v>
      </c>
      <c r="N416" s="2">
        <v>63866.79</v>
      </c>
      <c r="O416" s="2">
        <v>17220.060000000001</v>
      </c>
      <c r="P416" s="2" t="s">
        <v>42</v>
      </c>
      <c r="Q416" s="2" t="s">
        <v>63</v>
      </c>
      <c r="R416" s="2">
        <v>4</v>
      </c>
      <c r="S416" s="2" t="s">
        <v>33</v>
      </c>
      <c r="T416" s="4" t="s">
        <v>697</v>
      </c>
      <c r="U416" s="2">
        <v>5</v>
      </c>
      <c r="V416" s="2"/>
    </row>
    <row r="417" spans="1:22" x14ac:dyDescent="0.35">
      <c r="A417" s="3" t="s">
        <v>1492</v>
      </c>
      <c r="B417" s="3" t="s">
        <v>1438</v>
      </c>
      <c r="C417" s="3" t="s">
        <v>348</v>
      </c>
      <c r="D417" s="3" t="s">
        <v>25</v>
      </c>
      <c r="E417" s="3" t="s">
        <v>48</v>
      </c>
      <c r="F417" s="3" t="s">
        <v>183</v>
      </c>
      <c r="G417" s="3" t="s">
        <v>217</v>
      </c>
      <c r="H417" s="3" t="s">
        <v>684</v>
      </c>
      <c r="I417" s="3" t="s">
        <v>118</v>
      </c>
      <c r="J417" s="3">
        <v>752</v>
      </c>
      <c r="K417" s="3">
        <v>990.49</v>
      </c>
      <c r="L417" s="3">
        <v>1457.48</v>
      </c>
      <c r="M417" s="3">
        <v>1096024.96</v>
      </c>
      <c r="N417" s="3">
        <v>744848.48</v>
      </c>
      <c r="O417" s="3">
        <v>351176.48</v>
      </c>
      <c r="P417" s="3" t="s">
        <v>42</v>
      </c>
      <c r="Q417" s="3" t="s">
        <v>32</v>
      </c>
      <c r="R417" s="3">
        <v>14</v>
      </c>
      <c r="S417" s="3" t="s">
        <v>86</v>
      </c>
      <c r="T417" s="3">
        <v>2097</v>
      </c>
      <c r="U417" s="3">
        <v>13</v>
      </c>
      <c r="V417" s="3"/>
    </row>
    <row r="418" spans="1:22" x14ac:dyDescent="0.35">
      <c r="A418" s="2" t="s">
        <v>1493</v>
      </c>
      <c r="B418" s="2" t="s">
        <v>950</v>
      </c>
      <c r="C418" s="2" t="s">
        <v>637</v>
      </c>
      <c r="D418" s="2" t="s">
        <v>1494</v>
      </c>
      <c r="E418" s="2" t="s">
        <v>48</v>
      </c>
      <c r="F418" s="2" t="s">
        <v>223</v>
      </c>
      <c r="G418" s="2" t="s">
        <v>28</v>
      </c>
      <c r="H418" s="2" t="s">
        <v>507</v>
      </c>
      <c r="I418" s="2" t="s">
        <v>30</v>
      </c>
      <c r="J418" s="2">
        <v>55</v>
      </c>
      <c r="K418" s="2">
        <v>472.1</v>
      </c>
      <c r="L418" s="2">
        <v>572.87</v>
      </c>
      <c r="M418" s="2">
        <v>31507.85</v>
      </c>
      <c r="N418" s="2">
        <v>25965.5</v>
      </c>
      <c r="O418" s="2">
        <v>5542.35</v>
      </c>
      <c r="P418" s="2" t="s">
        <v>52</v>
      </c>
      <c r="Q418" s="2" t="s">
        <v>63</v>
      </c>
      <c r="R418" s="2">
        <v>1</v>
      </c>
      <c r="S418" s="2" t="s">
        <v>158</v>
      </c>
      <c r="T418" s="2">
        <v>3771</v>
      </c>
      <c r="U418" s="2">
        <v>1</v>
      </c>
      <c r="V418" s="2"/>
    </row>
    <row r="419" spans="1:22" x14ac:dyDescent="0.35">
      <c r="A419" s="3" t="s">
        <v>1495</v>
      </c>
      <c r="B419" s="3" t="s">
        <v>1496</v>
      </c>
      <c r="C419" s="3" t="s">
        <v>887</v>
      </c>
      <c r="D419" s="3" t="s">
        <v>1497</v>
      </c>
      <c r="E419" s="3" t="s">
        <v>26</v>
      </c>
      <c r="F419" s="3" t="s">
        <v>27</v>
      </c>
      <c r="G419" s="3" t="s">
        <v>189</v>
      </c>
      <c r="H419" s="3" t="s">
        <v>561</v>
      </c>
      <c r="I419" s="3" t="s">
        <v>72</v>
      </c>
      <c r="J419" s="3">
        <v>334</v>
      </c>
      <c r="K419" s="3">
        <v>576.17999999999995</v>
      </c>
      <c r="L419" s="3">
        <v>793.61</v>
      </c>
      <c r="M419" s="3">
        <v>265065.74</v>
      </c>
      <c r="N419" s="3">
        <v>192444.12</v>
      </c>
      <c r="O419" s="3">
        <v>72621.62</v>
      </c>
      <c r="P419" s="3" t="s">
        <v>42</v>
      </c>
      <c r="Q419" s="3" t="s">
        <v>32</v>
      </c>
      <c r="R419" s="3">
        <v>13</v>
      </c>
      <c r="S419" s="3" t="s">
        <v>33</v>
      </c>
      <c r="T419" s="3">
        <v>4538</v>
      </c>
      <c r="U419" s="3">
        <v>13</v>
      </c>
      <c r="V419" s="3"/>
    </row>
    <row r="420" spans="1:22" x14ac:dyDescent="0.35">
      <c r="A420" s="2" t="s">
        <v>1498</v>
      </c>
      <c r="B420" s="2" t="s">
        <v>98</v>
      </c>
      <c r="C420" s="2" t="s">
        <v>1499</v>
      </c>
      <c r="D420" s="2" t="s">
        <v>1500</v>
      </c>
      <c r="E420" s="2" t="s">
        <v>26</v>
      </c>
      <c r="F420" s="4"/>
      <c r="G420" s="2" t="s">
        <v>93</v>
      </c>
      <c r="H420" s="2" t="s">
        <v>321</v>
      </c>
      <c r="I420" s="2" t="s">
        <v>124</v>
      </c>
      <c r="J420" s="2">
        <v>784</v>
      </c>
      <c r="K420" s="2">
        <v>1088.6300000000001</v>
      </c>
      <c r="L420" s="2">
        <v>1280.8399999999999</v>
      </c>
      <c r="M420" s="2">
        <v>1004178.56</v>
      </c>
      <c r="N420" s="2">
        <v>853485.92</v>
      </c>
      <c r="O420" s="2">
        <v>150692.64000000001</v>
      </c>
      <c r="P420" s="2" t="s">
        <v>31</v>
      </c>
      <c r="Q420" s="2" t="s">
        <v>32</v>
      </c>
      <c r="R420" s="2">
        <v>15</v>
      </c>
      <c r="S420" s="2" t="s">
        <v>53</v>
      </c>
      <c r="T420" s="2">
        <v>4318</v>
      </c>
      <c r="U420" s="2">
        <v>12</v>
      </c>
      <c r="V420" s="2"/>
    </row>
    <row r="421" spans="1:22" x14ac:dyDescent="0.35">
      <c r="A421" s="3" t="s">
        <v>1501</v>
      </c>
      <c r="B421" s="3" t="s">
        <v>214</v>
      </c>
      <c r="C421" s="3" t="s">
        <v>1502</v>
      </c>
      <c r="D421" s="3" t="s">
        <v>1503</v>
      </c>
      <c r="E421" s="3" t="s">
        <v>100</v>
      </c>
      <c r="F421" s="3" t="s">
        <v>106</v>
      </c>
      <c r="G421" s="3" t="s">
        <v>78</v>
      </c>
      <c r="H421" s="3" t="s">
        <v>628</v>
      </c>
      <c r="I421" s="3" t="s">
        <v>153</v>
      </c>
      <c r="J421" s="3">
        <v>604</v>
      </c>
      <c r="K421" s="3">
        <v>199.23</v>
      </c>
      <c r="L421" s="3">
        <v>287.12</v>
      </c>
      <c r="M421" s="3">
        <v>173420.48</v>
      </c>
      <c r="N421" s="3">
        <v>120334.92</v>
      </c>
      <c r="O421" s="3">
        <v>53085.56</v>
      </c>
      <c r="P421" s="3" t="s">
        <v>31</v>
      </c>
      <c r="Q421" s="3" t="s">
        <v>63</v>
      </c>
      <c r="R421" s="3">
        <v>3</v>
      </c>
      <c r="S421" s="3" t="s">
        <v>53</v>
      </c>
      <c r="T421" s="3">
        <v>2187</v>
      </c>
      <c r="U421" s="3">
        <v>14</v>
      </c>
      <c r="V421" s="3"/>
    </row>
    <row r="422" spans="1:22" x14ac:dyDescent="0.35">
      <c r="A422" s="2" t="s">
        <v>1504</v>
      </c>
      <c r="B422" s="2" t="s">
        <v>1268</v>
      </c>
      <c r="C422" s="2" t="s">
        <v>89</v>
      </c>
      <c r="D422" s="2" t="s">
        <v>1505</v>
      </c>
      <c r="E422" s="2" t="s">
        <v>100</v>
      </c>
      <c r="F422" s="2" t="s">
        <v>538</v>
      </c>
      <c r="G422" s="2" t="s">
        <v>70</v>
      </c>
      <c r="H422" s="2" t="s">
        <v>1019</v>
      </c>
      <c r="I422" s="2" t="s">
        <v>191</v>
      </c>
      <c r="J422" s="2">
        <v>177</v>
      </c>
      <c r="K422" s="2">
        <v>109.49</v>
      </c>
      <c r="L422" s="2">
        <v>138.28</v>
      </c>
      <c r="M422" s="2">
        <v>24475.56</v>
      </c>
      <c r="N422" s="2">
        <v>19379.73</v>
      </c>
      <c r="O422" s="2">
        <v>5095.83</v>
      </c>
      <c r="P422" s="2" t="s">
        <v>95</v>
      </c>
      <c r="Q422" s="2" t="s">
        <v>63</v>
      </c>
      <c r="R422" s="2">
        <v>5</v>
      </c>
      <c r="S422" s="2" t="s">
        <v>43</v>
      </c>
      <c r="T422" s="2">
        <v>1802</v>
      </c>
      <c r="U422" s="2">
        <v>5</v>
      </c>
      <c r="V422" s="2"/>
    </row>
    <row r="423" spans="1:22" x14ac:dyDescent="0.35">
      <c r="A423" s="3" t="s">
        <v>1506</v>
      </c>
      <c r="B423" s="3" t="s">
        <v>362</v>
      </c>
      <c r="C423" s="3" t="s">
        <v>296</v>
      </c>
      <c r="D423" s="3" t="s">
        <v>1507</v>
      </c>
      <c r="E423" s="3" t="s">
        <v>68</v>
      </c>
      <c r="F423" s="3" t="s">
        <v>146</v>
      </c>
      <c r="G423" s="3" t="s">
        <v>28</v>
      </c>
      <c r="H423" s="3" t="s">
        <v>29</v>
      </c>
      <c r="I423" s="3" t="s">
        <v>141</v>
      </c>
      <c r="J423" s="3">
        <v>383</v>
      </c>
      <c r="K423" s="3">
        <v>438.86</v>
      </c>
      <c r="L423" s="3">
        <v>628.41999999999996</v>
      </c>
      <c r="M423" s="3">
        <v>240684.86</v>
      </c>
      <c r="N423" s="3">
        <v>168083.38</v>
      </c>
      <c r="O423" s="3">
        <v>72601.48</v>
      </c>
      <c r="P423" s="3" t="s">
        <v>42</v>
      </c>
      <c r="Q423" s="3" t="s">
        <v>63</v>
      </c>
      <c r="R423" s="3">
        <v>2</v>
      </c>
      <c r="S423" s="3" t="s">
        <v>112</v>
      </c>
      <c r="T423" s="3">
        <v>2539</v>
      </c>
      <c r="U423" s="3">
        <v>15</v>
      </c>
      <c r="V423" s="3"/>
    </row>
    <row r="424" spans="1:22" x14ac:dyDescent="0.35">
      <c r="A424" s="2" t="s">
        <v>1508</v>
      </c>
      <c r="B424" s="2" t="s">
        <v>1509</v>
      </c>
      <c r="C424" s="2" t="s">
        <v>1510</v>
      </c>
      <c r="D424" s="2" t="s">
        <v>1511</v>
      </c>
      <c r="E424" s="2" t="s">
        <v>58</v>
      </c>
      <c r="F424" s="2" t="s">
        <v>259</v>
      </c>
      <c r="G424" s="2" t="s">
        <v>189</v>
      </c>
      <c r="H424" s="2" t="s">
        <v>437</v>
      </c>
      <c r="I424" s="2" t="s">
        <v>118</v>
      </c>
      <c r="J424" s="2">
        <v>201</v>
      </c>
      <c r="K424" s="2">
        <v>643.33000000000004</v>
      </c>
      <c r="L424" s="2">
        <v>848.3</v>
      </c>
      <c r="M424" s="2">
        <v>170508.3</v>
      </c>
      <c r="N424" s="2">
        <v>129309.33</v>
      </c>
      <c r="O424" s="2">
        <v>41198.97</v>
      </c>
      <c r="P424" s="2" t="s">
        <v>42</v>
      </c>
      <c r="Q424" s="2" t="s">
        <v>63</v>
      </c>
      <c r="R424" s="2">
        <v>5</v>
      </c>
      <c r="S424" s="2" t="s">
        <v>53</v>
      </c>
      <c r="T424" s="2">
        <v>1102</v>
      </c>
      <c r="U424" s="2">
        <v>0</v>
      </c>
      <c r="V424" s="2"/>
    </row>
    <row r="425" spans="1:22" x14ac:dyDescent="0.35">
      <c r="A425" s="3" t="s">
        <v>1512</v>
      </c>
      <c r="B425" s="3" t="s">
        <v>1513</v>
      </c>
      <c r="C425" s="3" t="s">
        <v>1514</v>
      </c>
      <c r="D425" s="3" t="s">
        <v>1515</v>
      </c>
      <c r="E425" s="3" t="s">
        <v>26</v>
      </c>
      <c r="F425" s="3" t="s">
        <v>92</v>
      </c>
      <c r="G425" s="3" t="s">
        <v>70</v>
      </c>
      <c r="H425" s="3" t="s">
        <v>384</v>
      </c>
      <c r="I425" s="3" t="s">
        <v>293</v>
      </c>
      <c r="J425" s="3">
        <v>547</v>
      </c>
      <c r="K425" s="3">
        <v>1058.3800000000001</v>
      </c>
      <c r="L425" s="3">
        <v>1418.87</v>
      </c>
      <c r="M425" s="3">
        <v>776121.89</v>
      </c>
      <c r="N425" s="3">
        <v>578933.86</v>
      </c>
      <c r="O425" s="3">
        <v>197188.03</v>
      </c>
      <c r="P425" s="3" t="s">
        <v>42</v>
      </c>
      <c r="Q425" s="3" t="s">
        <v>32</v>
      </c>
      <c r="R425" s="3">
        <v>6</v>
      </c>
      <c r="S425" s="3" t="s">
        <v>53</v>
      </c>
      <c r="T425" s="3">
        <v>3394</v>
      </c>
      <c r="U425" s="3">
        <v>9</v>
      </c>
      <c r="V425" s="3"/>
    </row>
    <row r="426" spans="1:22" x14ac:dyDescent="0.35">
      <c r="A426" s="2" t="s">
        <v>1516</v>
      </c>
      <c r="B426" s="2" t="s">
        <v>1517</v>
      </c>
      <c r="C426" s="2" t="s">
        <v>1122</v>
      </c>
      <c r="D426" s="2" t="s">
        <v>1518</v>
      </c>
      <c r="E426" s="2" t="s">
        <v>26</v>
      </c>
      <c r="F426" s="2" t="s">
        <v>27</v>
      </c>
      <c r="G426" s="2" t="s">
        <v>189</v>
      </c>
      <c r="H426" s="2" t="s">
        <v>437</v>
      </c>
      <c r="I426" s="2" t="s">
        <v>153</v>
      </c>
      <c r="J426" s="2">
        <v>561</v>
      </c>
      <c r="K426" s="2">
        <v>93.02</v>
      </c>
      <c r="L426" s="2">
        <v>108.41</v>
      </c>
      <c r="M426" s="2">
        <v>60818.01</v>
      </c>
      <c r="N426" s="2">
        <v>52184.22</v>
      </c>
      <c r="O426" s="2">
        <v>8633.7900000000009</v>
      </c>
      <c r="P426" s="2" t="s">
        <v>31</v>
      </c>
      <c r="Q426" s="2" t="s">
        <v>63</v>
      </c>
      <c r="R426" s="2">
        <v>5</v>
      </c>
      <c r="S426" s="2" t="s">
        <v>158</v>
      </c>
      <c r="T426" s="2">
        <v>405</v>
      </c>
      <c r="U426" s="2">
        <v>1</v>
      </c>
      <c r="V426" s="2"/>
    </row>
    <row r="427" spans="1:22" x14ac:dyDescent="0.35">
      <c r="A427" s="3" t="s">
        <v>1519</v>
      </c>
      <c r="B427" s="3" t="s">
        <v>309</v>
      </c>
      <c r="C427" s="3" t="s">
        <v>1483</v>
      </c>
      <c r="D427" s="3" t="s">
        <v>1520</v>
      </c>
      <c r="E427" s="3" t="s">
        <v>68</v>
      </c>
      <c r="F427" s="3" t="s">
        <v>249</v>
      </c>
      <c r="G427" s="3" t="s">
        <v>78</v>
      </c>
      <c r="H427" s="3" t="s">
        <v>79</v>
      </c>
      <c r="I427" s="3" t="s">
        <v>240</v>
      </c>
      <c r="J427" s="3">
        <v>647</v>
      </c>
      <c r="K427" s="3">
        <v>807.86</v>
      </c>
      <c r="L427" s="3">
        <v>973.57</v>
      </c>
      <c r="M427" s="3">
        <v>629899.79</v>
      </c>
      <c r="N427" s="3">
        <v>522685.42</v>
      </c>
      <c r="O427" s="3">
        <v>107214.37</v>
      </c>
      <c r="P427" s="3" t="s">
        <v>95</v>
      </c>
      <c r="Q427" s="3" t="s">
        <v>63</v>
      </c>
      <c r="R427" s="3">
        <v>4</v>
      </c>
      <c r="S427" s="3" t="s">
        <v>86</v>
      </c>
      <c r="T427" s="3">
        <v>3332</v>
      </c>
      <c r="U427" s="3">
        <v>16</v>
      </c>
      <c r="V427" s="3"/>
    </row>
    <row r="428" spans="1:22" x14ac:dyDescent="0.35">
      <c r="A428" s="2" t="s">
        <v>1521</v>
      </c>
      <c r="B428" s="2" t="s">
        <v>742</v>
      </c>
      <c r="C428" s="2" t="s">
        <v>1522</v>
      </c>
      <c r="D428" s="2" t="s">
        <v>1523</v>
      </c>
      <c r="E428" s="2" t="s">
        <v>26</v>
      </c>
      <c r="F428" s="2" t="s">
        <v>27</v>
      </c>
      <c r="G428" s="2" t="s">
        <v>129</v>
      </c>
      <c r="H428" s="2" t="s">
        <v>520</v>
      </c>
      <c r="I428" s="2" t="s">
        <v>153</v>
      </c>
      <c r="J428" s="2">
        <v>357</v>
      </c>
      <c r="K428" s="2">
        <v>674.88</v>
      </c>
      <c r="L428" s="2">
        <v>1037.05</v>
      </c>
      <c r="M428" s="2">
        <v>370226.85</v>
      </c>
      <c r="N428" s="2">
        <v>240932.16</v>
      </c>
      <c r="O428" s="2">
        <v>129294.69</v>
      </c>
      <c r="P428" s="2" t="s">
        <v>52</v>
      </c>
      <c r="Q428" s="2" t="s">
        <v>32</v>
      </c>
      <c r="R428" s="2">
        <v>15</v>
      </c>
      <c r="S428" s="2" t="s">
        <v>112</v>
      </c>
      <c r="T428" s="2">
        <v>249</v>
      </c>
      <c r="U428" s="2">
        <v>0</v>
      </c>
      <c r="V428" s="2"/>
    </row>
    <row r="429" spans="1:22" x14ac:dyDescent="0.35">
      <c r="A429" s="3" t="s">
        <v>1524</v>
      </c>
      <c r="B429" s="3" t="s">
        <v>1463</v>
      </c>
      <c r="C429" s="3" t="s">
        <v>1525</v>
      </c>
      <c r="D429" s="3" t="s">
        <v>1526</v>
      </c>
      <c r="E429" s="3" t="s">
        <v>26</v>
      </c>
      <c r="F429" s="3" t="s">
        <v>38</v>
      </c>
      <c r="G429" s="3" t="s">
        <v>50</v>
      </c>
      <c r="H429" s="3" t="s">
        <v>282</v>
      </c>
      <c r="I429" s="3" t="s">
        <v>153</v>
      </c>
      <c r="J429" s="3">
        <v>725</v>
      </c>
      <c r="K429" s="3">
        <v>1125.3499999999999</v>
      </c>
      <c r="L429" s="3">
        <v>1334.73</v>
      </c>
      <c r="M429" s="3">
        <v>967679.25</v>
      </c>
      <c r="N429" s="3">
        <v>815878.75</v>
      </c>
      <c r="O429" s="3">
        <v>151800.5</v>
      </c>
      <c r="P429" s="3" t="s">
        <v>42</v>
      </c>
      <c r="Q429" s="3" t="s">
        <v>32</v>
      </c>
      <c r="R429" s="3">
        <v>11</v>
      </c>
      <c r="S429" s="3" t="s">
        <v>53</v>
      </c>
      <c r="T429" s="3">
        <v>1793</v>
      </c>
      <c r="U429" s="3">
        <v>20</v>
      </c>
      <c r="V429" s="3"/>
    </row>
    <row r="430" spans="1:22" x14ac:dyDescent="0.35">
      <c r="A430" s="2" t="s">
        <v>1527</v>
      </c>
      <c r="B430" s="2" t="s">
        <v>668</v>
      </c>
      <c r="C430" s="2" t="s">
        <v>454</v>
      </c>
      <c r="D430" s="2" t="s">
        <v>1528</v>
      </c>
      <c r="E430" s="2" t="s">
        <v>100</v>
      </c>
      <c r="F430" s="2" t="s">
        <v>1529</v>
      </c>
      <c r="G430" s="2" t="s">
        <v>217</v>
      </c>
      <c r="H430" s="2" t="s">
        <v>335</v>
      </c>
      <c r="I430" s="2" t="s">
        <v>85</v>
      </c>
      <c r="J430" s="2">
        <v>439</v>
      </c>
      <c r="K430" s="2">
        <v>773.89</v>
      </c>
      <c r="L430" s="2">
        <v>896.25</v>
      </c>
      <c r="M430" s="2">
        <v>393453.75</v>
      </c>
      <c r="N430" s="2">
        <v>339737.71</v>
      </c>
      <c r="O430" s="2">
        <v>53716.04</v>
      </c>
      <c r="P430" s="2" t="s">
        <v>95</v>
      </c>
      <c r="Q430" s="2" t="s">
        <v>63</v>
      </c>
      <c r="R430" s="2">
        <v>1</v>
      </c>
      <c r="S430" s="2" t="s">
        <v>158</v>
      </c>
      <c r="T430" s="2">
        <v>84</v>
      </c>
      <c r="U430" s="2">
        <v>21</v>
      </c>
      <c r="V430" s="2"/>
    </row>
    <row r="431" spans="1:22" x14ac:dyDescent="0.35">
      <c r="A431" s="3" t="s">
        <v>1530</v>
      </c>
      <c r="B431" s="3" t="s">
        <v>1531</v>
      </c>
      <c r="C431" s="3" t="s">
        <v>161</v>
      </c>
      <c r="D431" s="3" t="s">
        <v>1532</v>
      </c>
      <c r="E431" s="3" t="s">
        <v>48</v>
      </c>
      <c r="F431" s="3" t="s">
        <v>223</v>
      </c>
      <c r="G431" s="3" t="s">
        <v>129</v>
      </c>
      <c r="H431" s="3" t="s">
        <v>520</v>
      </c>
      <c r="I431" s="3" t="s">
        <v>153</v>
      </c>
      <c r="J431" s="3">
        <v>83</v>
      </c>
      <c r="K431" s="3">
        <v>180.52</v>
      </c>
      <c r="L431" s="3">
        <v>252.01</v>
      </c>
      <c r="M431" s="3">
        <v>20916.830000000002</v>
      </c>
      <c r="N431" s="3">
        <v>14983.16</v>
      </c>
      <c r="O431" s="3">
        <v>5933.67</v>
      </c>
      <c r="P431" s="3" t="s">
        <v>42</v>
      </c>
      <c r="Q431" s="3" t="s">
        <v>32</v>
      </c>
      <c r="R431" s="3">
        <v>9</v>
      </c>
      <c r="S431" s="3" t="s">
        <v>43</v>
      </c>
      <c r="T431" s="3">
        <v>4240</v>
      </c>
      <c r="U431" s="3">
        <v>4</v>
      </c>
      <c r="V431" s="3"/>
    </row>
    <row r="432" spans="1:22" x14ac:dyDescent="0.35">
      <c r="A432" s="2" t="s">
        <v>1533</v>
      </c>
      <c r="B432" s="2" t="s">
        <v>1517</v>
      </c>
      <c r="C432" s="2" t="s">
        <v>838</v>
      </c>
      <c r="D432" s="2" t="s">
        <v>1534</v>
      </c>
      <c r="E432" s="2" t="s">
        <v>48</v>
      </c>
      <c r="F432" s="2" t="s">
        <v>49</v>
      </c>
      <c r="G432" s="2" t="s">
        <v>50</v>
      </c>
      <c r="H432" s="2" t="s">
        <v>173</v>
      </c>
      <c r="I432" s="2" t="s">
        <v>124</v>
      </c>
      <c r="J432" s="2">
        <v>410</v>
      </c>
      <c r="K432" s="2">
        <v>456.76</v>
      </c>
      <c r="L432" s="2">
        <v>536.08000000000004</v>
      </c>
      <c r="M432" s="2">
        <v>219792.8</v>
      </c>
      <c r="N432" s="2">
        <v>187271.6</v>
      </c>
      <c r="O432" s="2">
        <v>32521.200000000001</v>
      </c>
      <c r="P432" s="2" t="s">
        <v>42</v>
      </c>
      <c r="Q432" s="2" t="s">
        <v>63</v>
      </c>
      <c r="R432" s="2">
        <v>2</v>
      </c>
      <c r="S432" s="2" t="s">
        <v>158</v>
      </c>
      <c r="T432" s="2">
        <v>3717</v>
      </c>
      <c r="U432" s="2">
        <v>3</v>
      </c>
      <c r="V432" s="2"/>
    </row>
    <row r="433" spans="1:22" x14ac:dyDescent="0.35">
      <c r="A433" s="3" t="s">
        <v>1535</v>
      </c>
      <c r="B433" s="3" t="s">
        <v>35</v>
      </c>
      <c r="C433" s="3" t="s">
        <v>1536</v>
      </c>
      <c r="D433" s="3" t="s">
        <v>729</v>
      </c>
      <c r="E433" s="3" t="s">
        <v>58</v>
      </c>
      <c r="F433" s="3" t="s">
        <v>122</v>
      </c>
      <c r="G433" s="3" t="s">
        <v>217</v>
      </c>
      <c r="H433" s="3" t="s">
        <v>218</v>
      </c>
      <c r="I433" s="3" t="s">
        <v>191</v>
      </c>
      <c r="J433" s="3">
        <v>517</v>
      </c>
      <c r="K433" s="3">
        <v>724.96</v>
      </c>
      <c r="L433" s="3">
        <v>853.7</v>
      </c>
      <c r="M433" s="3">
        <v>441362.9</v>
      </c>
      <c r="N433" s="3">
        <v>374804.32</v>
      </c>
      <c r="O433" s="3">
        <v>66558.58</v>
      </c>
      <c r="P433" s="3" t="s">
        <v>95</v>
      </c>
      <c r="Q433" s="3" t="s">
        <v>32</v>
      </c>
      <c r="R433" s="3">
        <v>14</v>
      </c>
      <c r="S433" s="3" t="s">
        <v>86</v>
      </c>
      <c r="T433" s="3">
        <v>4569</v>
      </c>
      <c r="U433" s="3">
        <v>23</v>
      </c>
      <c r="V433" s="3"/>
    </row>
    <row r="434" spans="1:22" x14ac:dyDescent="0.35">
      <c r="A434" s="2" t="s">
        <v>1537</v>
      </c>
      <c r="B434" s="2" t="s">
        <v>1538</v>
      </c>
      <c r="C434" s="2" t="s">
        <v>1539</v>
      </c>
      <c r="D434" s="2" t="s">
        <v>1540</v>
      </c>
      <c r="E434" s="2" t="s">
        <v>68</v>
      </c>
      <c r="F434" s="2" t="s">
        <v>276</v>
      </c>
      <c r="G434" s="2" t="s">
        <v>39</v>
      </c>
      <c r="H434" s="2" t="s">
        <v>664</v>
      </c>
      <c r="I434" s="2" t="s">
        <v>240</v>
      </c>
      <c r="J434" s="2">
        <v>238</v>
      </c>
      <c r="K434" s="2">
        <v>983.29</v>
      </c>
      <c r="L434" s="2">
        <v>1241.23</v>
      </c>
      <c r="M434" s="2">
        <v>295412.74</v>
      </c>
      <c r="N434" s="2">
        <v>234023.02</v>
      </c>
      <c r="O434" s="2">
        <v>61389.72</v>
      </c>
      <c r="P434" s="2" t="s">
        <v>42</v>
      </c>
      <c r="Q434" s="2" t="s">
        <v>32</v>
      </c>
      <c r="R434" s="2">
        <v>13</v>
      </c>
      <c r="S434" s="2" t="s">
        <v>33</v>
      </c>
      <c r="T434" s="2">
        <v>3965</v>
      </c>
      <c r="U434" s="2">
        <v>5</v>
      </c>
      <c r="V434" s="2"/>
    </row>
    <row r="435" spans="1:22" x14ac:dyDescent="0.35">
      <c r="A435" s="3" t="s">
        <v>1541</v>
      </c>
      <c r="B435" s="3" t="s">
        <v>274</v>
      </c>
      <c r="C435" s="3" t="s">
        <v>1542</v>
      </c>
      <c r="D435" s="3" t="s">
        <v>1543</v>
      </c>
      <c r="E435" s="3" t="s">
        <v>58</v>
      </c>
      <c r="F435" s="3" t="s">
        <v>417</v>
      </c>
      <c r="G435" s="3" t="s">
        <v>60</v>
      </c>
      <c r="H435" s="3" t="s">
        <v>164</v>
      </c>
      <c r="I435" s="3" t="s">
        <v>240</v>
      </c>
      <c r="J435" s="3">
        <v>559</v>
      </c>
      <c r="K435" s="3">
        <v>947.03</v>
      </c>
      <c r="L435" s="3">
        <v>1074.8499999999999</v>
      </c>
      <c r="M435" s="3">
        <v>600841.15</v>
      </c>
      <c r="N435" s="3">
        <v>529389.77</v>
      </c>
      <c r="O435" s="3">
        <v>71451.38</v>
      </c>
      <c r="P435" s="3" t="s">
        <v>42</v>
      </c>
      <c r="Q435" s="3" t="s">
        <v>32</v>
      </c>
      <c r="R435" s="3">
        <v>9</v>
      </c>
      <c r="S435" s="3" t="s">
        <v>53</v>
      </c>
      <c r="T435" s="3">
        <v>2557</v>
      </c>
      <c r="U435" s="3">
        <v>4</v>
      </c>
      <c r="V435" s="3"/>
    </row>
    <row r="436" spans="1:22" x14ac:dyDescent="0.35">
      <c r="A436" s="2" t="s">
        <v>1544</v>
      </c>
      <c r="B436" s="2" t="s">
        <v>1220</v>
      </c>
      <c r="C436" s="2" t="s">
        <v>347</v>
      </c>
      <c r="D436" s="2" t="s">
        <v>1545</v>
      </c>
      <c r="E436" s="2" t="s">
        <v>48</v>
      </c>
      <c r="F436" s="2" t="s">
        <v>223</v>
      </c>
      <c r="G436" s="2" t="s">
        <v>78</v>
      </c>
      <c r="H436" s="2" t="s">
        <v>425</v>
      </c>
      <c r="I436" s="2" t="s">
        <v>153</v>
      </c>
      <c r="J436" s="2">
        <v>375</v>
      </c>
      <c r="K436" s="2">
        <v>927.4</v>
      </c>
      <c r="L436" s="2">
        <v>1355.72</v>
      </c>
      <c r="M436" s="2">
        <v>508395</v>
      </c>
      <c r="N436" s="2">
        <v>347775</v>
      </c>
      <c r="O436" s="2">
        <v>160620</v>
      </c>
      <c r="P436" s="2" t="s">
        <v>52</v>
      </c>
      <c r="Q436" s="2" t="s">
        <v>32</v>
      </c>
      <c r="R436" s="2">
        <v>11</v>
      </c>
      <c r="S436" s="2" t="s">
        <v>86</v>
      </c>
      <c r="T436" s="2">
        <v>2250</v>
      </c>
      <c r="U436" s="2">
        <v>14</v>
      </c>
      <c r="V436" s="2"/>
    </row>
    <row r="437" spans="1:22" x14ac:dyDescent="0.35">
      <c r="A437" s="3" t="s">
        <v>1546</v>
      </c>
      <c r="B437" s="3" t="s">
        <v>149</v>
      </c>
      <c r="C437" s="3" t="s">
        <v>588</v>
      </c>
      <c r="D437" s="3" t="s">
        <v>1029</v>
      </c>
      <c r="E437" s="3" t="s">
        <v>100</v>
      </c>
      <c r="F437" s="3" t="s">
        <v>101</v>
      </c>
      <c r="G437" s="3" t="s">
        <v>78</v>
      </c>
      <c r="H437" s="3" t="s">
        <v>123</v>
      </c>
      <c r="I437" s="3" t="s">
        <v>141</v>
      </c>
      <c r="J437" s="3">
        <v>121</v>
      </c>
      <c r="K437" s="3">
        <v>790.01</v>
      </c>
      <c r="L437" s="3">
        <v>918.71</v>
      </c>
      <c r="M437" s="3">
        <v>111163.91</v>
      </c>
      <c r="N437" s="3">
        <v>95591.21</v>
      </c>
      <c r="O437" s="3">
        <v>15572.7</v>
      </c>
      <c r="P437" s="3" t="s">
        <v>42</v>
      </c>
      <c r="Q437" s="3" t="s">
        <v>32</v>
      </c>
      <c r="R437" s="3">
        <v>8</v>
      </c>
      <c r="S437" s="3" t="s">
        <v>86</v>
      </c>
      <c r="T437" s="3">
        <v>4573</v>
      </c>
      <c r="U437" s="3">
        <v>3</v>
      </c>
      <c r="V437" s="3"/>
    </row>
    <row r="438" spans="1:22" x14ac:dyDescent="0.35">
      <c r="A438" s="2" t="s">
        <v>1547</v>
      </c>
      <c r="B438" s="2" t="s">
        <v>552</v>
      </c>
      <c r="C438" s="2" t="s">
        <v>1284</v>
      </c>
      <c r="D438" s="2" t="s">
        <v>1548</v>
      </c>
      <c r="E438" s="2" t="s">
        <v>1549</v>
      </c>
      <c r="F438" s="2" t="s">
        <v>49</v>
      </c>
      <c r="G438" s="2" t="s">
        <v>60</v>
      </c>
      <c r="H438" s="2" t="s">
        <v>265</v>
      </c>
      <c r="I438" s="2" t="s">
        <v>118</v>
      </c>
      <c r="J438" s="2">
        <v>363</v>
      </c>
      <c r="K438" s="2">
        <v>483.93</v>
      </c>
      <c r="L438" s="2">
        <v>543.5</v>
      </c>
      <c r="M438" s="2">
        <v>197290.5</v>
      </c>
      <c r="N438" s="2">
        <v>175666.59</v>
      </c>
      <c r="O438" s="2">
        <v>21623.91</v>
      </c>
      <c r="P438" s="2" t="s">
        <v>42</v>
      </c>
      <c r="Q438" s="2" t="s">
        <v>63</v>
      </c>
      <c r="R438" s="2">
        <v>4</v>
      </c>
      <c r="S438" s="2" t="s">
        <v>53</v>
      </c>
      <c r="T438" s="2">
        <v>1953</v>
      </c>
      <c r="U438" s="2">
        <v>12</v>
      </c>
      <c r="V438" s="2"/>
    </row>
    <row r="439" spans="1:22" x14ac:dyDescent="0.35">
      <c r="A439" s="3" t="s">
        <v>1550</v>
      </c>
      <c r="B439" s="3" t="s">
        <v>1551</v>
      </c>
      <c r="C439" s="3" t="s">
        <v>1552</v>
      </c>
      <c r="D439" s="3" t="s">
        <v>1553</v>
      </c>
      <c r="E439" s="3" t="s">
        <v>68</v>
      </c>
      <c r="F439" s="3" t="s">
        <v>249</v>
      </c>
      <c r="G439" s="3" t="s">
        <v>28</v>
      </c>
      <c r="H439" s="3" t="s">
        <v>254</v>
      </c>
      <c r="I439" s="3" t="s">
        <v>72</v>
      </c>
      <c r="J439" s="3">
        <v>158</v>
      </c>
      <c r="K439" s="3">
        <v>888.02</v>
      </c>
      <c r="L439" s="3">
        <v>1305.07</v>
      </c>
      <c r="M439" s="3">
        <v>206201.06</v>
      </c>
      <c r="N439" s="3">
        <v>140307.16</v>
      </c>
      <c r="O439" s="3">
        <v>65893.899999999994</v>
      </c>
      <c r="P439" s="3" t="s">
        <v>31</v>
      </c>
      <c r="Q439" s="3" t="s">
        <v>32</v>
      </c>
      <c r="R439" s="3">
        <v>10</v>
      </c>
      <c r="S439" s="3" t="s">
        <v>112</v>
      </c>
      <c r="T439" s="3">
        <v>4467</v>
      </c>
      <c r="U439" s="3">
        <v>5</v>
      </c>
      <c r="V439" s="3"/>
    </row>
    <row r="440" spans="1:22" x14ac:dyDescent="0.35">
      <c r="A440" s="2" t="s">
        <v>1554</v>
      </c>
      <c r="B440" s="2" t="s">
        <v>712</v>
      </c>
      <c r="C440" s="2" t="s">
        <v>332</v>
      </c>
      <c r="D440" s="2" t="s">
        <v>1555</v>
      </c>
      <c r="E440" s="2" t="s">
        <v>26</v>
      </c>
      <c r="F440" s="2" t="s">
        <v>92</v>
      </c>
      <c r="G440" s="2" t="s">
        <v>50</v>
      </c>
      <c r="H440" s="2" t="s">
        <v>734</v>
      </c>
      <c r="I440" s="2" t="s">
        <v>141</v>
      </c>
      <c r="J440" s="2">
        <v>11</v>
      </c>
      <c r="K440" s="2">
        <v>900.72</v>
      </c>
      <c r="L440" s="2">
        <v>1207.29</v>
      </c>
      <c r="M440" s="2">
        <v>13280.19</v>
      </c>
      <c r="N440" s="2">
        <v>9907.92</v>
      </c>
      <c r="O440" s="2">
        <v>3372.27</v>
      </c>
      <c r="P440" s="2" t="s">
        <v>31</v>
      </c>
      <c r="Q440" s="2" t="s">
        <v>32</v>
      </c>
      <c r="R440" s="2">
        <v>15</v>
      </c>
      <c r="S440" s="2" t="s">
        <v>33</v>
      </c>
      <c r="T440" s="2">
        <v>1771</v>
      </c>
      <c r="U440" s="2">
        <v>1</v>
      </c>
      <c r="V440" s="2"/>
    </row>
    <row r="441" spans="1:22" x14ac:dyDescent="0.35">
      <c r="A441" s="3" t="s">
        <v>1556</v>
      </c>
      <c r="B441" s="3" t="s">
        <v>406</v>
      </c>
      <c r="C441" s="3" t="s">
        <v>650</v>
      </c>
      <c r="D441" s="3" t="s">
        <v>1557</v>
      </c>
      <c r="E441" s="3" t="s">
        <v>68</v>
      </c>
      <c r="F441" s="3" t="s">
        <v>249</v>
      </c>
      <c r="G441" s="3" t="s">
        <v>217</v>
      </c>
      <c r="H441" s="3" t="s">
        <v>340</v>
      </c>
      <c r="I441" s="3" t="s">
        <v>153</v>
      </c>
      <c r="J441" s="3">
        <v>388</v>
      </c>
      <c r="K441" s="3">
        <v>989.67</v>
      </c>
      <c r="L441" s="3">
        <v>1533.8</v>
      </c>
      <c r="M441" s="3">
        <v>595114.4</v>
      </c>
      <c r="N441" s="3">
        <v>383991.96</v>
      </c>
      <c r="O441" s="3">
        <v>211122.44</v>
      </c>
      <c r="P441" s="3" t="s">
        <v>52</v>
      </c>
      <c r="Q441" s="3" t="s">
        <v>1558</v>
      </c>
      <c r="R441" s="3">
        <v>5</v>
      </c>
      <c r="S441" s="3" t="s">
        <v>53</v>
      </c>
      <c r="T441" s="3">
        <v>610</v>
      </c>
      <c r="U441" s="3">
        <v>5</v>
      </c>
      <c r="V441" s="3"/>
    </row>
    <row r="442" spans="1:22" x14ac:dyDescent="0.35">
      <c r="A442" s="2" t="s">
        <v>1559</v>
      </c>
      <c r="B442" s="2" t="s">
        <v>1560</v>
      </c>
      <c r="C442" s="2" t="s">
        <v>1561</v>
      </c>
      <c r="D442" s="2" t="s">
        <v>1562</v>
      </c>
      <c r="E442" s="2" t="s">
        <v>58</v>
      </c>
      <c r="F442" s="2" t="s">
        <v>116</v>
      </c>
      <c r="G442" s="2" t="s">
        <v>60</v>
      </c>
      <c r="H442" s="2" t="s">
        <v>539</v>
      </c>
      <c r="I442" s="2" t="s">
        <v>72</v>
      </c>
      <c r="J442" s="2">
        <v>551</v>
      </c>
      <c r="K442" s="2">
        <v>672.11</v>
      </c>
      <c r="L442" s="2">
        <v>786.77</v>
      </c>
      <c r="M442" s="2">
        <v>433510.27</v>
      </c>
      <c r="N442" s="2">
        <v>370332.61</v>
      </c>
      <c r="O442" s="2">
        <v>63177.66</v>
      </c>
      <c r="P442" s="2" t="s">
        <v>52</v>
      </c>
      <c r="Q442" s="4"/>
      <c r="R442" s="2">
        <v>13</v>
      </c>
      <c r="S442" s="2" t="s">
        <v>43</v>
      </c>
      <c r="T442" s="2">
        <v>326</v>
      </c>
      <c r="U442" s="2">
        <v>26</v>
      </c>
      <c r="V442" s="2"/>
    </row>
    <row r="443" spans="1:22" x14ac:dyDescent="0.35">
      <c r="A443" s="3" t="s">
        <v>1563</v>
      </c>
      <c r="B443" s="3" t="s">
        <v>150</v>
      </c>
      <c r="C443" s="3" t="s">
        <v>1002</v>
      </c>
      <c r="D443" s="3" t="s">
        <v>1564</v>
      </c>
      <c r="E443" s="3" t="s">
        <v>58</v>
      </c>
      <c r="F443" s="3" t="s">
        <v>417</v>
      </c>
      <c r="G443" s="3" t="s">
        <v>70</v>
      </c>
      <c r="H443" s="3" t="s">
        <v>623</v>
      </c>
      <c r="I443" s="3" t="s">
        <v>85</v>
      </c>
      <c r="J443" s="3">
        <v>325</v>
      </c>
      <c r="K443" s="3">
        <v>445.14</v>
      </c>
      <c r="L443" s="3">
        <v>622.9</v>
      </c>
      <c r="M443" s="3">
        <v>202442.5</v>
      </c>
      <c r="N443" s="3">
        <v>144670.5</v>
      </c>
      <c r="O443" s="3">
        <v>57772</v>
      </c>
      <c r="P443" s="3" t="s">
        <v>52</v>
      </c>
      <c r="Q443" s="3" t="s">
        <v>32</v>
      </c>
      <c r="R443" s="3">
        <v>14</v>
      </c>
      <c r="S443" s="3" t="s">
        <v>53</v>
      </c>
      <c r="T443" s="3">
        <v>949</v>
      </c>
      <c r="U443" s="3">
        <v>12</v>
      </c>
      <c r="V443" s="3"/>
    </row>
    <row r="444" spans="1:22" x14ac:dyDescent="0.35">
      <c r="A444" s="2" t="s">
        <v>1565</v>
      </c>
      <c r="B444" s="2" t="s">
        <v>1566</v>
      </c>
      <c r="C444" s="2" t="s">
        <v>992</v>
      </c>
      <c r="D444" s="2" t="s">
        <v>1567</v>
      </c>
      <c r="E444" s="2" t="s">
        <v>48</v>
      </c>
      <c r="F444" s="2" t="s">
        <v>281</v>
      </c>
      <c r="G444" s="2" t="s">
        <v>189</v>
      </c>
      <c r="H444" s="2" t="s">
        <v>561</v>
      </c>
      <c r="I444" s="2" t="s">
        <v>124</v>
      </c>
      <c r="J444" s="2">
        <v>340</v>
      </c>
      <c r="K444" s="2">
        <v>70.25</v>
      </c>
      <c r="L444" s="2">
        <v>114.12</v>
      </c>
      <c r="M444" s="2">
        <v>38800.800000000003</v>
      </c>
      <c r="N444" s="2">
        <v>23885</v>
      </c>
      <c r="O444" s="2">
        <v>14915.8</v>
      </c>
      <c r="P444" s="2" t="s">
        <v>52</v>
      </c>
      <c r="Q444" s="2" t="s">
        <v>63</v>
      </c>
      <c r="R444" s="2">
        <v>2</v>
      </c>
      <c r="S444" s="2" t="s">
        <v>112</v>
      </c>
      <c r="T444" s="2">
        <v>3872</v>
      </c>
      <c r="U444" s="2">
        <v>1</v>
      </c>
      <c r="V444" s="2"/>
    </row>
    <row r="445" spans="1:22" x14ac:dyDescent="0.35">
      <c r="A445" s="3" t="s">
        <v>1568</v>
      </c>
      <c r="B445" s="3" t="s">
        <v>1569</v>
      </c>
      <c r="C445" s="3" t="s">
        <v>1570</v>
      </c>
      <c r="D445" s="3" t="s">
        <v>1571</v>
      </c>
      <c r="E445" s="3" t="s">
        <v>26</v>
      </c>
      <c r="F445" s="3" t="s">
        <v>228</v>
      </c>
      <c r="G445" s="3" t="s">
        <v>217</v>
      </c>
      <c r="H445" s="3" t="s">
        <v>340</v>
      </c>
      <c r="I445" s="3" t="s">
        <v>141</v>
      </c>
      <c r="J445" s="3">
        <v>384</v>
      </c>
      <c r="K445" s="3">
        <v>591.49</v>
      </c>
      <c r="L445" s="3">
        <v>911.01</v>
      </c>
      <c r="M445" s="3">
        <v>349827.84000000003</v>
      </c>
      <c r="N445" s="3">
        <v>227132.16</v>
      </c>
      <c r="O445" s="3">
        <v>122695.67999999999</v>
      </c>
      <c r="P445" s="3" t="s">
        <v>42</v>
      </c>
      <c r="Q445" s="3" t="s">
        <v>63</v>
      </c>
      <c r="R445" s="3">
        <v>5</v>
      </c>
      <c r="S445" s="3" t="s">
        <v>53</v>
      </c>
      <c r="T445" s="3">
        <v>770</v>
      </c>
      <c r="U445" s="3">
        <v>15</v>
      </c>
      <c r="V445" s="3"/>
    </row>
    <row r="446" spans="1:22" x14ac:dyDescent="0.35">
      <c r="A446" s="2" t="s">
        <v>1572</v>
      </c>
      <c r="B446" s="2" t="s">
        <v>1165</v>
      </c>
      <c r="C446" s="2" t="s">
        <v>304</v>
      </c>
      <c r="D446" s="2" t="s">
        <v>1573</v>
      </c>
      <c r="E446" s="2" t="s">
        <v>48</v>
      </c>
      <c r="F446" s="2" t="s">
        <v>223</v>
      </c>
      <c r="G446" s="2" t="s">
        <v>28</v>
      </c>
      <c r="H446" s="2" t="s">
        <v>714</v>
      </c>
      <c r="I446" s="2" t="s">
        <v>41</v>
      </c>
      <c r="J446" s="2">
        <v>610</v>
      </c>
      <c r="K446" s="2">
        <v>1139.05</v>
      </c>
      <c r="L446" s="2">
        <v>1373.38</v>
      </c>
      <c r="M446" s="2">
        <v>837761.8</v>
      </c>
      <c r="N446" s="2">
        <v>694820.5</v>
      </c>
      <c r="O446" s="2">
        <v>142941.29999999999</v>
      </c>
      <c r="P446" s="2" t="s">
        <v>95</v>
      </c>
      <c r="Q446" s="2" t="s">
        <v>32</v>
      </c>
      <c r="R446" s="2">
        <v>14</v>
      </c>
      <c r="S446" s="2" t="s">
        <v>158</v>
      </c>
      <c r="T446" s="2">
        <v>1416</v>
      </c>
      <c r="U446" s="2">
        <v>18</v>
      </c>
      <c r="V446" s="2"/>
    </row>
    <row r="447" spans="1:22" x14ac:dyDescent="0.35">
      <c r="A447" s="3" t="s">
        <v>1574</v>
      </c>
      <c r="B447" s="3" t="s">
        <v>210</v>
      </c>
      <c r="C447" s="3" t="s">
        <v>641</v>
      </c>
      <c r="D447" s="3" t="s">
        <v>1575</v>
      </c>
      <c r="E447" s="3" t="s">
        <v>26</v>
      </c>
      <c r="F447" s="3" t="s">
        <v>1576</v>
      </c>
      <c r="G447" s="3" t="s">
        <v>78</v>
      </c>
      <c r="H447" s="3" t="s">
        <v>840</v>
      </c>
      <c r="I447" s="3" t="s">
        <v>153</v>
      </c>
      <c r="J447" s="3">
        <v>732</v>
      </c>
      <c r="K447" s="3">
        <v>568.17999999999995</v>
      </c>
      <c r="L447" s="3">
        <v>904.58</v>
      </c>
      <c r="M447" s="3">
        <v>662152.56000000006</v>
      </c>
      <c r="N447" s="3">
        <v>415907.76</v>
      </c>
      <c r="O447" s="3">
        <v>246244.8</v>
      </c>
      <c r="P447" s="3" t="s">
        <v>52</v>
      </c>
      <c r="Q447" s="3" t="s">
        <v>32</v>
      </c>
      <c r="R447" s="3">
        <v>11</v>
      </c>
      <c r="S447" s="3" t="s">
        <v>86</v>
      </c>
      <c r="T447" s="3">
        <v>1258</v>
      </c>
      <c r="U447" s="3">
        <v>11</v>
      </c>
      <c r="V447" s="3"/>
    </row>
    <row r="448" spans="1:22" x14ac:dyDescent="0.35">
      <c r="A448" s="2" t="s">
        <v>1577</v>
      </c>
      <c r="B448" s="2" t="s">
        <v>1578</v>
      </c>
      <c r="C448" s="2" t="s">
        <v>592</v>
      </c>
      <c r="D448" s="2" t="s">
        <v>1579</v>
      </c>
      <c r="E448" s="2" t="s">
        <v>68</v>
      </c>
      <c r="F448" s="2" t="s">
        <v>69</v>
      </c>
      <c r="G448" s="2" t="s">
        <v>189</v>
      </c>
      <c r="H448" s="2" t="s">
        <v>311</v>
      </c>
      <c r="I448" s="2" t="s">
        <v>153</v>
      </c>
      <c r="J448" s="2">
        <v>79</v>
      </c>
      <c r="K448" s="2">
        <v>573.70000000000005</v>
      </c>
      <c r="L448" s="2">
        <v>943.93</v>
      </c>
      <c r="M448" s="2">
        <v>74570.47</v>
      </c>
      <c r="N448" s="2">
        <v>45322.3</v>
      </c>
      <c r="O448" s="2">
        <v>29248.17</v>
      </c>
      <c r="P448" s="2" t="s">
        <v>42</v>
      </c>
      <c r="Q448" s="2" t="s">
        <v>32</v>
      </c>
      <c r="R448" s="2">
        <v>13</v>
      </c>
      <c r="S448" s="2" t="s">
        <v>43</v>
      </c>
      <c r="T448" s="2">
        <v>4442</v>
      </c>
      <c r="U448" s="2">
        <v>1</v>
      </c>
      <c r="V448" s="2"/>
    </row>
    <row r="449" spans="1:22" x14ac:dyDescent="0.35">
      <c r="A449" s="3" t="s">
        <v>1580</v>
      </c>
      <c r="B449" s="3" t="s">
        <v>1294</v>
      </c>
      <c r="C449" s="3" t="s">
        <v>1581</v>
      </c>
      <c r="D449" s="3" t="s">
        <v>1582</v>
      </c>
      <c r="E449" s="3" t="s">
        <v>48</v>
      </c>
      <c r="F449" s="3" t="s">
        <v>281</v>
      </c>
      <c r="G449" s="3" t="s">
        <v>50</v>
      </c>
      <c r="H449" s="3" t="s">
        <v>173</v>
      </c>
      <c r="I449" s="3" t="s">
        <v>153</v>
      </c>
      <c r="J449" s="3">
        <v>601</v>
      </c>
      <c r="K449" s="3">
        <v>821.82</v>
      </c>
      <c r="L449" s="3">
        <v>1103.0999999999999</v>
      </c>
      <c r="M449" s="3">
        <v>662963.1</v>
      </c>
      <c r="N449" s="3">
        <v>493913.82</v>
      </c>
      <c r="O449" s="3">
        <v>169049.28</v>
      </c>
      <c r="P449" s="3" t="s">
        <v>95</v>
      </c>
      <c r="Q449" s="3" t="s">
        <v>63</v>
      </c>
      <c r="R449" s="3">
        <v>4</v>
      </c>
      <c r="S449" s="3" t="s">
        <v>43</v>
      </c>
      <c r="T449" s="3">
        <v>1766</v>
      </c>
      <c r="U449" s="3">
        <v>30</v>
      </c>
      <c r="V449" s="3"/>
    </row>
    <row r="450" spans="1:22" x14ac:dyDescent="0.35">
      <c r="A450" s="2" t="s">
        <v>1583</v>
      </c>
      <c r="B450" s="2" t="s">
        <v>633</v>
      </c>
      <c r="C450" s="2" t="s">
        <v>592</v>
      </c>
      <c r="D450" s="2" t="s">
        <v>1584</v>
      </c>
      <c r="E450" s="2" t="s">
        <v>100</v>
      </c>
      <c r="F450" s="2" t="s">
        <v>101</v>
      </c>
      <c r="G450" s="2" t="s">
        <v>189</v>
      </c>
      <c r="H450" s="2" t="s">
        <v>271</v>
      </c>
      <c r="I450" s="2" t="s">
        <v>153</v>
      </c>
      <c r="J450" s="2">
        <v>33</v>
      </c>
      <c r="K450" s="2">
        <v>35.979999999999997</v>
      </c>
      <c r="L450" s="2">
        <v>58.59</v>
      </c>
      <c r="M450" s="2">
        <v>1933.47</v>
      </c>
      <c r="N450" s="2">
        <v>1187.3399999999999</v>
      </c>
      <c r="O450" s="2">
        <v>746.13</v>
      </c>
      <c r="P450" s="2" t="s">
        <v>95</v>
      </c>
      <c r="Q450" s="2" t="s">
        <v>1585</v>
      </c>
      <c r="R450" s="2">
        <v>14</v>
      </c>
      <c r="S450" s="2" t="s">
        <v>33</v>
      </c>
      <c r="T450" s="2">
        <v>4974</v>
      </c>
      <c r="U450" s="2">
        <v>0</v>
      </c>
      <c r="V450" s="2"/>
    </row>
    <row r="451" spans="1:22" x14ac:dyDescent="0.35">
      <c r="A451" s="3" t="s">
        <v>1586</v>
      </c>
      <c r="B451" s="3" t="s">
        <v>1360</v>
      </c>
      <c r="C451" s="3" t="s">
        <v>210</v>
      </c>
      <c r="D451" s="3" t="s">
        <v>1587</v>
      </c>
      <c r="E451" s="3" t="s">
        <v>58</v>
      </c>
      <c r="F451" s="3" t="s">
        <v>59</v>
      </c>
      <c r="G451" s="3" t="s">
        <v>39</v>
      </c>
      <c r="H451" s="3" t="s">
        <v>354</v>
      </c>
      <c r="I451" s="3" t="s">
        <v>153</v>
      </c>
      <c r="J451" s="3">
        <v>359</v>
      </c>
      <c r="K451" s="3">
        <v>414.22</v>
      </c>
      <c r="L451" s="3">
        <v>650.98</v>
      </c>
      <c r="M451" s="3">
        <v>233701.82</v>
      </c>
      <c r="N451" s="3">
        <v>148704.98000000001</v>
      </c>
      <c r="O451" s="3">
        <v>84996.84</v>
      </c>
      <c r="P451" s="3" t="s">
        <v>42</v>
      </c>
      <c r="Q451" s="3" t="s">
        <v>32</v>
      </c>
      <c r="R451" s="3">
        <v>8</v>
      </c>
      <c r="S451" s="3" t="s">
        <v>53</v>
      </c>
      <c r="T451" s="3">
        <v>4801</v>
      </c>
      <c r="U451" s="3">
        <v>8</v>
      </c>
      <c r="V451" s="3"/>
    </row>
    <row r="452" spans="1:22" x14ac:dyDescent="0.35">
      <c r="A452" s="2" t="s">
        <v>1588</v>
      </c>
      <c r="B452" s="2" t="s">
        <v>209</v>
      </c>
      <c r="C452" s="2" t="s">
        <v>166</v>
      </c>
      <c r="D452" s="2" t="s">
        <v>1589</v>
      </c>
      <c r="E452" s="2" t="s">
        <v>58</v>
      </c>
      <c r="F452" s="2" t="s">
        <v>122</v>
      </c>
      <c r="G452" s="2" t="s">
        <v>70</v>
      </c>
      <c r="H452" s="2" t="s">
        <v>446</v>
      </c>
      <c r="I452" s="2" t="s">
        <v>41</v>
      </c>
      <c r="J452" s="2">
        <v>68</v>
      </c>
      <c r="K452" s="2">
        <v>474.75</v>
      </c>
      <c r="L452" s="2">
        <v>674.33</v>
      </c>
      <c r="M452" s="2">
        <v>45854.44</v>
      </c>
      <c r="N452" s="2">
        <v>32283</v>
      </c>
      <c r="O452" s="2">
        <v>13571.44</v>
      </c>
      <c r="P452" s="2" t="s">
        <v>31</v>
      </c>
      <c r="Q452" s="2" t="s">
        <v>32</v>
      </c>
      <c r="R452" s="2">
        <v>15</v>
      </c>
      <c r="S452" s="2" t="s">
        <v>43</v>
      </c>
      <c r="T452" s="2">
        <v>4545</v>
      </c>
      <c r="U452" s="2">
        <v>0</v>
      </c>
      <c r="V452" s="2"/>
    </row>
    <row r="453" spans="1:22" x14ac:dyDescent="0.35">
      <c r="A453" s="3" t="s">
        <v>1590</v>
      </c>
      <c r="B453" s="3" t="s">
        <v>1591</v>
      </c>
      <c r="C453" s="3" t="s">
        <v>1592</v>
      </c>
      <c r="D453" s="3" t="s">
        <v>1593</v>
      </c>
      <c r="E453" s="3" t="s">
        <v>68</v>
      </c>
      <c r="F453" s="3" t="s">
        <v>146</v>
      </c>
      <c r="G453" s="3" t="s">
        <v>78</v>
      </c>
      <c r="H453" s="3" t="s">
        <v>178</v>
      </c>
      <c r="I453" s="3" t="s">
        <v>85</v>
      </c>
      <c r="J453" s="3">
        <v>262</v>
      </c>
      <c r="K453" s="3">
        <v>913.13</v>
      </c>
      <c r="L453" s="3">
        <v>1096.02</v>
      </c>
      <c r="M453" s="3">
        <v>287157.24</v>
      </c>
      <c r="N453" s="3">
        <v>239240.06</v>
      </c>
      <c r="O453" s="3">
        <v>47917.18</v>
      </c>
      <c r="P453" s="3" t="s">
        <v>31</v>
      </c>
      <c r="Q453" s="3" t="s">
        <v>32</v>
      </c>
      <c r="R453" s="3">
        <v>10</v>
      </c>
      <c r="S453" s="3" t="s">
        <v>43</v>
      </c>
      <c r="T453" s="3">
        <v>478</v>
      </c>
      <c r="U453" s="3">
        <v>1</v>
      </c>
      <c r="V453" s="3"/>
    </row>
    <row r="454" spans="1:22" x14ac:dyDescent="0.35">
      <c r="A454" s="2" t="s">
        <v>1594</v>
      </c>
      <c r="B454" s="2" t="s">
        <v>394</v>
      </c>
      <c r="C454" s="2" t="s">
        <v>431</v>
      </c>
      <c r="D454" s="2" t="s">
        <v>1595</v>
      </c>
      <c r="E454" s="2" t="s">
        <v>26</v>
      </c>
      <c r="F454" s="2" t="s">
        <v>228</v>
      </c>
      <c r="G454" s="2" t="s">
        <v>28</v>
      </c>
      <c r="H454" s="2" t="s">
        <v>714</v>
      </c>
      <c r="I454" s="2" t="s">
        <v>240</v>
      </c>
      <c r="J454" s="2">
        <v>780</v>
      </c>
      <c r="K454" s="2">
        <v>1101.18</v>
      </c>
      <c r="L454" s="2">
        <v>1810.95</v>
      </c>
      <c r="M454" s="2">
        <v>1412541</v>
      </c>
      <c r="N454" s="2">
        <v>858920.4</v>
      </c>
      <c r="O454" s="2">
        <v>553620.6</v>
      </c>
      <c r="P454" s="2" t="s">
        <v>31</v>
      </c>
      <c r="Q454" s="2" t="s">
        <v>63</v>
      </c>
      <c r="R454" s="2">
        <v>3</v>
      </c>
      <c r="S454" s="2" t="s">
        <v>158</v>
      </c>
      <c r="T454" s="2">
        <v>3883</v>
      </c>
      <c r="U454" s="2">
        <v>35</v>
      </c>
      <c r="V454" s="2"/>
    </row>
    <row r="455" spans="1:22" x14ac:dyDescent="0.35">
      <c r="A455" s="3" t="s">
        <v>1596</v>
      </c>
      <c r="B455" s="3" t="s">
        <v>1597</v>
      </c>
      <c r="C455" s="3" t="s">
        <v>328</v>
      </c>
      <c r="D455" s="3" t="s">
        <v>1598</v>
      </c>
      <c r="E455" s="3" t="s">
        <v>68</v>
      </c>
      <c r="F455" s="3" t="s">
        <v>276</v>
      </c>
      <c r="G455" s="3" t="s">
        <v>78</v>
      </c>
      <c r="H455" s="3" t="s">
        <v>123</v>
      </c>
      <c r="I455" s="3" t="s">
        <v>118</v>
      </c>
      <c r="J455" s="3">
        <v>580</v>
      </c>
      <c r="K455" s="3">
        <v>43.5</v>
      </c>
      <c r="L455" s="3">
        <v>51.94</v>
      </c>
      <c r="M455" s="3">
        <v>30125.200000000001</v>
      </c>
      <c r="N455" s="3">
        <v>25230</v>
      </c>
      <c r="O455" s="3">
        <v>4895.2</v>
      </c>
      <c r="P455" s="3" t="s">
        <v>1599</v>
      </c>
      <c r="Q455" s="3" t="s">
        <v>32</v>
      </c>
      <c r="R455" s="3">
        <v>11</v>
      </c>
      <c r="S455" s="3" t="s">
        <v>112</v>
      </c>
      <c r="T455" s="3">
        <v>3009</v>
      </c>
      <c r="U455" s="3">
        <v>10</v>
      </c>
      <c r="V455" s="3"/>
    </row>
    <row r="456" spans="1:22" x14ac:dyDescent="0.35">
      <c r="A456" s="2" t="s">
        <v>1600</v>
      </c>
      <c r="B456" s="2" t="s">
        <v>439</v>
      </c>
      <c r="C456" s="2" t="s">
        <v>338</v>
      </c>
      <c r="D456" s="2" t="s">
        <v>1601</v>
      </c>
      <c r="E456" s="2" t="s">
        <v>58</v>
      </c>
      <c r="F456" s="2" t="s">
        <v>59</v>
      </c>
      <c r="G456" s="2" t="s">
        <v>129</v>
      </c>
      <c r="H456" s="2" t="s">
        <v>520</v>
      </c>
      <c r="I456" s="2" t="s">
        <v>72</v>
      </c>
      <c r="J456" s="2">
        <v>315</v>
      </c>
      <c r="K456" s="2">
        <v>622.48</v>
      </c>
      <c r="L456" s="2">
        <v>908.23</v>
      </c>
      <c r="M456" s="2">
        <v>286092.45</v>
      </c>
      <c r="N456" s="2">
        <v>196081.2</v>
      </c>
      <c r="O456" s="2">
        <v>90011.25</v>
      </c>
      <c r="P456" s="2" t="s">
        <v>42</v>
      </c>
      <c r="Q456" s="2" t="s">
        <v>32</v>
      </c>
      <c r="R456" s="2">
        <v>14</v>
      </c>
      <c r="S456" s="2" t="s">
        <v>86</v>
      </c>
      <c r="T456" s="2">
        <v>3574</v>
      </c>
      <c r="U456" s="2">
        <v>10</v>
      </c>
      <c r="V456" s="2"/>
    </row>
    <row r="457" spans="1:22" x14ac:dyDescent="0.35">
      <c r="A457" s="3" t="s">
        <v>1602</v>
      </c>
      <c r="B457" s="3" t="s">
        <v>1603</v>
      </c>
      <c r="C457" s="3" t="s">
        <v>1604</v>
      </c>
      <c r="D457" s="3" t="s">
        <v>1605</v>
      </c>
      <c r="E457" s="3" t="s">
        <v>100</v>
      </c>
      <c r="F457" s="3" t="s">
        <v>1606</v>
      </c>
      <c r="G457" s="3" t="s">
        <v>60</v>
      </c>
      <c r="H457" s="3" t="s">
        <v>400</v>
      </c>
      <c r="I457" s="3" t="s">
        <v>124</v>
      </c>
      <c r="J457" s="3">
        <v>695</v>
      </c>
      <c r="K457" s="3">
        <v>970.08</v>
      </c>
      <c r="L457" s="3">
        <v>1310.55</v>
      </c>
      <c r="M457" s="3">
        <v>910832.25</v>
      </c>
      <c r="N457" s="3">
        <v>674205.6</v>
      </c>
      <c r="O457" s="3">
        <v>236626.65</v>
      </c>
      <c r="P457" s="3" t="s">
        <v>31</v>
      </c>
      <c r="Q457" s="3" t="s">
        <v>63</v>
      </c>
      <c r="R457" s="3">
        <v>3</v>
      </c>
      <c r="S457" s="3" t="s">
        <v>112</v>
      </c>
      <c r="T457" s="3">
        <v>3750</v>
      </c>
      <c r="U457" s="3">
        <v>20</v>
      </c>
      <c r="V457" s="3"/>
    </row>
    <row r="458" spans="1:22" x14ac:dyDescent="0.35">
      <c r="A458" s="2" t="s">
        <v>1607</v>
      </c>
      <c r="B458" s="2" t="s">
        <v>1093</v>
      </c>
      <c r="C458" s="2" t="s">
        <v>342</v>
      </c>
      <c r="D458" s="2" t="s">
        <v>1608</v>
      </c>
      <c r="E458" s="2" t="s">
        <v>100</v>
      </c>
      <c r="F458" s="2" t="s">
        <v>538</v>
      </c>
      <c r="G458" s="2" t="s">
        <v>50</v>
      </c>
      <c r="H458" s="2" t="s">
        <v>282</v>
      </c>
      <c r="I458" s="2" t="s">
        <v>62</v>
      </c>
      <c r="J458" s="2">
        <v>163</v>
      </c>
      <c r="K458" s="2">
        <v>797.48</v>
      </c>
      <c r="L458" s="2">
        <v>1157.52</v>
      </c>
      <c r="M458" s="2">
        <v>188675.76</v>
      </c>
      <c r="N458" s="2">
        <v>129989.24</v>
      </c>
      <c r="O458" s="2">
        <v>58686.52</v>
      </c>
      <c r="P458" s="2" t="s">
        <v>52</v>
      </c>
      <c r="Q458" s="2" t="s">
        <v>32</v>
      </c>
      <c r="R458" s="2">
        <v>9</v>
      </c>
      <c r="S458" s="2" t="s">
        <v>43</v>
      </c>
      <c r="T458" s="2">
        <v>3713</v>
      </c>
      <c r="U458" s="2">
        <v>3</v>
      </c>
      <c r="V458" s="2"/>
    </row>
    <row r="459" spans="1:22" x14ac:dyDescent="0.35">
      <c r="A459" s="3" t="s">
        <v>1609</v>
      </c>
      <c r="B459" s="3" t="s">
        <v>912</v>
      </c>
      <c r="C459" s="3" t="s">
        <v>348</v>
      </c>
      <c r="D459" s="3" t="s">
        <v>1610</v>
      </c>
      <c r="E459" s="3" t="s">
        <v>26</v>
      </c>
      <c r="F459" s="3" t="s">
        <v>92</v>
      </c>
      <c r="G459" s="3" t="s">
        <v>70</v>
      </c>
      <c r="H459" s="3" t="s">
        <v>822</v>
      </c>
      <c r="I459" s="3" t="s">
        <v>124</v>
      </c>
      <c r="J459" s="3">
        <v>366</v>
      </c>
      <c r="K459" s="3">
        <v>395.39</v>
      </c>
      <c r="L459" s="3">
        <v>507.96</v>
      </c>
      <c r="M459" s="3">
        <v>185913.36</v>
      </c>
      <c r="N459" s="3">
        <v>144712.74</v>
      </c>
      <c r="O459" s="3">
        <v>41200.620000000003</v>
      </c>
      <c r="P459" s="3" t="s">
        <v>42</v>
      </c>
      <c r="Q459" s="3" t="s">
        <v>32</v>
      </c>
      <c r="R459" s="3">
        <v>15</v>
      </c>
      <c r="S459" s="3" t="s">
        <v>33</v>
      </c>
      <c r="T459" s="3">
        <v>2483</v>
      </c>
      <c r="U459" s="3">
        <v>3</v>
      </c>
      <c r="V459" s="3"/>
    </row>
    <row r="460" spans="1:22" x14ac:dyDescent="0.35">
      <c r="A460" s="2" t="s">
        <v>1611</v>
      </c>
      <c r="B460" s="2" t="s">
        <v>1474</v>
      </c>
      <c r="C460" s="2" t="s">
        <v>1612</v>
      </c>
      <c r="D460" s="2" t="s">
        <v>1383</v>
      </c>
      <c r="E460" s="2" t="s">
        <v>100</v>
      </c>
      <c r="F460" s="2" t="s">
        <v>538</v>
      </c>
      <c r="G460" s="2" t="s">
        <v>217</v>
      </c>
      <c r="H460" s="2" t="s">
        <v>684</v>
      </c>
      <c r="I460" s="2" t="s">
        <v>85</v>
      </c>
      <c r="J460" s="2">
        <v>155</v>
      </c>
      <c r="K460" s="2">
        <v>1007.78</v>
      </c>
      <c r="L460" s="2">
        <v>1225.0999999999999</v>
      </c>
      <c r="M460" s="2">
        <v>189890.5</v>
      </c>
      <c r="N460" s="2">
        <v>156205.9</v>
      </c>
      <c r="O460" s="2">
        <v>33684.6</v>
      </c>
      <c r="P460" s="2" t="s">
        <v>95</v>
      </c>
      <c r="Q460" s="2" t="s">
        <v>32</v>
      </c>
      <c r="R460" s="2">
        <v>14</v>
      </c>
      <c r="S460" s="2" t="s">
        <v>1613</v>
      </c>
      <c r="T460" s="2">
        <v>2391</v>
      </c>
      <c r="U460" s="2">
        <v>5</v>
      </c>
      <c r="V460" s="2"/>
    </row>
    <row r="461" spans="1:22" x14ac:dyDescent="0.35">
      <c r="A461" s="3" t="s">
        <v>1614</v>
      </c>
      <c r="B461" s="3" t="s">
        <v>1125</v>
      </c>
      <c r="C461" s="3" t="s">
        <v>637</v>
      </c>
      <c r="D461" s="3" t="s">
        <v>1615</v>
      </c>
      <c r="E461" s="3" t="s">
        <v>26</v>
      </c>
      <c r="F461" s="3" t="s">
        <v>27</v>
      </c>
      <c r="G461" s="3" t="s">
        <v>50</v>
      </c>
      <c r="H461" s="3" t="s">
        <v>282</v>
      </c>
      <c r="I461" s="3" t="s">
        <v>85</v>
      </c>
      <c r="J461" s="3">
        <v>146</v>
      </c>
      <c r="K461" s="3">
        <v>459.72</v>
      </c>
      <c r="L461" s="3">
        <v>656.89</v>
      </c>
      <c r="M461" s="3">
        <v>95905.94</v>
      </c>
      <c r="N461" s="3">
        <v>67119.12</v>
      </c>
      <c r="O461" s="3">
        <v>28786.82</v>
      </c>
      <c r="P461" s="3" t="s">
        <v>52</v>
      </c>
      <c r="Q461" s="3" t="s">
        <v>63</v>
      </c>
      <c r="R461" s="3">
        <v>3</v>
      </c>
      <c r="S461" s="3" t="s">
        <v>53</v>
      </c>
      <c r="T461" s="3">
        <v>4590</v>
      </c>
      <c r="U461" s="3">
        <v>5</v>
      </c>
      <c r="V461" s="3"/>
    </row>
    <row r="462" spans="1:22" x14ac:dyDescent="0.35">
      <c r="A462" s="2" t="s">
        <v>1616</v>
      </c>
      <c r="B462" s="2" t="s">
        <v>1110</v>
      </c>
      <c r="C462" s="2" t="s">
        <v>1617</v>
      </c>
      <c r="D462" s="2" t="s">
        <v>1618</v>
      </c>
      <c r="E462" s="2" t="s">
        <v>68</v>
      </c>
      <c r="F462" s="2" t="s">
        <v>146</v>
      </c>
      <c r="G462" s="2" t="s">
        <v>189</v>
      </c>
      <c r="H462" s="2" t="s">
        <v>365</v>
      </c>
      <c r="I462" s="2" t="s">
        <v>1020</v>
      </c>
      <c r="J462" s="2">
        <v>92</v>
      </c>
      <c r="K462" s="2">
        <v>836.74</v>
      </c>
      <c r="L462" s="2">
        <v>958.24</v>
      </c>
      <c r="M462" s="2">
        <v>88158.080000000002</v>
      </c>
      <c r="N462" s="2">
        <v>76980.08</v>
      </c>
      <c r="O462" s="2">
        <v>11178</v>
      </c>
      <c r="P462" s="2" t="s">
        <v>95</v>
      </c>
      <c r="Q462" s="2" t="s">
        <v>32</v>
      </c>
      <c r="R462" s="2">
        <v>11</v>
      </c>
      <c r="S462" s="2" t="s">
        <v>33</v>
      </c>
      <c r="T462" s="2">
        <v>3358</v>
      </c>
      <c r="U462" s="2">
        <v>1</v>
      </c>
      <c r="V462" s="2"/>
    </row>
    <row r="463" spans="1:22" x14ac:dyDescent="0.35">
      <c r="A463" s="3" t="s">
        <v>1619</v>
      </c>
      <c r="B463" s="3" t="s">
        <v>454</v>
      </c>
      <c r="C463" s="3" t="s">
        <v>36</v>
      </c>
      <c r="D463" s="3" t="s">
        <v>1620</v>
      </c>
      <c r="E463" s="3" t="s">
        <v>26</v>
      </c>
      <c r="F463" s="3" t="s">
        <v>27</v>
      </c>
      <c r="G463" s="3" t="s">
        <v>28</v>
      </c>
      <c r="H463" s="3" t="s">
        <v>714</v>
      </c>
      <c r="I463" s="3" t="s">
        <v>30</v>
      </c>
      <c r="J463" s="3">
        <v>198</v>
      </c>
      <c r="K463" s="3">
        <v>1154.79</v>
      </c>
      <c r="L463" s="3">
        <v>1436.5</v>
      </c>
      <c r="M463" s="3">
        <v>284427</v>
      </c>
      <c r="N463" s="3">
        <v>228648.42</v>
      </c>
      <c r="O463" s="3">
        <v>55778.58</v>
      </c>
      <c r="P463" s="3" t="s">
        <v>52</v>
      </c>
      <c r="Q463" s="3" t="s">
        <v>32</v>
      </c>
      <c r="R463" s="3">
        <v>14</v>
      </c>
      <c r="S463" s="3" t="s">
        <v>86</v>
      </c>
      <c r="T463" s="3">
        <v>2014</v>
      </c>
      <c r="U463" s="3">
        <v>4</v>
      </c>
      <c r="V463" s="3"/>
    </row>
    <row r="464" spans="1:22" x14ac:dyDescent="0.35">
      <c r="A464" s="2" t="s">
        <v>1621</v>
      </c>
      <c r="B464" s="2" t="s">
        <v>1622</v>
      </c>
      <c r="C464" s="2" t="s">
        <v>564</v>
      </c>
      <c r="D464" s="2" t="s">
        <v>1623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191</v>
      </c>
      <c r="J464" s="2">
        <v>462</v>
      </c>
      <c r="K464" s="2">
        <v>253.03</v>
      </c>
      <c r="L464" s="2">
        <v>360.26</v>
      </c>
      <c r="M464" s="2">
        <v>166440.12</v>
      </c>
      <c r="N464" s="2">
        <v>116899.86</v>
      </c>
      <c r="O464" s="2">
        <v>49540.26</v>
      </c>
      <c r="P464" s="2" t="s">
        <v>31</v>
      </c>
      <c r="Q464" s="2" t="s">
        <v>32</v>
      </c>
      <c r="R464" s="2">
        <v>9</v>
      </c>
      <c r="S464" s="2" t="s">
        <v>43</v>
      </c>
      <c r="T464" s="2">
        <v>4711</v>
      </c>
      <c r="U464" s="2">
        <v>5</v>
      </c>
      <c r="V464" s="2"/>
    </row>
    <row r="465" spans="1:22" x14ac:dyDescent="0.35">
      <c r="A465" s="3" t="s">
        <v>1624</v>
      </c>
      <c r="B465" s="3" t="s">
        <v>1625</v>
      </c>
      <c r="C465" s="3" t="s">
        <v>395</v>
      </c>
      <c r="D465" s="3" t="s">
        <v>1626</v>
      </c>
      <c r="E465" s="3" t="s">
        <v>100</v>
      </c>
      <c r="F465" s="3" t="s">
        <v>106</v>
      </c>
      <c r="G465" s="3" t="s">
        <v>39</v>
      </c>
      <c r="H465" s="3" t="s">
        <v>354</v>
      </c>
      <c r="I465" s="3" t="s">
        <v>124</v>
      </c>
      <c r="J465" s="3">
        <v>257</v>
      </c>
      <c r="K465" s="3">
        <v>196.24</v>
      </c>
      <c r="L465" s="3">
        <v>239.29</v>
      </c>
      <c r="M465" s="3">
        <v>61497.53</v>
      </c>
      <c r="N465" s="3">
        <v>50433.68</v>
      </c>
      <c r="O465" s="3">
        <v>11063.85</v>
      </c>
      <c r="P465" s="3" t="s">
        <v>95</v>
      </c>
      <c r="Q465" s="3" t="s">
        <v>32</v>
      </c>
      <c r="R465" s="3">
        <v>8</v>
      </c>
      <c r="S465" s="3" t="s">
        <v>112</v>
      </c>
      <c r="T465" s="3">
        <v>4438</v>
      </c>
      <c r="U465" s="3">
        <v>5</v>
      </c>
      <c r="V465" s="3"/>
    </row>
    <row r="466" spans="1:22" x14ac:dyDescent="0.35">
      <c r="A466" s="2" t="s">
        <v>1627</v>
      </c>
      <c r="B466" s="2" t="s">
        <v>288</v>
      </c>
      <c r="C466" s="2" t="s">
        <v>650</v>
      </c>
      <c r="D466" s="2" t="s">
        <v>1628</v>
      </c>
      <c r="E466" s="2" t="s">
        <v>58</v>
      </c>
      <c r="F466" s="2" t="s">
        <v>259</v>
      </c>
      <c r="G466" s="2" t="s">
        <v>60</v>
      </c>
      <c r="H466" s="2" t="s">
        <v>539</v>
      </c>
      <c r="I466" s="2" t="s">
        <v>153</v>
      </c>
      <c r="J466" s="2">
        <v>640</v>
      </c>
      <c r="K466" s="2">
        <v>746.05</v>
      </c>
      <c r="L466" s="2">
        <v>980.26</v>
      </c>
      <c r="M466" s="2">
        <v>627366.40000000002</v>
      </c>
      <c r="N466" s="2">
        <v>477472</v>
      </c>
      <c r="O466" s="2">
        <v>149894.39999999999</v>
      </c>
      <c r="P466" s="2" t="s">
        <v>42</v>
      </c>
      <c r="Q466" s="2" t="s">
        <v>32</v>
      </c>
      <c r="R466" s="2">
        <v>13</v>
      </c>
      <c r="S466" s="2" t="s">
        <v>43</v>
      </c>
      <c r="T466" s="2">
        <v>2790</v>
      </c>
      <c r="U466" s="2">
        <v>20</v>
      </c>
      <c r="V466" s="2"/>
    </row>
    <row r="467" spans="1:22" x14ac:dyDescent="0.35">
      <c r="A467" s="3" t="s">
        <v>1629</v>
      </c>
      <c r="B467" s="3" t="s">
        <v>1015</v>
      </c>
      <c r="C467" s="3" t="s">
        <v>423</v>
      </c>
      <c r="D467" s="3" t="s">
        <v>1630</v>
      </c>
      <c r="E467" s="3" t="s">
        <v>48</v>
      </c>
      <c r="F467" s="3" t="s">
        <v>223</v>
      </c>
      <c r="G467" s="3" t="s">
        <v>28</v>
      </c>
      <c r="H467" s="4"/>
      <c r="I467" s="3" t="s">
        <v>85</v>
      </c>
      <c r="J467" s="3">
        <v>80</v>
      </c>
      <c r="K467" s="3">
        <v>604.41</v>
      </c>
      <c r="L467" s="3">
        <v>967.71</v>
      </c>
      <c r="M467" s="3">
        <v>77416.800000000003</v>
      </c>
      <c r="N467" s="3">
        <v>48352.800000000003</v>
      </c>
      <c r="O467" s="3">
        <v>29064</v>
      </c>
      <c r="P467" s="3" t="s">
        <v>42</v>
      </c>
      <c r="Q467" s="3" t="s">
        <v>32</v>
      </c>
      <c r="R467" s="3">
        <v>10</v>
      </c>
      <c r="S467" s="3" t="s">
        <v>53</v>
      </c>
      <c r="T467" s="3">
        <v>4749</v>
      </c>
      <c r="U467" s="3">
        <v>3</v>
      </c>
      <c r="V467" s="3"/>
    </row>
    <row r="468" spans="1:22" x14ac:dyDescent="0.35">
      <c r="A468" s="2" t="s">
        <v>1631</v>
      </c>
      <c r="B468" s="2" t="s">
        <v>348</v>
      </c>
      <c r="C468" s="2" t="s">
        <v>1632</v>
      </c>
      <c r="D468" s="2" t="s">
        <v>1633</v>
      </c>
      <c r="E468" s="2" t="s">
        <v>58</v>
      </c>
      <c r="F468" s="2" t="s">
        <v>116</v>
      </c>
      <c r="G468" s="2" t="s">
        <v>78</v>
      </c>
      <c r="H468" s="2" t="s">
        <v>481</v>
      </c>
      <c r="I468" s="2" t="s">
        <v>124</v>
      </c>
      <c r="J468" s="2">
        <v>586</v>
      </c>
      <c r="K468" s="2">
        <v>936.26</v>
      </c>
      <c r="L468" s="2">
        <v>1192.93</v>
      </c>
      <c r="M468" s="2">
        <v>699056.98</v>
      </c>
      <c r="N468" s="2">
        <v>548648.36</v>
      </c>
      <c r="O468" s="2">
        <v>150408.62</v>
      </c>
      <c r="P468" s="2" t="s">
        <v>42</v>
      </c>
      <c r="Q468" s="2" t="s">
        <v>63</v>
      </c>
      <c r="R468" s="2">
        <v>1</v>
      </c>
      <c r="S468" s="2" t="s">
        <v>43</v>
      </c>
      <c r="T468" s="2">
        <v>1706</v>
      </c>
      <c r="U468" s="2">
        <v>3</v>
      </c>
      <c r="V468" s="2"/>
    </row>
    <row r="469" spans="1:22" x14ac:dyDescent="0.35">
      <c r="A469" s="3" t="s">
        <v>1634</v>
      </c>
      <c r="B469" s="3" t="s">
        <v>186</v>
      </c>
      <c r="C469" s="3" t="s">
        <v>1635</v>
      </c>
      <c r="D469" s="3" t="s">
        <v>1636</v>
      </c>
      <c r="E469" s="3" t="s">
        <v>1637</v>
      </c>
      <c r="F469" s="3" t="s">
        <v>69</v>
      </c>
      <c r="G469" s="3" t="s">
        <v>93</v>
      </c>
      <c r="H469" s="3" t="s">
        <v>140</v>
      </c>
      <c r="I469" s="3" t="s">
        <v>30</v>
      </c>
      <c r="J469" s="3">
        <v>457</v>
      </c>
      <c r="K469" s="3">
        <v>916.76</v>
      </c>
      <c r="L469" s="3">
        <v>1253.68</v>
      </c>
      <c r="M469" s="3">
        <v>572931.76</v>
      </c>
      <c r="N469" s="3">
        <v>418959.32</v>
      </c>
      <c r="O469" s="3">
        <v>153972.44</v>
      </c>
      <c r="P469" s="3" t="s">
        <v>42</v>
      </c>
      <c r="Q469" s="3" t="s">
        <v>32</v>
      </c>
      <c r="R469" s="3">
        <v>10</v>
      </c>
      <c r="S469" s="3" t="s">
        <v>43</v>
      </c>
      <c r="T469" s="3">
        <v>1159</v>
      </c>
      <c r="U469" s="3">
        <v>20</v>
      </c>
      <c r="V469" s="3"/>
    </row>
    <row r="470" spans="1:22" x14ac:dyDescent="0.35">
      <c r="A470" s="2" t="s">
        <v>1638</v>
      </c>
      <c r="B470" s="2" t="s">
        <v>650</v>
      </c>
      <c r="C470" s="2" t="s">
        <v>1307</v>
      </c>
      <c r="D470" s="2" t="s">
        <v>1639</v>
      </c>
      <c r="E470" s="2" t="s">
        <v>26</v>
      </c>
      <c r="F470" s="2" t="s">
        <v>77</v>
      </c>
      <c r="G470" s="2" t="s">
        <v>189</v>
      </c>
      <c r="H470" s="2" t="s">
        <v>271</v>
      </c>
      <c r="I470" s="2" t="s">
        <v>62</v>
      </c>
      <c r="J470" s="2">
        <v>654</v>
      </c>
      <c r="K470" s="2">
        <v>928.04</v>
      </c>
      <c r="L470" s="2">
        <v>1308.49</v>
      </c>
      <c r="M470" s="2">
        <v>855752.46</v>
      </c>
      <c r="N470" s="2">
        <v>606938.16</v>
      </c>
      <c r="O470" s="2">
        <v>248814.3</v>
      </c>
      <c r="P470" s="2" t="s">
        <v>42</v>
      </c>
      <c r="Q470" s="2" t="s">
        <v>32</v>
      </c>
      <c r="R470" s="2">
        <v>11</v>
      </c>
      <c r="S470" s="2" t="s">
        <v>86</v>
      </c>
      <c r="T470" s="2">
        <v>4940</v>
      </c>
      <c r="U470" s="2">
        <v>24</v>
      </c>
      <c r="V470" s="2"/>
    </row>
    <row r="471" spans="1:22" x14ac:dyDescent="0.35">
      <c r="A471" s="3" t="s">
        <v>1640</v>
      </c>
      <c r="B471" s="3" t="s">
        <v>1641</v>
      </c>
      <c r="C471" s="3" t="s">
        <v>1049</v>
      </c>
      <c r="D471" s="3" t="s">
        <v>1642</v>
      </c>
      <c r="E471" s="3" t="s">
        <v>100</v>
      </c>
      <c r="F471" s="3" t="s">
        <v>106</v>
      </c>
      <c r="G471" s="3" t="s">
        <v>189</v>
      </c>
      <c r="H471" s="3" t="s">
        <v>561</v>
      </c>
      <c r="I471" s="3" t="s">
        <v>41</v>
      </c>
      <c r="J471" s="3">
        <v>15</v>
      </c>
      <c r="K471" s="3">
        <v>890.62</v>
      </c>
      <c r="L471" s="3">
        <v>1132.44</v>
      </c>
      <c r="M471" s="3">
        <v>16986.599999999999</v>
      </c>
      <c r="N471" s="3">
        <v>13359.3</v>
      </c>
      <c r="O471" s="3">
        <v>3627.3</v>
      </c>
      <c r="P471" s="3" t="s">
        <v>31</v>
      </c>
      <c r="Q471" s="3" t="s">
        <v>32</v>
      </c>
      <c r="R471" s="3">
        <v>12</v>
      </c>
      <c r="S471" s="3" t="s">
        <v>86</v>
      </c>
      <c r="T471" s="3">
        <v>3619</v>
      </c>
      <c r="U471" s="3">
        <v>1</v>
      </c>
      <c r="V471" s="3"/>
    </row>
    <row r="472" spans="1:22" x14ac:dyDescent="0.35">
      <c r="A472" s="2" t="s">
        <v>1643</v>
      </c>
      <c r="B472" s="2" t="s">
        <v>1114</v>
      </c>
      <c r="C472" s="2" t="s">
        <v>103</v>
      </c>
      <c r="D472" s="2" t="s">
        <v>1644</v>
      </c>
      <c r="E472" s="2" t="s">
        <v>48</v>
      </c>
      <c r="F472" s="2" t="s">
        <v>270</v>
      </c>
      <c r="G472" s="2" t="s">
        <v>28</v>
      </c>
      <c r="H472" s="2" t="s">
        <v>579</v>
      </c>
      <c r="I472" s="2" t="s">
        <v>85</v>
      </c>
      <c r="J472" s="2">
        <v>305</v>
      </c>
      <c r="K472" s="2">
        <v>1088.93</v>
      </c>
      <c r="L472" s="2">
        <v>1724.36</v>
      </c>
      <c r="M472" s="2">
        <v>525929.80000000005</v>
      </c>
      <c r="N472" s="2">
        <v>332123.65000000002</v>
      </c>
      <c r="O472" s="2">
        <v>193806.15</v>
      </c>
      <c r="P472" s="2" t="s">
        <v>52</v>
      </c>
      <c r="Q472" s="2" t="s">
        <v>32</v>
      </c>
      <c r="R472" s="2">
        <v>9</v>
      </c>
      <c r="S472" s="2" t="s">
        <v>33</v>
      </c>
      <c r="T472" s="2">
        <v>2103</v>
      </c>
      <c r="U472" s="2">
        <v>13</v>
      </c>
      <c r="V472" s="2"/>
    </row>
    <row r="473" spans="1:22" x14ac:dyDescent="0.35">
      <c r="A473" s="3" t="s">
        <v>1645</v>
      </c>
      <c r="B473" s="3" t="s">
        <v>832</v>
      </c>
      <c r="C473" s="3" t="s">
        <v>56</v>
      </c>
      <c r="D473" s="3" t="s">
        <v>1646</v>
      </c>
      <c r="E473" s="4"/>
      <c r="F473" s="3" t="s">
        <v>59</v>
      </c>
      <c r="G473" s="3" t="s">
        <v>217</v>
      </c>
      <c r="H473" s="3" t="s">
        <v>292</v>
      </c>
      <c r="I473" s="3" t="s">
        <v>118</v>
      </c>
      <c r="J473" s="3">
        <v>358</v>
      </c>
      <c r="K473" s="3">
        <v>499.89</v>
      </c>
      <c r="L473" s="3">
        <v>788.69</v>
      </c>
      <c r="M473" s="3">
        <v>282351.02</v>
      </c>
      <c r="N473" s="3">
        <v>178960.62</v>
      </c>
      <c r="O473" s="3">
        <v>103390.39999999999</v>
      </c>
      <c r="P473" s="3" t="s">
        <v>31</v>
      </c>
      <c r="Q473" s="3" t="s">
        <v>63</v>
      </c>
      <c r="R473" s="3">
        <v>2</v>
      </c>
      <c r="S473" s="3" t="s">
        <v>158</v>
      </c>
      <c r="T473" s="3">
        <v>4221</v>
      </c>
      <c r="U473" s="3">
        <v>11</v>
      </c>
      <c r="V473" s="3"/>
    </row>
    <row r="474" spans="1:22" x14ac:dyDescent="0.35">
      <c r="A474" s="2" t="s">
        <v>1647</v>
      </c>
      <c r="B474" s="2" t="s">
        <v>1375</v>
      </c>
      <c r="C474" s="2" t="s">
        <v>1578</v>
      </c>
      <c r="D474" s="2" t="s">
        <v>1648</v>
      </c>
      <c r="E474" s="2" t="s">
        <v>68</v>
      </c>
      <c r="F474" s="2" t="s">
        <v>163</v>
      </c>
      <c r="G474" s="2" t="s">
        <v>129</v>
      </c>
      <c r="H474" s="2" t="s">
        <v>704</v>
      </c>
      <c r="I474" s="2" t="s">
        <v>85</v>
      </c>
      <c r="J474" s="2">
        <v>136</v>
      </c>
      <c r="K474" s="2">
        <v>295.85000000000002</v>
      </c>
      <c r="L474" s="2">
        <v>361.81</v>
      </c>
      <c r="M474" s="2">
        <v>49206.16</v>
      </c>
      <c r="N474" s="2">
        <v>40235.599999999999</v>
      </c>
      <c r="O474" s="2">
        <v>8970.56</v>
      </c>
      <c r="P474" s="2" t="s">
        <v>31</v>
      </c>
      <c r="Q474" s="2" t="s">
        <v>63</v>
      </c>
      <c r="R474" s="2">
        <v>3</v>
      </c>
      <c r="S474" s="2" t="s">
        <v>53</v>
      </c>
      <c r="T474" s="2">
        <v>3565</v>
      </c>
      <c r="U474" s="2">
        <v>0</v>
      </c>
      <c r="V474" s="2"/>
    </row>
    <row r="475" spans="1:22" x14ac:dyDescent="0.35">
      <c r="A475" s="3" t="s">
        <v>1649</v>
      </c>
      <c r="B475" s="3" t="s">
        <v>1650</v>
      </c>
      <c r="C475" s="3" t="s">
        <v>1651</v>
      </c>
      <c r="D475" s="3" t="s">
        <v>1652</v>
      </c>
      <c r="E475" s="3" t="s">
        <v>100</v>
      </c>
      <c r="F475" s="3" t="s">
        <v>238</v>
      </c>
      <c r="G475" s="3" t="s">
        <v>217</v>
      </c>
      <c r="H475" s="3" t="s">
        <v>340</v>
      </c>
      <c r="I475" s="3" t="s">
        <v>118</v>
      </c>
      <c r="J475" s="3">
        <v>679</v>
      </c>
      <c r="K475" s="3">
        <v>688.14</v>
      </c>
      <c r="L475" s="3">
        <v>997.13</v>
      </c>
      <c r="M475" s="3">
        <v>677051.27</v>
      </c>
      <c r="N475" s="3">
        <v>467247.06</v>
      </c>
      <c r="O475" s="3">
        <v>209804.21</v>
      </c>
      <c r="P475" s="3" t="s">
        <v>95</v>
      </c>
      <c r="Q475" s="3" t="s">
        <v>32</v>
      </c>
      <c r="R475" s="3">
        <v>8</v>
      </c>
      <c r="S475" s="3" t="s">
        <v>53</v>
      </c>
      <c r="T475" s="3">
        <v>649</v>
      </c>
      <c r="U475" s="3">
        <v>8</v>
      </c>
      <c r="V475" s="3"/>
    </row>
    <row r="476" spans="1:22" x14ac:dyDescent="0.35">
      <c r="A476" s="2" t="s">
        <v>1653</v>
      </c>
      <c r="B476" s="2" t="s">
        <v>988</v>
      </c>
      <c r="C476" s="2" t="s">
        <v>1654</v>
      </c>
      <c r="D476" s="2" t="s">
        <v>1655</v>
      </c>
      <c r="E476" s="2" t="s">
        <v>48</v>
      </c>
      <c r="F476" s="2" t="s">
        <v>49</v>
      </c>
      <c r="G476" s="2" t="s">
        <v>78</v>
      </c>
      <c r="H476" s="2" t="s">
        <v>840</v>
      </c>
      <c r="I476" s="2" t="s">
        <v>293</v>
      </c>
      <c r="J476" s="2">
        <v>263</v>
      </c>
      <c r="K476" s="2">
        <v>889.99</v>
      </c>
      <c r="L476" s="2">
        <v>1152.68</v>
      </c>
      <c r="M476" s="2">
        <v>303154.84000000003</v>
      </c>
      <c r="N476" s="2">
        <v>234067.37</v>
      </c>
      <c r="O476" s="2">
        <v>69087.47</v>
      </c>
      <c r="P476" s="2" t="s">
        <v>31</v>
      </c>
      <c r="Q476" s="2" t="s">
        <v>32</v>
      </c>
      <c r="R476" s="2">
        <v>12</v>
      </c>
      <c r="S476" s="2" t="s">
        <v>43</v>
      </c>
      <c r="T476" s="2">
        <v>1033</v>
      </c>
      <c r="U476" s="2">
        <v>10</v>
      </c>
      <c r="V476" s="2"/>
    </row>
    <row r="477" spans="1:22" x14ac:dyDescent="0.35">
      <c r="A477" s="3" t="s">
        <v>1656</v>
      </c>
      <c r="B477" s="3" t="s">
        <v>645</v>
      </c>
      <c r="C477" s="3" t="s">
        <v>475</v>
      </c>
      <c r="D477" s="3" t="s">
        <v>1657</v>
      </c>
      <c r="E477" s="3" t="s">
        <v>48</v>
      </c>
      <c r="F477" s="3" t="s">
        <v>281</v>
      </c>
      <c r="G477" s="3" t="s">
        <v>50</v>
      </c>
      <c r="H477" s="3" t="s">
        <v>282</v>
      </c>
      <c r="I477" s="3" t="s">
        <v>153</v>
      </c>
      <c r="J477" s="3">
        <v>655</v>
      </c>
      <c r="K477" s="3">
        <v>862.73</v>
      </c>
      <c r="L477" s="3">
        <v>1065.31</v>
      </c>
      <c r="M477" s="3">
        <v>697778.05</v>
      </c>
      <c r="N477" s="3">
        <v>565088.15</v>
      </c>
      <c r="O477" s="3">
        <v>132689.9</v>
      </c>
      <c r="P477" s="3" t="s">
        <v>95</v>
      </c>
      <c r="Q477" s="3" t="s">
        <v>32</v>
      </c>
      <c r="R477" s="3">
        <v>10</v>
      </c>
      <c r="S477" s="3" t="s">
        <v>33</v>
      </c>
      <c r="T477" s="3">
        <v>1275</v>
      </c>
      <c r="U477" s="3">
        <v>27</v>
      </c>
      <c r="V477" s="3"/>
    </row>
    <row r="478" spans="1:22" x14ac:dyDescent="0.35">
      <c r="A478" s="2" t="s">
        <v>1658</v>
      </c>
      <c r="B478" s="2" t="s">
        <v>786</v>
      </c>
      <c r="C478" s="2" t="s">
        <v>591</v>
      </c>
      <c r="D478" s="2" t="s">
        <v>1659</v>
      </c>
      <c r="E478" s="2" t="s">
        <v>100</v>
      </c>
      <c r="F478" s="2" t="s">
        <v>101</v>
      </c>
      <c r="G478" s="2" t="s">
        <v>39</v>
      </c>
      <c r="H478" s="2" t="s">
        <v>647</v>
      </c>
      <c r="I478" s="2" t="s">
        <v>1660</v>
      </c>
      <c r="J478" s="2">
        <v>592</v>
      </c>
      <c r="K478" s="2">
        <v>689.7</v>
      </c>
      <c r="L478" s="2">
        <v>1089.29</v>
      </c>
      <c r="M478" s="2">
        <v>644859.68000000005</v>
      </c>
      <c r="N478" s="2">
        <v>408302.4</v>
      </c>
      <c r="O478" s="2">
        <v>236557.28</v>
      </c>
      <c r="P478" s="2" t="s">
        <v>52</v>
      </c>
      <c r="Q478" s="2" t="s">
        <v>32</v>
      </c>
      <c r="R478" s="2">
        <v>6</v>
      </c>
      <c r="S478" s="2" t="s">
        <v>43</v>
      </c>
      <c r="T478" s="2">
        <v>4389</v>
      </c>
      <c r="U478" s="2">
        <v>12</v>
      </c>
      <c r="V478" s="2"/>
    </row>
    <row r="479" spans="1:22" x14ac:dyDescent="0.35">
      <c r="A479" s="3" t="s">
        <v>1661</v>
      </c>
      <c r="B479" s="3" t="s">
        <v>74</v>
      </c>
      <c r="C479" s="3" t="s">
        <v>1662</v>
      </c>
      <c r="D479" s="3" t="s">
        <v>1663</v>
      </c>
      <c r="E479" s="3" t="s">
        <v>58</v>
      </c>
      <c r="F479" s="3" t="s">
        <v>122</v>
      </c>
      <c r="G479" s="3" t="s">
        <v>70</v>
      </c>
      <c r="H479" s="3" t="s">
        <v>384</v>
      </c>
      <c r="I479" s="3" t="s">
        <v>85</v>
      </c>
      <c r="J479" s="3">
        <v>150</v>
      </c>
      <c r="K479" s="3">
        <v>261.25</v>
      </c>
      <c r="L479" s="3">
        <v>392.83</v>
      </c>
      <c r="M479" s="3">
        <v>58924.5</v>
      </c>
      <c r="N479" s="3">
        <v>39187.5</v>
      </c>
      <c r="O479" s="3">
        <v>19737</v>
      </c>
      <c r="P479" s="3" t="s">
        <v>52</v>
      </c>
      <c r="Q479" s="3" t="s">
        <v>32</v>
      </c>
      <c r="R479" s="3">
        <v>6</v>
      </c>
      <c r="S479" s="3" t="s">
        <v>43</v>
      </c>
      <c r="T479" s="3">
        <v>240</v>
      </c>
      <c r="U479" s="3">
        <v>6</v>
      </c>
      <c r="V479" s="3"/>
    </row>
    <row r="480" spans="1:22" x14ac:dyDescent="0.35">
      <c r="A480" s="2" t="s">
        <v>1664</v>
      </c>
      <c r="B480" s="2" t="s">
        <v>1622</v>
      </c>
      <c r="C480" s="2" t="s">
        <v>1499</v>
      </c>
      <c r="D480" s="2" t="s">
        <v>1665</v>
      </c>
      <c r="E480" s="2" t="s">
        <v>100</v>
      </c>
      <c r="F480" s="2" t="s">
        <v>101</v>
      </c>
      <c r="G480" s="2" t="s">
        <v>70</v>
      </c>
      <c r="H480" s="2" t="s">
        <v>84</v>
      </c>
      <c r="I480" s="2" t="s">
        <v>240</v>
      </c>
      <c r="J480" s="2">
        <v>357</v>
      </c>
      <c r="K480" s="2">
        <v>1039.82</v>
      </c>
      <c r="L480" s="2">
        <v>1543.62</v>
      </c>
      <c r="M480" s="2">
        <v>551072.34</v>
      </c>
      <c r="N480" s="2">
        <v>371215.74</v>
      </c>
      <c r="O480" s="2">
        <v>179856.6</v>
      </c>
      <c r="P480" s="2" t="s">
        <v>42</v>
      </c>
      <c r="Q480" s="2" t="s">
        <v>32</v>
      </c>
      <c r="R480" s="2">
        <v>10</v>
      </c>
      <c r="S480" s="2" t="s">
        <v>112</v>
      </c>
      <c r="T480" s="2">
        <v>1637</v>
      </c>
      <c r="U480" s="2">
        <v>8</v>
      </c>
      <c r="V480" s="2"/>
    </row>
    <row r="481" spans="1:22" x14ac:dyDescent="0.35">
      <c r="A481" s="3" t="s">
        <v>1666</v>
      </c>
      <c r="B481" s="3" t="s">
        <v>1667</v>
      </c>
      <c r="C481" s="3" t="s">
        <v>137</v>
      </c>
      <c r="D481" s="3" t="s">
        <v>1668</v>
      </c>
      <c r="E481" s="3" t="s">
        <v>68</v>
      </c>
      <c r="F481" s="3" t="s">
        <v>249</v>
      </c>
      <c r="G481" s="3" t="s">
        <v>50</v>
      </c>
      <c r="H481" s="3" t="s">
        <v>107</v>
      </c>
      <c r="I481" s="3" t="s">
        <v>72</v>
      </c>
      <c r="J481" s="3">
        <v>338</v>
      </c>
      <c r="K481" s="3">
        <v>574.53</v>
      </c>
      <c r="L481" s="3">
        <v>925.09</v>
      </c>
      <c r="M481" s="3">
        <v>312680.42</v>
      </c>
      <c r="N481" s="3">
        <v>194191.14</v>
      </c>
      <c r="O481" s="3">
        <v>118489.28</v>
      </c>
      <c r="P481" s="3" t="s">
        <v>52</v>
      </c>
      <c r="Q481" s="3" t="s">
        <v>32</v>
      </c>
      <c r="R481" s="3">
        <v>7</v>
      </c>
      <c r="S481" s="3" t="s">
        <v>86</v>
      </c>
      <c r="T481" s="3">
        <v>1424</v>
      </c>
      <c r="U481" s="3">
        <v>6</v>
      </c>
      <c r="V481" s="3"/>
    </row>
    <row r="482" spans="1:22" x14ac:dyDescent="0.35">
      <c r="A482" s="2" t="s">
        <v>1669</v>
      </c>
      <c r="B482" s="2" t="s">
        <v>1670</v>
      </c>
      <c r="C482" s="2" t="s">
        <v>1252</v>
      </c>
      <c r="D482" s="2" t="s">
        <v>1671</v>
      </c>
      <c r="E482" s="2" t="s">
        <v>48</v>
      </c>
      <c r="F482" s="2" t="s">
        <v>183</v>
      </c>
      <c r="G482" s="2" t="s">
        <v>217</v>
      </c>
      <c r="H482" s="2" t="s">
        <v>218</v>
      </c>
      <c r="I482" s="2" t="s">
        <v>240</v>
      </c>
      <c r="J482" s="2">
        <v>459</v>
      </c>
      <c r="K482" s="2">
        <v>1169.07</v>
      </c>
      <c r="L482" s="2">
        <v>1923.76</v>
      </c>
      <c r="M482" s="2">
        <v>883005.84</v>
      </c>
      <c r="N482" s="2">
        <v>536603.13</v>
      </c>
      <c r="O482" s="2">
        <v>346402.71</v>
      </c>
      <c r="P482" s="2" t="s">
        <v>42</v>
      </c>
      <c r="Q482" s="2" t="s">
        <v>32</v>
      </c>
      <c r="R482" s="2">
        <v>7</v>
      </c>
      <c r="S482" s="2" t="s">
        <v>33</v>
      </c>
      <c r="T482" s="2">
        <v>4451</v>
      </c>
      <c r="U482" s="2">
        <v>6</v>
      </c>
      <c r="V482" s="2"/>
    </row>
    <row r="483" spans="1:22" x14ac:dyDescent="0.35">
      <c r="A483" s="3" t="s">
        <v>1672</v>
      </c>
      <c r="B483" s="3" t="s">
        <v>1673</v>
      </c>
      <c r="C483" s="3" t="s">
        <v>1674</v>
      </c>
      <c r="D483" s="3" t="s">
        <v>1675</v>
      </c>
      <c r="E483" s="3" t="s">
        <v>100</v>
      </c>
      <c r="F483" s="3" t="s">
        <v>106</v>
      </c>
      <c r="G483" s="3" t="s">
        <v>78</v>
      </c>
      <c r="H483" s="3" t="s">
        <v>425</v>
      </c>
      <c r="I483" s="3" t="s">
        <v>240</v>
      </c>
      <c r="J483" s="3">
        <v>152</v>
      </c>
      <c r="K483" s="3">
        <v>357.28</v>
      </c>
      <c r="L483" s="3">
        <v>587.83000000000004</v>
      </c>
      <c r="M483" s="3">
        <v>89350.16</v>
      </c>
      <c r="N483" s="3">
        <v>54306.559999999998</v>
      </c>
      <c r="O483" s="3">
        <v>35043.599999999999</v>
      </c>
      <c r="P483" s="3" t="s">
        <v>52</v>
      </c>
      <c r="Q483" s="3" t="s">
        <v>63</v>
      </c>
      <c r="R483" s="3">
        <v>3</v>
      </c>
      <c r="S483" s="3" t="s">
        <v>33</v>
      </c>
      <c r="T483" s="3">
        <v>4595</v>
      </c>
      <c r="U483" s="3">
        <v>5</v>
      </c>
      <c r="V483" s="3"/>
    </row>
    <row r="484" spans="1:22" x14ac:dyDescent="0.35">
      <c r="A484" s="2" t="s">
        <v>1676</v>
      </c>
      <c r="B484" s="2" t="s">
        <v>1206</v>
      </c>
      <c r="C484" s="2" t="s">
        <v>694</v>
      </c>
      <c r="D484" s="2" t="s">
        <v>550</v>
      </c>
      <c r="E484" s="2" t="s">
        <v>58</v>
      </c>
      <c r="F484" s="2" t="s">
        <v>417</v>
      </c>
      <c r="G484" s="2" t="s">
        <v>50</v>
      </c>
      <c r="H484" s="2" t="s">
        <v>107</v>
      </c>
      <c r="I484" s="2" t="s">
        <v>85</v>
      </c>
      <c r="J484" s="2">
        <v>201</v>
      </c>
      <c r="K484" s="2">
        <v>512.6</v>
      </c>
      <c r="L484" s="2">
        <v>590.64</v>
      </c>
      <c r="M484" s="2">
        <v>118718.64</v>
      </c>
      <c r="N484" s="2">
        <v>103032.6</v>
      </c>
      <c r="O484" s="2">
        <v>15686.04</v>
      </c>
      <c r="P484" s="2" t="s">
        <v>31</v>
      </c>
      <c r="Q484" s="2" t="s">
        <v>32</v>
      </c>
      <c r="R484" s="2">
        <v>11</v>
      </c>
      <c r="S484" s="2" t="s">
        <v>43</v>
      </c>
      <c r="T484" s="2">
        <v>4037</v>
      </c>
      <c r="U484" s="2">
        <v>9</v>
      </c>
      <c r="V484" s="2"/>
    </row>
    <row r="485" spans="1:22" x14ac:dyDescent="0.35">
      <c r="A485" s="3" t="s">
        <v>1677</v>
      </c>
      <c r="B485" s="3" t="s">
        <v>347</v>
      </c>
      <c r="C485" s="3" t="s">
        <v>1226</v>
      </c>
      <c r="D485" s="3" t="s">
        <v>1407</v>
      </c>
      <c r="E485" s="3" t="s">
        <v>58</v>
      </c>
      <c r="F485" s="3" t="s">
        <v>259</v>
      </c>
      <c r="G485" s="3" t="s">
        <v>39</v>
      </c>
      <c r="H485" s="3" t="s">
        <v>147</v>
      </c>
      <c r="I485" s="3" t="s">
        <v>30</v>
      </c>
      <c r="J485" s="3">
        <v>706</v>
      </c>
      <c r="K485" s="3">
        <v>521.52</v>
      </c>
      <c r="L485" s="3">
        <v>592.87</v>
      </c>
      <c r="M485" s="3">
        <v>418566.22</v>
      </c>
      <c r="N485" s="3">
        <v>368193.12</v>
      </c>
      <c r="O485" s="3">
        <v>50373.1</v>
      </c>
      <c r="P485" s="3" t="s">
        <v>95</v>
      </c>
      <c r="Q485" s="3" t="s">
        <v>32</v>
      </c>
      <c r="R485" s="3">
        <v>8</v>
      </c>
      <c r="S485" s="3" t="s">
        <v>158</v>
      </c>
      <c r="T485" s="3">
        <v>2069</v>
      </c>
      <c r="U485" s="3">
        <v>28</v>
      </c>
      <c r="V485" s="3"/>
    </row>
    <row r="486" spans="1:22" x14ac:dyDescent="0.35">
      <c r="A486" s="2" t="s">
        <v>1678</v>
      </c>
      <c r="B486" s="2" t="s">
        <v>479</v>
      </c>
      <c r="C486" s="2" t="s">
        <v>786</v>
      </c>
      <c r="D486" s="2" t="s">
        <v>1679</v>
      </c>
      <c r="E486" s="2" t="s">
        <v>48</v>
      </c>
      <c r="F486" s="2" t="s">
        <v>223</v>
      </c>
      <c r="G486" s="2" t="s">
        <v>28</v>
      </c>
      <c r="H486" s="2" t="s">
        <v>507</v>
      </c>
      <c r="I486" s="2" t="s">
        <v>293</v>
      </c>
      <c r="J486" s="2">
        <v>427</v>
      </c>
      <c r="K486" s="2">
        <v>461.59</v>
      </c>
      <c r="L486" s="2">
        <v>667.54</v>
      </c>
      <c r="M486" s="2">
        <v>285039.58</v>
      </c>
      <c r="N486" s="2">
        <v>197098.93</v>
      </c>
      <c r="O486" s="2">
        <v>87940.65</v>
      </c>
      <c r="P486" s="2" t="s">
        <v>42</v>
      </c>
      <c r="Q486" s="2" t="s">
        <v>32</v>
      </c>
      <c r="R486" s="2">
        <v>10</v>
      </c>
      <c r="S486" s="2" t="s">
        <v>53</v>
      </c>
      <c r="T486" s="2">
        <v>2408</v>
      </c>
      <c r="U486" s="2">
        <v>18</v>
      </c>
      <c r="V486" s="2"/>
    </row>
    <row r="487" spans="1:22" x14ac:dyDescent="0.35">
      <c r="A487" s="3" t="s">
        <v>1680</v>
      </c>
      <c r="B487" s="3" t="s">
        <v>114</v>
      </c>
      <c r="C487" s="3" t="s">
        <v>1539</v>
      </c>
      <c r="D487" s="3" t="s">
        <v>1681</v>
      </c>
      <c r="E487" s="3" t="s">
        <v>48</v>
      </c>
      <c r="F487" s="3" t="s">
        <v>183</v>
      </c>
      <c r="G487" s="3" t="s">
        <v>129</v>
      </c>
      <c r="H487" s="3" t="s">
        <v>152</v>
      </c>
      <c r="I487" s="3" t="s">
        <v>191</v>
      </c>
      <c r="J487" s="3">
        <v>394</v>
      </c>
      <c r="K487" s="3">
        <v>314</v>
      </c>
      <c r="L487" s="3">
        <v>397.36</v>
      </c>
      <c r="M487" s="3">
        <v>156559.84</v>
      </c>
      <c r="N487" s="3">
        <v>123716</v>
      </c>
      <c r="O487" s="3">
        <v>32843.839999999997</v>
      </c>
      <c r="P487" s="3" t="s">
        <v>95</v>
      </c>
      <c r="Q487" s="3" t="s">
        <v>32</v>
      </c>
      <c r="R487" s="3">
        <v>10</v>
      </c>
      <c r="S487" s="3" t="s">
        <v>53</v>
      </c>
      <c r="T487" s="3">
        <v>4182</v>
      </c>
      <c r="U487" s="3">
        <v>13</v>
      </c>
      <c r="V487" s="3"/>
    </row>
    <row r="488" spans="1:22" x14ac:dyDescent="0.35">
      <c r="A488" s="2" t="s">
        <v>1682</v>
      </c>
      <c r="B488" s="2" t="s">
        <v>1667</v>
      </c>
      <c r="C488" s="2" t="s">
        <v>1433</v>
      </c>
      <c r="D488" s="2" t="s">
        <v>1683</v>
      </c>
      <c r="E488" s="2" t="s">
        <v>48</v>
      </c>
      <c r="F488" s="2" t="s">
        <v>49</v>
      </c>
      <c r="G488" s="2" t="s">
        <v>70</v>
      </c>
      <c r="H488" s="2" t="s">
        <v>446</v>
      </c>
      <c r="I488" s="2" t="s">
        <v>191</v>
      </c>
      <c r="J488" s="2">
        <v>438</v>
      </c>
      <c r="K488" s="2">
        <v>733.49</v>
      </c>
      <c r="L488" s="2">
        <v>984.88</v>
      </c>
      <c r="M488" s="2">
        <v>431377.44</v>
      </c>
      <c r="N488" s="2">
        <v>321268.62</v>
      </c>
      <c r="O488" s="2">
        <v>110108.82</v>
      </c>
      <c r="P488" s="2" t="s">
        <v>95</v>
      </c>
      <c r="Q488" s="2" t="s">
        <v>32</v>
      </c>
      <c r="R488" s="2">
        <v>9</v>
      </c>
      <c r="S488" s="2" t="s">
        <v>86</v>
      </c>
      <c r="T488" s="2">
        <v>550</v>
      </c>
      <c r="U488" s="2">
        <v>13</v>
      </c>
      <c r="V488" s="2"/>
    </row>
    <row r="489" spans="1:22" x14ac:dyDescent="0.35">
      <c r="A489" s="3" t="s">
        <v>1684</v>
      </c>
      <c r="B489" s="3" t="s">
        <v>1685</v>
      </c>
      <c r="C489" s="3" t="s">
        <v>407</v>
      </c>
      <c r="D489" s="3" t="s">
        <v>699</v>
      </c>
      <c r="E489" s="3" t="s">
        <v>68</v>
      </c>
      <c r="F489" s="3" t="s">
        <v>69</v>
      </c>
      <c r="G489" s="3" t="s">
        <v>129</v>
      </c>
      <c r="H489" s="3" t="s">
        <v>316</v>
      </c>
      <c r="I489" s="3" t="s">
        <v>1686</v>
      </c>
      <c r="J489" s="3">
        <v>565</v>
      </c>
      <c r="K489" s="3">
        <v>558</v>
      </c>
      <c r="L489" s="3">
        <v>707.07</v>
      </c>
      <c r="M489" s="3">
        <v>399494.55</v>
      </c>
      <c r="N489" s="3">
        <v>315270</v>
      </c>
      <c r="O489" s="3">
        <v>84224.55</v>
      </c>
      <c r="P489" s="3" t="s">
        <v>52</v>
      </c>
      <c r="Q489" s="3" t="s">
        <v>32</v>
      </c>
      <c r="R489" s="3">
        <v>11</v>
      </c>
      <c r="S489" s="3" t="s">
        <v>43</v>
      </c>
      <c r="T489" s="3">
        <v>1452</v>
      </c>
      <c r="U489" s="3">
        <v>10</v>
      </c>
      <c r="V489" s="3"/>
    </row>
    <row r="490" spans="1:22" x14ac:dyDescent="0.35">
      <c r="A490" s="2" t="s">
        <v>1687</v>
      </c>
      <c r="B490" s="2" t="s">
        <v>1688</v>
      </c>
      <c r="C490" s="2" t="s">
        <v>559</v>
      </c>
      <c r="D490" s="2" t="s">
        <v>1689</v>
      </c>
      <c r="E490" s="2" t="s">
        <v>26</v>
      </c>
      <c r="F490" s="2" t="s">
        <v>27</v>
      </c>
      <c r="G490" s="2" t="s">
        <v>70</v>
      </c>
      <c r="H490" s="2" t="s">
        <v>84</v>
      </c>
      <c r="I490" s="2" t="s">
        <v>85</v>
      </c>
      <c r="J490" s="2">
        <v>581</v>
      </c>
      <c r="K490" s="2">
        <v>717.48</v>
      </c>
      <c r="L490" s="2">
        <v>805.03</v>
      </c>
      <c r="M490" s="2">
        <v>467722.43</v>
      </c>
      <c r="N490" s="2">
        <v>416855.88</v>
      </c>
      <c r="O490" s="2">
        <v>50866.55</v>
      </c>
      <c r="P490" s="2" t="s">
        <v>42</v>
      </c>
      <c r="Q490" s="2" t="s">
        <v>32</v>
      </c>
      <c r="R490" s="2">
        <v>14</v>
      </c>
      <c r="S490" s="2" t="s">
        <v>53</v>
      </c>
      <c r="T490" s="2">
        <v>983</v>
      </c>
      <c r="U490" s="2">
        <v>28</v>
      </c>
      <c r="V490" s="2"/>
    </row>
    <row r="491" spans="1:22" x14ac:dyDescent="0.35">
      <c r="A491" s="3" t="s">
        <v>1690</v>
      </c>
      <c r="B491" s="3" t="s">
        <v>23</v>
      </c>
      <c r="C491" s="3" t="s">
        <v>333</v>
      </c>
      <c r="D491" s="3" t="s">
        <v>1691</v>
      </c>
      <c r="E491" s="3" t="s">
        <v>58</v>
      </c>
      <c r="F491" s="3" t="s">
        <v>122</v>
      </c>
      <c r="G491" s="3" t="s">
        <v>60</v>
      </c>
      <c r="H491" s="3" t="s">
        <v>780</v>
      </c>
      <c r="I491" s="3" t="s">
        <v>153</v>
      </c>
      <c r="J491" s="3">
        <v>282</v>
      </c>
      <c r="K491" s="3">
        <v>967.25</v>
      </c>
      <c r="L491" s="3">
        <v>1091.42</v>
      </c>
      <c r="M491" s="3">
        <v>307780.44</v>
      </c>
      <c r="N491" s="3">
        <v>272764.5</v>
      </c>
      <c r="O491" s="3">
        <v>35015.94</v>
      </c>
      <c r="P491" s="3" t="s">
        <v>95</v>
      </c>
      <c r="Q491" s="3" t="s">
        <v>32</v>
      </c>
      <c r="R491" s="3">
        <v>10</v>
      </c>
      <c r="S491" s="3" t="s">
        <v>86</v>
      </c>
      <c r="T491" s="3">
        <v>3467</v>
      </c>
      <c r="U491" s="3">
        <v>3</v>
      </c>
      <c r="V491" s="3"/>
    </row>
    <row r="492" spans="1:22" x14ac:dyDescent="0.35">
      <c r="A492" s="2" t="s">
        <v>1692</v>
      </c>
      <c r="B492" s="2" t="s">
        <v>1662</v>
      </c>
      <c r="C492" s="2" t="s">
        <v>1693</v>
      </c>
      <c r="D492" s="2" t="s">
        <v>1694</v>
      </c>
      <c r="E492" s="2" t="s">
        <v>48</v>
      </c>
      <c r="F492" s="2" t="s">
        <v>270</v>
      </c>
      <c r="G492" s="2" t="s">
        <v>28</v>
      </c>
      <c r="H492" s="2" t="s">
        <v>579</v>
      </c>
      <c r="I492" s="2" t="s">
        <v>30</v>
      </c>
      <c r="J492" s="2">
        <v>642</v>
      </c>
      <c r="K492" s="2">
        <v>850.43</v>
      </c>
      <c r="L492" s="2">
        <v>1295.3699999999999</v>
      </c>
      <c r="M492" s="2">
        <v>831627.54</v>
      </c>
      <c r="N492" s="2">
        <v>545976.06000000006</v>
      </c>
      <c r="O492" s="2">
        <v>285651.48</v>
      </c>
      <c r="P492" s="2" t="s">
        <v>95</v>
      </c>
      <c r="Q492" s="2" t="s">
        <v>1558</v>
      </c>
      <c r="R492" s="2">
        <v>5</v>
      </c>
      <c r="S492" s="2" t="s">
        <v>53</v>
      </c>
      <c r="T492" s="2">
        <v>3044</v>
      </c>
      <c r="U492" s="2">
        <v>31</v>
      </c>
      <c r="V492" s="2"/>
    </row>
    <row r="493" spans="1:22" x14ac:dyDescent="0.35">
      <c r="A493" s="3" t="s">
        <v>1695</v>
      </c>
      <c r="B493" s="3" t="s">
        <v>542</v>
      </c>
      <c r="C493" s="3" t="s">
        <v>150</v>
      </c>
      <c r="D493" s="3" t="s">
        <v>1696</v>
      </c>
      <c r="E493" s="3" t="s">
        <v>48</v>
      </c>
      <c r="F493" s="3" t="s">
        <v>223</v>
      </c>
      <c r="G493" s="3" t="s">
        <v>93</v>
      </c>
      <c r="H493" s="3" t="s">
        <v>302</v>
      </c>
      <c r="I493" s="3" t="s">
        <v>85</v>
      </c>
      <c r="J493" s="3">
        <v>350</v>
      </c>
      <c r="K493" s="3">
        <v>183.32</v>
      </c>
      <c r="L493" s="3">
        <v>301.27</v>
      </c>
      <c r="M493" s="3">
        <v>105444.5</v>
      </c>
      <c r="N493" s="3">
        <v>64162</v>
      </c>
      <c r="O493" s="3">
        <v>41282.5</v>
      </c>
      <c r="P493" s="3" t="s">
        <v>42</v>
      </c>
      <c r="Q493" s="3" t="s">
        <v>32</v>
      </c>
      <c r="R493" s="3">
        <v>10</v>
      </c>
      <c r="S493" s="3" t="s">
        <v>33</v>
      </c>
      <c r="T493" s="3">
        <v>3846</v>
      </c>
      <c r="U493" s="3">
        <v>1</v>
      </c>
      <c r="V493" s="3"/>
    </row>
    <row r="494" spans="1:22" x14ac:dyDescent="0.35">
      <c r="A494" s="3" t="s">
        <v>1697</v>
      </c>
      <c r="B494" s="3" t="s">
        <v>510</v>
      </c>
      <c r="C494" s="3" t="s">
        <v>1698</v>
      </c>
      <c r="D494" s="3" t="s">
        <v>1699</v>
      </c>
      <c r="E494" s="3" t="s">
        <v>26</v>
      </c>
      <c r="F494" s="3" t="s">
        <v>228</v>
      </c>
      <c r="G494" s="3" t="s">
        <v>189</v>
      </c>
      <c r="H494" s="3" t="s">
        <v>561</v>
      </c>
      <c r="I494" s="3" t="s">
        <v>85</v>
      </c>
      <c r="J494" s="3">
        <v>203</v>
      </c>
      <c r="K494" s="3">
        <v>801.3</v>
      </c>
      <c r="L494" s="3">
        <v>1064.97</v>
      </c>
      <c r="M494" s="3">
        <v>216188.91</v>
      </c>
      <c r="N494" s="3">
        <v>162663.9</v>
      </c>
      <c r="O494" s="3">
        <v>53525.01</v>
      </c>
      <c r="P494" s="3" t="s">
        <v>95</v>
      </c>
      <c r="Q494" s="3" t="s">
        <v>63</v>
      </c>
      <c r="R494" s="3">
        <v>2</v>
      </c>
      <c r="S494" s="3" t="s">
        <v>86</v>
      </c>
      <c r="T494" s="3">
        <v>2010</v>
      </c>
      <c r="U494" s="3">
        <v>7</v>
      </c>
      <c r="V494" s="3"/>
    </row>
    <row r="495" spans="1:22" x14ac:dyDescent="0.35">
      <c r="A495" s="2" t="s">
        <v>1700</v>
      </c>
      <c r="B495" s="2" t="s">
        <v>850</v>
      </c>
      <c r="C495" s="2" t="s">
        <v>36</v>
      </c>
      <c r="D495" s="2" t="s">
        <v>1701</v>
      </c>
      <c r="E495" s="2" t="s">
        <v>26</v>
      </c>
      <c r="F495" s="2" t="s">
        <v>92</v>
      </c>
      <c r="G495" s="2" t="s">
        <v>60</v>
      </c>
      <c r="H495" s="2" t="s">
        <v>539</v>
      </c>
      <c r="I495" s="2" t="s">
        <v>30</v>
      </c>
      <c r="J495" s="2">
        <v>425</v>
      </c>
      <c r="K495" s="2">
        <v>165.49</v>
      </c>
      <c r="L495" s="2">
        <v>218.9</v>
      </c>
      <c r="M495" s="2">
        <v>93032.5</v>
      </c>
      <c r="N495" s="2">
        <v>70333.25</v>
      </c>
      <c r="O495" s="2">
        <v>22699.25</v>
      </c>
      <c r="P495" s="2" t="s">
        <v>95</v>
      </c>
      <c r="Q495" s="2" t="s">
        <v>63</v>
      </c>
      <c r="R495" s="2">
        <v>5</v>
      </c>
      <c r="S495" s="2" t="s">
        <v>53</v>
      </c>
      <c r="T495" s="2">
        <v>309</v>
      </c>
      <c r="U495" s="2">
        <v>13</v>
      </c>
      <c r="V495" s="2"/>
    </row>
    <row r="496" spans="1:22" x14ac:dyDescent="0.35">
      <c r="A496" s="3" t="s">
        <v>1702</v>
      </c>
      <c r="B496" s="3" t="s">
        <v>585</v>
      </c>
      <c r="C496" s="3" t="s">
        <v>1022</v>
      </c>
      <c r="D496" s="3" t="s">
        <v>1703</v>
      </c>
      <c r="E496" s="3" t="s">
        <v>68</v>
      </c>
      <c r="F496" s="3" t="s">
        <v>163</v>
      </c>
      <c r="G496" s="3" t="s">
        <v>28</v>
      </c>
      <c r="H496" s="3" t="s">
        <v>29</v>
      </c>
      <c r="I496" s="3" t="s">
        <v>1704</v>
      </c>
      <c r="J496" s="3">
        <v>597</v>
      </c>
      <c r="K496" s="3">
        <v>967.61</v>
      </c>
      <c r="L496" s="3">
        <v>1441.74</v>
      </c>
      <c r="M496" s="3">
        <v>860718.78</v>
      </c>
      <c r="N496" s="3">
        <v>577663.17000000004</v>
      </c>
      <c r="O496" s="3">
        <v>283055.61</v>
      </c>
      <c r="P496" s="3" t="s">
        <v>31</v>
      </c>
      <c r="Q496" s="3" t="s">
        <v>32</v>
      </c>
      <c r="R496" s="3">
        <v>6</v>
      </c>
      <c r="S496" s="3" t="s">
        <v>112</v>
      </c>
      <c r="T496" s="3">
        <v>1592</v>
      </c>
      <c r="U496" s="3">
        <v>8</v>
      </c>
      <c r="V496" s="3"/>
    </row>
    <row r="497" spans="1:22" x14ac:dyDescent="0.35">
      <c r="A497" s="2" t="s">
        <v>1705</v>
      </c>
      <c r="B497" s="2" t="s">
        <v>656</v>
      </c>
      <c r="C497" s="2" t="s">
        <v>226</v>
      </c>
      <c r="D497" s="2" t="s">
        <v>1706</v>
      </c>
      <c r="E497" s="2" t="s">
        <v>26</v>
      </c>
      <c r="F497" s="2" t="s">
        <v>38</v>
      </c>
      <c r="G497" s="2" t="s">
        <v>70</v>
      </c>
      <c r="H497" s="2" t="s">
        <v>384</v>
      </c>
      <c r="I497" s="2" t="s">
        <v>85</v>
      </c>
      <c r="J497" s="2">
        <v>676</v>
      </c>
      <c r="K497" s="2">
        <v>554.91999999999996</v>
      </c>
      <c r="L497" s="2">
        <v>909.13</v>
      </c>
      <c r="M497" s="2">
        <v>614571.88</v>
      </c>
      <c r="N497" s="2">
        <v>375125.92</v>
      </c>
      <c r="O497" s="2">
        <v>239445.96</v>
      </c>
      <c r="P497" s="2" t="s">
        <v>95</v>
      </c>
      <c r="Q497" s="2" t="s">
        <v>63</v>
      </c>
      <c r="R497" s="2">
        <v>4</v>
      </c>
      <c r="S497" s="2" t="s">
        <v>112</v>
      </c>
      <c r="T497" s="2">
        <v>699</v>
      </c>
      <c r="U497" s="2">
        <v>5</v>
      </c>
      <c r="V497" s="2"/>
    </row>
    <row r="498" spans="1:22" x14ac:dyDescent="0.35">
      <c r="A498" s="3" t="s">
        <v>1707</v>
      </c>
      <c r="B498" s="3" t="s">
        <v>109</v>
      </c>
      <c r="C498" s="3" t="s">
        <v>712</v>
      </c>
      <c r="D498" s="4"/>
      <c r="E498" s="3" t="s">
        <v>100</v>
      </c>
      <c r="F498" s="3" t="s">
        <v>106</v>
      </c>
      <c r="G498" s="3" t="s">
        <v>217</v>
      </c>
      <c r="H498" s="3" t="s">
        <v>684</v>
      </c>
      <c r="I498" s="3" t="s">
        <v>72</v>
      </c>
      <c r="J498" s="3">
        <v>189</v>
      </c>
      <c r="K498" s="3">
        <v>993.35</v>
      </c>
      <c r="L498" s="3">
        <v>1345.29</v>
      </c>
      <c r="M498" s="3">
        <v>254259.81</v>
      </c>
      <c r="N498" s="3">
        <v>187743.15</v>
      </c>
      <c r="O498" s="3">
        <v>66516.66</v>
      </c>
      <c r="P498" s="3" t="s">
        <v>95</v>
      </c>
      <c r="Q498" s="3" t="s">
        <v>63</v>
      </c>
      <c r="R498" s="3">
        <v>1</v>
      </c>
      <c r="S498" s="3" t="s">
        <v>158</v>
      </c>
      <c r="T498" s="3">
        <v>845</v>
      </c>
      <c r="U498" s="3">
        <v>6</v>
      </c>
      <c r="V498" s="3"/>
    </row>
    <row r="499" spans="1:22" x14ac:dyDescent="0.35">
      <c r="A499" s="2" t="s">
        <v>1708</v>
      </c>
      <c r="B499" s="2" t="s">
        <v>1709</v>
      </c>
      <c r="C499" s="2" t="s">
        <v>1710</v>
      </c>
      <c r="D499" s="2" t="s">
        <v>1711</v>
      </c>
      <c r="E499" s="2" t="s">
        <v>58</v>
      </c>
      <c r="F499" s="2" t="s">
        <v>116</v>
      </c>
      <c r="G499" s="2" t="s">
        <v>28</v>
      </c>
      <c r="H499" s="2" t="s">
        <v>714</v>
      </c>
      <c r="I499" s="2" t="s">
        <v>1712</v>
      </c>
      <c r="J499" s="2">
        <v>334</v>
      </c>
      <c r="K499" s="2">
        <v>736.11</v>
      </c>
      <c r="L499" s="2">
        <v>904.74</v>
      </c>
      <c r="M499" s="2">
        <v>302183.15999999997</v>
      </c>
      <c r="N499" s="2">
        <v>245860.74</v>
      </c>
      <c r="O499" s="2">
        <v>56322.42</v>
      </c>
      <c r="P499" s="2" t="s">
        <v>31</v>
      </c>
      <c r="Q499" s="2" t="s">
        <v>32</v>
      </c>
      <c r="R499" s="2">
        <v>6</v>
      </c>
      <c r="S499" s="2" t="s">
        <v>33</v>
      </c>
      <c r="T499" s="2">
        <v>4893</v>
      </c>
      <c r="U499" s="2">
        <v>0</v>
      </c>
      <c r="V499" s="2"/>
    </row>
    <row r="500" spans="1:22" x14ac:dyDescent="0.35">
      <c r="A500" s="3" t="s">
        <v>1713</v>
      </c>
      <c r="B500" s="3" t="s">
        <v>356</v>
      </c>
      <c r="C500" s="3" t="s">
        <v>362</v>
      </c>
      <c r="D500" s="3" t="s">
        <v>1714</v>
      </c>
      <c r="E500" s="3" t="s">
        <v>58</v>
      </c>
      <c r="F500" s="3" t="s">
        <v>59</v>
      </c>
      <c r="G500" s="3" t="s">
        <v>28</v>
      </c>
      <c r="H500" s="3" t="s">
        <v>674</v>
      </c>
      <c r="I500" s="3" t="s">
        <v>191</v>
      </c>
      <c r="J500" s="3">
        <v>132</v>
      </c>
      <c r="K500" s="3">
        <v>1142.54</v>
      </c>
      <c r="L500" s="3">
        <v>1716.95</v>
      </c>
      <c r="M500" s="3">
        <v>226637.4</v>
      </c>
      <c r="N500" s="3">
        <v>150815.28</v>
      </c>
      <c r="O500" s="3">
        <v>75822.12</v>
      </c>
      <c r="P500" s="3" t="s">
        <v>52</v>
      </c>
      <c r="Q500" s="3" t="s">
        <v>63</v>
      </c>
      <c r="R500" s="3">
        <v>5</v>
      </c>
      <c r="S500" s="3" t="s">
        <v>86</v>
      </c>
      <c r="T500" s="3">
        <v>4031</v>
      </c>
      <c r="U500" s="3">
        <v>6</v>
      </c>
      <c r="V500" s="3"/>
    </row>
    <row r="501" spans="1:22" x14ac:dyDescent="0.35">
      <c r="A501" s="2" t="s">
        <v>1715</v>
      </c>
      <c r="B501" s="2" t="s">
        <v>630</v>
      </c>
      <c r="C501" s="2" t="s">
        <v>694</v>
      </c>
      <c r="D501" s="2" t="s">
        <v>1716</v>
      </c>
      <c r="E501" s="2" t="s">
        <v>100</v>
      </c>
      <c r="F501" s="2" t="s">
        <v>106</v>
      </c>
      <c r="G501" s="2" t="s">
        <v>129</v>
      </c>
      <c r="H501" s="2" t="s">
        <v>520</v>
      </c>
      <c r="I501" s="2" t="s">
        <v>85</v>
      </c>
      <c r="J501" s="2">
        <v>551</v>
      </c>
      <c r="K501" s="2">
        <v>442.42</v>
      </c>
      <c r="L501" s="2">
        <v>581.20000000000005</v>
      </c>
      <c r="M501" s="2">
        <v>320241.2</v>
      </c>
      <c r="N501" s="2">
        <v>243773.42</v>
      </c>
      <c r="O501" s="2">
        <v>76467.78</v>
      </c>
      <c r="P501" s="2" t="s">
        <v>95</v>
      </c>
      <c r="Q501" s="2" t="s">
        <v>32</v>
      </c>
      <c r="R501" s="2">
        <v>9</v>
      </c>
      <c r="S501" s="2" t="s">
        <v>53</v>
      </c>
      <c r="T501" s="2">
        <v>476</v>
      </c>
      <c r="U501" s="2">
        <v>1</v>
      </c>
      <c r="V501" s="2"/>
    </row>
    <row r="502" spans="1:22" x14ac:dyDescent="0.35">
      <c r="A502" s="3" t="s">
        <v>1717</v>
      </c>
      <c r="B502" s="3" t="s">
        <v>513</v>
      </c>
      <c r="C502" s="3" t="s">
        <v>35</v>
      </c>
      <c r="D502" s="3" t="s">
        <v>1718</v>
      </c>
      <c r="E502" s="3" t="s">
        <v>58</v>
      </c>
      <c r="F502" s="3" t="s">
        <v>1719</v>
      </c>
      <c r="G502" s="3" t="s">
        <v>189</v>
      </c>
      <c r="H502" s="3" t="s">
        <v>365</v>
      </c>
      <c r="I502" s="3" t="s">
        <v>124</v>
      </c>
      <c r="J502" s="3">
        <v>756</v>
      </c>
      <c r="K502" s="3">
        <v>1017.94</v>
      </c>
      <c r="L502" s="3">
        <v>1288.6400000000001</v>
      </c>
      <c r="M502" s="3">
        <v>974211.84</v>
      </c>
      <c r="N502" s="3">
        <v>769562.64</v>
      </c>
      <c r="O502" s="3">
        <v>204649.2</v>
      </c>
      <c r="P502" s="3" t="s">
        <v>95</v>
      </c>
      <c r="Q502" s="3" t="s">
        <v>32</v>
      </c>
      <c r="R502" s="3">
        <v>9</v>
      </c>
      <c r="S502" s="3" t="s">
        <v>86</v>
      </c>
      <c r="T502" s="3">
        <v>1013</v>
      </c>
      <c r="U502" s="3">
        <v>14</v>
      </c>
      <c r="V502" s="3"/>
    </row>
    <row r="503" spans="1:22" x14ac:dyDescent="0.35">
      <c r="A503" s="2" t="s">
        <v>1720</v>
      </c>
      <c r="B503" s="2" t="s">
        <v>965</v>
      </c>
      <c r="C503" s="2" t="s">
        <v>1265</v>
      </c>
      <c r="D503" s="2" t="s">
        <v>1721</v>
      </c>
      <c r="E503" s="2" t="s">
        <v>68</v>
      </c>
      <c r="F503" s="2" t="s">
        <v>69</v>
      </c>
      <c r="G503" s="2" t="s">
        <v>39</v>
      </c>
      <c r="H503" s="2" t="s">
        <v>354</v>
      </c>
      <c r="I503" s="2" t="s">
        <v>72</v>
      </c>
      <c r="J503" s="2">
        <v>517</v>
      </c>
      <c r="K503" s="2">
        <v>658.88</v>
      </c>
      <c r="L503" s="2">
        <v>1012.61</v>
      </c>
      <c r="M503" s="2">
        <v>523519.37</v>
      </c>
      <c r="N503" s="2">
        <v>340640.96</v>
      </c>
      <c r="O503" s="2">
        <v>182878.41</v>
      </c>
      <c r="P503" s="2" t="s">
        <v>31</v>
      </c>
      <c r="Q503" s="2" t="s">
        <v>63</v>
      </c>
      <c r="R503" s="2">
        <v>1</v>
      </c>
      <c r="S503" s="2" t="s">
        <v>33</v>
      </c>
      <c r="T503" s="2">
        <v>2701</v>
      </c>
      <c r="U503" s="2">
        <v>22</v>
      </c>
      <c r="V503" s="2"/>
    </row>
    <row r="504" spans="1:22" x14ac:dyDescent="0.35">
      <c r="A504" s="3" t="s">
        <v>1722</v>
      </c>
      <c r="B504" s="3" t="s">
        <v>314</v>
      </c>
      <c r="C504" s="3" t="s">
        <v>599</v>
      </c>
      <c r="D504" s="3" t="s">
        <v>1723</v>
      </c>
      <c r="E504" s="3" t="s">
        <v>100</v>
      </c>
      <c r="F504" s="3" t="s">
        <v>330</v>
      </c>
      <c r="G504" s="3" t="s">
        <v>28</v>
      </c>
      <c r="H504" s="3" t="s">
        <v>579</v>
      </c>
      <c r="I504" s="3" t="s">
        <v>153</v>
      </c>
      <c r="J504" s="3">
        <v>233</v>
      </c>
      <c r="K504" s="3">
        <v>188.55</v>
      </c>
      <c r="L504" s="3">
        <v>224.76</v>
      </c>
      <c r="M504" s="3">
        <v>52369.08</v>
      </c>
      <c r="N504" s="3">
        <v>43932.15</v>
      </c>
      <c r="O504" s="3">
        <v>8436.93</v>
      </c>
      <c r="P504" s="3" t="s">
        <v>42</v>
      </c>
      <c r="Q504" s="3" t="s">
        <v>32</v>
      </c>
      <c r="R504" s="3">
        <v>11</v>
      </c>
      <c r="S504" s="3" t="s">
        <v>158</v>
      </c>
      <c r="T504" s="3">
        <v>2669</v>
      </c>
      <c r="U504" s="3">
        <v>8</v>
      </c>
      <c r="V504" s="3"/>
    </row>
    <row r="505" spans="1:22" x14ac:dyDescent="0.35">
      <c r="A505" s="2" t="s">
        <v>1724</v>
      </c>
      <c r="B505" s="2" t="s">
        <v>362</v>
      </c>
      <c r="C505" s="2" t="s">
        <v>865</v>
      </c>
      <c r="D505" s="2" t="s">
        <v>1725</v>
      </c>
      <c r="E505" s="2" t="s">
        <v>1726</v>
      </c>
      <c r="F505" s="2" t="s">
        <v>270</v>
      </c>
      <c r="G505" s="2" t="s">
        <v>70</v>
      </c>
      <c r="H505" s="2" t="s">
        <v>446</v>
      </c>
      <c r="I505" s="2" t="s">
        <v>141</v>
      </c>
      <c r="J505" s="2">
        <v>474</v>
      </c>
      <c r="K505" s="2">
        <v>874.12</v>
      </c>
      <c r="L505" s="2">
        <v>1068.04</v>
      </c>
      <c r="M505" s="2">
        <v>506250.96</v>
      </c>
      <c r="N505" s="2">
        <v>414332.88</v>
      </c>
      <c r="O505" s="2">
        <v>91918.080000000002</v>
      </c>
      <c r="P505" s="2" t="s">
        <v>52</v>
      </c>
      <c r="Q505" s="2" t="s">
        <v>32</v>
      </c>
      <c r="R505" s="2">
        <v>10</v>
      </c>
      <c r="S505" s="2" t="s">
        <v>86</v>
      </c>
      <c r="T505" s="2">
        <v>564</v>
      </c>
      <c r="U505" s="2">
        <v>15</v>
      </c>
      <c r="V505" s="2"/>
    </row>
    <row r="506" spans="1:22" x14ac:dyDescent="0.35">
      <c r="A506" s="3" t="s">
        <v>1727</v>
      </c>
      <c r="B506" s="3" t="s">
        <v>262</v>
      </c>
      <c r="C506" s="3" t="s">
        <v>379</v>
      </c>
      <c r="D506" s="3" t="s">
        <v>1728</v>
      </c>
      <c r="E506" s="3" t="s">
        <v>26</v>
      </c>
      <c r="F506" s="3" t="s">
        <v>92</v>
      </c>
      <c r="G506" s="3" t="s">
        <v>129</v>
      </c>
      <c r="H506" s="3" t="s">
        <v>130</v>
      </c>
      <c r="I506" s="3" t="s">
        <v>30</v>
      </c>
      <c r="J506" s="3">
        <v>419</v>
      </c>
      <c r="K506" s="3">
        <v>487.37</v>
      </c>
      <c r="L506" s="3">
        <v>666.36</v>
      </c>
      <c r="M506" s="3">
        <v>279204.84000000003</v>
      </c>
      <c r="N506" s="3">
        <v>204208.03</v>
      </c>
      <c r="O506" s="3">
        <v>74996.81</v>
      </c>
      <c r="P506" s="3" t="s">
        <v>95</v>
      </c>
      <c r="Q506" s="3" t="s">
        <v>32</v>
      </c>
      <c r="R506" s="3">
        <v>13</v>
      </c>
      <c r="S506" s="3" t="s">
        <v>86</v>
      </c>
      <c r="T506" s="3">
        <v>150</v>
      </c>
      <c r="U506" s="3">
        <v>16</v>
      </c>
      <c r="V506" s="3"/>
    </row>
    <row r="507" spans="1:22" x14ac:dyDescent="0.35">
      <c r="A507" s="2" t="s">
        <v>1729</v>
      </c>
      <c r="B507" s="2" t="s">
        <v>1730</v>
      </c>
      <c r="C507" s="2" t="s">
        <v>1483</v>
      </c>
      <c r="D507" s="2" t="s">
        <v>1731</v>
      </c>
      <c r="E507" s="2" t="s">
        <v>68</v>
      </c>
      <c r="F507" s="2" t="s">
        <v>69</v>
      </c>
      <c r="G507" s="2" t="s">
        <v>60</v>
      </c>
      <c r="H507" s="2" t="s">
        <v>539</v>
      </c>
      <c r="I507" s="2" t="s">
        <v>41</v>
      </c>
      <c r="J507" s="2">
        <v>581</v>
      </c>
      <c r="K507" s="2">
        <v>844.73</v>
      </c>
      <c r="L507" s="2">
        <v>1112.92</v>
      </c>
      <c r="M507" s="2">
        <v>646606.52</v>
      </c>
      <c r="N507" s="2">
        <v>490788.13</v>
      </c>
      <c r="O507" s="2">
        <v>155818.39000000001</v>
      </c>
      <c r="P507" s="2" t="s">
        <v>95</v>
      </c>
      <c r="Q507" s="2" t="s">
        <v>32</v>
      </c>
      <c r="R507" s="2">
        <v>6</v>
      </c>
      <c r="S507" s="2" t="s">
        <v>112</v>
      </c>
      <c r="T507" s="2">
        <v>527</v>
      </c>
      <c r="U507" s="2">
        <v>21</v>
      </c>
      <c r="V507" s="2"/>
    </row>
    <row r="508" spans="1:22" x14ac:dyDescent="0.35">
      <c r="A508" s="3" t="s">
        <v>1732</v>
      </c>
      <c r="B508" s="3" t="s">
        <v>950</v>
      </c>
      <c r="C508" s="3" t="s">
        <v>98</v>
      </c>
      <c r="D508" s="3" t="s">
        <v>1733</v>
      </c>
      <c r="E508" s="4"/>
      <c r="F508" s="3" t="s">
        <v>106</v>
      </c>
      <c r="G508" s="3" t="s">
        <v>70</v>
      </c>
      <c r="H508" s="3" t="s">
        <v>84</v>
      </c>
      <c r="I508" s="3" t="s">
        <v>85</v>
      </c>
      <c r="J508" s="3">
        <v>744</v>
      </c>
      <c r="K508" s="3">
        <v>172.38</v>
      </c>
      <c r="L508" s="3">
        <v>229.55</v>
      </c>
      <c r="M508" s="3">
        <v>170785.2</v>
      </c>
      <c r="N508" s="3">
        <v>128250.72</v>
      </c>
      <c r="O508" s="3">
        <v>42534.48</v>
      </c>
      <c r="P508" s="3" t="s">
        <v>42</v>
      </c>
      <c r="Q508" s="3" t="s">
        <v>32</v>
      </c>
      <c r="R508" s="3">
        <v>7</v>
      </c>
      <c r="S508" s="3" t="s">
        <v>112</v>
      </c>
      <c r="T508" s="3">
        <v>416</v>
      </c>
      <c r="U508" s="3">
        <v>6</v>
      </c>
      <c r="V508" s="3"/>
    </row>
    <row r="509" spans="1:22" x14ac:dyDescent="0.35">
      <c r="A509" s="2" t="s">
        <v>1734</v>
      </c>
      <c r="B509" s="2" t="s">
        <v>1312</v>
      </c>
      <c r="C509" s="2" t="s">
        <v>791</v>
      </c>
      <c r="D509" s="2" t="s">
        <v>1735</v>
      </c>
      <c r="E509" s="2" t="s">
        <v>48</v>
      </c>
      <c r="F509" s="2" t="s">
        <v>183</v>
      </c>
      <c r="G509" s="2" t="s">
        <v>93</v>
      </c>
      <c r="H509" s="2" t="s">
        <v>485</v>
      </c>
      <c r="I509" s="2" t="s">
        <v>62</v>
      </c>
      <c r="J509" s="2">
        <v>387</v>
      </c>
      <c r="K509" s="2">
        <v>566.59</v>
      </c>
      <c r="L509" s="2">
        <v>804.09</v>
      </c>
      <c r="M509" s="2">
        <v>311182.83</v>
      </c>
      <c r="N509" s="2">
        <v>219270.33</v>
      </c>
      <c r="O509" s="2">
        <v>91912.5</v>
      </c>
      <c r="P509" s="2" t="s">
        <v>31</v>
      </c>
      <c r="Q509" s="2" t="s">
        <v>32</v>
      </c>
      <c r="R509" s="2">
        <v>8</v>
      </c>
      <c r="S509" s="2" t="s">
        <v>33</v>
      </c>
      <c r="T509" s="2">
        <v>2114</v>
      </c>
      <c r="U509" s="2">
        <v>5</v>
      </c>
      <c r="V509" s="2"/>
    </row>
    <row r="510" spans="1:22" x14ac:dyDescent="0.35">
      <c r="A510" s="3" t="s">
        <v>1736</v>
      </c>
      <c r="B510" s="3" t="s">
        <v>1737</v>
      </c>
      <c r="C510" s="3" t="s">
        <v>1738</v>
      </c>
      <c r="D510" s="3" t="s">
        <v>1739</v>
      </c>
      <c r="E510" s="3" t="s">
        <v>58</v>
      </c>
      <c r="F510" s="3" t="s">
        <v>116</v>
      </c>
      <c r="G510" s="3" t="s">
        <v>78</v>
      </c>
      <c r="H510" s="3" t="s">
        <v>628</v>
      </c>
      <c r="I510" s="3" t="s">
        <v>124</v>
      </c>
      <c r="J510" s="3">
        <v>536</v>
      </c>
      <c r="K510" s="3">
        <v>33.340000000000003</v>
      </c>
      <c r="L510" s="3">
        <v>39.6</v>
      </c>
      <c r="M510" s="3">
        <v>21225.599999999999</v>
      </c>
      <c r="N510" s="3">
        <v>17870.240000000002</v>
      </c>
      <c r="O510" s="3">
        <v>3355.36</v>
      </c>
      <c r="P510" s="3" t="s">
        <v>52</v>
      </c>
      <c r="Q510" s="3" t="s">
        <v>32</v>
      </c>
      <c r="R510" s="3">
        <v>15</v>
      </c>
      <c r="S510" s="3" t="s">
        <v>158</v>
      </c>
      <c r="T510" s="3">
        <v>4249</v>
      </c>
      <c r="U510" s="3">
        <v>20</v>
      </c>
      <c r="V510" s="3"/>
    </row>
    <row r="511" spans="1:22" x14ac:dyDescent="0.35">
      <c r="A511" s="2" t="s">
        <v>1740</v>
      </c>
      <c r="B511" s="2" t="s">
        <v>1216</v>
      </c>
      <c r="C511" s="2" t="s">
        <v>759</v>
      </c>
      <c r="D511" s="2" t="s">
        <v>1595</v>
      </c>
      <c r="E511" s="2" t="s">
        <v>48</v>
      </c>
      <c r="F511" s="2" t="s">
        <v>223</v>
      </c>
      <c r="G511" s="2" t="s">
        <v>217</v>
      </c>
      <c r="H511" s="2" t="s">
        <v>684</v>
      </c>
      <c r="I511" s="2" t="s">
        <v>293</v>
      </c>
      <c r="J511" s="2">
        <v>34</v>
      </c>
      <c r="K511" s="2">
        <v>1199.76</v>
      </c>
      <c r="L511" s="2">
        <v>1706.91</v>
      </c>
      <c r="M511" s="2">
        <v>58034.94</v>
      </c>
      <c r="N511" s="2">
        <v>40791.839999999997</v>
      </c>
      <c r="O511" s="2">
        <v>17243.099999999999</v>
      </c>
      <c r="P511" s="2" t="s">
        <v>95</v>
      </c>
      <c r="Q511" s="2" t="s">
        <v>32</v>
      </c>
      <c r="R511" s="2">
        <v>7</v>
      </c>
      <c r="S511" s="2" t="s">
        <v>112</v>
      </c>
      <c r="T511" s="2">
        <v>1660</v>
      </c>
      <c r="U511" s="2">
        <v>1</v>
      </c>
      <c r="V511" s="2"/>
    </row>
    <row r="512" spans="1:22" x14ac:dyDescent="0.35">
      <c r="A512" s="3" t="s">
        <v>1741</v>
      </c>
      <c r="B512" s="3" t="s">
        <v>701</v>
      </c>
      <c r="C512" s="3" t="s">
        <v>24</v>
      </c>
      <c r="D512" s="3" t="s">
        <v>1742</v>
      </c>
      <c r="E512" s="3" t="s">
        <v>48</v>
      </c>
      <c r="F512" s="3" t="s">
        <v>281</v>
      </c>
      <c r="G512" s="3" t="s">
        <v>93</v>
      </c>
      <c r="H512" s="3" t="s">
        <v>302</v>
      </c>
      <c r="I512" s="3" t="s">
        <v>41</v>
      </c>
      <c r="J512" s="3">
        <v>397</v>
      </c>
      <c r="K512" s="3">
        <v>894.47</v>
      </c>
      <c r="L512" s="3">
        <v>1217.9000000000001</v>
      </c>
      <c r="M512" s="3">
        <v>483506.3</v>
      </c>
      <c r="N512" s="3">
        <v>355104.59</v>
      </c>
      <c r="O512" s="3">
        <v>128401.71</v>
      </c>
      <c r="P512" s="3" t="s">
        <v>31</v>
      </c>
      <c r="Q512" s="3" t="s">
        <v>32</v>
      </c>
      <c r="R512" s="3">
        <v>8</v>
      </c>
      <c r="S512" s="3" t="s">
        <v>33</v>
      </c>
      <c r="T512" s="3">
        <v>1504</v>
      </c>
      <c r="U512" s="3">
        <v>13</v>
      </c>
      <c r="V512" s="3"/>
    </row>
    <row r="513" spans="1:22" x14ac:dyDescent="0.35">
      <c r="A513" s="2" t="s">
        <v>1743</v>
      </c>
      <c r="B513" s="2" t="s">
        <v>415</v>
      </c>
      <c r="C513" s="2" t="s">
        <v>1311</v>
      </c>
      <c r="D513" s="2" t="s">
        <v>1744</v>
      </c>
      <c r="E513" s="2" t="s">
        <v>68</v>
      </c>
      <c r="F513" s="2" t="s">
        <v>69</v>
      </c>
      <c r="G513" s="2" t="s">
        <v>60</v>
      </c>
      <c r="H513" s="2" t="s">
        <v>164</v>
      </c>
      <c r="I513" s="2" t="s">
        <v>30</v>
      </c>
      <c r="J513" s="2">
        <v>714</v>
      </c>
      <c r="K513" s="2">
        <v>682.03</v>
      </c>
      <c r="L513" s="2">
        <v>824.59</v>
      </c>
      <c r="M513" s="2">
        <v>588757.26</v>
      </c>
      <c r="N513" s="2">
        <v>486969.42</v>
      </c>
      <c r="O513" s="2">
        <v>101787.84</v>
      </c>
      <c r="P513" s="2" t="s">
        <v>42</v>
      </c>
      <c r="Q513" s="2" t="s">
        <v>63</v>
      </c>
      <c r="R513" s="2">
        <v>3</v>
      </c>
      <c r="S513" s="2" t="s">
        <v>53</v>
      </c>
      <c r="T513" s="2">
        <v>4403</v>
      </c>
      <c r="U513" s="2">
        <v>22</v>
      </c>
      <c r="V513" s="2"/>
    </row>
    <row r="514" spans="1:22" x14ac:dyDescent="0.35">
      <c r="A514" s="3" t="s">
        <v>1745</v>
      </c>
      <c r="B514" s="3" t="s">
        <v>120</v>
      </c>
      <c r="C514" s="3" t="s">
        <v>104</v>
      </c>
      <c r="D514" s="3" t="s">
        <v>1746</v>
      </c>
      <c r="E514" s="3" t="s">
        <v>58</v>
      </c>
      <c r="F514" s="3" t="s">
        <v>116</v>
      </c>
      <c r="G514" s="3" t="s">
        <v>217</v>
      </c>
      <c r="H514" s="3" t="s">
        <v>340</v>
      </c>
      <c r="I514" s="3" t="s">
        <v>1704</v>
      </c>
      <c r="J514" s="3">
        <v>608</v>
      </c>
      <c r="K514" s="3">
        <v>408.89</v>
      </c>
      <c r="L514" s="4"/>
      <c r="M514" s="3">
        <v>313959.03999999998</v>
      </c>
      <c r="N514" s="3">
        <v>248605.12</v>
      </c>
      <c r="O514" s="3">
        <v>65353.919999999998</v>
      </c>
      <c r="P514" s="3" t="s">
        <v>42</v>
      </c>
      <c r="Q514" s="3" t="s">
        <v>32</v>
      </c>
      <c r="R514" s="3">
        <v>15</v>
      </c>
      <c r="S514" s="3" t="s">
        <v>53</v>
      </c>
      <c r="T514" s="3">
        <v>2173</v>
      </c>
      <c r="U514" s="3">
        <v>12</v>
      </c>
      <c r="V514" s="3"/>
    </row>
    <row r="515" spans="1:22" x14ac:dyDescent="0.35">
      <c r="A515" s="2" t="s">
        <v>1747</v>
      </c>
      <c r="B515" s="2" t="s">
        <v>950</v>
      </c>
      <c r="C515" s="2" t="s">
        <v>953</v>
      </c>
      <c r="D515" s="2" t="s">
        <v>1748</v>
      </c>
      <c r="E515" s="2" t="s">
        <v>68</v>
      </c>
      <c r="F515" s="2" t="s">
        <v>146</v>
      </c>
      <c r="G515" s="2" t="s">
        <v>60</v>
      </c>
      <c r="H515" s="2" t="s">
        <v>834</v>
      </c>
      <c r="I515" s="2" t="s">
        <v>30</v>
      </c>
      <c r="J515" s="2">
        <v>721</v>
      </c>
      <c r="K515" s="2">
        <v>780.55</v>
      </c>
      <c r="L515" s="2">
        <v>1013.59</v>
      </c>
      <c r="M515" s="2">
        <v>730798.39</v>
      </c>
      <c r="N515" s="2">
        <v>562776.55000000005</v>
      </c>
      <c r="O515" s="2">
        <v>168021.84</v>
      </c>
      <c r="P515" s="2" t="s">
        <v>31</v>
      </c>
      <c r="Q515" s="2" t="s">
        <v>32</v>
      </c>
      <c r="R515" s="2">
        <v>15</v>
      </c>
      <c r="S515" s="2" t="s">
        <v>33</v>
      </c>
      <c r="T515" s="2">
        <v>160</v>
      </c>
      <c r="U515" s="2">
        <v>4</v>
      </c>
      <c r="V515" s="2"/>
    </row>
    <row r="516" spans="1:22" x14ac:dyDescent="0.35">
      <c r="A516" s="3" t="s">
        <v>1749</v>
      </c>
      <c r="B516" s="3" t="s">
        <v>856</v>
      </c>
      <c r="C516" s="3" t="s">
        <v>1750</v>
      </c>
      <c r="D516" s="3" t="s">
        <v>1751</v>
      </c>
      <c r="E516" s="3" t="s">
        <v>100</v>
      </c>
      <c r="F516" s="3" t="s">
        <v>330</v>
      </c>
      <c r="G516" s="3" t="s">
        <v>93</v>
      </c>
      <c r="H516" s="3" t="s">
        <v>94</v>
      </c>
      <c r="I516" s="3" t="s">
        <v>62</v>
      </c>
      <c r="J516" s="3">
        <v>591</v>
      </c>
      <c r="K516" s="3">
        <v>3.4</v>
      </c>
      <c r="L516" s="3">
        <v>5.1100000000000003</v>
      </c>
      <c r="M516" s="3">
        <v>3020.01</v>
      </c>
      <c r="N516" s="3">
        <v>2009.4</v>
      </c>
      <c r="O516" s="3">
        <v>1010.61</v>
      </c>
      <c r="P516" s="3" t="s">
        <v>52</v>
      </c>
      <c r="Q516" s="3" t="s">
        <v>32</v>
      </c>
      <c r="R516" s="3">
        <v>10</v>
      </c>
      <c r="S516" s="3" t="s">
        <v>158</v>
      </c>
      <c r="T516" s="3">
        <v>86</v>
      </c>
      <c r="U516" s="3">
        <v>13</v>
      </c>
      <c r="V516" s="3"/>
    </row>
    <row r="517" spans="1:22" x14ac:dyDescent="0.35">
      <c r="A517" s="2" t="s">
        <v>1752</v>
      </c>
      <c r="B517" s="2" t="s">
        <v>1209</v>
      </c>
      <c r="C517" s="2" t="s">
        <v>1753</v>
      </c>
      <c r="D517" s="2" t="s">
        <v>1754</v>
      </c>
      <c r="E517" s="2" t="s">
        <v>100</v>
      </c>
      <c r="F517" s="2" t="s">
        <v>538</v>
      </c>
      <c r="G517" s="2" t="s">
        <v>28</v>
      </c>
      <c r="H517" s="2" t="s">
        <v>254</v>
      </c>
      <c r="I517" s="2" t="s">
        <v>191</v>
      </c>
      <c r="J517" s="2">
        <v>166</v>
      </c>
      <c r="K517" s="2">
        <v>601.03</v>
      </c>
      <c r="L517" s="2">
        <v>940.31</v>
      </c>
      <c r="M517" s="2">
        <v>156091.46</v>
      </c>
      <c r="N517" s="2">
        <v>99770.98</v>
      </c>
      <c r="O517" s="2">
        <v>56320.480000000003</v>
      </c>
      <c r="P517" s="2" t="s">
        <v>52</v>
      </c>
      <c r="Q517" s="2" t="s">
        <v>32</v>
      </c>
      <c r="R517" s="2">
        <v>15</v>
      </c>
      <c r="S517" s="2" t="s">
        <v>43</v>
      </c>
      <c r="T517" s="2">
        <v>4379</v>
      </c>
      <c r="U517" s="2">
        <v>7</v>
      </c>
      <c r="V517" s="2"/>
    </row>
    <row r="518" spans="1:22" x14ac:dyDescent="0.35">
      <c r="A518" s="3" t="s">
        <v>1755</v>
      </c>
      <c r="B518" s="3" t="s">
        <v>484</v>
      </c>
      <c r="C518" s="3" t="s">
        <v>398</v>
      </c>
      <c r="D518" s="3" t="s">
        <v>1756</v>
      </c>
      <c r="E518" s="3" t="s">
        <v>26</v>
      </c>
      <c r="F518" s="3" t="s">
        <v>228</v>
      </c>
      <c r="G518" s="3" t="s">
        <v>60</v>
      </c>
      <c r="H518" s="3" t="s">
        <v>229</v>
      </c>
      <c r="I518" s="3" t="s">
        <v>240</v>
      </c>
      <c r="J518" s="3">
        <v>710</v>
      </c>
      <c r="K518" s="3">
        <v>227.6</v>
      </c>
      <c r="L518" s="3">
        <v>322.8</v>
      </c>
      <c r="M518" s="3">
        <v>229188</v>
      </c>
      <c r="N518" s="3">
        <v>161596</v>
      </c>
      <c r="O518" s="3">
        <v>67592</v>
      </c>
      <c r="P518" s="3" t="s">
        <v>95</v>
      </c>
      <c r="Q518" s="3" t="s">
        <v>63</v>
      </c>
      <c r="R518" s="3">
        <v>5</v>
      </c>
      <c r="S518" s="3" t="s">
        <v>112</v>
      </c>
      <c r="T518" s="3">
        <v>4825</v>
      </c>
      <c r="U518" s="3">
        <v>26</v>
      </c>
      <c r="V518" s="3"/>
    </row>
    <row r="519" spans="1:22" x14ac:dyDescent="0.35">
      <c r="A519" s="2" t="s">
        <v>1757</v>
      </c>
      <c r="B519" s="2" t="s">
        <v>832</v>
      </c>
      <c r="C519" s="2" t="s">
        <v>427</v>
      </c>
      <c r="D519" s="2" t="s">
        <v>1758</v>
      </c>
      <c r="E519" s="2" t="s">
        <v>48</v>
      </c>
      <c r="F519" s="2" t="s">
        <v>49</v>
      </c>
      <c r="G519" s="2" t="s">
        <v>78</v>
      </c>
      <c r="H519" s="2" t="s">
        <v>123</v>
      </c>
      <c r="I519" s="2" t="s">
        <v>293</v>
      </c>
      <c r="J519" s="2">
        <v>290</v>
      </c>
      <c r="K519" s="2">
        <v>739.2</v>
      </c>
      <c r="L519" s="2">
        <v>1148.8</v>
      </c>
      <c r="M519" s="2">
        <v>333152</v>
      </c>
      <c r="N519" s="2">
        <v>214368</v>
      </c>
      <c r="O519" s="2">
        <v>118784</v>
      </c>
      <c r="P519" s="2" t="s">
        <v>31</v>
      </c>
      <c r="Q519" s="2" t="s">
        <v>32</v>
      </c>
      <c r="R519" s="2">
        <v>6</v>
      </c>
      <c r="S519" s="2" t="s">
        <v>158</v>
      </c>
      <c r="T519" s="2">
        <v>4177</v>
      </c>
      <c r="U519" s="2">
        <v>4</v>
      </c>
      <c r="V519" s="2"/>
    </row>
    <row r="520" spans="1:22" x14ac:dyDescent="0.35">
      <c r="A520" s="3" t="s">
        <v>1759</v>
      </c>
      <c r="B520" s="3" t="s">
        <v>1388</v>
      </c>
      <c r="C520" s="3" t="s">
        <v>205</v>
      </c>
      <c r="D520" s="3" t="s">
        <v>1760</v>
      </c>
      <c r="E520" s="3" t="s">
        <v>1761</v>
      </c>
      <c r="F520" s="3" t="s">
        <v>69</v>
      </c>
      <c r="G520" s="3" t="s">
        <v>60</v>
      </c>
      <c r="H520" s="3" t="s">
        <v>400</v>
      </c>
      <c r="I520" s="3" t="s">
        <v>41</v>
      </c>
      <c r="J520" s="3">
        <v>684</v>
      </c>
      <c r="K520" s="3">
        <v>392.78</v>
      </c>
      <c r="L520" s="3">
        <v>443.42</v>
      </c>
      <c r="M520" s="3">
        <v>303299.28000000003</v>
      </c>
      <c r="N520" s="3">
        <v>268661.52</v>
      </c>
      <c r="O520" s="3">
        <v>34637.760000000002</v>
      </c>
      <c r="P520" s="3" t="s">
        <v>42</v>
      </c>
      <c r="Q520" s="3" t="s">
        <v>63</v>
      </c>
      <c r="R520" s="3">
        <v>5</v>
      </c>
      <c r="S520" s="3" t="s">
        <v>86</v>
      </c>
      <c r="T520" s="3">
        <v>417</v>
      </c>
      <c r="U520" s="3">
        <v>25</v>
      </c>
      <c r="V520" s="3"/>
    </row>
    <row r="521" spans="1:22" x14ac:dyDescent="0.35">
      <c r="A521" s="2" t="s">
        <v>1762</v>
      </c>
      <c r="B521" s="2" t="s">
        <v>1125</v>
      </c>
      <c r="C521" s="2" t="s">
        <v>187</v>
      </c>
      <c r="D521" s="2" t="s">
        <v>1763</v>
      </c>
      <c r="E521" s="2" t="s">
        <v>48</v>
      </c>
      <c r="F521" s="2" t="s">
        <v>49</v>
      </c>
      <c r="G521" s="2" t="s">
        <v>50</v>
      </c>
      <c r="H521" s="2" t="s">
        <v>282</v>
      </c>
      <c r="I521" s="2" t="s">
        <v>240</v>
      </c>
      <c r="J521" s="2">
        <v>781</v>
      </c>
      <c r="K521" s="2">
        <v>960.86</v>
      </c>
      <c r="L521" s="2">
        <v>1531.65</v>
      </c>
      <c r="M521" s="2">
        <v>1196218.6499999999</v>
      </c>
      <c r="N521" s="2">
        <v>750431.66</v>
      </c>
      <c r="O521" s="2">
        <v>445786.99</v>
      </c>
      <c r="P521" s="2" t="s">
        <v>95</v>
      </c>
      <c r="Q521" s="2" t="s">
        <v>32</v>
      </c>
      <c r="R521" s="2">
        <v>14</v>
      </c>
      <c r="S521" s="2" t="s">
        <v>43</v>
      </c>
      <c r="T521" s="2">
        <v>4169</v>
      </c>
      <c r="U521" s="2">
        <v>34</v>
      </c>
      <c r="V521" s="2"/>
    </row>
    <row r="522" spans="1:22" x14ac:dyDescent="0.35">
      <c r="A522" s="3" t="s">
        <v>1764</v>
      </c>
      <c r="B522" s="3" t="s">
        <v>352</v>
      </c>
      <c r="C522" s="3" t="s">
        <v>1765</v>
      </c>
      <c r="D522" s="3" t="s">
        <v>1766</v>
      </c>
      <c r="E522" s="3" t="s">
        <v>48</v>
      </c>
      <c r="F522" s="3" t="s">
        <v>281</v>
      </c>
      <c r="G522" s="3" t="s">
        <v>217</v>
      </c>
      <c r="H522" s="3" t="s">
        <v>335</v>
      </c>
      <c r="I522" s="3" t="s">
        <v>240</v>
      </c>
      <c r="J522" s="3">
        <v>135</v>
      </c>
      <c r="K522" s="3">
        <v>412.85</v>
      </c>
      <c r="L522" s="3">
        <v>564.47</v>
      </c>
      <c r="M522" s="3">
        <v>76203.45</v>
      </c>
      <c r="N522" s="3">
        <v>55734.75</v>
      </c>
      <c r="O522" s="4"/>
      <c r="P522" s="3" t="s">
        <v>31</v>
      </c>
      <c r="Q522" s="3" t="s">
        <v>32</v>
      </c>
      <c r="R522" s="3">
        <v>7</v>
      </c>
      <c r="S522" s="3" t="s">
        <v>43</v>
      </c>
      <c r="T522" s="3">
        <v>2287</v>
      </c>
      <c r="U522" s="3">
        <v>6</v>
      </c>
      <c r="V522" s="3"/>
    </row>
    <row r="523" spans="1:22" x14ac:dyDescent="0.35">
      <c r="A523" s="2" t="s">
        <v>1767</v>
      </c>
      <c r="B523" s="2" t="s">
        <v>791</v>
      </c>
      <c r="C523" s="2" t="s">
        <v>1260</v>
      </c>
      <c r="D523" s="2" t="s">
        <v>1768</v>
      </c>
      <c r="E523" s="2" t="s">
        <v>48</v>
      </c>
      <c r="F523" s="2" t="s">
        <v>49</v>
      </c>
      <c r="G523" s="2" t="s">
        <v>189</v>
      </c>
      <c r="H523" s="2" t="s">
        <v>437</v>
      </c>
      <c r="I523" s="2" t="s">
        <v>141</v>
      </c>
      <c r="J523" s="2">
        <v>213</v>
      </c>
      <c r="K523" s="2">
        <v>1026.72</v>
      </c>
      <c r="L523" s="2">
        <v>1609.49</v>
      </c>
      <c r="M523" s="2">
        <v>342821.37</v>
      </c>
      <c r="N523" s="2">
        <v>218691.36</v>
      </c>
      <c r="O523" s="2">
        <v>124130.01</v>
      </c>
      <c r="P523" s="2" t="s">
        <v>42</v>
      </c>
      <c r="Q523" s="2" t="s">
        <v>32</v>
      </c>
      <c r="R523" s="2">
        <v>11</v>
      </c>
      <c r="S523" s="2" t="s">
        <v>43</v>
      </c>
      <c r="T523" s="2">
        <v>3221</v>
      </c>
      <c r="U523" s="2">
        <v>7</v>
      </c>
      <c r="V523" s="2"/>
    </row>
    <row r="524" spans="1:22" x14ac:dyDescent="0.35">
      <c r="A524" s="3" t="s">
        <v>1769</v>
      </c>
      <c r="B524" s="3" t="s">
        <v>1662</v>
      </c>
      <c r="C524" s="3" t="s">
        <v>422</v>
      </c>
      <c r="D524" s="3" t="s">
        <v>1770</v>
      </c>
      <c r="E524" s="3" t="s">
        <v>26</v>
      </c>
      <c r="F524" s="3" t="s">
        <v>77</v>
      </c>
      <c r="G524" s="3" t="s">
        <v>93</v>
      </c>
      <c r="H524" s="3" t="s">
        <v>94</v>
      </c>
      <c r="I524" s="3" t="s">
        <v>141</v>
      </c>
      <c r="J524" s="3">
        <v>510</v>
      </c>
      <c r="K524" s="3">
        <v>737.99</v>
      </c>
      <c r="L524" s="3">
        <v>989.19</v>
      </c>
      <c r="M524" s="3">
        <v>504486.9</v>
      </c>
      <c r="N524" s="3">
        <v>376374.9</v>
      </c>
      <c r="O524" s="3">
        <v>128112</v>
      </c>
      <c r="P524" s="3" t="s">
        <v>95</v>
      </c>
      <c r="Q524" s="3" t="s">
        <v>32</v>
      </c>
      <c r="R524" s="3">
        <v>6</v>
      </c>
      <c r="S524" s="3" t="s">
        <v>53</v>
      </c>
      <c r="T524" s="3">
        <v>2620</v>
      </c>
      <c r="U524" s="3">
        <v>25</v>
      </c>
      <c r="V524" s="3"/>
    </row>
    <row r="525" spans="1:22" x14ac:dyDescent="0.35">
      <c r="A525" s="2" t="s">
        <v>1771</v>
      </c>
      <c r="B525" s="2" t="s">
        <v>35</v>
      </c>
      <c r="C525" s="2" t="s">
        <v>978</v>
      </c>
      <c r="D525" s="2" t="s">
        <v>1772</v>
      </c>
      <c r="E525" s="2" t="s">
        <v>48</v>
      </c>
      <c r="F525" s="2" t="s">
        <v>281</v>
      </c>
      <c r="G525" s="2" t="s">
        <v>50</v>
      </c>
      <c r="H525" s="2" t="s">
        <v>107</v>
      </c>
      <c r="I525" s="2" t="s">
        <v>30</v>
      </c>
      <c r="J525" s="2">
        <v>531</v>
      </c>
      <c r="K525" s="2">
        <v>248.3</v>
      </c>
      <c r="L525" s="2">
        <v>314.18</v>
      </c>
      <c r="M525" s="2">
        <v>166829.57999999999</v>
      </c>
      <c r="N525" s="2">
        <v>131847.29999999999</v>
      </c>
      <c r="O525" s="2">
        <v>34982.28</v>
      </c>
      <c r="P525" s="2" t="s">
        <v>95</v>
      </c>
      <c r="Q525" s="2" t="s">
        <v>456</v>
      </c>
      <c r="R525" s="2">
        <v>7</v>
      </c>
      <c r="S525" s="2" t="s">
        <v>112</v>
      </c>
      <c r="T525" s="2">
        <v>2967</v>
      </c>
      <c r="U525" s="2">
        <v>10</v>
      </c>
      <c r="V525" s="2"/>
    </row>
    <row r="526" spans="1:22" x14ac:dyDescent="0.35">
      <c r="A526" s="2" t="s">
        <v>1773</v>
      </c>
      <c r="B526" s="2" t="s">
        <v>1237</v>
      </c>
      <c r="C526" s="2" t="s">
        <v>161</v>
      </c>
      <c r="D526" s="2" t="s">
        <v>1300</v>
      </c>
      <c r="E526" s="2" t="s">
        <v>48</v>
      </c>
      <c r="F526" s="2" t="s">
        <v>270</v>
      </c>
      <c r="G526" s="2" t="s">
        <v>28</v>
      </c>
      <c r="H526" s="2" t="s">
        <v>29</v>
      </c>
      <c r="I526" s="2" t="s">
        <v>240</v>
      </c>
      <c r="J526" s="2">
        <v>526</v>
      </c>
      <c r="K526" s="2">
        <v>777.89</v>
      </c>
      <c r="L526" s="2">
        <v>1104.42</v>
      </c>
      <c r="M526" s="2">
        <v>580924.92000000004</v>
      </c>
      <c r="N526" s="2">
        <v>409170.14</v>
      </c>
      <c r="O526" s="2">
        <v>171754.78</v>
      </c>
      <c r="P526" s="2" t="s">
        <v>52</v>
      </c>
      <c r="Q526" s="2" t="s">
        <v>32</v>
      </c>
      <c r="R526" s="2">
        <v>13</v>
      </c>
      <c r="S526" s="2" t="s">
        <v>112</v>
      </c>
      <c r="T526" s="2">
        <v>3956</v>
      </c>
      <c r="U526" s="2">
        <v>19</v>
      </c>
      <c r="V526" s="2"/>
    </row>
    <row r="527" spans="1:22" x14ac:dyDescent="0.35">
      <c r="A527" s="3" t="s">
        <v>1774</v>
      </c>
      <c r="B527" s="3" t="s">
        <v>1775</v>
      </c>
      <c r="C527" s="3" t="s">
        <v>1776</v>
      </c>
      <c r="D527" s="3" t="s">
        <v>1777</v>
      </c>
      <c r="E527" s="3" t="s">
        <v>100</v>
      </c>
      <c r="F527" s="3" t="s">
        <v>330</v>
      </c>
      <c r="G527" s="3" t="s">
        <v>78</v>
      </c>
      <c r="H527" s="3" t="s">
        <v>572</v>
      </c>
      <c r="I527" s="3" t="s">
        <v>141</v>
      </c>
      <c r="J527" s="3">
        <v>46</v>
      </c>
      <c r="K527" s="3">
        <v>790.79</v>
      </c>
      <c r="L527" s="3">
        <v>1285.17</v>
      </c>
      <c r="M527" s="3">
        <v>59117.82</v>
      </c>
      <c r="N527" s="3">
        <v>36376.339999999997</v>
      </c>
      <c r="O527" s="3">
        <v>22741.48</v>
      </c>
      <c r="P527" s="3" t="s">
        <v>52</v>
      </c>
      <c r="Q527" s="3" t="s">
        <v>63</v>
      </c>
      <c r="R527" s="3">
        <v>3</v>
      </c>
      <c r="S527" s="3" t="s">
        <v>43</v>
      </c>
      <c r="T527" s="3">
        <v>2289</v>
      </c>
      <c r="U527" s="3">
        <v>2</v>
      </c>
      <c r="V527" s="3"/>
    </row>
    <row r="528" spans="1:22" x14ac:dyDescent="0.35">
      <c r="A528" s="2" t="s">
        <v>1778</v>
      </c>
      <c r="B528" s="2" t="s">
        <v>1779</v>
      </c>
      <c r="C528" s="2" t="s">
        <v>89</v>
      </c>
      <c r="D528" s="2" t="s">
        <v>1780</v>
      </c>
      <c r="E528" s="2" t="s">
        <v>26</v>
      </c>
      <c r="F528" s="2" t="s">
        <v>38</v>
      </c>
      <c r="G528" s="2" t="s">
        <v>78</v>
      </c>
      <c r="H528" s="2" t="s">
        <v>628</v>
      </c>
      <c r="I528" s="2" t="s">
        <v>62</v>
      </c>
      <c r="J528" s="2">
        <v>366</v>
      </c>
      <c r="K528" s="2">
        <v>789.11</v>
      </c>
      <c r="L528" s="2">
        <v>1039.56</v>
      </c>
      <c r="M528" s="2">
        <v>380478.96</v>
      </c>
      <c r="N528" s="2">
        <v>288814.26</v>
      </c>
      <c r="O528" s="2">
        <v>91664.7</v>
      </c>
      <c r="P528" s="2" t="s">
        <v>1781</v>
      </c>
      <c r="Q528" s="2" t="s">
        <v>63</v>
      </c>
      <c r="R528" s="2">
        <v>3</v>
      </c>
      <c r="S528" s="2" t="s">
        <v>112</v>
      </c>
      <c r="T528" s="2">
        <v>3539</v>
      </c>
      <c r="U528" s="2">
        <v>11</v>
      </c>
      <c r="V528" s="2"/>
    </row>
    <row r="529" spans="1:22" x14ac:dyDescent="0.35">
      <c r="A529" s="3" t="s">
        <v>1782</v>
      </c>
      <c r="B529" s="3" t="s">
        <v>559</v>
      </c>
      <c r="C529" s="3" t="s">
        <v>1319</v>
      </c>
      <c r="D529" s="3" t="s">
        <v>1783</v>
      </c>
      <c r="E529" s="3" t="s">
        <v>26</v>
      </c>
      <c r="F529" s="3" t="s">
        <v>27</v>
      </c>
      <c r="G529" s="3" t="s">
        <v>189</v>
      </c>
      <c r="H529" s="3" t="s">
        <v>311</v>
      </c>
      <c r="I529" s="3" t="s">
        <v>141</v>
      </c>
      <c r="J529" s="3">
        <v>90</v>
      </c>
      <c r="K529" s="3">
        <v>201.67</v>
      </c>
      <c r="L529" s="3">
        <v>321.66000000000003</v>
      </c>
      <c r="M529" s="3">
        <v>28949.4</v>
      </c>
      <c r="N529" s="3">
        <v>18150.3</v>
      </c>
      <c r="O529" s="3">
        <v>10799.1</v>
      </c>
      <c r="P529" s="3" t="s">
        <v>95</v>
      </c>
      <c r="Q529" s="3" t="s">
        <v>63</v>
      </c>
      <c r="R529" s="3">
        <v>3</v>
      </c>
      <c r="S529" s="3" t="s">
        <v>33</v>
      </c>
      <c r="T529" s="3">
        <v>2884</v>
      </c>
      <c r="U529" s="3">
        <v>1</v>
      </c>
      <c r="V529" s="3"/>
    </row>
    <row r="530" spans="1:22" x14ac:dyDescent="0.35">
      <c r="A530" s="2" t="s">
        <v>1784</v>
      </c>
      <c r="B530" s="2" t="s">
        <v>634</v>
      </c>
      <c r="C530" s="2" t="s">
        <v>884</v>
      </c>
      <c r="D530" s="2" t="s">
        <v>1785</v>
      </c>
      <c r="E530" s="2" t="s">
        <v>48</v>
      </c>
      <c r="F530" s="2" t="s">
        <v>270</v>
      </c>
      <c r="G530" s="2" t="s">
        <v>129</v>
      </c>
      <c r="H530" s="2" t="s">
        <v>168</v>
      </c>
      <c r="I530" s="2" t="s">
        <v>85</v>
      </c>
      <c r="J530" s="2">
        <v>675</v>
      </c>
      <c r="K530" s="2">
        <v>545.38</v>
      </c>
      <c r="L530" s="2">
        <v>627.5</v>
      </c>
      <c r="M530" s="2">
        <v>423562.5</v>
      </c>
      <c r="N530" s="2">
        <v>368131.5</v>
      </c>
      <c r="O530" s="2">
        <v>55431</v>
      </c>
      <c r="P530" s="2" t="s">
        <v>42</v>
      </c>
      <c r="Q530" s="2" t="s">
        <v>32</v>
      </c>
      <c r="R530" s="2">
        <v>8</v>
      </c>
      <c r="S530" s="2" t="s">
        <v>53</v>
      </c>
      <c r="T530" s="2">
        <v>3696</v>
      </c>
      <c r="U530" s="2">
        <v>21</v>
      </c>
      <c r="V530" s="2"/>
    </row>
    <row r="531" spans="1:22" x14ac:dyDescent="0.35">
      <c r="A531" s="3" t="s">
        <v>1786</v>
      </c>
      <c r="B531" s="3" t="s">
        <v>324</v>
      </c>
      <c r="C531" s="3" t="s">
        <v>1186</v>
      </c>
      <c r="D531" s="3" t="s">
        <v>1787</v>
      </c>
      <c r="E531" s="3" t="s">
        <v>100</v>
      </c>
      <c r="F531" s="3" t="s">
        <v>330</v>
      </c>
      <c r="G531" s="3" t="s">
        <v>78</v>
      </c>
      <c r="H531" s="3" t="s">
        <v>178</v>
      </c>
      <c r="I531" s="3" t="s">
        <v>141</v>
      </c>
      <c r="J531" s="3">
        <v>588</v>
      </c>
      <c r="K531" s="3">
        <v>405.96</v>
      </c>
      <c r="L531" s="3">
        <v>582.83000000000004</v>
      </c>
      <c r="M531" s="3">
        <v>342704.04</v>
      </c>
      <c r="N531" s="3">
        <v>238704.48</v>
      </c>
      <c r="O531" s="3">
        <v>103999.56</v>
      </c>
      <c r="P531" s="3" t="s">
        <v>52</v>
      </c>
      <c r="Q531" s="3" t="s">
        <v>63</v>
      </c>
      <c r="R531" s="3">
        <v>2</v>
      </c>
      <c r="S531" s="3" t="s">
        <v>53</v>
      </c>
      <c r="T531" s="3">
        <v>755</v>
      </c>
      <c r="U531" s="3">
        <v>26</v>
      </c>
      <c r="V531" s="3"/>
    </row>
    <row r="532" spans="1:22" x14ac:dyDescent="0.35">
      <c r="A532" s="2" t="s">
        <v>1788</v>
      </c>
      <c r="B532" s="2" t="s">
        <v>109</v>
      </c>
      <c r="C532" s="2" t="s">
        <v>1789</v>
      </c>
      <c r="D532" s="2" t="s">
        <v>1790</v>
      </c>
      <c r="E532" s="2" t="s">
        <v>58</v>
      </c>
      <c r="F532" s="2" t="s">
        <v>122</v>
      </c>
      <c r="G532" s="2" t="s">
        <v>129</v>
      </c>
      <c r="H532" s="2" t="s">
        <v>130</v>
      </c>
      <c r="I532" s="2" t="s">
        <v>293</v>
      </c>
      <c r="J532" s="2">
        <v>405</v>
      </c>
      <c r="K532" s="2">
        <v>910.57</v>
      </c>
      <c r="L532" s="2">
        <v>1484.68</v>
      </c>
      <c r="M532" s="2">
        <v>601295.4</v>
      </c>
      <c r="N532" s="2">
        <v>368780.85</v>
      </c>
      <c r="O532" s="2">
        <v>232514.55</v>
      </c>
      <c r="P532" s="2" t="s">
        <v>52</v>
      </c>
      <c r="Q532" s="2" t="s">
        <v>32</v>
      </c>
      <c r="R532" s="2">
        <v>12</v>
      </c>
      <c r="S532" s="2" t="s">
        <v>86</v>
      </c>
      <c r="T532" s="2">
        <v>1458</v>
      </c>
      <c r="U532" s="2">
        <v>2</v>
      </c>
      <c r="V532" s="2"/>
    </row>
    <row r="533" spans="1:22" x14ac:dyDescent="0.35">
      <c r="A533" s="3" t="s">
        <v>1791</v>
      </c>
      <c r="B533" s="3" t="s">
        <v>1037</v>
      </c>
      <c r="C533" s="3" t="s">
        <v>467</v>
      </c>
      <c r="D533" s="3" t="s">
        <v>1792</v>
      </c>
      <c r="E533" s="3" t="s">
        <v>100</v>
      </c>
      <c r="F533" s="3" t="s">
        <v>330</v>
      </c>
      <c r="G533" s="3" t="s">
        <v>129</v>
      </c>
      <c r="H533" s="3" t="s">
        <v>811</v>
      </c>
      <c r="I533" s="3" t="s">
        <v>141</v>
      </c>
      <c r="J533" s="3">
        <v>315</v>
      </c>
      <c r="K533" s="3">
        <v>848.37</v>
      </c>
      <c r="L533" s="3">
        <v>962.2</v>
      </c>
      <c r="M533" s="3">
        <v>303093</v>
      </c>
      <c r="N533" s="3">
        <v>267236.55</v>
      </c>
      <c r="O533" s="3">
        <v>35856.449999999997</v>
      </c>
      <c r="P533" s="3" t="s">
        <v>31</v>
      </c>
      <c r="Q533" s="3" t="s">
        <v>32</v>
      </c>
      <c r="R533" s="3">
        <v>9</v>
      </c>
      <c r="S533" s="3" t="s">
        <v>86</v>
      </c>
      <c r="T533" s="3">
        <v>3233</v>
      </c>
      <c r="U533" s="3">
        <v>12</v>
      </c>
      <c r="V533" s="3"/>
    </row>
    <row r="534" spans="1:22" x14ac:dyDescent="0.35">
      <c r="A534" s="2" t="s">
        <v>1793</v>
      </c>
      <c r="B534" s="2" t="s">
        <v>74</v>
      </c>
      <c r="C534" s="2" t="s">
        <v>1299</v>
      </c>
      <c r="D534" s="2" t="s">
        <v>195</v>
      </c>
      <c r="E534" s="2" t="s">
        <v>26</v>
      </c>
      <c r="F534" s="2" t="s">
        <v>77</v>
      </c>
      <c r="G534" s="2" t="s">
        <v>28</v>
      </c>
      <c r="H534" s="2" t="s">
        <v>111</v>
      </c>
      <c r="I534" s="2" t="s">
        <v>62</v>
      </c>
      <c r="J534" s="2">
        <v>146</v>
      </c>
      <c r="K534" s="2">
        <v>340.01</v>
      </c>
      <c r="L534" s="2">
        <v>494.36</v>
      </c>
      <c r="M534" s="2">
        <v>72176.56</v>
      </c>
      <c r="N534" s="2">
        <v>49641.46</v>
      </c>
      <c r="O534" s="2">
        <v>22535.1</v>
      </c>
      <c r="P534" s="2" t="s">
        <v>52</v>
      </c>
      <c r="Q534" s="2" t="s">
        <v>32</v>
      </c>
      <c r="R534" s="2">
        <v>13</v>
      </c>
      <c r="S534" s="2" t="s">
        <v>33</v>
      </c>
      <c r="T534" s="2">
        <v>3774</v>
      </c>
      <c r="U534" s="2">
        <v>4</v>
      </c>
      <c r="V534" s="2"/>
    </row>
    <row r="535" spans="1:22" x14ac:dyDescent="0.35">
      <c r="A535" s="3" t="s">
        <v>1794</v>
      </c>
      <c r="B535" s="3" t="s">
        <v>1393</v>
      </c>
      <c r="C535" s="3" t="s">
        <v>206</v>
      </c>
      <c r="D535" s="3" t="s">
        <v>1795</v>
      </c>
      <c r="E535" s="3" t="s">
        <v>48</v>
      </c>
      <c r="F535" s="3" t="s">
        <v>49</v>
      </c>
      <c r="G535" s="3" t="s">
        <v>78</v>
      </c>
      <c r="H535" s="3" t="s">
        <v>123</v>
      </c>
      <c r="I535" s="3" t="s">
        <v>1059</v>
      </c>
      <c r="J535" s="3">
        <v>606</v>
      </c>
      <c r="K535" s="3">
        <v>307.76</v>
      </c>
      <c r="L535" s="3">
        <v>424.46</v>
      </c>
      <c r="M535" s="3">
        <v>257222.76</v>
      </c>
      <c r="N535" s="3">
        <v>186502.56</v>
      </c>
      <c r="O535" s="3">
        <v>70720.2</v>
      </c>
      <c r="P535" s="3" t="s">
        <v>95</v>
      </c>
      <c r="Q535" s="3" t="s">
        <v>63</v>
      </c>
      <c r="R535" s="3">
        <v>2</v>
      </c>
      <c r="S535" s="3" t="s">
        <v>112</v>
      </c>
      <c r="T535" s="3">
        <v>4086</v>
      </c>
      <c r="U535" s="3">
        <v>21</v>
      </c>
      <c r="V535" s="3"/>
    </row>
    <row r="536" spans="1:22" x14ac:dyDescent="0.35">
      <c r="A536" s="2" t="s">
        <v>1796</v>
      </c>
      <c r="B536" s="2" t="s">
        <v>1797</v>
      </c>
      <c r="C536" s="2" t="s">
        <v>328</v>
      </c>
      <c r="D536" s="2" t="s">
        <v>1798</v>
      </c>
      <c r="E536" s="2" t="s">
        <v>100</v>
      </c>
      <c r="F536" s="2" t="s">
        <v>101</v>
      </c>
      <c r="G536" s="2" t="s">
        <v>28</v>
      </c>
      <c r="H536" s="2" t="s">
        <v>29</v>
      </c>
      <c r="I536" s="2" t="s">
        <v>240</v>
      </c>
      <c r="J536" s="2">
        <v>455</v>
      </c>
      <c r="K536" s="2">
        <v>816.52</v>
      </c>
      <c r="L536" s="2">
        <v>920.2</v>
      </c>
      <c r="M536" s="2">
        <v>418691</v>
      </c>
      <c r="N536" s="2">
        <v>371516.6</v>
      </c>
      <c r="O536" s="2">
        <v>47174.400000000001</v>
      </c>
      <c r="P536" s="2" t="s">
        <v>52</v>
      </c>
      <c r="Q536" s="2" t="s">
        <v>32</v>
      </c>
      <c r="R536" s="2">
        <v>14</v>
      </c>
      <c r="S536" s="2" t="s">
        <v>86</v>
      </c>
      <c r="T536" s="2">
        <v>2404</v>
      </c>
      <c r="U536" s="2">
        <v>17</v>
      </c>
      <c r="V536" s="2"/>
    </row>
    <row r="537" spans="1:22" x14ac:dyDescent="0.35">
      <c r="A537" s="3" t="s">
        <v>1799</v>
      </c>
      <c r="B537" s="3" t="s">
        <v>820</v>
      </c>
      <c r="C537" s="3" t="s">
        <v>98</v>
      </c>
      <c r="D537" s="3" t="s">
        <v>1800</v>
      </c>
      <c r="E537" s="3" t="s">
        <v>68</v>
      </c>
      <c r="F537" s="3" t="s">
        <v>69</v>
      </c>
      <c r="G537" s="3" t="s">
        <v>93</v>
      </c>
      <c r="H537" s="3" t="s">
        <v>184</v>
      </c>
      <c r="I537" s="3" t="s">
        <v>30</v>
      </c>
      <c r="J537" s="3">
        <v>727</v>
      </c>
      <c r="K537" s="3">
        <v>904.25</v>
      </c>
      <c r="L537" s="3">
        <v>1244.33</v>
      </c>
      <c r="M537" s="3">
        <v>904627.91</v>
      </c>
      <c r="N537" s="3">
        <v>657389.75</v>
      </c>
      <c r="O537" s="3">
        <v>247238.16</v>
      </c>
      <c r="P537" s="3" t="s">
        <v>52</v>
      </c>
      <c r="Q537" s="3" t="s">
        <v>63</v>
      </c>
      <c r="R537" s="3">
        <v>3</v>
      </c>
      <c r="S537" s="3" t="s">
        <v>33</v>
      </c>
      <c r="T537" s="3">
        <v>4900</v>
      </c>
      <c r="U537" s="3">
        <v>36</v>
      </c>
      <c r="V537" s="3"/>
    </row>
    <row r="538" spans="1:22" x14ac:dyDescent="0.35">
      <c r="A538" s="2" t="s">
        <v>1801</v>
      </c>
      <c r="B538" s="2" t="s">
        <v>1802</v>
      </c>
      <c r="C538" s="2" t="s">
        <v>988</v>
      </c>
      <c r="D538" s="2" t="s">
        <v>1229</v>
      </c>
      <c r="E538" s="2" t="s">
        <v>100</v>
      </c>
      <c r="F538" s="2" t="s">
        <v>538</v>
      </c>
      <c r="G538" s="2" t="s">
        <v>60</v>
      </c>
      <c r="H538" s="2" t="s">
        <v>61</v>
      </c>
      <c r="I538" s="2" t="s">
        <v>118</v>
      </c>
      <c r="J538" s="2">
        <v>668</v>
      </c>
      <c r="K538" s="2">
        <v>895.64</v>
      </c>
      <c r="L538" s="2">
        <v>1055.1600000000001</v>
      </c>
      <c r="M538" s="2">
        <v>704846.88</v>
      </c>
      <c r="N538" s="2">
        <v>598287.52</v>
      </c>
      <c r="O538" s="2">
        <v>106559.36</v>
      </c>
      <c r="P538" s="2" t="s">
        <v>95</v>
      </c>
      <c r="Q538" s="2" t="s">
        <v>32</v>
      </c>
      <c r="R538" s="2">
        <v>12</v>
      </c>
      <c r="S538" s="2" t="s">
        <v>33</v>
      </c>
      <c r="T538" s="2">
        <v>4269</v>
      </c>
      <c r="U538" s="2">
        <v>8</v>
      </c>
      <c r="V538" s="2"/>
    </row>
    <row r="539" spans="1:22" x14ac:dyDescent="0.35">
      <c r="A539" s="3" t="s">
        <v>1803</v>
      </c>
      <c r="B539" s="3" t="s">
        <v>1146</v>
      </c>
      <c r="C539" s="3" t="s">
        <v>1804</v>
      </c>
      <c r="D539" s="3" t="s">
        <v>1805</v>
      </c>
      <c r="E539" s="3" t="s">
        <v>100</v>
      </c>
      <c r="F539" s="3" t="s">
        <v>238</v>
      </c>
      <c r="G539" s="3" t="s">
        <v>70</v>
      </c>
      <c r="H539" s="3" t="s">
        <v>822</v>
      </c>
      <c r="I539" s="3" t="s">
        <v>30</v>
      </c>
      <c r="J539" s="3">
        <v>131</v>
      </c>
      <c r="K539" s="3">
        <v>-0.5</v>
      </c>
      <c r="L539" s="3">
        <v>1014.73</v>
      </c>
      <c r="M539" s="3">
        <v>132929.63</v>
      </c>
      <c r="N539" s="3">
        <v>116831.03999999999</v>
      </c>
      <c r="O539" s="3">
        <v>16098.59</v>
      </c>
      <c r="P539" s="3" t="s">
        <v>95</v>
      </c>
      <c r="Q539" s="3" t="s">
        <v>32</v>
      </c>
      <c r="R539" s="3">
        <v>8</v>
      </c>
      <c r="S539" s="3" t="s">
        <v>43</v>
      </c>
      <c r="T539" s="3">
        <v>854</v>
      </c>
      <c r="U539" s="3">
        <v>4</v>
      </c>
      <c r="V539" s="3"/>
    </row>
    <row r="540" spans="1:22" x14ac:dyDescent="0.35">
      <c r="A540" s="2" t="s">
        <v>1806</v>
      </c>
      <c r="B540" s="2" t="s">
        <v>1265</v>
      </c>
      <c r="C540" s="2" t="s">
        <v>65</v>
      </c>
      <c r="D540" s="2" t="s">
        <v>1807</v>
      </c>
      <c r="E540" s="2" t="s">
        <v>58</v>
      </c>
      <c r="F540" s="2" t="s">
        <v>59</v>
      </c>
      <c r="G540" s="2" t="s">
        <v>60</v>
      </c>
      <c r="H540" s="2" t="s">
        <v>400</v>
      </c>
      <c r="I540" s="2" t="s">
        <v>141</v>
      </c>
      <c r="J540" s="2">
        <v>668</v>
      </c>
      <c r="K540" s="2">
        <v>316.3</v>
      </c>
      <c r="L540" s="4"/>
      <c r="M540" s="2">
        <v>313993.40000000002</v>
      </c>
      <c r="N540" s="2">
        <v>211288.4</v>
      </c>
      <c r="O540" s="2">
        <v>102705</v>
      </c>
      <c r="P540" s="2" t="s">
        <v>31</v>
      </c>
      <c r="Q540" s="2" t="s">
        <v>32</v>
      </c>
      <c r="R540" s="2">
        <v>9</v>
      </c>
      <c r="S540" s="2" t="s">
        <v>53</v>
      </c>
      <c r="T540" s="2">
        <v>1794</v>
      </c>
      <c r="U540" s="2">
        <v>15</v>
      </c>
      <c r="V540" s="2"/>
    </row>
    <row r="541" spans="1:22" x14ac:dyDescent="0.35">
      <c r="A541" s="3" t="s">
        <v>1808</v>
      </c>
      <c r="B541" s="3" t="s">
        <v>1750</v>
      </c>
      <c r="C541" s="3" t="s">
        <v>1213</v>
      </c>
      <c r="D541" s="3" t="s">
        <v>1809</v>
      </c>
      <c r="E541" s="3" t="s">
        <v>48</v>
      </c>
      <c r="F541" s="3" t="s">
        <v>223</v>
      </c>
      <c r="G541" s="3" t="s">
        <v>28</v>
      </c>
      <c r="H541" s="3" t="s">
        <v>674</v>
      </c>
      <c r="I541" s="3" t="s">
        <v>118</v>
      </c>
      <c r="J541" s="3">
        <v>126</v>
      </c>
      <c r="K541" s="3">
        <v>970.97</v>
      </c>
      <c r="L541" s="3">
        <v>1358.54</v>
      </c>
      <c r="M541" s="3">
        <v>171176.04</v>
      </c>
      <c r="N541" s="3">
        <v>122342.22</v>
      </c>
      <c r="O541" s="3">
        <v>48833.82</v>
      </c>
      <c r="P541" s="3" t="s">
        <v>95</v>
      </c>
      <c r="Q541" s="3" t="s">
        <v>32</v>
      </c>
      <c r="R541" s="3">
        <v>12</v>
      </c>
      <c r="S541" s="3" t="s">
        <v>53</v>
      </c>
      <c r="T541" s="3">
        <v>2083</v>
      </c>
      <c r="U541" s="3">
        <v>2</v>
      </c>
      <c r="V541" s="3"/>
    </row>
    <row r="542" spans="1:22" x14ac:dyDescent="0.35">
      <c r="A542" s="2" t="s">
        <v>1810</v>
      </c>
      <c r="B542" s="2" t="s">
        <v>35</v>
      </c>
      <c r="C542" s="2" t="s">
        <v>55</v>
      </c>
      <c r="D542" s="2" t="s">
        <v>1811</v>
      </c>
      <c r="E542" s="2" t="s">
        <v>68</v>
      </c>
      <c r="F542" s="2" t="s">
        <v>276</v>
      </c>
      <c r="G542" s="2" t="s">
        <v>217</v>
      </c>
      <c r="H542" s="2" t="s">
        <v>684</v>
      </c>
      <c r="I542" s="2" t="s">
        <v>85</v>
      </c>
      <c r="J542" s="2">
        <v>313</v>
      </c>
      <c r="K542" s="2">
        <v>1172.49</v>
      </c>
      <c r="L542" s="2">
        <v>1826.25</v>
      </c>
      <c r="M542" s="2">
        <v>571616.25</v>
      </c>
      <c r="N542" s="2">
        <v>366989.37</v>
      </c>
      <c r="O542" s="2">
        <v>204626.88</v>
      </c>
      <c r="P542" s="2" t="s">
        <v>52</v>
      </c>
      <c r="Q542" s="2" t="s">
        <v>63</v>
      </c>
      <c r="R542" s="2">
        <v>5</v>
      </c>
      <c r="S542" s="2" t="s">
        <v>53</v>
      </c>
      <c r="T542" s="2">
        <v>579</v>
      </c>
      <c r="U542" s="2">
        <v>3</v>
      </c>
      <c r="V542" s="2"/>
    </row>
    <row r="543" spans="1:22" x14ac:dyDescent="0.35">
      <c r="A543" s="3" t="s">
        <v>1812</v>
      </c>
      <c r="B543" s="3" t="s">
        <v>1813</v>
      </c>
      <c r="C543" s="3" t="s">
        <v>1814</v>
      </c>
      <c r="D543" s="3" t="s">
        <v>1815</v>
      </c>
      <c r="E543" s="3" t="s">
        <v>100</v>
      </c>
      <c r="F543" s="3" t="s">
        <v>538</v>
      </c>
      <c r="G543" s="3" t="s">
        <v>28</v>
      </c>
      <c r="H543" s="3" t="s">
        <v>507</v>
      </c>
      <c r="I543" s="3" t="s">
        <v>118</v>
      </c>
      <c r="J543" s="3">
        <v>626</v>
      </c>
      <c r="K543" s="3">
        <v>876.28</v>
      </c>
      <c r="L543" s="3">
        <v>1117.8399999999999</v>
      </c>
      <c r="M543" s="3">
        <v>699767.84</v>
      </c>
      <c r="N543" s="3">
        <v>548551.28</v>
      </c>
      <c r="O543" s="3">
        <v>151216.56</v>
      </c>
      <c r="P543" s="3" t="s">
        <v>31</v>
      </c>
      <c r="Q543" s="3" t="s">
        <v>32</v>
      </c>
      <c r="R543" s="3">
        <v>7</v>
      </c>
      <c r="S543" s="3" t="s">
        <v>1816</v>
      </c>
      <c r="T543" s="3">
        <v>1307</v>
      </c>
      <c r="U543" s="3">
        <v>30</v>
      </c>
      <c r="V543" s="3"/>
    </row>
    <row r="544" spans="1:22" x14ac:dyDescent="0.35">
      <c r="A544" s="2" t="s">
        <v>1817</v>
      </c>
      <c r="B544" s="2" t="s">
        <v>288</v>
      </c>
      <c r="C544" s="2" t="s">
        <v>328</v>
      </c>
      <c r="D544" s="2" t="s">
        <v>1818</v>
      </c>
      <c r="E544" s="2" t="s">
        <v>26</v>
      </c>
      <c r="F544" s="2" t="s">
        <v>228</v>
      </c>
      <c r="G544" s="2" t="s">
        <v>129</v>
      </c>
      <c r="H544" s="2" t="s">
        <v>704</v>
      </c>
      <c r="I544" s="2" t="s">
        <v>293</v>
      </c>
      <c r="J544" s="2">
        <v>734</v>
      </c>
      <c r="K544" s="2">
        <v>937.33</v>
      </c>
      <c r="L544" s="2">
        <v>1057.79</v>
      </c>
      <c r="M544" s="2">
        <v>776417.86</v>
      </c>
      <c r="N544" s="2">
        <v>688000.22</v>
      </c>
      <c r="O544" s="2">
        <v>88417.64</v>
      </c>
      <c r="P544" s="2" t="s">
        <v>95</v>
      </c>
      <c r="Q544" s="2" t="s">
        <v>32</v>
      </c>
      <c r="R544" s="2">
        <v>14</v>
      </c>
      <c r="S544" s="2" t="s">
        <v>112</v>
      </c>
      <c r="T544" s="2">
        <v>706</v>
      </c>
      <c r="U544" s="2">
        <v>14</v>
      </c>
      <c r="V544" s="2"/>
    </row>
    <row r="545" spans="1:22" x14ac:dyDescent="0.35">
      <c r="A545" s="3" t="s">
        <v>1819</v>
      </c>
      <c r="B545" s="3" t="s">
        <v>1820</v>
      </c>
      <c r="C545" s="3" t="s">
        <v>1821</v>
      </c>
      <c r="D545" s="3" t="s">
        <v>1822</v>
      </c>
      <c r="E545" s="3" t="s">
        <v>100</v>
      </c>
      <c r="F545" s="3" t="s">
        <v>238</v>
      </c>
      <c r="G545" s="3" t="s">
        <v>217</v>
      </c>
      <c r="H545" s="3" t="s">
        <v>292</v>
      </c>
      <c r="I545" s="3" t="s">
        <v>62</v>
      </c>
      <c r="J545" s="3">
        <v>678</v>
      </c>
      <c r="K545" s="3">
        <v>290.94</v>
      </c>
      <c r="L545" s="4"/>
      <c r="M545" s="3">
        <v>298855.62</v>
      </c>
      <c r="N545" s="3">
        <v>197257.32</v>
      </c>
      <c r="O545" s="3">
        <v>101598.3</v>
      </c>
      <c r="P545" s="3" t="s">
        <v>42</v>
      </c>
      <c r="Q545" s="3" t="s">
        <v>32</v>
      </c>
      <c r="R545" s="3">
        <v>12</v>
      </c>
      <c r="S545" s="3" t="s">
        <v>43</v>
      </c>
      <c r="T545" s="3">
        <v>1880</v>
      </c>
      <c r="U545" s="3">
        <v>0</v>
      </c>
      <c r="V545" s="3"/>
    </row>
    <row r="546" spans="1:22" x14ac:dyDescent="0.35">
      <c r="A546" s="3" t="s">
        <v>1823</v>
      </c>
      <c r="B546" s="3" t="s">
        <v>1525</v>
      </c>
      <c r="C546" s="3" t="s">
        <v>1824</v>
      </c>
      <c r="D546" s="3" t="s">
        <v>1825</v>
      </c>
      <c r="E546" s="3" t="s">
        <v>100</v>
      </c>
      <c r="F546" s="3" t="s">
        <v>238</v>
      </c>
      <c r="G546" s="3" t="s">
        <v>28</v>
      </c>
      <c r="H546" s="3" t="s">
        <v>212</v>
      </c>
      <c r="I546" s="3" t="s">
        <v>85</v>
      </c>
      <c r="J546" s="3">
        <v>493</v>
      </c>
      <c r="K546" s="3">
        <v>1196.8900000000001</v>
      </c>
      <c r="L546" s="3">
        <v>1667.69</v>
      </c>
      <c r="M546" s="3">
        <v>822171.17</v>
      </c>
      <c r="N546" s="3">
        <v>590066.77</v>
      </c>
      <c r="O546" s="3">
        <v>232104.4</v>
      </c>
      <c r="P546" s="3" t="s">
        <v>52</v>
      </c>
      <c r="Q546" s="3" t="s">
        <v>32</v>
      </c>
      <c r="R546" s="3">
        <v>6</v>
      </c>
      <c r="S546" s="3" t="s">
        <v>158</v>
      </c>
      <c r="T546" s="3">
        <v>447</v>
      </c>
      <c r="U546" s="3">
        <v>16</v>
      </c>
      <c r="V546" s="3"/>
    </row>
    <row r="547" spans="1:22" x14ac:dyDescent="0.35">
      <c r="A547" s="2" t="s">
        <v>1826</v>
      </c>
      <c r="B547" s="2" t="s">
        <v>464</v>
      </c>
      <c r="C547" s="2" t="s">
        <v>186</v>
      </c>
      <c r="D547" s="2" t="s">
        <v>1827</v>
      </c>
      <c r="E547" s="2" t="s">
        <v>68</v>
      </c>
      <c r="F547" s="2" t="s">
        <v>249</v>
      </c>
      <c r="G547" s="2" t="s">
        <v>93</v>
      </c>
      <c r="H547" s="2" t="s">
        <v>184</v>
      </c>
      <c r="I547" s="2" t="s">
        <v>153</v>
      </c>
      <c r="J547" s="2">
        <v>301</v>
      </c>
      <c r="K547" s="2">
        <v>361.78</v>
      </c>
      <c r="L547" s="2">
        <v>511.01</v>
      </c>
      <c r="M547" s="2">
        <v>153814.01</v>
      </c>
      <c r="N547" s="2">
        <v>108895.78</v>
      </c>
      <c r="O547" s="2">
        <v>44918.23</v>
      </c>
      <c r="P547" s="2" t="s">
        <v>42</v>
      </c>
      <c r="Q547" s="2" t="s">
        <v>32</v>
      </c>
      <c r="R547" s="2">
        <v>13</v>
      </c>
      <c r="S547" s="2" t="s">
        <v>112</v>
      </c>
      <c r="T547" s="2">
        <v>1047</v>
      </c>
      <c r="U547" s="2">
        <v>10</v>
      </c>
      <c r="V547" s="2"/>
    </row>
    <row r="548" spans="1:22" x14ac:dyDescent="0.35">
      <c r="A548" s="3" t="s">
        <v>1828</v>
      </c>
      <c r="B548" s="3" t="s">
        <v>926</v>
      </c>
      <c r="C548" s="3" t="s">
        <v>1090</v>
      </c>
      <c r="D548" s="3" t="s">
        <v>1829</v>
      </c>
      <c r="E548" s="3" t="s">
        <v>100</v>
      </c>
      <c r="F548" s="3" t="s">
        <v>101</v>
      </c>
      <c r="G548" s="3" t="s">
        <v>217</v>
      </c>
      <c r="H548" s="3" t="s">
        <v>524</v>
      </c>
      <c r="I548" s="3" t="s">
        <v>118</v>
      </c>
      <c r="J548" s="3">
        <v>115</v>
      </c>
      <c r="K548" s="3">
        <v>382.22</v>
      </c>
      <c r="L548" s="3">
        <v>616.38</v>
      </c>
      <c r="M548" s="3">
        <v>70883.7</v>
      </c>
      <c r="N548" s="3">
        <v>43955.3</v>
      </c>
      <c r="O548" s="3">
        <v>26928.400000000001</v>
      </c>
      <c r="P548" s="3" t="s">
        <v>52</v>
      </c>
      <c r="Q548" s="3" t="s">
        <v>63</v>
      </c>
      <c r="R548" s="3">
        <v>5</v>
      </c>
      <c r="S548" s="3" t="s">
        <v>33</v>
      </c>
      <c r="T548" s="3">
        <v>958</v>
      </c>
      <c r="U548" s="3">
        <v>4</v>
      </c>
      <c r="V548" s="3"/>
    </row>
    <row r="549" spans="1:22" x14ac:dyDescent="0.35">
      <c r="A549" s="2" t="s">
        <v>1830</v>
      </c>
      <c r="B549" s="2" t="s">
        <v>284</v>
      </c>
      <c r="C549" s="2" t="s">
        <v>988</v>
      </c>
      <c r="D549" s="2" t="s">
        <v>1831</v>
      </c>
      <c r="E549" s="2" t="s">
        <v>26</v>
      </c>
      <c r="F549" s="2" t="s">
        <v>38</v>
      </c>
      <c r="G549" s="2" t="s">
        <v>60</v>
      </c>
      <c r="H549" s="2" t="s">
        <v>229</v>
      </c>
      <c r="I549" s="2" t="s">
        <v>124</v>
      </c>
      <c r="J549" s="2">
        <v>82</v>
      </c>
      <c r="K549" s="2">
        <v>667.04</v>
      </c>
      <c r="L549" s="2">
        <v>932.1</v>
      </c>
      <c r="M549" s="2">
        <v>76432.2</v>
      </c>
      <c r="N549" s="2">
        <v>54697.279999999999</v>
      </c>
      <c r="O549" s="2">
        <v>21734.92</v>
      </c>
      <c r="P549" s="2" t="s">
        <v>42</v>
      </c>
      <c r="Q549" s="2" t="s">
        <v>63</v>
      </c>
      <c r="R549" s="2">
        <v>2</v>
      </c>
      <c r="S549" s="2" t="s">
        <v>53</v>
      </c>
      <c r="T549" s="2">
        <v>2962</v>
      </c>
      <c r="U549" s="2">
        <v>4</v>
      </c>
      <c r="V549" s="2"/>
    </row>
    <row r="550" spans="1:22" x14ac:dyDescent="0.35">
      <c r="A550" s="3" t="s">
        <v>1832</v>
      </c>
      <c r="B550" s="3" t="s">
        <v>342</v>
      </c>
      <c r="C550" s="3" t="s">
        <v>513</v>
      </c>
      <c r="D550" s="3" t="s">
        <v>1833</v>
      </c>
      <c r="E550" s="3" t="s">
        <v>58</v>
      </c>
      <c r="F550" s="3" t="s">
        <v>259</v>
      </c>
      <c r="G550" s="3" t="s">
        <v>93</v>
      </c>
      <c r="H550" s="3" t="s">
        <v>184</v>
      </c>
      <c r="I550" s="4"/>
      <c r="J550" s="3">
        <v>354</v>
      </c>
      <c r="K550" s="3">
        <v>416.9</v>
      </c>
      <c r="L550" s="3">
        <v>470.42</v>
      </c>
      <c r="M550" s="3">
        <v>166528.68</v>
      </c>
      <c r="N550" s="3">
        <v>147582.6</v>
      </c>
      <c r="O550" s="3">
        <v>18946.080000000002</v>
      </c>
      <c r="P550" s="3" t="s">
        <v>95</v>
      </c>
      <c r="Q550" s="3" t="s">
        <v>63</v>
      </c>
      <c r="R550" s="3">
        <v>1</v>
      </c>
      <c r="S550" s="3" t="s">
        <v>112</v>
      </c>
      <c r="T550" s="3">
        <v>3794</v>
      </c>
      <c r="U550" s="3">
        <v>13</v>
      </c>
      <c r="V550" s="3"/>
    </row>
    <row r="551" spans="1:22" x14ac:dyDescent="0.35">
      <c r="A551" s="2" t="s">
        <v>1834</v>
      </c>
      <c r="B551" s="2" t="s">
        <v>467</v>
      </c>
      <c r="C551" s="2" t="s">
        <v>982</v>
      </c>
      <c r="D551" s="2" t="s">
        <v>1835</v>
      </c>
      <c r="E551" s="2" t="s">
        <v>48</v>
      </c>
      <c r="F551" s="2" t="s">
        <v>223</v>
      </c>
      <c r="G551" s="2" t="s">
        <v>39</v>
      </c>
      <c r="H551" s="2" t="s">
        <v>527</v>
      </c>
      <c r="I551" s="2" t="s">
        <v>85</v>
      </c>
      <c r="J551" s="2">
        <v>285</v>
      </c>
      <c r="K551" s="2">
        <v>619.28</v>
      </c>
      <c r="L551" s="2">
        <v>949.49</v>
      </c>
      <c r="M551" s="2">
        <v>270604.65000000002</v>
      </c>
      <c r="N551" s="2">
        <v>176494.8</v>
      </c>
      <c r="O551" s="2">
        <v>94109.85</v>
      </c>
      <c r="P551" s="2" t="s">
        <v>42</v>
      </c>
      <c r="Q551" s="2" t="s">
        <v>32</v>
      </c>
      <c r="R551" s="2">
        <v>6</v>
      </c>
      <c r="S551" s="2" t="s">
        <v>158</v>
      </c>
      <c r="T551" s="2">
        <v>3936</v>
      </c>
      <c r="U551" s="2">
        <v>5</v>
      </c>
      <c r="V551" s="2"/>
    </row>
    <row r="552" spans="1:22" x14ac:dyDescent="0.35">
      <c r="A552" s="3" t="s">
        <v>1836</v>
      </c>
      <c r="B552" s="3" t="s">
        <v>56</v>
      </c>
      <c r="C552" s="3" t="s">
        <v>1578</v>
      </c>
      <c r="D552" s="3" t="s">
        <v>1837</v>
      </c>
      <c r="E552" s="3" t="s">
        <v>68</v>
      </c>
      <c r="F552" s="3" t="s">
        <v>249</v>
      </c>
      <c r="G552" s="3" t="s">
        <v>217</v>
      </c>
      <c r="H552" s="3" t="s">
        <v>684</v>
      </c>
      <c r="I552" s="3" t="s">
        <v>1230</v>
      </c>
      <c r="J552" s="3">
        <v>491</v>
      </c>
      <c r="K552" s="3">
        <v>706.2</v>
      </c>
      <c r="L552" s="3">
        <v>995.49</v>
      </c>
      <c r="M552" s="3">
        <v>488785.59</v>
      </c>
      <c r="N552" s="3">
        <v>346744.2</v>
      </c>
      <c r="O552" s="3">
        <v>142041.39000000001</v>
      </c>
      <c r="P552" s="3" t="s">
        <v>52</v>
      </c>
      <c r="Q552" s="3" t="s">
        <v>63</v>
      </c>
      <c r="R552" s="3">
        <v>2</v>
      </c>
      <c r="S552" s="3" t="s">
        <v>158</v>
      </c>
      <c r="T552" s="3">
        <v>441</v>
      </c>
      <c r="U552" s="3">
        <v>12</v>
      </c>
      <c r="V552" s="3"/>
    </row>
    <row r="553" spans="1:22" x14ac:dyDescent="0.35">
      <c r="A553" s="3" t="s">
        <v>1838</v>
      </c>
      <c r="B553" s="3" t="s">
        <v>1839</v>
      </c>
      <c r="C553" s="3" t="s">
        <v>1433</v>
      </c>
      <c r="D553" s="3" t="s">
        <v>1840</v>
      </c>
      <c r="E553" s="3" t="s">
        <v>100</v>
      </c>
      <c r="F553" s="3" t="s">
        <v>238</v>
      </c>
      <c r="G553" s="3" t="s">
        <v>93</v>
      </c>
      <c r="H553" s="3" t="s">
        <v>94</v>
      </c>
      <c r="I553" s="3" t="s">
        <v>153</v>
      </c>
      <c r="J553" s="3">
        <v>518</v>
      </c>
      <c r="K553" s="3">
        <v>1029.5899999999999</v>
      </c>
      <c r="L553" s="3">
        <v>1446.33</v>
      </c>
      <c r="M553" s="3">
        <v>749198.94</v>
      </c>
      <c r="N553" s="3">
        <v>533327.62</v>
      </c>
      <c r="O553" s="3">
        <v>215871.32</v>
      </c>
      <c r="P553" s="3" t="s">
        <v>42</v>
      </c>
      <c r="Q553" s="3" t="s">
        <v>32</v>
      </c>
      <c r="R553" s="3">
        <v>7</v>
      </c>
      <c r="S553" s="3" t="s">
        <v>158</v>
      </c>
      <c r="T553" s="3">
        <v>91</v>
      </c>
      <c r="U553" s="3">
        <v>0</v>
      </c>
      <c r="V553" s="3"/>
    </row>
    <row r="554" spans="1:22" x14ac:dyDescent="0.35">
      <c r="A554" s="2" t="s">
        <v>1841</v>
      </c>
      <c r="B554" s="2" t="s">
        <v>1842</v>
      </c>
      <c r="C554" s="2" t="s">
        <v>1597</v>
      </c>
      <c r="D554" s="2" t="s">
        <v>1843</v>
      </c>
      <c r="E554" s="2" t="s">
        <v>48</v>
      </c>
      <c r="F554" s="2" t="s">
        <v>49</v>
      </c>
      <c r="G554" s="2" t="s">
        <v>93</v>
      </c>
      <c r="H554" s="2" t="s">
        <v>485</v>
      </c>
      <c r="I554" s="2" t="s">
        <v>85</v>
      </c>
      <c r="J554" s="2">
        <v>624</v>
      </c>
      <c r="K554" s="2">
        <v>889.12</v>
      </c>
      <c r="L554" s="2">
        <v>1070.6500000000001</v>
      </c>
      <c r="M554" s="2">
        <v>668085.6</v>
      </c>
      <c r="N554" s="2">
        <v>554810.88</v>
      </c>
      <c r="O554" s="2">
        <v>113274.72</v>
      </c>
      <c r="P554" s="2" t="s">
        <v>31</v>
      </c>
      <c r="Q554" s="2" t="s">
        <v>32</v>
      </c>
      <c r="R554" s="2">
        <v>9</v>
      </c>
      <c r="S554" s="2" t="s">
        <v>112</v>
      </c>
      <c r="T554" s="2">
        <v>2069</v>
      </c>
      <c r="U554" s="2">
        <v>8</v>
      </c>
      <c r="V554" s="2"/>
    </row>
    <row r="555" spans="1:22" x14ac:dyDescent="0.35">
      <c r="A555" s="3" t="s">
        <v>1844</v>
      </c>
      <c r="B555" s="3" t="s">
        <v>1183</v>
      </c>
      <c r="C555" s="3" t="s">
        <v>1284</v>
      </c>
      <c r="D555" s="3" t="s">
        <v>1845</v>
      </c>
      <c r="E555" s="3" t="s">
        <v>58</v>
      </c>
      <c r="F555" s="3" t="s">
        <v>122</v>
      </c>
      <c r="G555" s="3" t="s">
        <v>189</v>
      </c>
      <c r="H555" s="3" t="s">
        <v>271</v>
      </c>
      <c r="I555" s="3" t="s">
        <v>41</v>
      </c>
      <c r="J555" s="3">
        <v>283</v>
      </c>
      <c r="K555" s="3">
        <v>1067.33</v>
      </c>
      <c r="L555" s="3">
        <v>1469.88</v>
      </c>
      <c r="M555" s="3">
        <v>415976.04</v>
      </c>
      <c r="N555" s="3">
        <v>302054.39</v>
      </c>
      <c r="O555" s="3">
        <v>113921.65</v>
      </c>
      <c r="P555" s="3" t="s">
        <v>31</v>
      </c>
      <c r="Q555" s="3" t="s">
        <v>63</v>
      </c>
      <c r="R555" s="3">
        <v>2</v>
      </c>
      <c r="S555" s="3" t="s">
        <v>112</v>
      </c>
      <c r="T555" s="3">
        <v>4537</v>
      </c>
      <c r="U555" s="4"/>
      <c r="V555" s="3"/>
    </row>
    <row r="556" spans="1:22" x14ac:dyDescent="0.35">
      <c r="A556" s="2" t="s">
        <v>1846</v>
      </c>
      <c r="B556" s="2" t="s">
        <v>944</v>
      </c>
      <c r="C556" s="2" t="s">
        <v>1022</v>
      </c>
      <c r="D556" s="2" t="s">
        <v>1481</v>
      </c>
      <c r="E556" s="2" t="s">
        <v>26</v>
      </c>
      <c r="F556" s="2" t="s">
        <v>77</v>
      </c>
      <c r="G556" s="2" t="s">
        <v>217</v>
      </c>
      <c r="H556" s="2" t="s">
        <v>684</v>
      </c>
      <c r="I556" s="2" t="s">
        <v>41</v>
      </c>
      <c r="J556" s="2">
        <v>441</v>
      </c>
      <c r="K556" s="2">
        <v>928.12</v>
      </c>
      <c r="L556" s="2">
        <v>1139.1099999999999</v>
      </c>
      <c r="M556" s="2">
        <v>502347.51</v>
      </c>
      <c r="N556" s="2">
        <v>409300.92</v>
      </c>
      <c r="O556" s="2">
        <v>93046.59</v>
      </c>
      <c r="P556" s="2" t="s">
        <v>95</v>
      </c>
      <c r="Q556" s="2" t="s">
        <v>32</v>
      </c>
      <c r="R556" s="2">
        <v>8</v>
      </c>
      <c r="S556" s="2" t="s">
        <v>33</v>
      </c>
      <c r="T556" s="2">
        <v>4821</v>
      </c>
      <c r="U556" s="2">
        <v>8</v>
      </c>
      <c r="V556" s="2"/>
    </row>
    <row r="557" spans="1:22" x14ac:dyDescent="0.35">
      <c r="A557" s="3" t="s">
        <v>1847</v>
      </c>
      <c r="B557" s="3" t="s">
        <v>65</v>
      </c>
      <c r="C557" s="3" t="s">
        <v>786</v>
      </c>
      <c r="D557" s="3" t="s">
        <v>825</v>
      </c>
      <c r="E557" s="3" t="s">
        <v>58</v>
      </c>
      <c r="F557" s="3" t="s">
        <v>59</v>
      </c>
      <c r="G557" s="3" t="s">
        <v>217</v>
      </c>
      <c r="H557" s="3" t="s">
        <v>292</v>
      </c>
      <c r="I557" s="3" t="s">
        <v>30</v>
      </c>
      <c r="J557" s="3">
        <v>664</v>
      </c>
      <c r="K557" s="3">
        <v>769.8</v>
      </c>
      <c r="L557" s="3">
        <v>925.72</v>
      </c>
      <c r="M557" s="3">
        <v>614678.07999999996</v>
      </c>
      <c r="N557" s="3">
        <v>511147.2</v>
      </c>
      <c r="O557" s="3">
        <v>103530.88</v>
      </c>
      <c r="P557" s="3" t="s">
        <v>95</v>
      </c>
      <c r="Q557" s="3" t="s">
        <v>956</v>
      </c>
      <c r="R557" s="3">
        <v>8</v>
      </c>
      <c r="S557" s="3" t="s">
        <v>158</v>
      </c>
      <c r="T557" s="3">
        <v>3670</v>
      </c>
      <c r="U557" s="3">
        <v>12</v>
      </c>
      <c r="V557" s="3"/>
    </row>
    <row r="558" spans="1:22" x14ac:dyDescent="0.35">
      <c r="A558" s="2" t="s">
        <v>1848</v>
      </c>
      <c r="B558" s="2" t="s">
        <v>559</v>
      </c>
      <c r="C558" s="2" t="s">
        <v>1578</v>
      </c>
      <c r="D558" s="2" t="s">
        <v>1849</v>
      </c>
      <c r="E558" s="2" t="s">
        <v>58</v>
      </c>
      <c r="F558" s="2" t="s">
        <v>59</v>
      </c>
      <c r="G558" s="2" t="s">
        <v>28</v>
      </c>
      <c r="H558" s="2" t="s">
        <v>29</v>
      </c>
      <c r="I558" s="2" t="s">
        <v>191</v>
      </c>
      <c r="J558" s="2">
        <v>208</v>
      </c>
      <c r="K558" s="2">
        <v>941.05</v>
      </c>
      <c r="L558" s="2">
        <v>1143.7</v>
      </c>
      <c r="M558" s="2">
        <v>237889.6</v>
      </c>
      <c r="N558" s="2">
        <v>195738.4</v>
      </c>
      <c r="O558" s="2">
        <v>42151.199999999997</v>
      </c>
      <c r="P558" s="2" t="s">
        <v>95</v>
      </c>
      <c r="Q558" s="2" t="s">
        <v>63</v>
      </c>
      <c r="R558" s="2">
        <v>5</v>
      </c>
      <c r="S558" s="2" t="s">
        <v>112</v>
      </c>
      <c r="T558" s="2">
        <v>2602</v>
      </c>
      <c r="U558" s="2">
        <v>5</v>
      </c>
      <c r="V558" s="2"/>
    </row>
    <row r="559" spans="1:22" x14ac:dyDescent="0.35">
      <c r="A559" s="3" t="s">
        <v>1850</v>
      </c>
      <c r="B559" s="3" t="s">
        <v>1851</v>
      </c>
      <c r="C559" s="3" t="s">
        <v>296</v>
      </c>
      <c r="D559" s="3" t="s">
        <v>1852</v>
      </c>
      <c r="E559" s="3" t="s">
        <v>48</v>
      </c>
      <c r="F559" s="3" t="s">
        <v>183</v>
      </c>
      <c r="G559" s="3" t="s">
        <v>39</v>
      </c>
      <c r="H559" s="3" t="s">
        <v>527</v>
      </c>
      <c r="I559" s="3" t="s">
        <v>41</v>
      </c>
      <c r="J559" s="3">
        <v>279</v>
      </c>
      <c r="K559" s="3">
        <v>1001.05</v>
      </c>
      <c r="L559" s="3">
        <v>1161.02</v>
      </c>
      <c r="M559" s="3">
        <v>323924.58</v>
      </c>
      <c r="N559" s="3">
        <v>279292.95</v>
      </c>
      <c r="O559" s="3">
        <v>44631.63</v>
      </c>
      <c r="P559" s="3" t="s">
        <v>95</v>
      </c>
      <c r="Q559" s="3" t="s">
        <v>63</v>
      </c>
      <c r="R559" s="3">
        <v>3</v>
      </c>
      <c r="S559" s="3" t="s">
        <v>53</v>
      </c>
      <c r="T559" s="3">
        <v>3184</v>
      </c>
      <c r="U559" s="3">
        <v>2</v>
      </c>
      <c r="V559" s="3"/>
    </row>
    <row r="560" spans="1:22" x14ac:dyDescent="0.35">
      <c r="A560" s="3" t="s">
        <v>1854</v>
      </c>
      <c r="B560" s="3" t="s">
        <v>352</v>
      </c>
      <c r="C560" s="3" t="s">
        <v>435</v>
      </c>
      <c r="D560" s="3" t="s">
        <v>1855</v>
      </c>
      <c r="E560" s="3" t="s">
        <v>68</v>
      </c>
      <c r="F560" s="3" t="s">
        <v>276</v>
      </c>
      <c r="G560" s="3" t="s">
        <v>28</v>
      </c>
      <c r="H560" s="3" t="s">
        <v>714</v>
      </c>
      <c r="I560" s="3" t="s">
        <v>62</v>
      </c>
      <c r="J560" s="3">
        <v>571</v>
      </c>
      <c r="K560" s="3">
        <v>396.7</v>
      </c>
      <c r="L560" s="3">
        <v>645.15</v>
      </c>
      <c r="M560" s="3">
        <v>368380.65</v>
      </c>
      <c r="N560" s="3">
        <v>226515.7</v>
      </c>
      <c r="O560" s="3">
        <v>141864.95000000001</v>
      </c>
      <c r="P560" s="3" t="s">
        <v>95</v>
      </c>
      <c r="Q560" s="3" t="s">
        <v>32</v>
      </c>
      <c r="R560" s="3">
        <v>12</v>
      </c>
      <c r="S560" s="3" t="s">
        <v>112</v>
      </c>
      <c r="T560" s="3">
        <v>2421</v>
      </c>
      <c r="U560" s="3">
        <v>1</v>
      </c>
      <c r="V560" s="3"/>
    </row>
    <row r="561" spans="1:22" x14ac:dyDescent="0.35">
      <c r="A561" s="2" t="s">
        <v>1856</v>
      </c>
      <c r="B561" s="2" t="s">
        <v>600</v>
      </c>
      <c r="C561" s="2" t="s">
        <v>423</v>
      </c>
      <c r="D561" s="2" t="s">
        <v>1857</v>
      </c>
      <c r="E561" s="2" t="s">
        <v>58</v>
      </c>
      <c r="F561" s="2" t="s">
        <v>417</v>
      </c>
      <c r="G561" s="2" t="s">
        <v>93</v>
      </c>
      <c r="H561" s="2" t="s">
        <v>184</v>
      </c>
      <c r="I561" s="2" t="s">
        <v>85</v>
      </c>
      <c r="J561" s="2">
        <v>432</v>
      </c>
      <c r="K561" s="2">
        <v>285.13</v>
      </c>
      <c r="L561" s="2">
        <v>350.68</v>
      </c>
      <c r="M561" s="2">
        <v>151493.76000000001</v>
      </c>
      <c r="N561" s="2">
        <v>123176.16</v>
      </c>
      <c r="O561" s="2">
        <v>28317.599999999999</v>
      </c>
      <c r="P561" s="2" t="s">
        <v>31</v>
      </c>
      <c r="Q561" s="2" t="s">
        <v>32</v>
      </c>
      <c r="R561" s="2">
        <v>7</v>
      </c>
      <c r="S561" s="2" t="s">
        <v>33</v>
      </c>
      <c r="T561" s="2">
        <v>3796</v>
      </c>
      <c r="U561" s="2">
        <v>3</v>
      </c>
      <c r="V561" s="2"/>
    </row>
    <row r="562" spans="1:22" x14ac:dyDescent="0.35">
      <c r="A562" s="3" t="s">
        <v>1858</v>
      </c>
      <c r="B562" s="3" t="s">
        <v>649</v>
      </c>
      <c r="C562" s="3" t="s">
        <v>138</v>
      </c>
      <c r="D562" s="3" t="s">
        <v>1859</v>
      </c>
      <c r="E562" s="3" t="s">
        <v>68</v>
      </c>
      <c r="F562" s="3" t="s">
        <v>69</v>
      </c>
      <c r="G562" s="3" t="s">
        <v>93</v>
      </c>
      <c r="H562" s="3" t="s">
        <v>140</v>
      </c>
      <c r="I562" s="3" t="s">
        <v>62</v>
      </c>
      <c r="J562" s="3">
        <v>123</v>
      </c>
      <c r="K562" s="3">
        <v>230.69</v>
      </c>
      <c r="L562" s="3">
        <v>267.17</v>
      </c>
      <c r="M562" s="3">
        <v>32861.910000000003</v>
      </c>
      <c r="N562" s="3">
        <v>28374.87</v>
      </c>
      <c r="O562" s="3">
        <v>4487.04</v>
      </c>
      <c r="P562" s="3" t="s">
        <v>52</v>
      </c>
      <c r="Q562" s="3" t="s">
        <v>32</v>
      </c>
      <c r="R562" s="3">
        <v>11</v>
      </c>
      <c r="S562" s="3" t="s">
        <v>43</v>
      </c>
      <c r="T562" s="3">
        <v>1730</v>
      </c>
      <c r="U562" s="3">
        <v>5</v>
      </c>
      <c r="V562" s="3"/>
    </row>
    <row r="563" spans="1:22" x14ac:dyDescent="0.35">
      <c r="A563" s="3" t="s">
        <v>1860</v>
      </c>
      <c r="B563" s="3" t="s">
        <v>1444</v>
      </c>
      <c r="C563" s="3" t="s">
        <v>1662</v>
      </c>
      <c r="D563" s="3" t="s">
        <v>1861</v>
      </c>
      <c r="E563" s="3" t="s">
        <v>100</v>
      </c>
      <c r="F563" s="3" t="s">
        <v>330</v>
      </c>
      <c r="G563" s="3" t="s">
        <v>39</v>
      </c>
      <c r="H563" s="3" t="s">
        <v>527</v>
      </c>
      <c r="I563" s="3" t="s">
        <v>62</v>
      </c>
      <c r="J563" s="3">
        <v>780</v>
      </c>
      <c r="K563" s="3">
        <v>463.46</v>
      </c>
      <c r="L563" s="3">
        <v>708.57</v>
      </c>
      <c r="M563" s="3">
        <v>552684.6</v>
      </c>
      <c r="N563" s="3">
        <v>361498.8</v>
      </c>
      <c r="O563" s="3">
        <v>191185.8</v>
      </c>
      <c r="P563" s="3" t="s">
        <v>42</v>
      </c>
      <c r="Q563" s="3" t="s">
        <v>32</v>
      </c>
      <c r="R563" s="3">
        <v>12</v>
      </c>
      <c r="S563" s="3" t="s">
        <v>86</v>
      </c>
      <c r="T563" s="3">
        <v>144</v>
      </c>
      <c r="U563" s="3">
        <v>14</v>
      </c>
      <c r="V563" s="3"/>
    </row>
    <row r="564" spans="1:22" x14ac:dyDescent="0.35">
      <c r="A564" s="2" t="s">
        <v>1862</v>
      </c>
      <c r="B564" s="2" t="s">
        <v>81</v>
      </c>
      <c r="C564" s="2" t="s">
        <v>1080</v>
      </c>
      <c r="D564" s="2" t="s">
        <v>1863</v>
      </c>
      <c r="E564" s="2" t="s">
        <v>58</v>
      </c>
      <c r="F564" s="2" t="s">
        <v>417</v>
      </c>
      <c r="G564" s="2" t="s">
        <v>28</v>
      </c>
      <c r="H564" s="2" t="s">
        <v>674</v>
      </c>
      <c r="I564" s="2" t="s">
        <v>41</v>
      </c>
      <c r="J564" s="2">
        <v>438</v>
      </c>
      <c r="K564" s="2">
        <v>216.84</v>
      </c>
      <c r="L564" s="2">
        <v>310.79000000000002</v>
      </c>
      <c r="M564" s="2">
        <v>136126.01999999999</v>
      </c>
      <c r="N564" s="2">
        <v>94975.92</v>
      </c>
      <c r="O564" s="2">
        <v>41150.1</v>
      </c>
      <c r="P564" s="2" t="s">
        <v>52</v>
      </c>
      <c r="Q564" s="2" t="s">
        <v>32</v>
      </c>
      <c r="R564" s="2">
        <v>11</v>
      </c>
      <c r="S564" s="2" t="s">
        <v>43</v>
      </c>
      <c r="T564" s="2">
        <v>1623</v>
      </c>
      <c r="U564" s="2">
        <v>13</v>
      </c>
      <c r="V564" s="2"/>
    </row>
    <row r="565" spans="1:22" x14ac:dyDescent="0.35">
      <c r="A565" s="3" t="s">
        <v>1864</v>
      </c>
      <c r="B565" s="3" t="s">
        <v>564</v>
      </c>
      <c r="C565" s="3" t="s">
        <v>367</v>
      </c>
      <c r="D565" s="3" t="s">
        <v>1865</v>
      </c>
      <c r="E565" s="3" t="s">
        <v>48</v>
      </c>
      <c r="F565" s="3" t="s">
        <v>281</v>
      </c>
      <c r="G565" s="3" t="s">
        <v>93</v>
      </c>
      <c r="H565" s="3" t="s">
        <v>94</v>
      </c>
      <c r="I565" s="3" t="s">
        <v>72</v>
      </c>
      <c r="J565" s="3">
        <v>787</v>
      </c>
      <c r="K565" s="3">
        <v>598.29999999999995</v>
      </c>
      <c r="L565" s="3">
        <v>710.74</v>
      </c>
      <c r="M565" s="3">
        <v>559352.38</v>
      </c>
      <c r="N565" s="3">
        <v>470862.1</v>
      </c>
      <c r="O565" s="3">
        <v>88490.28</v>
      </c>
      <c r="P565" s="3" t="s">
        <v>52</v>
      </c>
      <c r="Q565" s="3" t="s">
        <v>32</v>
      </c>
      <c r="R565" s="3">
        <v>14</v>
      </c>
      <c r="S565" s="3" t="s">
        <v>43</v>
      </c>
      <c r="T565" s="3">
        <v>2000</v>
      </c>
      <c r="U565" s="3">
        <v>21</v>
      </c>
      <c r="V565" s="3"/>
    </row>
    <row r="566" spans="1:22" x14ac:dyDescent="0.35">
      <c r="A566" s="2" t="s">
        <v>1866</v>
      </c>
      <c r="B566" s="2" t="s">
        <v>337</v>
      </c>
      <c r="C566" s="2" t="s">
        <v>657</v>
      </c>
      <c r="D566" s="2" t="s">
        <v>1867</v>
      </c>
      <c r="E566" s="2" t="s">
        <v>58</v>
      </c>
      <c r="F566" s="2" t="s">
        <v>122</v>
      </c>
      <c r="G566" s="2" t="s">
        <v>78</v>
      </c>
      <c r="H566" s="2" t="s">
        <v>123</v>
      </c>
      <c r="I566" s="2" t="s">
        <v>41</v>
      </c>
      <c r="J566" s="2">
        <v>293</v>
      </c>
      <c r="K566" s="2">
        <v>945.28</v>
      </c>
      <c r="L566" s="2">
        <v>1335.46</v>
      </c>
      <c r="M566" s="2">
        <v>391289.78</v>
      </c>
      <c r="N566" s="2">
        <v>276967.03999999998</v>
      </c>
      <c r="O566" s="2">
        <v>114322.74</v>
      </c>
      <c r="P566" s="2" t="s">
        <v>52</v>
      </c>
      <c r="Q566" s="2" t="s">
        <v>63</v>
      </c>
      <c r="R566" s="2">
        <v>3</v>
      </c>
      <c r="S566" s="2" t="s">
        <v>112</v>
      </c>
      <c r="T566" s="2">
        <v>3559</v>
      </c>
      <c r="U566" s="2">
        <v>4</v>
      </c>
      <c r="V566" s="2"/>
    </row>
    <row r="567" spans="1:22" x14ac:dyDescent="0.35">
      <c r="A567" s="3" t="s">
        <v>1868</v>
      </c>
      <c r="B567" s="3" t="s">
        <v>732</v>
      </c>
      <c r="C567" s="3" t="s">
        <v>1869</v>
      </c>
      <c r="D567" s="3" t="s">
        <v>1663</v>
      </c>
      <c r="E567" s="3" t="s">
        <v>48</v>
      </c>
      <c r="F567" s="3" t="s">
        <v>183</v>
      </c>
      <c r="G567" s="3" t="s">
        <v>217</v>
      </c>
      <c r="H567" s="3" t="s">
        <v>218</v>
      </c>
      <c r="I567" s="3" t="s">
        <v>62</v>
      </c>
      <c r="J567" s="3">
        <v>334</v>
      </c>
      <c r="K567" s="3">
        <v>553.16</v>
      </c>
      <c r="L567" s="3">
        <v>698.74</v>
      </c>
      <c r="M567" s="3">
        <v>233379.16</v>
      </c>
      <c r="N567" s="3">
        <v>184755.44</v>
      </c>
      <c r="O567" s="3">
        <v>48623.72</v>
      </c>
      <c r="P567" s="3" t="s">
        <v>31</v>
      </c>
      <c r="Q567" s="3" t="s">
        <v>32</v>
      </c>
      <c r="R567" s="3">
        <v>15</v>
      </c>
      <c r="S567" s="3" t="s">
        <v>86</v>
      </c>
      <c r="T567" s="3">
        <v>3053</v>
      </c>
      <c r="U567" s="3">
        <v>16</v>
      </c>
      <c r="V567" s="3"/>
    </row>
    <row r="568" spans="1:22" x14ac:dyDescent="0.35">
      <c r="A568" s="2" t="s">
        <v>1870</v>
      </c>
      <c r="B568" s="2" t="s">
        <v>592</v>
      </c>
      <c r="C568" s="2" t="s">
        <v>242</v>
      </c>
      <c r="D568" s="2" t="s">
        <v>1871</v>
      </c>
      <c r="E568" s="2" t="s">
        <v>100</v>
      </c>
      <c r="F568" s="2" t="s">
        <v>538</v>
      </c>
      <c r="G568" s="2" t="s">
        <v>93</v>
      </c>
      <c r="H568" s="2" t="s">
        <v>1442</v>
      </c>
      <c r="I568" s="2" t="s">
        <v>30</v>
      </c>
      <c r="J568" s="2">
        <v>434</v>
      </c>
      <c r="K568" s="2">
        <v>834.67</v>
      </c>
      <c r="L568" s="2">
        <v>1226.04</v>
      </c>
      <c r="M568" s="2">
        <v>532101.36</v>
      </c>
      <c r="N568" s="2">
        <v>362246.78</v>
      </c>
      <c r="O568" s="2">
        <v>169854.58</v>
      </c>
      <c r="P568" s="2" t="s">
        <v>31</v>
      </c>
      <c r="Q568" s="2" t="s">
        <v>867</v>
      </c>
      <c r="R568" s="2">
        <v>8</v>
      </c>
      <c r="S568" s="2" t="s">
        <v>112</v>
      </c>
      <c r="T568" s="2">
        <v>612</v>
      </c>
      <c r="U568" s="2">
        <v>7</v>
      </c>
      <c r="V568" s="2"/>
    </row>
    <row r="569" spans="1:22" x14ac:dyDescent="0.35">
      <c r="A569" s="3" t="s">
        <v>1872</v>
      </c>
      <c r="B569" s="3" t="s">
        <v>356</v>
      </c>
      <c r="C569" s="3" t="s">
        <v>1873</v>
      </c>
      <c r="D569" s="3" t="s">
        <v>1874</v>
      </c>
      <c r="E569" s="3" t="s">
        <v>48</v>
      </c>
      <c r="F569" s="3" t="s">
        <v>270</v>
      </c>
      <c r="G569" s="3" t="s">
        <v>60</v>
      </c>
      <c r="H569" s="3" t="s">
        <v>780</v>
      </c>
      <c r="I569" s="3" t="s">
        <v>191</v>
      </c>
      <c r="J569" s="3">
        <v>799</v>
      </c>
      <c r="K569" s="3">
        <v>939.7</v>
      </c>
      <c r="L569" s="3">
        <v>1463.31</v>
      </c>
      <c r="M569" s="3">
        <v>1169184.69</v>
      </c>
      <c r="N569" s="3">
        <v>750820.3</v>
      </c>
      <c r="O569" s="3">
        <v>418364.39</v>
      </c>
      <c r="P569" s="3" t="s">
        <v>42</v>
      </c>
      <c r="Q569" s="3" t="s">
        <v>32</v>
      </c>
      <c r="R569" s="3">
        <v>13</v>
      </c>
      <c r="S569" s="3" t="s">
        <v>112</v>
      </c>
      <c r="T569" s="3">
        <v>4639</v>
      </c>
      <c r="U569" s="3">
        <v>2</v>
      </c>
      <c r="V569" s="3"/>
    </row>
    <row r="570" spans="1:22" x14ac:dyDescent="0.35">
      <c r="A570" s="2" t="s">
        <v>1875</v>
      </c>
      <c r="B570" s="2" t="s">
        <v>805</v>
      </c>
      <c r="C570" s="2" t="s">
        <v>103</v>
      </c>
      <c r="D570" s="2" t="s">
        <v>1876</v>
      </c>
      <c r="E570" s="2" t="s">
        <v>58</v>
      </c>
      <c r="F570" s="2" t="s">
        <v>59</v>
      </c>
      <c r="G570" s="2" t="s">
        <v>60</v>
      </c>
      <c r="H570" s="2" t="s">
        <v>229</v>
      </c>
      <c r="I570" s="2" t="s">
        <v>153</v>
      </c>
      <c r="J570" s="2">
        <v>524</v>
      </c>
      <c r="K570" s="2">
        <v>10.44</v>
      </c>
      <c r="L570" s="2">
        <v>16.75</v>
      </c>
      <c r="M570" s="2">
        <v>8777</v>
      </c>
      <c r="N570" s="2">
        <v>5470.56</v>
      </c>
      <c r="O570" s="2">
        <v>3306.44</v>
      </c>
      <c r="P570" s="2" t="s">
        <v>95</v>
      </c>
      <c r="Q570" s="2" t="s">
        <v>32</v>
      </c>
      <c r="R570" s="2">
        <v>13</v>
      </c>
      <c r="S570" s="2" t="s">
        <v>43</v>
      </c>
      <c r="T570" s="2">
        <v>933</v>
      </c>
      <c r="U570" s="2">
        <v>11</v>
      </c>
      <c r="V570" s="2"/>
    </row>
    <row r="571" spans="1:22" x14ac:dyDescent="0.35">
      <c r="A571" s="3" t="s">
        <v>1877</v>
      </c>
      <c r="B571" s="3" t="s">
        <v>138</v>
      </c>
      <c r="C571" s="3" t="s">
        <v>1046</v>
      </c>
      <c r="D571" s="3" t="s">
        <v>1878</v>
      </c>
      <c r="E571" s="3" t="s">
        <v>100</v>
      </c>
      <c r="F571" s="3" t="s">
        <v>238</v>
      </c>
      <c r="G571" s="3" t="s">
        <v>28</v>
      </c>
      <c r="H571" s="3" t="s">
        <v>254</v>
      </c>
      <c r="I571" s="3" t="s">
        <v>72</v>
      </c>
      <c r="J571" s="3">
        <v>26</v>
      </c>
      <c r="K571" s="3">
        <v>1120.55</v>
      </c>
      <c r="L571" s="3">
        <v>1686.17</v>
      </c>
      <c r="M571" s="3">
        <v>43840.42</v>
      </c>
      <c r="N571" s="3">
        <v>29134.3</v>
      </c>
      <c r="O571" s="3">
        <v>14706.12</v>
      </c>
      <c r="P571" s="3" t="s">
        <v>42</v>
      </c>
      <c r="Q571" s="3" t="s">
        <v>32</v>
      </c>
      <c r="R571" s="3">
        <v>8</v>
      </c>
      <c r="S571" s="3" t="s">
        <v>53</v>
      </c>
      <c r="T571" s="3">
        <v>2386</v>
      </c>
      <c r="U571" s="3">
        <v>1</v>
      </c>
      <c r="V571" s="3"/>
    </row>
    <row r="572" spans="1:22" x14ac:dyDescent="0.35">
      <c r="A572" s="2" t="s">
        <v>1879</v>
      </c>
      <c r="B572" s="2" t="s">
        <v>1110</v>
      </c>
      <c r="C572" s="2" t="s">
        <v>235</v>
      </c>
      <c r="D572" s="2" t="s">
        <v>1880</v>
      </c>
      <c r="E572" s="2" t="s">
        <v>68</v>
      </c>
      <c r="F572" s="2" t="s">
        <v>163</v>
      </c>
      <c r="G572" s="2" t="s">
        <v>50</v>
      </c>
      <c r="H572" s="2" t="s">
        <v>260</v>
      </c>
      <c r="I572" s="2" t="s">
        <v>41</v>
      </c>
      <c r="J572" s="2">
        <v>71</v>
      </c>
      <c r="K572" s="2">
        <v>220.67</v>
      </c>
      <c r="L572" s="2">
        <v>356.06</v>
      </c>
      <c r="M572" s="2">
        <v>25280.26</v>
      </c>
      <c r="N572" s="2">
        <v>15667.57</v>
      </c>
      <c r="O572" s="2">
        <v>9612.69</v>
      </c>
      <c r="P572" s="2" t="s">
        <v>42</v>
      </c>
      <c r="Q572" s="2" t="s">
        <v>32</v>
      </c>
      <c r="R572" s="2">
        <v>0</v>
      </c>
      <c r="S572" s="2" t="s">
        <v>112</v>
      </c>
      <c r="T572" s="2">
        <v>2077</v>
      </c>
      <c r="U572" s="2">
        <v>2</v>
      </c>
      <c r="V572" s="2"/>
    </row>
    <row r="573" spans="1:22" x14ac:dyDescent="0.35">
      <c r="A573" s="3" t="s">
        <v>1881</v>
      </c>
      <c r="B573" s="3" t="s">
        <v>1097</v>
      </c>
      <c r="C573" s="3" t="s">
        <v>1882</v>
      </c>
      <c r="D573" s="3" t="s">
        <v>1883</v>
      </c>
      <c r="E573" s="3" t="s">
        <v>48</v>
      </c>
      <c r="F573" s="3" t="s">
        <v>223</v>
      </c>
      <c r="G573" s="3" t="s">
        <v>50</v>
      </c>
      <c r="H573" s="3" t="s">
        <v>135</v>
      </c>
      <c r="I573" s="3" t="s">
        <v>293</v>
      </c>
      <c r="J573" s="3">
        <v>63</v>
      </c>
      <c r="K573" s="4"/>
      <c r="L573" s="3">
        <v>286.81</v>
      </c>
      <c r="M573" s="3">
        <v>18069.03</v>
      </c>
      <c r="N573" s="3">
        <v>14757.75</v>
      </c>
      <c r="O573" s="3">
        <v>3311.28</v>
      </c>
      <c r="P573" s="3" t="s">
        <v>95</v>
      </c>
      <c r="Q573" s="3" t="s">
        <v>32</v>
      </c>
      <c r="R573" s="3">
        <v>10</v>
      </c>
      <c r="S573" s="3" t="s">
        <v>158</v>
      </c>
      <c r="T573" s="3">
        <v>1562</v>
      </c>
      <c r="U573" s="3">
        <v>1</v>
      </c>
      <c r="V573" s="3"/>
    </row>
    <row r="574" spans="1:22" x14ac:dyDescent="0.35">
      <c r="A574" s="2" t="s">
        <v>1884</v>
      </c>
      <c r="B574" s="2" t="s">
        <v>347</v>
      </c>
      <c r="C574" s="2" t="s">
        <v>941</v>
      </c>
      <c r="D574" s="2" t="s">
        <v>1885</v>
      </c>
      <c r="E574" s="2" t="s">
        <v>48</v>
      </c>
      <c r="F574" s="2" t="s">
        <v>183</v>
      </c>
      <c r="G574" s="2" t="s">
        <v>50</v>
      </c>
      <c r="H574" s="2" t="s">
        <v>260</v>
      </c>
      <c r="I574" s="2" t="s">
        <v>118</v>
      </c>
      <c r="J574" s="2">
        <v>473</v>
      </c>
      <c r="K574" s="2">
        <v>831.98</v>
      </c>
      <c r="L574" s="2">
        <v>1166.8599999999999</v>
      </c>
      <c r="M574" s="2">
        <v>551924.78</v>
      </c>
      <c r="N574" s="2">
        <v>393526.54</v>
      </c>
      <c r="O574" s="2">
        <v>158398.24</v>
      </c>
      <c r="P574" s="2" t="s">
        <v>42</v>
      </c>
      <c r="Q574" s="2" t="s">
        <v>32</v>
      </c>
      <c r="R574" s="2">
        <v>11</v>
      </c>
      <c r="S574" s="2" t="s">
        <v>158</v>
      </c>
      <c r="T574" s="2">
        <v>1753</v>
      </c>
      <c r="U574" s="2">
        <v>5</v>
      </c>
      <c r="V574" s="2"/>
    </row>
    <row r="575" spans="1:22" x14ac:dyDescent="0.35">
      <c r="A575" s="3" t="s">
        <v>1886</v>
      </c>
      <c r="B575" s="3" t="s">
        <v>166</v>
      </c>
      <c r="C575" s="3" t="s">
        <v>1887</v>
      </c>
      <c r="D575" s="3" t="s">
        <v>1888</v>
      </c>
      <c r="E575" s="3" t="s">
        <v>26</v>
      </c>
      <c r="F575" s="3" t="s">
        <v>77</v>
      </c>
      <c r="G575" s="3" t="s">
        <v>129</v>
      </c>
      <c r="H575" s="3" t="s">
        <v>168</v>
      </c>
      <c r="I575" s="3" t="s">
        <v>72</v>
      </c>
      <c r="J575" s="3">
        <v>543</v>
      </c>
      <c r="K575" s="3">
        <v>448.63</v>
      </c>
      <c r="L575" s="3">
        <v>674.96</v>
      </c>
      <c r="M575" s="3">
        <v>366503.28</v>
      </c>
      <c r="N575" s="3">
        <v>243606.09</v>
      </c>
      <c r="O575" s="3">
        <v>122897.19</v>
      </c>
      <c r="P575" s="3" t="s">
        <v>42</v>
      </c>
      <c r="Q575" s="3" t="s">
        <v>63</v>
      </c>
      <c r="R575" s="3">
        <v>3</v>
      </c>
      <c r="S575" s="3" t="s">
        <v>158</v>
      </c>
      <c r="T575" s="3">
        <v>1177</v>
      </c>
      <c r="U575" s="3">
        <v>12</v>
      </c>
      <c r="V575" s="3"/>
    </row>
    <row r="576" spans="1:22" x14ac:dyDescent="0.35">
      <c r="A576" s="2" t="s">
        <v>1889</v>
      </c>
      <c r="B576" s="2" t="s">
        <v>1311</v>
      </c>
      <c r="C576" s="2" t="s">
        <v>1890</v>
      </c>
      <c r="D576" s="2" t="s">
        <v>1891</v>
      </c>
      <c r="E576" s="2" t="s">
        <v>68</v>
      </c>
      <c r="F576" s="2" t="s">
        <v>249</v>
      </c>
      <c r="G576" s="2" t="s">
        <v>28</v>
      </c>
      <c r="H576" s="2" t="s">
        <v>507</v>
      </c>
      <c r="I576" s="2" t="s">
        <v>1892</v>
      </c>
      <c r="J576" s="2">
        <v>430</v>
      </c>
      <c r="K576" s="2">
        <v>1024.7</v>
      </c>
      <c r="L576" s="2">
        <v>1417.8</v>
      </c>
      <c r="M576" s="2">
        <v>609654</v>
      </c>
      <c r="N576" s="2">
        <v>440621</v>
      </c>
      <c r="O576" s="2">
        <v>169033</v>
      </c>
      <c r="P576" s="2" t="s">
        <v>95</v>
      </c>
      <c r="Q576" s="2" t="s">
        <v>32</v>
      </c>
      <c r="R576" s="4" t="s">
        <v>1893</v>
      </c>
      <c r="S576" s="2" t="s">
        <v>43</v>
      </c>
      <c r="T576" s="2">
        <v>4656</v>
      </c>
      <c r="U576" s="2">
        <v>20</v>
      </c>
      <c r="V576" s="2"/>
    </row>
    <row r="577" spans="1:22" x14ac:dyDescent="0.35">
      <c r="A577" s="3" t="s">
        <v>1894</v>
      </c>
      <c r="B577" s="3" t="s">
        <v>873</v>
      </c>
      <c r="C577" s="3" t="s">
        <v>1513</v>
      </c>
      <c r="D577" s="3" t="s">
        <v>1895</v>
      </c>
      <c r="E577" s="3" t="s">
        <v>48</v>
      </c>
      <c r="F577" s="3" t="s">
        <v>270</v>
      </c>
      <c r="G577" s="3" t="s">
        <v>39</v>
      </c>
      <c r="H577" s="3" t="s">
        <v>527</v>
      </c>
      <c r="I577" s="3" t="s">
        <v>72</v>
      </c>
      <c r="J577" s="3">
        <v>187</v>
      </c>
      <c r="K577" s="3">
        <v>139.19</v>
      </c>
      <c r="L577" s="3">
        <v>165.65</v>
      </c>
      <c r="M577" s="3">
        <v>30976.55</v>
      </c>
      <c r="N577" s="3">
        <v>26028.53</v>
      </c>
      <c r="O577" s="3">
        <v>4948.0200000000004</v>
      </c>
      <c r="P577" s="3" t="s">
        <v>52</v>
      </c>
      <c r="Q577" s="3" t="s">
        <v>32</v>
      </c>
      <c r="R577" s="3">
        <v>11</v>
      </c>
      <c r="S577" s="3" t="s">
        <v>53</v>
      </c>
      <c r="T577" s="3">
        <v>2175</v>
      </c>
      <c r="U577" s="3">
        <v>0</v>
      </c>
      <c r="V577" s="3"/>
    </row>
    <row r="578" spans="1:22" x14ac:dyDescent="0.35">
      <c r="A578" s="2" t="s">
        <v>1896</v>
      </c>
      <c r="B578" s="2" t="s">
        <v>1125</v>
      </c>
      <c r="C578" s="2" t="s">
        <v>448</v>
      </c>
      <c r="D578" s="2" t="s">
        <v>1897</v>
      </c>
      <c r="E578" s="2" t="s">
        <v>100</v>
      </c>
      <c r="F578" s="2" t="s">
        <v>238</v>
      </c>
      <c r="G578" s="2" t="s">
        <v>39</v>
      </c>
      <c r="H578" s="2" t="s">
        <v>527</v>
      </c>
      <c r="I578" s="2" t="s">
        <v>30</v>
      </c>
      <c r="J578" s="2">
        <v>414</v>
      </c>
      <c r="K578" s="2">
        <v>504.66</v>
      </c>
      <c r="L578" s="2">
        <v>756.62</v>
      </c>
      <c r="M578" s="2">
        <v>313240.68</v>
      </c>
      <c r="N578" s="2">
        <v>208929.24</v>
      </c>
      <c r="O578" s="2">
        <v>104311.44</v>
      </c>
      <c r="P578" s="2" t="s">
        <v>31</v>
      </c>
      <c r="Q578" s="2" t="s">
        <v>63</v>
      </c>
      <c r="R578" s="2">
        <v>3</v>
      </c>
      <c r="S578" s="2" t="s">
        <v>112</v>
      </c>
      <c r="T578" s="2">
        <v>3328</v>
      </c>
      <c r="U578" s="2">
        <v>1</v>
      </c>
      <c r="V578" s="2"/>
    </row>
    <row r="579" spans="1:22" x14ac:dyDescent="0.35">
      <c r="A579" s="3" t="s">
        <v>1898</v>
      </c>
      <c r="B579" s="3" t="s">
        <v>186</v>
      </c>
      <c r="C579" s="3" t="s">
        <v>1899</v>
      </c>
      <c r="D579" s="3" t="s">
        <v>1900</v>
      </c>
      <c r="E579" s="3" t="s">
        <v>100</v>
      </c>
      <c r="F579" s="3" t="s">
        <v>538</v>
      </c>
      <c r="G579" s="3" t="s">
        <v>129</v>
      </c>
      <c r="H579" s="3" t="s">
        <v>316</v>
      </c>
      <c r="I579" s="3" t="s">
        <v>124</v>
      </c>
      <c r="J579" s="3">
        <v>759</v>
      </c>
      <c r="K579" s="3">
        <v>492.85</v>
      </c>
      <c r="L579" s="3">
        <v>577.46</v>
      </c>
      <c r="M579" s="3">
        <v>438292.14</v>
      </c>
      <c r="N579" s="3">
        <v>374073.15</v>
      </c>
      <c r="O579" s="3">
        <v>64218.99</v>
      </c>
      <c r="P579" s="3" t="s">
        <v>95</v>
      </c>
      <c r="Q579" s="3" t="s">
        <v>32</v>
      </c>
      <c r="R579" s="3">
        <v>9</v>
      </c>
      <c r="S579" s="3" t="s">
        <v>112</v>
      </c>
      <c r="T579" s="3">
        <v>3111</v>
      </c>
      <c r="U579" s="3">
        <v>15</v>
      </c>
      <c r="V579" s="3"/>
    </row>
    <row r="580" spans="1:22" x14ac:dyDescent="0.35">
      <c r="A580" s="2" t="s">
        <v>1901</v>
      </c>
      <c r="B580" s="2" t="s">
        <v>1902</v>
      </c>
      <c r="C580" s="2" t="s">
        <v>1103</v>
      </c>
      <c r="D580" s="2" t="s">
        <v>1903</v>
      </c>
      <c r="E580" s="2" t="s">
        <v>26</v>
      </c>
      <c r="F580" s="2" t="s">
        <v>27</v>
      </c>
      <c r="G580" s="2" t="s">
        <v>60</v>
      </c>
      <c r="H580" s="2" t="s">
        <v>265</v>
      </c>
      <c r="I580" s="2" t="s">
        <v>72</v>
      </c>
      <c r="J580" s="2">
        <v>201</v>
      </c>
      <c r="K580" s="2">
        <v>125.69</v>
      </c>
      <c r="L580" s="2">
        <v>156.43</v>
      </c>
      <c r="M580" s="2">
        <v>31442.43</v>
      </c>
      <c r="N580" s="2">
        <v>25263.69</v>
      </c>
      <c r="O580" s="2">
        <v>6178.74</v>
      </c>
      <c r="P580" s="2" t="s">
        <v>31</v>
      </c>
      <c r="Q580" s="2" t="s">
        <v>32</v>
      </c>
      <c r="R580" s="2">
        <v>13</v>
      </c>
      <c r="S580" s="2" t="s">
        <v>33</v>
      </c>
      <c r="T580" s="2">
        <v>3177</v>
      </c>
      <c r="U580" s="2">
        <v>1</v>
      </c>
      <c r="V580" s="2"/>
    </row>
    <row r="581" spans="1:22" x14ac:dyDescent="0.35">
      <c r="A581" s="3" t="s">
        <v>1904</v>
      </c>
      <c r="B581" s="3" t="s">
        <v>1341</v>
      </c>
      <c r="C581" s="3" t="s">
        <v>243</v>
      </c>
      <c r="D581" s="3" t="s">
        <v>1905</v>
      </c>
      <c r="E581" s="3" t="s">
        <v>100</v>
      </c>
      <c r="F581" s="3" t="s">
        <v>106</v>
      </c>
      <c r="G581" s="3" t="s">
        <v>217</v>
      </c>
      <c r="H581" s="3" t="s">
        <v>292</v>
      </c>
      <c r="I581" s="3" t="s">
        <v>30</v>
      </c>
      <c r="J581" s="3">
        <v>19</v>
      </c>
      <c r="K581" s="3">
        <v>667.03</v>
      </c>
      <c r="L581" s="3">
        <v>1041.52</v>
      </c>
      <c r="M581" s="3">
        <v>19788.88</v>
      </c>
      <c r="N581" s="3">
        <v>12673.57</v>
      </c>
      <c r="O581" s="3">
        <v>7115.31</v>
      </c>
      <c r="P581" s="3" t="s">
        <v>52</v>
      </c>
      <c r="Q581" s="3" t="s">
        <v>32</v>
      </c>
      <c r="R581" s="3">
        <v>11</v>
      </c>
      <c r="S581" s="3" t="s">
        <v>112</v>
      </c>
      <c r="T581" s="3">
        <v>2477</v>
      </c>
      <c r="U581" s="3">
        <v>0</v>
      </c>
      <c r="V581" s="3"/>
    </row>
    <row r="582" spans="1:22" x14ac:dyDescent="0.35">
      <c r="A582" s="2" t="s">
        <v>1906</v>
      </c>
      <c r="B582" s="2" t="s">
        <v>1077</v>
      </c>
      <c r="C582" s="2" t="s">
        <v>887</v>
      </c>
      <c r="D582" s="2" t="s">
        <v>1907</v>
      </c>
      <c r="E582" s="2" t="s">
        <v>26</v>
      </c>
      <c r="F582" s="2" t="s">
        <v>38</v>
      </c>
      <c r="G582" s="2" t="s">
        <v>129</v>
      </c>
      <c r="H582" s="2" t="s">
        <v>130</v>
      </c>
      <c r="I582" s="2" t="s">
        <v>62</v>
      </c>
      <c r="J582" s="2">
        <v>679</v>
      </c>
      <c r="K582" s="2">
        <v>237.41</v>
      </c>
      <c r="L582" s="2">
        <v>312.81</v>
      </c>
      <c r="M582" s="2">
        <v>212397.99</v>
      </c>
      <c r="N582" s="2">
        <v>161201.39000000001</v>
      </c>
      <c r="O582" s="2">
        <v>51196.6</v>
      </c>
      <c r="P582" s="2" t="s">
        <v>95</v>
      </c>
      <c r="Q582" s="2" t="s">
        <v>32</v>
      </c>
      <c r="R582" s="2">
        <v>10</v>
      </c>
      <c r="S582" s="2" t="s">
        <v>158</v>
      </c>
      <c r="T582" s="2">
        <v>984</v>
      </c>
      <c r="U582" s="2">
        <v>27</v>
      </c>
      <c r="V582" s="2"/>
    </row>
    <row r="583" spans="1:22" x14ac:dyDescent="0.35">
      <c r="A583" s="3" t="s">
        <v>1908</v>
      </c>
      <c r="B583" s="3" t="s">
        <v>1909</v>
      </c>
      <c r="C583" s="3" t="s">
        <v>559</v>
      </c>
      <c r="D583" s="3" t="s">
        <v>1910</v>
      </c>
      <c r="E583" s="3" t="s">
        <v>58</v>
      </c>
      <c r="F583" s="3" t="s">
        <v>259</v>
      </c>
      <c r="G583" s="3" t="s">
        <v>189</v>
      </c>
      <c r="H583" s="3" t="s">
        <v>437</v>
      </c>
      <c r="I583" s="3" t="s">
        <v>240</v>
      </c>
      <c r="J583" s="3">
        <v>744</v>
      </c>
      <c r="K583" s="3">
        <v>446.6</v>
      </c>
      <c r="L583" s="3">
        <v>644.5</v>
      </c>
      <c r="M583" s="3">
        <v>479508</v>
      </c>
      <c r="N583" s="3">
        <v>332270.40000000002</v>
      </c>
      <c r="O583" s="3">
        <v>147237.6</v>
      </c>
      <c r="P583" s="3" t="s">
        <v>52</v>
      </c>
      <c r="Q583" s="3" t="s">
        <v>32</v>
      </c>
      <c r="R583" s="3">
        <v>10</v>
      </c>
      <c r="S583" s="3" t="s">
        <v>86</v>
      </c>
      <c r="T583" s="3">
        <v>65</v>
      </c>
      <c r="U583" s="3">
        <v>14</v>
      </c>
      <c r="V583" s="3"/>
    </row>
    <row r="584" spans="1:22" x14ac:dyDescent="0.35">
      <c r="A584" s="2" t="s">
        <v>1911</v>
      </c>
      <c r="B584" s="2" t="s">
        <v>1912</v>
      </c>
      <c r="C584" s="2" t="s">
        <v>1913</v>
      </c>
      <c r="D584" s="2" t="s">
        <v>1914</v>
      </c>
      <c r="E584" s="2" t="s">
        <v>26</v>
      </c>
      <c r="F584" s="2" t="s">
        <v>1576</v>
      </c>
      <c r="G584" s="2" t="s">
        <v>28</v>
      </c>
      <c r="H584" s="2" t="s">
        <v>212</v>
      </c>
      <c r="I584" s="2" t="s">
        <v>153</v>
      </c>
      <c r="J584" s="2">
        <v>231</v>
      </c>
      <c r="K584" s="2">
        <v>857.64</v>
      </c>
      <c r="L584" s="2">
        <v>1006.32</v>
      </c>
      <c r="M584" s="2">
        <v>232459.92</v>
      </c>
      <c r="N584" s="2">
        <v>198114.84</v>
      </c>
      <c r="O584" s="2">
        <v>34345.08</v>
      </c>
      <c r="P584" s="2" t="s">
        <v>52</v>
      </c>
      <c r="Q584" s="2" t="s">
        <v>63</v>
      </c>
      <c r="R584" s="2">
        <v>3</v>
      </c>
      <c r="S584" s="2" t="s">
        <v>158</v>
      </c>
      <c r="T584" s="2">
        <v>1554</v>
      </c>
      <c r="U584" s="2">
        <v>5</v>
      </c>
      <c r="V584" s="2"/>
    </row>
    <row r="585" spans="1:22" x14ac:dyDescent="0.35">
      <c r="A585" s="3" t="s">
        <v>1915</v>
      </c>
      <c r="B585" s="3" t="s">
        <v>785</v>
      </c>
      <c r="C585" s="3" t="s">
        <v>296</v>
      </c>
      <c r="D585" s="3" t="s">
        <v>1916</v>
      </c>
      <c r="E585" s="3" t="s">
        <v>100</v>
      </c>
      <c r="F585" s="3" t="s">
        <v>330</v>
      </c>
      <c r="G585" s="3" t="s">
        <v>70</v>
      </c>
      <c r="H585" s="3" t="s">
        <v>239</v>
      </c>
      <c r="I585" s="3" t="s">
        <v>62</v>
      </c>
      <c r="J585" s="3">
        <v>533</v>
      </c>
      <c r="K585" s="3">
        <v>564.27</v>
      </c>
      <c r="L585" s="3">
        <v>694.58</v>
      </c>
      <c r="M585" s="3">
        <v>370211.14</v>
      </c>
      <c r="N585" s="3">
        <v>300755.90999999997</v>
      </c>
      <c r="O585" s="3">
        <v>69455.23</v>
      </c>
      <c r="P585" s="3" t="s">
        <v>95</v>
      </c>
      <c r="Q585" s="3" t="s">
        <v>32</v>
      </c>
      <c r="R585" s="3">
        <v>12</v>
      </c>
      <c r="S585" s="3" t="s">
        <v>33</v>
      </c>
      <c r="T585" s="3">
        <v>4769</v>
      </c>
      <c r="U585" s="3">
        <v>13</v>
      </c>
      <c r="V585" s="3"/>
    </row>
    <row r="586" spans="1:22" x14ac:dyDescent="0.35">
      <c r="A586" s="2" t="s">
        <v>1917</v>
      </c>
      <c r="B586" s="2" t="s">
        <v>614</v>
      </c>
      <c r="C586" s="2" t="s">
        <v>912</v>
      </c>
      <c r="D586" s="2" t="s">
        <v>1918</v>
      </c>
      <c r="E586" s="2" t="s">
        <v>100</v>
      </c>
      <c r="F586" s="2" t="s">
        <v>330</v>
      </c>
      <c r="G586" s="2" t="s">
        <v>129</v>
      </c>
      <c r="H586" s="2" t="s">
        <v>316</v>
      </c>
      <c r="I586" s="2" t="s">
        <v>72</v>
      </c>
      <c r="J586" s="2">
        <v>507</v>
      </c>
      <c r="K586" s="2">
        <v>198.95</v>
      </c>
      <c r="L586" s="2">
        <v>249.14</v>
      </c>
      <c r="M586" s="2">
        <v>126313.98</v>
      </c>
      <c r="N586" s="2">
        <v>100867.65</v>
      </c>
      <c r="O586" s="2">
        <v>25446.33</v>
      </c>
      <c r="P586" s="2" t="s">
        <v>52</v>
      </c>
      <c r="Q586" s="2" t="s">
        <v>63</v>
      </c>
      <c r="R586" s="2">
        <v>1</v>
      </c>
      <c r="S586" s="2" t="s">
        <v>112</v>
      </c>
      <c r="T586" s="2">
        <v>1501</v>
      </c>
      <c r="U586" s="2">
        <v>18</v>
      </c>
      <c r="V586" s="2"/>
    </row>
    <row r="587" spans="1:22" x14ac:dyDescent="0.35">
      <c r="A587" s="3" t="s">
        <v>1919</v>
      </c>
      <c r="B587" s="3" t="s">
        <v>427</v>
      </c>
      <c r="C587" s="3" t="s">
        <v>214</v>
      </c>
      <c r="D587" s="3" t="s">
        <v>1920</v>
      </c>
      <c r="E587" s="3" t="s">
        <v>48</v>
      </c>
      <c r="F587" s="3" t="s">
        <v>223</v>
      </c>
      <c r="G587" s="3" t="s">
        <v>93</v>
      </c>
      <c r="H587" s="3" t="s">
        <v>184</v>
      </c>
      <c r="I587" s="3" t="s">
        <v>293</v>
      </c>
      <c r="J587" s="3">
        <v>301</v>
      </c>
      <c r="K587" s="3">
        <v>312.18</v>
      </c>
      <c r="L587" s="3">
        <v>497.54</v>
      </c>
      <c r="M587" s="3">
        <v>149759.54</v>
      </c>
      <c r="N587" s="3">
        <v>93966.18</v>
      </c>
      <c r="O587" s="3">
        <v>55793.36</v>
      </c>
      <c r="P587" s="3" t="s">
        <v>95</v>
      </c>
      <c r="Q587" s="3" t="s">
        <v>63</v>
      </c>
      <c r="R587" s="3">
        <v>4</v>
      </c>
      <c r="S587" s="3" t="s">
        <v>43</v>
      </c>
      <c r="T587" s="3">
        <v>1959</v>
      </c>
      <c r="U587" s="3">
        <v>2</v>
      </c>
      <c r="V587" s="3"/>
    </row>
    <row r="588" spans="1:22" x14ac:dyDescent="0.35">
      <c r="A588" s="2" t="s">
        <v>1921</v>
      </c>
      <c r="B588" s="2" t="s">
        <v>333</v>
      </c>
      <c r="C588" s="2" t="s">
        <v>1566</v>
      </c>
      <c r="D588" s="2" t="s">
        <v>1922</v>
      </c>
      <c r="E588" s="2" t="s">
        <v>26</v>
      </c>
      <c r="F588" s="2" t="s">
        <v>92</v>
      </c>
      <c r="G588" s="2" t="s">
        <v>189</v>
      </c>
      <c r="H588" s="2" t="s">
        <v>365</v>
      </c>
      <c r="I588" s="2" t="s">
        <v>41</v>
      </c>
      <c r="J588" s="2">
        <v>107</v>
      </c>
      <c r="K588" s="2">
        <v>117.11</v>
      </c>
      <c r="L588" s="2">
        <v>187.74</v>
      </c>
      <c r="M588" s="2">
        <v>20088.18</v>
      </c>
      <c r="N588" s="2">
        <v>12530.77</v>
      </c>
      <c r="O588" s="2">
        <v>7557.41</v>
      </c>
      <c r="P588" s="2" t="s">
        <v>42</v>
      </c>
      <c r="Q588" s="2" t="s">
        <v>32</v>
      </c>
      <c r="R588" s="2">
        <v>14</v>
      </c>
      <c r="S588" s="2" t="s">
        <v>158</v>
      </c>
      <c r="T588" s="2">
        <v>1882</v>
      </c>
      <c r="U588" s="2">
        <v>0</v>
      </c>
      <c r="V588" s="2"/>
    </row>
    <row r="589" spans="1:22" x14ac:dyDescent="0.35">
      <c r="A589" s="3" t="s">
        <v>1923</v>
      </c>
      <c r="B589" s="3" t="s">
        <v>649</v>
      </c>
      <c r="C589" s="3" t="s">
        <v>820</v>
      </c>
      <c r="D589" s="3" t="s">
        <v>1924</v>
      </c>
      <c r="E589" s="3" t="s">
        <v>48</v>
      </c>
      <c r="F589" s="3" t="s">
        <v>270</v>
      </c>
      <c r="G589" s="3" t="s">
        <v>217</v>
      </c>
      <c r="H589" s="3" t="s">
        <v>725</v>
      </c>
      <c r="I589" s="3" t="s">
        <v>293</v>
      </c>
      <c r="J589" s="3">
        <v>436</v>
      </c>
      <c r="K589" s="3">
        <v>1193.71</v>
      </c>
      <c r="L589" s="3">
        <v>1445.36</v>
      </c>
      <c r="M589" s="3">
        <v>630176.96</v>
      </c>
      <c r="N589" s="3">
        <v>520457.56</v>
      </c>
      <c r="O589" s="3">
        <v>109719.4</v>
      </c>
      <c r="P589" s="3" t="s">
        <v>42</v>
      </c>
      <c r="Q589" s="3" t="s">
        <v>32</v>
      </c>
      <c r="R589" s="3">
        <v>6</v>
      </c>
      <c r="S589" s="3" t="s">
        <v>53</v>
      </c>
      <c r="T589" s="3">
        <v>1088</v>
      </c>
      <c r="U589" s="3">
        <v>18</v>
      </c>
      <c r="V589" s="3"/>
    </row>
    <row r="590" spans="1:22" x14ac:dyDescent="0.35">
      <c r="A590" s="2" t="s">
        <v>1925</v>
      </c>
      <c r="B590" s="2" t="s">
        <v>707</v>
      </c>
      <c r="C590" s="2" t="s">
        <v>1433</v>
      </c>
      <c r="D590" s="2" t="s">
        <v>1926</v>
      </c>
      <c r="E590" s="2" t="s">
        <v>68</v>
      </c>
      <c r="F590" s="2" t="s">
        <v>163</v>
      </c>
      <c r="G590" s="2" t="s">
        <v>50</v>
      </c>
      <c r="H590" s="2" t="s">
        <v>107</v>
      </c>
      <c r="I590" s="2" t="s">
        <v>118</v>
      </c>
      <c r="J590" s="2">
        <v>295</v>
      </c>
      <c r="K590" s="2">
        <v>876.25</v>
      </c>
      <c r="L590" s="2">
        <v>1304.3399999999999</v>
      </c>
      <c r="M590" s="2">
        <v>384780.3</v>
      </c>
      <c r="N590" s="2">
        <v>258493.75</v>
      </c>
      <c r="O590" s="2">
        <v>126286.55</v>
      </c>
      <c r="P590" s="2" t="s">
        <v>52</v>
      </c>
      <c r="Q590" s="2" t="s">
        <v>32</v>
      </c>
      <c r="R590" s="2">
        <v>7</v>
      </c>
      <c r="S590" s="2" t="s">
        <v>112</v>
      </c>
      <c r="T590" s="2">
        <v>1971</v>
      </c>
      <c r="U590" s="2">
        <v>4</v>
      </c>
      <c r="V590" s="2"/>
    </row>
    <row r="591" spans="1:22" x14ac:dyDescent="0.35">
      <c r="A591" s="3" t="s">
        <v>1927</v>
      </c>
      <c r="B591" s="3" t="s">
        <v>978</v>
      </c>
      <c r="C591" s="3" t="s">
        <v>832</v>
      </c>
      <c r="D591" s="3" t="s">
        <v>1928</v>
      </c>
      <c r="E591" s="3" t="s">
        <v>26</v>
      </c>
      <c r="F591" s="3" t="s">
        <v>253</v>
      </c>
      <c r="G591" s="3" t="s">
        <v>50</v>
      </c>
      <c r="H591" s="3" t="s">
        <v>173</v>
      </c>
      <c r="I591" s="3" t="s">
        <v>41</v>
      </c>
      <c r="J591" s="3">
        <v>665</v>
      </c>
      <c r="K591" s="3">
        <v>973.98</v>
      </c>
      <c r="L591" s="3">
        <v>1576.9</v>
      </c>
      <c r="M591" s="3">
        <v>1048638.5</v>
      </c>
      <c r="N591" s="3">
        <v>647696.69999999995</v>
      </c>
      <c r="O591" s="3">
        <v>400941.8</v>
      </c>
      <c r="P591" s="3" t="s">
        <v>42</v>
      </c>
      <c r="Q591" s="3" t="s">
        <v>32</v>
      </c>
      <c r="R591" s="3">
        <v>7</v>
      </c>
      <c r="S591" s="3" t="s">
        <v>112</v>
      </c>
      <c r="T591" s="3">
        <v>3090</v>
      </c>
      <c r="U591" s="3">
        <v>29</v>
      </c>
      <c r="V591" s="3"/>
    </row>
    <row r="592" spans="1:22" x14ac:dyDescent="0.35">
      <c r="A592" s="2" t="s">
        <v>1929</v>
      </c>
      <c r="B592" s="2" t="s">
        <v>215</v>
      </c>
      <c r="C592" s="2" t="s">
        <v>1174</v>
      </c>
      <c r="D592" s="2" t="s">
        <v>830</v>
      </c>
      <c r="E592" s="2" t="s">
        <v>48</v>
      </c>
      <c r="F592" s="2" t="s">
        <v>270</v>
      </c>
      <c r="G592" s="2" t="s">
        <v>78</v>
      </c>
      <c r="H592" s="2" t="s">
        <v>425</v>
      </c>
      <c r="I592" s="2" t="s">
        <v>30</v>
      </c>
      <c r="J592" s="2">
        <v>41</v>
      </c>
      <c r="K592" s="2">
        <v>236.27</v>
      </c>
      <c r="L592" s="2">
        <v>335.87</v>
      </c>
      <c r="M592" s="4" t="s">
        <v>1930</v>
      </c>
      <c r="N592" s="2">
        <v>9687.07</v>
      </c>
      <c r="O592" s="2">
        <v>4083.6</v>
      </c>
      <c r="P592" s="2" t="s">
        <v>42</v>
      </c>
      <c r="Q592" s="2" t="s">
        <v>32</v>
      </c>
      <c r="R592" s="2">
        <v>12</v>
      </c>
      <c r="S592" s="2" t="s">
        <v>86</v>
      </c>
      <c r="T592" s="2">
        <v>1891</v>
      </c>
      <c r="U592" s="2">
        <v>0</v>
      </c>
      <c r="V592" s="2"/>
    </row>
    <row r="593" spans="1:22" x14ac:dyDescent="0.35">
      <c r="A593" s="3" t="s">
        <v>1931</v>
      </c>
      <c r="B593" s="3" t="s">
        <v>1775</v>
      </c>
      <c r="C593" s="3" t="s">
        <v>1499</v>
      </c>
      <c r="D593" s="3" t="s">
        <v>1431</v>
      </c>
      <c r="E593" s="3" t="s">
        <v>1932</v>
      </c>
      <c r="F593" s="3" t="s">
        <v>276</v>
      </c>
      <c r="G593" s="3" t="s">
        <v>189</v>
      </c>
      <c r="H593" s="3" t="s">
        <v>271</v>
      </c>
      <c r="I593" s="3" t="s">
        <v>72</v>
      </c>
      <c r="J593" s="3">
        <v>386</v>
      </c>
      <c r="K593" s="3">
        <v>809.07</v>
      </c>
      <c r="L593" s="3">
        <v>996.1</v>
      </c>
      <c r="M593" s="3">
        <v>384494.6</v>
      </c>
      <c r="N593" s="3">
        <v>312301.02</v>
      </c>
      <c r="O593" s="3">
        <v>72193.58</v>
      </c>
      <c r="P593" s="3" t="s">
        <v>42</v>
      </c>
      <c r="Q593" s="3" t="s">
        <v>63</v>
      </c>
      <c r="R593" s="3">
        <v>5</v>
      </c>
      <c r="S593" s="3" t="s">
        <v>33</v>
      </c>
      <c r="T593" s="3">
        <v>4154</v>
      </c>
      <c r="U593" s="3">
        <v>18</v>
      </c>
      <c r="V593" s="3"/>
    </row>
    <row r="594" spans="1:22" x14ac:dyDescent="0.35">
      <c r="A594" s="2" t="s">
        <v>1933</v>
      </c>
      <c r="B594" s="2" t="s">
        <v>1934</v>
      </c>
      <c r="C594" s="2" t="s">
        <v>1935</v>
      </c>
      <c r="D594" s="2" t="s">
        <v>1936</v>
      </c>
      <c r="E594" s="2" t="s">
        <v>48</v>
      </c>
      <c r="F594" s="2" t="s">
        <v>49</v>
      </c>
      <c r="G594" s="2" t="s">
        <v>78</v>
      </c>
      <c r="H594" s="2" t="s">
        <v>481</v>
      </c>
      <c r="I594" s="2" t="s">
        <v>191</v>
      </c>
      <c r="J594" s="2">
        <v>134</v>
      </c>
      <c r="K594" s="2">
        <v>1096.3399999999999</v>
      </c>
      <c r="L594" s="2">
        <v>1260.6099999999999</v>
      </c>
      <c r="M594" s="2">
        <v>168921.74</v>
      </c>
      <c r="N594" s="2">
        <v>146909.56</v>
      </c>
      <c r="O594" s="2">
        <v>22012.18</v>
      </c>
      <c r="P594" s="2" t="s">
        <v>42</v>
      </c>
      <c r="Q594" s="2" t="s">
        <v>32</v>
      </c>
      <c r="R594" s="2">
        <v>10</v>
      </c>
      <c r="S594" s="2" t="s">
        <v>158</v>
      </c>
      <c r="T594" s="2">
        <v>4114</v>
      </c>
      <c r="U594" s="2">
        <v>1</v>
      </c>
      <c r="V594" s="2"/>
    </row>
    <row r="595" spans="1:22" x14ac:dyDescent="0.35">
      <c r="A595" s="3" t="s">
        <v>1937</v>
      </c>
      <c r="B595" s="3" t="s">
        <v>1938</v>
      </c>
      <c r="C595" s="3" t="s">
        <v>529</v>
      </c>
      <c r="D595" s="3" t="s">
        <v>1939</v>
      </c>
      <c r="E595" s="3" t="s">
        <v>48</v>
      </c>
      <c r="F595" s="3" t="s">
        <v>49</v>
      </c>
      <c r="G595" s="3" t="s">
        <v>70</v>
      </c>
      <c r="H595" s="3" t="s">
        <v>623</v>
      </c>
      <c r="I595" s="3" t="s">
        <v>124</v>
      </c>
      <c r="J595" s="3">
        <v>72</v>
      </c>
      <c r="K595" s="3">
        <v>376.23</v>
      </c>
      <c r="L595" s="3">
        <v>582.05999999999995</v>
      </c>
      <c r="M595" s="3">
        <v>41908.32</v>
      </c>
      <c r="N595" s="3">
        <v>27088.560000000001</v>
      </c>
      <c r="O595" s="3">
        <v>14819.76</v>
      </c>
      <c r="P595" s="3" t="s">
        <v>52</v>
      </c>
      <c r="Q595" s="3" t="s">
        <v>32</v>
      </c>
      <c r="R595" s="3">
        <v>10</v>
      </c>
      <c r="S595" s="3" t="s">
        <v>158</v>
      </c>
      <c r="T595" s="3">
        <v>2416</v>
      </c>
      <c r="U595" s="3">
        <v>3</v>
      </c>
      <c r="V595" s="3"/>
    </row>
    <row r="596" spans="1:22" x14ac:dyDescent="0.35">
      <c r="A596" s="2" t="s">
        <v>1940</v>
      </c>
      <c r="B596" s="2" t="s">
        <v>419</v>
      </c>
      <c r="C596" s="2" t="s">
        <v>488</v>
      </c>
      <c r="D596" s="2" t="s">
        <v>1941</v>
      </c>
      <c r="E596" s="2" t="s">
        <v>26</v>
      </c>
      <c r="F596" s="2" t="s">
        <v>228</v>
      </c>
      <c r="G596" s="2" t="s">
        <v>39</v>
      </c>
      <c r="H596" s="2" t="s">
        <v>647</v>
      </c>
      <c r="I596" s="2" t="s">
        <v>191</v>
      </c>
      <c r="J596" s="2">
        <v>431</v>
      </c>
      <c r="K596" s="2">
        <v>737.59</v>
      </c>
      <c r="L596" s="2">
        <v>1149</v>
      </c>
      <c r="M596" s="2">
        <v>495219</v>
      </c>
      <c r="N596" s="2">
        <v>317901.28999999998</v>
      </c>
      <c r="O596" s="2">
        <v>177317.71</v>
      </c>
      <c r="P596" s="2" t="s">
        <v>31</v>
      </c>
      <c r="Q596" s="2" t="s">
        <v>63</v>
      </c>
      <c r="R596" s="2">
        <v>5</v>
      </c>
      <c r="S596" s="2" t="s">
        <v>53</v>
      </c>
      <c r="T596" s="2">
        <v>4657</v>
      </c>
      <c r="U596" s="2">
        <v>1</v>
      </c>
      <c r="V596" s="2"/>
    </row>
    <row r="597" spans="1:22" x14ac:dyDescent="0.35">
      <c r="A597" s="3" t="s">
        <v>1942</v>
      </c>
      <c r="B597" s="3" t="s">
        <v>419</v>
      </c>
      <c r="C597" s="3" t="s">
        <v>1943</v>
      </c>
      <c r="D597" s="3" t="s">
        <v>1944</v>
      </c>
      <c r="E597" s="3" t="s">
        <v>100</v>
      </c>
      <c r="F597" s="3" t="s">
        <v>106</v>
      </c>
      <c r="G597" s="3" t="s">
        <v>93</v>
      </c>
      <c r="H597" s="3" t="s">
        <v>140</v>
      </c>
      <c r="I597" s="3" t="s">
        <v>240</v>
      </c>
      <c r="J597" s="3">
        <v>19</v>
      </c>
      <c r="K597" s="3">
        <v>242.84</v>
      </c>
      <c r="L597" s="3">
        <v>370.84</v>
      </c>
      <c r="M597" s="3">
        <v>7045.96</v>
      </c>
      <c r="N597" s="3">
        <v>4613.96</v>
      </c>
      <c r="O597" s="3">
        <v>2432</v>
      </c>
      <c r="P597" s="3" t="s">
        <v>95</v>
      </c>
      <c r="Q597" s="3" t="s">
        <v>63</v>
      </c>
      <c r="R597" s="3">
        <v>3</v>
      </c>
      <c r="S597" s="3" t="s">
        <v>43</v>
      </c>
      <c r="T597" s="3">
        <v>1380</v>
      </c>
      <c r="U597" s="3">
        <v>0</v>
      </c>
      <c r="V597" s="3"/>
    </row>
    <row r="598" spans="1:22" x14ac:dyDescent="0.35">
      <c r="A598" s="2" t="s">
        <v>1945</v>
      </c>
      <c r="B598" s="2" t="s">
        <v>398</v>
      </c>
      <c r="C598" s="2" t="s">
        <v>785</v>
      </c>
      <c r="D598" s="2" t="s">
        <v>1946</v>
      </c>
      <c r="E598" s="2" t="s">
        <v>58</v>
      </c>
      <c r="F598" s="2" t="s">
        <v>59</v>
      </c>
      <c r="G598" s="2" t="s">
        <v>78</v>
      </c>
      <c r="H598" s="2" t="s">
        <v>425</v>
      </c>
      <c r="I598" s="2" t="s">
        <v>72</v>
      </c>
      <c r="J598" s="2">
        <v>38</v>
      </c>
      <c r="K598" s="2">
        <v>629.20000000000005</v>
      </c>
      <c r="L598" s="2">
        <v>898.77</v>
      </c>
      <c r="M598" s="2">
        <v>34153.26</v>
      </c>
      <c r="N598" s="2">
        <v>23909.599999999999</v>
      </c>
      <c r="O598" s="2">
        <v>10243.66</v>
      </c>
      <c r="P598" s="2" t="s">
        <v>52</v>
      </c>
      <c r="Q598" s="2" t="s">
        <v>32</v>
      </c>
      <c r="R598" s="2">
        <v>6</v>
      </c>
      <c r="S598" s="2" t="s">
        <v>33</v>
      </c>
      <c r="T598" s="2">
        <v>4336</v>
      </c>
      <c r="U598" s="2">
        <v>0</v>
      </c>
      <c r="V598" s="2"/>
    </row>
    <row r="599" spans="1:22" x14ac:dyDescent="0.35">
      <c r="A599" s="3" t="s">
        <v>1947</v>
      </c>
      <c r="B599" s="3" t="s">
        <v>1948</v>
      </c>
      <c r="C599" s="3" t="s">
        <v>56</v>
      </c>
      <c r="D599" s="3" t="s">
        <v>1949</v>
      </c>
      <c r="E599" s="3" t="s">
        <v>68</v>
      </c>
      <c r="F599" s="3" t="s">
        <v>276</v>
      </c>
      <c r="G599" s="3" t="s">
        <v>70</v>
      </c>
      <c r="H599" s="3" t="s">
        <v>1950</v>
      </c>
      <c r="I599" s="3" t="s">
        <v>293</v>
      </c>
      <c r="J599" s="3">
        <v>632</v>
      </c>
      <c r="K599" s="3">
        <v>103.35</v>
      </c>
      <c r="L599" s="3">
        <v>147.43</v>
      </c>
      <c r="M599" s="3">
        <v>93175.76</v>
      </c>
      <c r="N599" s="3">
        <v>65317.2</v>
      </c>
      <c r="O599" s="3">
        <v>27858.560000000001</v>
      </c>
      <c r="P599" s="3" t="s">
        <v>42</v>
      </c>
      <c r="Q599" s="3" t="s">
        <v>63</v>
      </c>
      <c r="R599" s="3">
        <v>4</v>
      </c>
      <c r="S599" s="3" t="s">
        <v>43</v>
      </c>
      <c r="T599" s="3">
        <v>2652</v>
      </c>
      <c r="U599" s="3">
        <v>6</v>
      </c>
      <c r="V599" s="3"/>
    </row>
    <row r="600" spans="1:22" x14ac:dyDescent="0.35">
      <c r="A600" s="2" t="s">
        <v>1951</v>
      </c>
      <c r="B600" s="2" t="s">
        <v>1378</v>
      </c>
      <c r="C600" s="2" t="s">
        <v>1952</v>
      </c>
      <c r="D600" s="2" t="s">
        <v>1953</v>
      </c>
      <c r="E600" s="2" t="s">
        <v>68</v>
      </c>
      <c r="F600" s="2" t="s">
        <v>249</v>
      </c>
      <c r="G600" s="2" t="s">
        <v>39</v>
      </c>
      <c r="H600" s="2" t="s">
        <v>147</v>
      </c>
      <c r="I600" s="2" t="s">
        <v>293</v>
      </c>
      <c r="J600" s="2">
        <v>472</v>
      </c>
      <c r="K600" s="2">
        <v>424.3</v>
      </c>
      <c r="L600" s="2">
        <v>513.97</v>
      </c>
      <c r="M600" s="2">
        <v>242593.84</v>
      </c>
      <c r="N600" s="2">
        <v>200269.6</v>
      </c>
      <c r="O600" s="2">
        <v>42324.24</v>
      </c>
      <c r="P600" s="2" t="s">
        <v>52</v>
      </c>
      <c r="Q600" s="2" t="s">
        <v>32</v>
      </c>
      <c r="R600" s="2">
        <v>11</v>
      </c>
      <c r="S600" s="2" t="s">
        <v>53</v>
      </c>
      <c r="T600" s="2">
        <v>3700</v>
      </c>
      <c r="U600" s="2">
        <v>15</v>
      </c>
      <c r="V600" s="2"/>
    </row>
    <row r="601" spans="1:22" x14ac:dyDescent="0.35">
      <c r="A601" s="3" t="s">
        <v>1954</v>
      </c>
      <c r="B601" s="3" t="s">
        <v>1561</v>
      </c>
      <c r="C601" s="3" t="s">
        <v>1955</v>
      </c>
      <c r="D601" s="3" t="s">
        <v>1956</v>
      </c>
      <c r="E601" s="3" t="s">
        <v>26</v>
      </c>
      <c r="F601" s="3" t="s">
        <v>27</v>
      </c>
      <c r="G601" s="3" t="s">
        <v>129</v>
      </c>
      <c r="H601" s="3" t="s">
        <v>811</v>
      </c>
      <c r="I601" s="3" t="s">
        <v>153</v>
      </c>
      <c r="J601" s="3">
        <v>443</v>
      </c>
      <c r="K601" s="3">
        <v>680.25</v>
      </c>
      <c r="L601" s="3">
        <v>790.64</v>
      </c>
      <c r="M601" s="3">
        <v>350253.52</v>
      </c>
      <c r="N601" s="3">
        <v>301350.75</v>
      </c>
      <c r="O601" s="3">
        <v>48902.77</v>
      </c>
      <c r="P601" s="3" t="s">
        <v>95</v>
      </c>
      <c r="Q601" s="3" t="s">
        <v>32</v>
      </c>
      <c r="R601" s="3">
        <v>6</v>
      </c>
      <c r="S601" s="3" t="s">
        <v>112</v>
      </c>
      <c r="T601" s="3">
        <v>2511</v>
      </c>
      <c r="U601" s="3">
        <v>4</v>
      </c>
      <c r="V601" s="3"/>
    </row>
    <row r="602" spans="1:22" x14ac:dyDescent="0.35">
      <c r="A602" s="2" t="s">
        <v>1957</v>
      </c>
      <c r="B602" s="2" t="s">
        <v>479</v>
      </c>
      <c r="C602" s="2" t="s">
        <v>1444</v>
      </c>
      <c r="D602" s="2" t="s">
        <v>1958</v>
      </c>
      <c r="E602" s="2" t="s">
        <v>68</v>
      </c>
      <c r="F602" s="2" t="s">
        <v>276</v>
      </c>
      <c r="G602" s="2" t="s">
        <v>78</v>
      </c>
      <c r="H602" s="2" t="s">
        <v>79</v>
      </c>
      <c r="I602" s="2" t="s">
        <v>30</v>
      </c>
      <c r="J602" s="2">
        <v>214</v>
      </c>
      <c r="K602" s="2">
        <v>875.06</v>
      </c>
      <c r="L602" s="2">
        <v>1046.23</v>
      </c>
      <c r="M602" s="2">
        <v>223893.22</v>
      </c>
      <c r="N602" s="2">
        <v>187262.84</v>
      </c>
      <c r="O602" s="2">
        <v>36630.379999999997</v>
      </c>
      <c r="P602" s="2" t="s">
        <v>31</v>
      </c>
      <c r="Q602" s="2" t="s">
        <v>63</v>
      </c>
      <c r="R602" s="2">
        <v>4</v>
      </c>
      <c r="S602" s="2" t="s">
        <v>53</v>
      </c>
      <c r="T602" s="2">
        <v>4341</v>
      </c>
      <c r="U602" s="2">
        <v>4</v>
      </c>
      <c r="V602" s="2"/>
    </row>
    <row r="603" spans="1:22" x14ac:dyDescent="0.35">
      <c r="A603" s="3" t="s">
        <v>1959</v>
      </c>
      <c r="B603" s="3" t="s">
        <v>338</v>
      </c>
      <c r="C603" s="3" t="s">
        <v>1542</v>
      </c>
      <c r="D603" s="3" t="s">
        <v>1960</v>
      </c>
      <c r="E603" s="3" t="s">
        <v>26</v>
      </c>
      <c r="F603" s="3" t="s">
        <v>27</v>
      </c>
      <c r="G603" s="3" t="s">
        <v>70</v>
      </c>
      <c r="H603" s="3" t="s">
        <v>384</v>
      </c>
      <c r="I603" s="3" t="s">
        <v>85</v>
      </c>
      <c r="J603" s="3">
        <v>56</v>
      </c>
      <c r="K603" s="4"/>
      <c r="L603" s="3">
        <v>56.28</v>
      </c>
      <c r="M603" s="3">
        <v>3151.68</v>
      </c>
      <c r="N603" s="3">
        <v>1954.4</v>
      </c>
      <c r="O603" s="3">
        <v>1197.28</v>
      </c>
      <c r="P603" s="3" t="s">
        <v>42</v>
      </c>
      <c r="Q603" s="3" t="s">
        <v>63</v>
      </c>
      <c r="R603" s="3">
        <v>5</v>
      </c>
      <c r="S603" s="3" t="s">
        <v>112</v>
      </c>
      <c r="T603" s="3">
        <v>857</v>
      </c>
      <c r="U603" s="3">
        <v>0</v>
      </c>
      <c r="V603" s="3"/>
    </row>
    <row r="604" spans="1:22" x14ac:dyDescent="0.35">
      <c r="A604" s="2" t="s">
        <v>1961</v>
      </c>
      <c r="B604" s="2" t="s">
        <v>1962</v>
      </c>
      <c r="C604" s="2" t="s">
        <v>591</v>
      </c>
      <c r="D604" s="2" t="s">
        <v>1963</v>
      </c>
      <c r="E604" s="2" t="s">
        <v>58</v>
      </c>
      <c r="F604" s="2" t="s">
        <v>59</v>
      </c>
      <c r="G604" s="2" t="s">
        <v>60</v>
      </c>
      <c r="H604" s="2" t="s">
        <v>780</v>
      </c>
      <c r="I604" s="2" t="s">
        <v>240</v>
      </c>
      <c r="J604" s="2">
        <v>285</v>
      </c>
      <c r="K604" s="2">
        <v>702.26</v>
      </c>
      <c r="L604" s="2">
        <v>877.47</v>
      </c>
      <c r="M604" s="2">
        <v>250078.95</v>
      </c>
      <c r="N604" s="2">
        <v>200144.1</v>
      </c>
      <c r="O604" s="2">
        <v>49934.85</v>
      </c>
      <c r="P604" s="2" t="s">
        <v>42</v>
      </c>
      <c r="Q604" s="2" t="s">
        <v>63</v>
      </c>
      <c r="R604" s="2">
        <v>5</v>
      </c>
      <c r="S604" s="2" t="s">
        <v>43</v>
      </c>
      <c r="T604" s="2">
        <v>1742</v>
      </c>
      <c r="U604" s="2">
        <v>12</v>
      </c>
      <c r="V604" s="2"/>
    </row>
    <row r="605" spans="1:22" x14ac:dyDescent="0.35">
      <c r="A605" s="3" t="s">
        <v>1964</v>
      </c>
      <c r="B605" s="3" t="s">
        <v>865</v>
      </c>
      <c r="C605" s="3" t="s">
        <v>765</v>
      </c>
      <c r="D605" s="3" t="s">
        <v>1965</v>
      </c>
      <c r="E605" s="3" t="s">
        <v>100</v>
      </c>
      <c r="F605" s="3" t="s">
        <v>238</v>
      </c>
      <c r="G605" s="3" t="s">
        <v>93</v>
      </c>
      <c r="H605" s="3" t="s">
        <v>643</v>
      </c>
      <c r="I605" s="3" t="s">
        <v>62</v>
      </c>
      <c r="J605" s="3">
        <v>383</v>
      </c>
      <c r="K605" s="3">
        <v>934.25</v>
      </c>
      <c r="L605" s="3">
        <v>1170.29</v>
      </c>
      <c r="M605" s="3">
        <v>448221.07</v>
      </c>
      <c r="N605" s="3">
        <v>357817.75</v>
      </c>
      <c r="O605" s="3">
        <v>90403.32</v>
      </c>
      <c r="P605" s="3" t="s">
        <v>31</v>
      </c>
      <c r="Q605" s="3" t="s">
        <v>63</v>
      </c>
      <c r="R605" s="3">
        <v>3</v>
      </c>
      <c r="S605" s="3" t="s">
        <v>112</v>
      </c>
      <c r="T605" s="3">
        <v>466</v>
      </c>
      <c r="U605" s="3">
        <v>16</v>
      </c>
      <c r="V605" s="3"/>
    </row>
    <row r="606" spans="1:22" x14ac:dyDescent="0.35">
      <c r="A606" s="2" t="s">
        <v>1966</v>
      </c>
      <c r="B606" s="2" t="s">
        <v>671</v>
      </c>
      <c r="C606" s="2" t="s">
        <v>1967</v>
      </c>
      <c r="D606" s="2" t="s">
        <v>1728</v>
      </c>
      <c r="E606" s="2" t="s">
        <v>68</v>
      </c>
      <c r="F606" s="2" t="s">
        <v>69</v>
      </c>
      <c r="G606" s="2" t="s">
        <v>78</v>
      </c>
      <c r="H606" s="2" t="s">
        <v>425</v>
      </c>
      <c r="I606" s="2" t="s">
        <v>72</v>
      </c>
      <c r="J606" s="2">
        <v>215</v>
      </c>
      <c r="K606" s="2">
        <v>119.75</v>
      </c>
      <c r="L606" s="2">
        <v>164.25</v>
      </c>
      <c r="M606" s="2">
        <v>35313.75</v>
      </c>
      <c r="N606" s="2">
        <v>25746.25</v>
      </c>
      <c r="O606" s="2">
        <v>9567.5</v>
      </c>
      <c r="P606" s="2" t="s">
        <v>95</v>
      </c>
      <c r="Q606" s="2" t="s">
        <v>63</v>
      </c>
      <c r="R606" s="2">
        <v>1</v>
      </c>
      <c r="S606" s="2" t="s">
        <v>86</v>
      </c>
      <c r="T606" s="2">
        <v>1521</v>
      </c>
      <c r="U606" s="2">
        <v>2</v>
      </c>
      <c r="V606" s="2"/>
    </row>
    <row r="607" spans="1:22" x14ac:dyDescent="0.35">
      <c r="A607" s="3" t="s">
        <v>1968</v>
      </c>
      <c r="B607" s="3" t="s">
        <v>1164</v>
      </c>
      <c r="C607" s="3" t="s">
        <v>799</v>
      </c>
      <c r="D607" s="3" t="s">
        <v>1969</v>
      </c>
      <c r="E607" s="3" t="s">
        <v>58</v>
      </c>
      <c r="F607" s="3" t="s">
        <v>259</v>
      </c>
      <c r="G607" s="3" t="s">
        <v>28</v>
      </c>
      <c r="H607" s="3" t="s">
        <v>714</v>
      </c>
      <c r="I607" s="3" t="s">
        <v>293</v>
      </c>
      <c r="J607" s="3">
        <v>766</v>
      </c>
      <c r="K607" s="3">
        <v>468.15</v>
      </c>
      <c r="L607" s="3">
        <v>626.79999999999995</v>
      </c>
      <c r="M607" s="3">
        <v>480128.8</v>
      </c>
      <c r="N607" s="3">
        <v>358602.9</v>
      </c>
      <c r="O607" s="4" t="s">
        <v>1309</v>
      </c>
      <c r="P607" s="3" t="s">
        <v>42</v>
      </c>
      <c r="Q607" s="3" t="s">
        <v>32</v>
      </c>
      <c r="R607" s="3">
        <v>7</v>
      </c>
      <c r="S607" s="3" t="s">
        <v>43</v>
      </c>
      <c r="T607" s="3">
        <v>2483</v>
      </c>
      <c r="U607" s="3">
        <v>37</v>
      </c>
      <c r="V607" s="3"/>
    </row>
    <row r="608" spans="1:22" x14ac:dyDescent="0.35">
      <c r="A608" s="2" t="s">
        <v>1970</v>
      </c>
      <c r="B608" s="2" t="s">
        <v>1971</v>
      </c>
      <c r="C608" s="2" t="s">
        <v>1119</v>
      </c>
      <c r="D608" s="2" t="s">
        <v>1972</v>
      </c>
      <c r="E608" s="2" t="s">
        <v>48</v>
      </c>
      <c r="F608" s="2" t="s">
        <v>281</v>
      </c>
      <c r="G608" s="2" t="s">
        <v>70</v>
      </c>
      <c r="H608" s="2" t="s">
        <v>623</v>
      </c>
      <c r="I608" s="2" t="s">
        <v>191</v>
      </c>
      <c r="J608" s="2">
        <v>294</v>
      </c>
      <c r="K608" s="2">
        <v>492.23</v>
      </c>
      <c r="L608" s="2">
        <v>731.03</v>
      </c>
      <c r="M608" s="2">
        <v>214922.82</v>
      </c>
      <c r="N608" s="2">
        <v>144715.62</v>
      </c>
      <c r="O608" s="2">
        <v>70207.199999999997</v>
      </c>
      <c r="P608" s="2" t="s">
        <v>42</v>
      </c>
      <c r="Q608" s="2" t="s">
        <v>32</v>
      </c>
      <c r="R608" s="2">
        <v>12</v>
      </c>
      <c r="S608" s="2" t="s">
        <v>158</v>
      </c>
      <c r="T608" s="2">
        <v>1295</v>
      </c>
      <c r="U608" s="2">
        <v>5</v>
      </c>
      <c r="V608" s="2"/>
    </row>
    <row r="609" spans="1:22" x14ac:dyDescent="0.35">
      <c r="A609" s="3" t="s">
        <v>1973</v>
      </c>
      <c r="B609" s="3" t="s">
        <v>1003</v>
      </c>
      <c r="C609" s="3" t="s">
        <v>1201</v>
      </c>
      <c r="D609" s="3" t="s">
        <v>1974</v>
      </c>
      <c r="E609" s="3" t="s">
        <v>100</v>
      </c>
      <c r="F609" s="3" t="s">
        <v>238</v>
      </c>
      <c r="G609" s="3" t="s">
        <v>60</v>
      </c>
      <c r="H609" s="3" t="s">
        <v>164</v>
      </c>
      <c r="I609" s="3" t="s">
        <v>85</v>
      </c>
      <c r="J609" s="3">
        <v>458</v>
      </c>
      <c r="K609" s="3">
        <v>744.38</v>
      </c>
      <c r="L609" s="3">
        <v>1057.98</v>
      </c>
      <c r="M609" s="3">
        <v>484554.84</v>
      </c>
      <c r="N609" s="3">
        <v>340926.04</v>
      </c>
      <c r="O609" s="3">
        <v>143628.79999999999</v>
      </c>
      <c r="P609" s="3" t="s">
        <v>31</v>
      </c>
      <c r="Q609" s="3" t="s">
        <v>63</v>
      </c>
      <c r="R609" s="3">
        <v>2</v>
      </c>
      <c r="S609" s="3" t="s">
        <v>53</v>
      </c>
      <c r="T609" s="3">
        <v>2569</v>
      </c>
      <c r="U609" s="3">
        <v>2</v>
      </c>
      <c r="V609" s="3"/>
    </row>
    <row r="610" spans="1:22" x14ac:dyDescent="0.35">
      <c r="A610" s="2" t="s">
        <v>1975</v>
      </c>
      <c r="B610" s="2" t="s">
        <v>954</v>
      </c>
      <c r="C610" s="2" t="s">
        <v>1360</v>
      </c>
      <c r="D610" s="2" t="s">
        <v>1976</v>
      </c>
      <c r="E610" s="2" t="s">
        <v>26</v>
      </c>
      <c r="F610" s="2" t="s">
        <v>27</v>
      </c>
      <c r="G610" s="2" t="s">
        <v>60</v>
      </c>
      <c r="H610" s="2" t="s">
        <v>265</v>
      </c>
      <c r="I610" s="2" t="s">
        <v>141</v>
      </c>
      <c r="J610" s="2">
        <v>23</v>
      </c>
      <c r="K610" s="2">
        <v>432.53</v>
      </c>
      <c r="L610" s="2">
        <v>557.33000000000004</v>
      </c>
      <c r="M610" s="2">
        <v>12818.59</v>
      </c>
      <c r="N610" s="2">
        <v>9948.19</v>
      </c>
      <c r="O610" s="2">
        <v>2870.4</v>
      </c>
      <c r="P610" s="2" t="s">
        <v>52</v>
      </c>
      <c r="Q610" s="2" t="s">
        <v>63</v>
      </c>
      <c r="R610" s="2">
        <v>4</v>
      </c>
      <c r="S610" s="2" t="s">
        <v>112</v>
      </c>
      <c r="T610" s="2">
        <v>1256</v>
      </c>
      <c r="U610" s="2">
        <v>0</v>
      </c>
      <c r="V610" s="2"/>
    </row>
    <row r="611" spans="1:22" x14ac:dyDescent="0.35">
      <c r="A611" s="3" t="s">
        <v>1977</v>
      </c>
      <c r="B611" s="3" t="s">
        <v>225</v>
      </c>
      <c r="C611" s="3" t="s">
        <v>764</v>
      </c>
      <c r="D611" s="3" t="s">
        <v>1978</v>
      </c>
      <c r="E611" s="3" t="s">
        <v>68</v>
      </c>
      <c r="F611" s="3" t="s">
        <v>276</v>
      </c>
      <c r="G611" s="3" t="s">
        <v>39</v>
      </c>
      <c r="H611" s="3" t="s">
        <v>647</v>
      </c>
      <c r="I611" s="3" t="s">
        <v>124</v>
      </c>
      <c r="J611" s="3">
        <v>172</v>
      </c>
      <c r="K611" s="3">
        <v>1029.55</v>
      </c>
      <c r="L611" s="3">
        <v>1605.97</v>
      </c>
      <c r="M611" s="3">
        <v>276226.84000000003</v>
      </c>
      <c r="N611" s="3">
        <v>177082.6</v>
      </c>
      <c r="O611" s="3">
        <v>99144.24</v>
      </c>
      <c r="P611" s="3" t="s">
        <v>42</v>
      </c>
      <c r="Q611" s="3" t="s">
        <v>63</v>
      </c>
      <c r="R611" s="3">
        <v>4</v>
      </c>
      <c r="S611" s="3" t="s">
        <v>86</v>
      </c>
      <c r="T611" s="3">
        <v>1839</v>
      </c>
      <c r="U611" s="3">
        <v>3</v>
      </c>
      <c r="V611" s="3"/>
    </row>
    <row r="612" spans="1:22" x14ac:dyDescent="0.35">
      <c r="A612" s="2" t="s">
        <v>1979</v>
      </c>
      <c r="B612" s="2" t="s">
        <v>1174</v>
      </c>
      <c r="C612" s="2" t="s">
        <v>1398</v>
      </c>
      <c r="D612" s="2" t="s">
        <v>1980</v>
      </c>
      <c r="E612" s="2" t="s">
        <v>58</v>
      </c>
      <c r="F612" s="2" t="s">
        <v>116</v>
      </c>
      <c r="G612" s="2" t="s">
        <v>50</v>
      </c>
      <c r="H612" s="2" t="s">
        <v>51</v>
      </c>
      <c r="I612" s="2" t="s">
        <v>293</v>
      </c>
      <c r="J612" s="2">
        <v>172</v>
      </c>
      <c r="K612" s="2">
        <v>38.299999999999997</v>
      </c>
      <c r="L612" s="2">
        <v>62.41</v>
      </c>
      <c r="M612" s="2">
        <v>10734.52</v>
      </c>
      <c r="N612" s="2">
        <v>6587.6</v>
      </c>
      <c r="O612" s="2">
        <v>4146.92</v>
      </c>
      <c r="P612" s="2" t="s">
        <v>31</v>
      </c>
      <c r="Q612" s="2" t="s">
        <v>32</v>
      </c>
      <c r="R612" s="2">
        <v>13</v>
      </c>
      <c r="S612" s="2" t="s">
        <v>158</v>
      </c>
      <c r="T612" s="2">
        <v>1676</v>
      </c>
      <c r="U612" s="2">
        <v>0</v>
      </c>
      <c r="V612" s="2"/>
    </row>
    <row r="613" spans="1:22" x14ac:dyDescent="0.35">
      <c r="A613" s="3" t="s">
        <v>1981</v>
      </c>
      <c r="B613" s="3" t="s">
        <v>950</v>
      </c>
      <c r="C613" s="3" t="s">
        <v>625</v>
      </c>
      <c r="D613" s="3" t="s">
        <v>1982</v>
      </c>
      <c r="E613" s="3" t="s">
        <v>26</v>
      </c>
      <c r="F613" s="3" t="s">
        <v>92</v>
      </c>
      <c r="G613" s="3" t="s">
        <v>217</v>
      </c>
      <c r="H613" s="3" t="s">
        <v>335</v>
      </c>
      <c r="I613" s="3" t="s">
        <v>72</v>
      </c>
      <c r="J613" s="3">
        <v>397</v>
      </c>
      <c r="K613" s="3">
        <v>517.01</v>
      </c>
      <c r="L613" s="3">
        <v>767.35</v>
      </c>
      <c r="M613" s="3">
        <v>304637.95</v>
      </c>
      <c r="N613" s="3">
        <v>205252.97</v>
      </c>
      <c r="O613" s="3">
        <v>99384.98</v>
      </c>
      <c r="P613" s="3" t="s">
        <v>31</v>
      </c>
      <c r="Q613" s="3" t="s">
        <v>32</v>
      </c>
      <c r="R613" s="3">
        <v>8</v>
      </c>
      <c r="S613" s="3" t="s">
        <v>158</v>
      </c>
      <c r="T613" s="3">
        <v>2966</v>
      </c>
      <c r="U613" s="3">
        <v>6</v>
      </c>
      <c r="V613" s="3"/>
    </row>
    <row r="614" spans="1:22" x14ac:dyDescent="0.35">
      <c r="A614" s="2" t="s">
        <v>1983</v>
      </c>
      <c r="B614" s="2" t="s">
        <v>1984</v>
      </c>
      <c r="C614" s="2" t="s">
        <v>467</v>
      </c>
      <c r="D614" s="2" t="s">
        <v>1985</v>
      </c>
      <c r="E614" s="2" t="s">
        <v>58</v>
      </c>
      <c r="F614" s="2" t="s">
        <v>122</v>
      </c>
      <c r="G614" s="2" t="s">
        <v>70</v>
      </c>
      <c r="H614" s="2" t="s">
        <v>822</v>
      </c>
      <c r="I614" s="2" t="s">
        <v>293</v>
      </c>
      <c r="J614" s="2">
        <v>332</v>
      </c>
      <c r="K614" s="2">
        <v>751.59</v>
      </c>
      <c r="L614" s="2">
        <v>929.04</v>
      </c>
      <c r="M614" s="2">
        <v>308441.28000000003</v>
      </c>
      <c r="N614" s="2">
        <v>249527.88</v>
      </c>
      <c r="O614" s="2">
        <v>58913.4</v>
      </c>
      <c r="P614" s="2" t="s">
        <v>42</v>
      </c>
      <c r="Q614" s="2" t="s">
        <v>63</v>
      </c>
      <c r="R614" s="2">
        <v>3</v>
      </c>
      <c r="S614" s="2" t="s">
        <v>33</v>
      </c>
      <c r="T614" s="2">
        <v>4862</v>
      </c>
      <c r="U614" s="2">
        <v>15</v>
      </c>
      <c r="V614" s="2"/>
    </row>
    <row r="615" spans="1:22" x14ac:dyDescent="0.35">
      <c r="A615" s="3" t="s">
        <v>1986</v>
      </c>
      <c r="B615" s="3" t="s">
        <v>274</v>
      </c>
      <c r="C615" s="3" t="s">
        <v>1325</v>
      </c>
      <c r="D615" s="3" t="s">
        <v>1987</v>
      </c>
      <c r="E615" s="3" t="s">
        <v>48</v>
      </c>
      <c r="F615" s="3" t="s">
        <v>281</v>
      </c>
      <c r="G615" s="3" t="s">
        <v>78</v>
      </c>
      <c r="H615" s="3" t="s">
        <v>628</v>
      </c>
      <c r="I615" s="3" t="s">
        <v>30</v>
      </c>
      <c r="J615" s="3">
        <v>686</v>
      </c>
      <c r="K615" s="3">
        <v>824.27</v>
      </c>
      <c r="L615" s="3">
        <v>1221.6300000000001</v>
      </c>
      <c r="M615" s="3">
        <v>838038.18</v>
      </c>
      <c r="N615" s="3">
        <v>565449.22</v>
      </c>
      <c r="O615" s="3">
        <v>272588.96000000002</v>
      </c>
      <c r="P615" s="3" t="s">
        <v>42</v>
      </c>
      <c r="Q615" s="3" t="s">
        <v>32</v>
      </c>
      <c r="R615" s="3">
        <v>14</v>
      </c>
      <c r="S615" s="3" t="s">
        <v>33</v>
      </c>
      <c r="T615" s="3">
        <v>2853</v>
      </c>
      <c r="U615" s="3">
        <v>14</v>
      </c>
      <c r="V615" s="3"/>
    </row>
    <row r="616" spans="1:22" x14ac:dyDescent="0.35">
      <c r="A616" s="2" t="s">
        <v>1988</v>
      </c>
      <c r="B616" s="2" t="s">
        <v>133</v>
      </c>
      <c r="C616" s="2" t="s">
        <v>432</v>
      </c>
      <c r="D616" s="2" t="s">
        <v>1989</v>
      </c>
      <c r="E616" s="2" t="s">
        <v>100</v>
      </c>
      <c r="F616" s="2" t="s">
        <v>1606</v>
      </c>
      <c r="G616" s="2" t="s">
        <v>78</v>
      </c>
      <c r="H616" s="2" t="s">
        <v>840</v>
      </c>
      <c r="I616" s="2" t="s">
        <v>118</v>
      </c>
      <c r="J616" s="2">
        <v>479</v>
      </c>
      <c r="K616" s="2">
        <v>800.68</v>
      </c>
      <c r="L616" s="2">
        <v>1223.8699999999999</v>
      </c>
      <c r="M616" s="2">
        <v>586233.73</v>
      </c>
      <c r="N616" s="2">
        <v>383525.72</v>
      </c>
      <c r="O616" s="2">
        <v>202708.01</v>
      </c>
      <c r="P616" s="2" t="s">
        <v>42</v>
      </c>
      <c r="Q616" s="2" t="s">
        <v>32</v>
      </c>
      <c r="R616" s="2">
        <v>11</v>
      </c>
      <c r="S616" s="2" t="s">
        <v>53</v>
      </c>
      <c r="T616" s="2">
        <v>4703</v>
      </c>
      <c r="U616" s="2">
        <v>9</v>
      </c>
      <c r="V616" s="2"/>
    </row>
    <row r="617" spans="1:22" x14ac:dyDescent="0.35">
      <c r="A617" s="3" t="s">
        <v>1990</v>
      </c>
      <c r="B617" s="3" t="s">
        <v>468</v>
      </c>
      <c r="C617" s="3" t="s">
        <v>363</v>
      </c>
      <c r="D617" s="3" t="s">
        <v>1991</v>
      </c>
      <c r="E617" s="3" t="s">
        <v>48</v>
      </c>
      <c r="F617" s="3" t="s">
        <v>270</v>
      </c>
      <c r="G617" s="3" t="s">
        <v>60</v>
      </c>
      <c r="H617" s="3" t="s">
        <v>539</v>
      </c>
      <c r="I617" s="3" t="s">
        <v>153</v>
      </c>
      <c r="J617" s="3">
        <v>685</v>
      </c>
      <c r="K617" s="3">
        <v>23.2</v>
      </c>
      <c r="L617" s="3">
        <v>32.39</v>
      </c>
      <c r="M617" s="3">
        <v>22187.15</v>
      </c>
      <c r="N617" s="3">
        <v>15892</v>
      </c>
      <c r="O617" s="3">
        <v>6295.15</v>
      </c>
      <c r="P617" s="3" t="s">
        <v>95</v>
      </c>
      <c r="Q617" s="3" t="s">
        <v>32</v>
      </c>
      <c r="R617" s="3">
        <v>9</v>
      </c>
      <c r="S617" s="3" t="s">
        <v>53</v>
      </c>
      <c r="T617" s="3">
        <v>556</v>
      </c>
      <c r="U617" s="3">
        <v>33</v>
      </c>
      <c r="V617" s="3"/>
    </row>
    <row r="618" spans="1:22" x14ac:dyDescent="0.35">
      <c r="A618" s="2" t="s">
        <v>1992</v>
      </c>
      <c r="B618" s="2" t="s">
        <v>103</v>
      </c>
      <c r="C618" s="2" t="s">
        <v>640</v>
      </c>
      <c r="D618" s="2" t="s">
        <v>1993</v>
      </c>
      <c r="E618" s="2" t="s">
        <v>48</v>
      </c>
      <c r="F618" s="2" t="s">
        <v>223</v>
      </c>
      <c r="G618" s="2" t="s">
        <v>217</v>
      </c>
      <c r="H618" s="2" t="s">
        <v>340</v>
      </c>
      <c r="I618" s="2" t="s">
        <v>124</v>
      </c>
      <c r="J618" s="2">
        <v>170</v>
      </c>
      <c r="K618" s="2">
        <v>226.85</v>
      </c>
      <c r="L618" s="2">
        <v>295.42</v>
      </c>
      <c r="M618" s="2">
        <v>50221.4</v>
      </c>
      <c r="N618" s="2">
        <v>38564.5</v>
      </c>
      <c r="O618" s="2">
        <v>11656.9</v>
      </c>
      <c r="P618" s="2" t="s">
        <v>42</v>
      </c>
      <c r="Q618" s="2" t="s">
        <v>32</v>
      </c>
      <c r="R618" s="2">
        <v>15</v>
      </c>
      <c r="S618" s="2" t="s">
        <v>112</v>
      </c>
      <c r="T618" s="2">
        <v>3579</v>
      </c>
      <c r="U618" s="2">
        <v>8</v>
      </c>
      <c r="V618" s="2"/>
    </row>
    <row r="619" spans="1:22" x14ac:dyDescent="0.35">
      <c r="A619" s="3" t="s">
        <v>1994</v>
      </c>
      <c r="B619" s="3" t="s">
        <v>1995</v>
      </c>
      <c r="C619" s="3" t="s">
        <v>103</v>
      </c>
      <c r="D619" s="3" t="s">
        <v>1996</v>
      </c>
      <c r="E619" s="3" t="s">
        <v>68</v>
      </c>
      <c r="F619" s="3" t="s">
        <v>276</v>
      </c>
      <c r="G619" s="3" t="s">
        <v>93</v>
      </c>
      <c r="H619" s="3" t="s">
        <v>140</v>
      </c>
      <c r="I619" s="3" t="s">
        <v>240</v>
      </c>
      <c r="J619" s="3">
        <v>676</v>
      </c>
      <c r="K619" s="3">
        <v>1190.08</v>
      </c>
      <c r="L619" s="3">
        <v>1481.43</v>
      </c>
      <c r="M619" s="3">
        <v>1001446.68</v>
      </c>
      <c r="N619" s="3">
        <v>804494.08</v>
      </c>
      <c r="O619" s="3">
        <v>196952.6</v>
      </c>
      <c r="P619" s="3" t="s">
        <v>52</v>
      </c>
      <c r="Q619" s="3" t="s">
        <v>32</v>
      </c>
      <c r="R619" s="3">
        <v>13</v>
      </c>
      <c r="S619" s="3" t="s">
        <v>53</v>
      </c>
      <c r="T619" s="3">
        <v>59</v>
      </c>
      <c r="U619" s="3">
        <v>1</v>
      </c>
      <c r="V619" s="3"/>
    </row>
    <row r="620" spans="1:22" x14ac:dyDescent="0.35">
      <c r="A620" s="2" t="s">
        <v>1997</v>
      </c>
      <c r="B620" s="2" t="s">
        <v>608</v>
      </c>
      <c r="C620" s="2" t="s">
        <v>564</v>
      </c>
      <c r="D620" s="2" t="s">
        <v>1998</v>
      </c>
      <c r="E620" s="2" t="s">
        <v>100</v>
      </c>
      <c r="F620" s="2" t="s">
        <v>106</v>
      </c>
      <c r="G620" s="2" t="s">
        <v>70</v>
      </c>
      <c r="H620" s="2" t="s">
        <v>71</v>
      </c>
      <c r="I620" s="2" t="s">
        <v>240</v>
      </c>
      <c r="J620" s="2">
        <v>580</v>
      </c>
      <c r="K620" s="2">
        <v>631.41</v>
      </c>
      <c r="L620" s="2">
        <v>906.02</v>
      </c>
      <c r="M620" s="2">
        <v>525491.6</v>
      </c>
      <c r="N620" s="2">
        <v>366217.8</v>
      </c>
      <c r="O620" s="2">
        <v>159273.79999999999</v>
      </c>
      <c r="P620" s="2" t="s">
        <v>31</v>
      </c>
      <c r="Q620" s="2" t="s">
        <v>32</v>
      </c>
      <c r="R620" s="2">
        <v>10</v>
      </c>
      <c r="S620" s="2" t="s">
        <v>53</v>
      </c>
      <c r="T620" s="2">
        <v>3083</v>
      </c>
      <c r="U620" s="2">
        <v>12</v>
      </c>
      <c r="V620" s="2"/>
    </row>
    <row r="621" spans="1:22" x14ac:dyDescent="0.35">
      <c r="A621" s="3" t="s">
        <v>1999</v>
      </c>
      <c r="B621" s="3" t="s">
        <v>932</v>
      </c>
      <c r="C621" s="3" t="s">
        <v>273</v>
      </c>
      <c r="D621" s="3" t="s">
        <v>2000</v>
      </c>
      <c r="E621" s="3" t="s">
        <v>100</v>
      </c>
      <c r="F621" s="3" t="s">
        <v>101</v>
      </c>
      <c r="G621" s="3" t="s">
        <v>93</v>
      </c>
      <c r="H621" s="3" t="s">
        <v>643</v>
      </c>
      <c r="I621" s="3" t="s">
        <v>191</v>
      </c>
      <c r="J621" s="3">
        <v>770</v>
      </c>
      <c r="K621" s="3">
        <v>139.34</v>
      </c>
      <c r="L621" s="3">
        <v>176.5</v>
      </c>
      <c r="M621" s="4" t="s">
        <v>87</v>
      </c>
      <c r="N621" s="3">
        <v>107291.8</v>
      </c>
      <c r="O621" s="3">
        <v>28613.200000000001</v>
      </c>
      <c r="P621" s="3" t="s">
        <v>95</v>
      </c>
      <c r="Q621" s="3" t="s">
        <v>867</v>
      </c>
      <c r="R621" s="3">
        <v>9</v>
      </c>
      <c r="S621" s="3" t="s">
        <v>86</v>
      </c>
      <c r="T621" s="3">
        <v>754</v>
      </c>
      <c r="U621" s="3">
        <v>17</v>
      </c>
      <c r="V621" s="3"/>
    </row>
    <row r="622" spans="1:22" x14ac:dyDescent="0.35">
      <c r="A622" s="2" t="s">
        <v>2001</v>
      </c>
      <c r="B622" s="2" t="s">
        <v>2002</v>
      </c>
      <c r="C622" s="2" t="s">
        <v>256</v>
      </c>
      <c r="D622" s="2" t="s">
        <v>2003</v>
      </c>
      <c r="E622" s="2" t="s">
        <v>100</v>
      </c>
      <c r="F622" s="2" t="s">
        <v>330</v>
      </c>
      <c r="G622" s="2" t="s">
        <v>93</v>
      </c>
      <c r="H622" s="2" t="s">
        <v>1442</v>
      </c>
      <c r="I622" s="2" t="s">
        <v>30</v>
      </c>
      <c r="J622" s="2">
        <v>455</v>
      </c>
      <c r="K622" s="2">
        <v>840.54</v>
      </c>
      <c r="L622" s="2">
        <v>1287.7</v>
      </c>
      <c r="M622" s="2">
        <v>585903.5</v>
      </c>
      <c r="N622" s="2">
        <v>382445.7</v>
      </c>
      <c r="O622" s="2">
        <v>203457.8</v>
      </c>
      <c r="P622" s="2" t="s">
        <v>95</v>
      </c>
      <c r="Q622" s="2" t="s">
        <v>32</v>
      </c>
      <c r="R622" s="2">
        <v>9</v>
      </c>
      <c r="S622" s="2" t="s">
        <v>112</v>
      </c>
      <c r="T622" s="2">
        <v>293</v>
      </c>
      <c r="U622" s="2">
        <v>13</v>
      </c>
      <c r="V622" s="2"/>
    </row>
    <row r="623" spans="1:22" x14ac:dyDescent="0.35">
      <c r="A623" s="3" t="s">
        <v>2004</v>
      </c>
      <c r="B623" s="3" t="s">
        <v>777</v>
      </c>
      <c r="C623" s="3" t="s">
        <v>1022</v>
      </c>
      <c r="D623" s="3" t="s">
        <v>2005</v>
      </c>
      <c r="E623" s="3" t="s">
        <v>26</v>
      </c>
      <c r="F623" s="3" t="s">
        <v>27</v>
      </c>
      <c r="G623" s="3" t="s">
        <v>60</v>
      </c>
      <c r="H623" s="3" t="s">
        <v>780</v>
      </c>
      <c r="I623" s="3" t="s">
        <v>141</v>
      </c>
      <c r="J623" s="3">
        <v>320</v>
      </c>
      <c r="K623" s="3">
        <v>631.04</v>
      </c>
      <c r="L623" s="3">
        <v>1017.5</v>
      </c>
      <c r="M623" s="3">
        <v>325600</v>
      </c>
      <c r="N623" s="3">
        <v>201932.79999999999</v>
      </c>
      <c r="O623" s="3">
        <v>123667.2</v>
      </c>
      <c r="P623" s="3" t="s">
        <v>52</v>
      </c>
      <c r="Q623" s="3" t="s">
        <v>32</v>
      </c>
      <c r="R623" s="3">
        <v>9</v>
      </c>
      <c r="S623" s="3" t="s">
        <v>43</v>
      </c>
      <c r="T623" s="3">
        <v>3031</v>
      </c>
      <c r="U623" s="3">
        <v>4</v>
      </c>
      <c r="V623" s="3"/>
    </row>
    <row r="624" spans="1:22" x14ac:dyDescent="0.35">
      <c r="A624" s="2" t="s">
        <v>2006</v>
      </c>
      <c r="B624" s="2" t="s">
        <v>2007</v>
      </c>
      <c r="C624" s="2" t="s">
        <v>2008</v>
      </c>
      <c r="D624" s="2" t="s">
        <v>2009</v>
      </c>
      <c r="E624" s="2" t="s">
        <v>26</v>
      </c>
      <c r="F624" s="2" t="s">
        <v>38</v>
      </c>
      <c r="G624" s="2" t="s">
        <v>93</v>
      </c>
      <c r="H624" s="2" t="s">
        <v>485</v>
      </c>
      <c r="I624" s="2" t="s">
        <v>41</v>
      </c>
      <c r="J624" s="2">
        <v>619</v>
      </c>
      <c r="K624" s="2">
        <v>1105.29</v>
      </c>
      <c r="L624" s="2">
        <v>1450.87</v>
      </c>
      <c r="M624" s="2">
        <v>898088.53</v>
      </c>
      <c r="N624" s="2">
        <v>684174.51</v>
      </c>
      <c r="O624" s="2">
        <v>213914.02</v>
      </c>
      <c r="P624" s="2" t="s">
        <v>42</v>
      </c>
      <c r="Q624" s="2" t="s">
        <v>63</v>
      </c>
      <c r="R624" s="2">
        <v>2</v>
      </c>
      <c r="S624" s="2" t="s">
        <v>33</v>
      </c>
      <c r="T624" s="2">
        <v>3789</v>
      </c>
      <c r="U624" s="2">
        <v>30</v>
      </c>
      <c r="V624" s="2"/>
    </row>
    <row r="625" spans="1:22" x14ac:dyDescent="0.35">
      <c r="A625" s="3" t="s">
        <v>2010</v>
      </c>
      <c r="B625" s="3" t="s">
        <v>2011</v>
      </c>
      <c r="C625" s="3" t="s">
        <v>2012</v>
      </c>
      <c r="D625" s="3" t="s">
        <v>2013</v>
      </c>
      <c r="E625" s="3" t="s">
        <v>48</v>
      </c>
      <c r="F625" s="3" t="s">
        <v>183</v>
      </c>
      <c r="G625" s="3" t="s">
        <v>39</v>
      </c>
      <c r="H625" s="3" t="s">
        <v>477</v>
      </c>
      <c r="I625" s="3" t="s">
        <v>72</v>
      </c>
      <c r="J625" s="3">
        <v>230</v>
      </c>
      <c r="K625" s="3">
        <v>1142.9000000000001</v>
      </c>
      <c r="L625" s="3">
        <v>1319.57</v>
      </c>
      <c r="M625" s="3">
        <v>303501.09999999998</v>
      </c>
      <c r="N625" s="3">
        <v>262867</v>
      </c>
      <c r="O625" s="3">
        <v>40634.1</v>
      </c>
      <c r="P625" s="3" t="s">
        <v>31</v>
      </c>
      <c r="Q625" s="3" t="s">
        <v>32</v>
      </c>
      <c r="R625" s="3">
        <v>0</v>
      </c>
      <c r="S625" s="3" t="s">
        <v>53</v>
      </c>
      <c r="T625" s="3">
        <v>4333</v>
      </c>
      <c r="U625" s="3">
        <v>0</v>
      </c>
      <c r="V625" s="3"/>
    </row>
    <row r="626" spans="1:22" x14ac:dyDescent="0.35">
      <c r="A626" s="2" t="s">
        <v>2014</v>
      </c>
      <c r="B626" s="2" t="s">
        <v>2015</v>
      </c>
      <c r="C626" s="2" t="s">
        <v>950</v>
      </c>
      <c r="D626" s="2" t="s">
        <v>2016</v>
      </c>
      <c r="E626" s="2" t="s">
        <v>58</v>
      </c>
      <c r="F626" s="2" t="s">
        <v>2017</v>
      </c>
      <c r="G626" s="2" t="s">
        <v>93</v>
      </c>
      <c r="H626" s="2" t="s">
        <v>643</v>
      </c>
      <c r="I626" s="2" t="s">
        <v>153</v>
      </c>
      <c r="J626" s="2">
        <v>46</v>
      </c>
      <c r="K626" s="2">
        <v>868.87</v>
      </c>
      <c r="L626" s="2">
        <v>1269.31</v>
      </c>
      <c r="M626" s="2">
        <v>58388.26</v>
      </c>
      <c r="N626" s="2">
        <v>39968.019999999997</v>
      </c>
      <c r="O626" s="2">
        <v>18420.240000000002</v>
      </c>
      <c r="P626" s="2" t="s">
        <v>52</v>
      </c>
      <c r="Q626" s="2" t="s">
        <v>32</v>
      </c>
      <c r="R626" s="2">
        <v>10</v>
      </c>
      <c r="S626" s="2" t="s">
        <v>112</v>
      </c>
      <c r="T626" s="2">
        <v>1371</v>
      </c>
      <c r="U626" s="2">
        <v>1</v>
      </c>
      <c r="V626" s="2"/>
    </row>
    <row r="627" spans="1:22" x14ac:dyDescent="0.35">
      <c r="A627" s="3" t="s">
        <v>2018</v>
      </c>
      <c r="B627" s="3" t="s">
        <v>1003</v>
      </c>
      <c r="C627" s="3" t="s">
        <v>215</v>
      </c>
      <c r="D627" s="3" t="s">
        <v>2019</v>
      </c>
      <c r="E627" s="3" t="s">
        <v>100</v>
      </c>
      <c r="F627" s="3" t="s">
        <v>238</v>
      </c>
      <c r="G627" s="3" t="s">
        <v>129</v>
      </c>
      <c r="H627" s="3" t="s">
        <v>168</v>
      </c>
      <c r="I627" s="3" t="s">
        <v>240</v>
      </c>
      <c r="J627" s="3">
        <v>787</v>
      </c>
      <c r="K627" s="3">
        <v>880.81</v>
      </c>
      <c r="L627" s="3">
        <v>1305.68</v>
      </c>
      <c r="M627" s="3">
        <v>1027570.16</v>
      </c>
      <c r="N627" s="3">
        <v>693197.47</v>
      </c>
      <c r="O627" s="3">
        <v>334372.69</v>
      </c>
      <c r="P627" s="3" t="s">
        <v>31</v>
      </c>
      <c r="Q627" s="3" t="s">
        <v>32</v>
      </c>
      <c r="R627" s="3">
        <v>8</v>
      </c>
      <c r="S627" s="3" t="s">
        <v>112</v>
      </c>
      <c r="T627" s="3">
        <v>3415</v>
      </c>
      <c r="U627" s="3">
        <v>0</v>
      </c>
      <c r="V627" s="3"/>
    </row>
    <row r="628" spans="1:22" x14ac:dyDescent="0.35">
      <c r="A628" s="2" t="s">
        <v>2020</v>
      </c>
      <c r="B628" s="2" t="s">
        <v>1375</v>
      </c>
      <c r="C628" s="2" t="s">
        <v>617</v>
      </c>
      <c r="D628" s="2" t="s">
        <v>2021</v>
      </c>
      <c r="E628" s="2" t="s">
        <v>26</v>
      </c>
      <c r="F628" s="2" t="s">
        <v>92</v>
      </c>
      <c r="G628" s="2" t="s">
        <v>70</v>
      </c>
      <c r="H628" s="2" t="s">
        <v>623</v>
      </c>
      <c r="I628" s="2" t="s">
        <v>240</v>
      </c>
      <c r="J628" s="2">
        <v>280</v>
      </c>
      <c r="K628" s="2">
        <v>1138.47</v>
      </c>
      <c r="L628" s="2">
        <v>1458.45</v>
      </c>
      <c r="M628" s="2">
        <v>408366</v>
      </c>
      <c r="N628" s="2">
        <v>318771.59999999998</v>
      </c>
      <c r="O628" s="2">
        <v>89594.4</v>
      </c>
      <c r="P628" s="2" t="s">
        <v>31</v>
      </c>
      <c r="Q628" s="2" t="s">
        <v>32</v>
      </c>
      <c r="R628" s="2">
        <v>13</v>
      </c>
      <c r="S628" s="2" t="s">
        <v>43</v>
      </c>
      <c r="T628" s="2">
        <v>1012</v>
      </c>
      <c r="U628" s="2">
        <v>0</v>
      </c>
      <c r="V628" s="2"/>
    </row>
    <row r="629" spans="1:22" x14ac:dyDescent="0.35">
      <c r="A629" s="3" t="s">
        <v>2022</v>
      </c>
      <c r="B629" s="3" t="s">
        <v>759</v>
      </c>
      <c r="C629" s="3" t="s">
        <v>186</v>
      </c>
      <c r="D629" s="3" t="s">
        <v>2023</v>
      </c>
      <c r="E629" s="3" t="s">
        <v>58</v>
      </c>
      <c r="F629" s="3" t="s">
        <v>116</v>
      </c>
      <c r="G629" s="3" t="s">
        <v>28</v>
      </c>
      <c r="H629" s="3" t="s">
        <v>579</v>
      </c>
      <c r="I629" s="3" t="s">
        <v>124</v>
      </c>
      <c r="J629" s="3">
        <v>692</v>
      </c>
      <c r="K629" s="3">
        <v>338.12</v>
      </c>
      <c r="L629" s="3">
        <v>441.02</v>
      </c>
      <c r="M629" s="3">
        <v>305185.84000000003</v>
      </c>
      <c r="N629" s="3">
        <v>233979.04</v>
      </c>
      <c r="O629" s="3">
        <v>71206.8</v>
      </c>
      <c r="P629" s="3" t="s">
        <v>31</v>
      </c>
      <c r="Q629" s="3" t="s">
        <v>63</v>
      </c>
      <c r="R629" s="3">
        <v>4</v>
      </c>
      <c r="S629" s="3" t="s">
        <v>158</v>
      </c>
      <c r="T629" s="3">
        <v>4724</v>
      </c>
      <c r="U629" s="3">
        <v>26</v>
      </c>
      <c r="V629" s="3"/>
    </row>
    <row r="630" spans="1:22" x14ac:dyDescent="0.35">
      <c r="A630" s="2" t="s">
        <v>2024</v>
      </c>
      <c r="B630" s="2" t="s">
        <v>581</v>
      </c>
      <c r="C630" s="2" t="s">
        <v>645</v>
      </c>
      <c r="D630" s="2" t="s">
        <v>537</v>
      </c>
      <c r="E630" s="2" t="s">
        <v>58</v>
      </c>
      <c r="F630" s="2" t="s">
        <v>116</v>
      </c>
      <c r="G630" s="2" t="s">
        <v>93</v>
      </c>
      <c r="H630" s="2" t="s">
        <v>184</v>
      </c>
      <c r="I630" s="2" t="s">
        <v>118</v>
      </c>
      <c r="J630" s="2">
        <v>582</v>
      </c>
      <c r="K630" s="2">
        <v>160.36000000000001</v>
      </c>
      <c r="L630" s="2">
        <v>224.31</v>
      </c>
      <c r="M630" s="2">
        <v>130548.42</v>
      </c>
      <c r="N630" s="2">
        <v>93329.52</v>
      </c>
      <c r="O630" s="2">
        <v>37218.9</v>
      </c>
      <c r="P630" s="2" t="s">
        <v>31</v>
      </c>
      <c r="Q630" s="2" t="s">
        <v>63</v>
      </c>
      <c r="R630" s="2">
        <v>0</v>
      </c>
      <c r="S630" s="2" t="s">
        <v>86</v>
      </c>
      <c r="T630" s="2">
        <v>405</v>
      </c>
      <c r="U630" s="2">
        <v>21</v>
      </c>
      <c r="V630" s="2"/>
    </row>
    <row r="631" spans="1:22" x14ac:dyDescent="0.35">
      <c r="A631" s="3" t="s">
        <v>2025</v>
      </c>
      <c r="B631" s="3" t="s">
        <v>503</v>
      </c>
      <c r="C631" s="3" t="s">
        <v>2026</v>
      </c>
      <c r="D631" s="3" t="s">
        <v>2027</v>
      </c>
      <c r="E631" s="3" t="s">
        <v>100</v>
      </c>
      <c r="F631" s="3" t="s">
        <v>538</v>
      </c>
      <c r="G631" s="3" t="s">
        <v>28</v>
      </c>
      <c r="H631" s="3" t="s">
        <v>674</v>
      </c>
      <c r="I631" s="3" t="s">
        <v>2028</v>
      </c>
      <c r="J631" s="3">
        <v>363</v>
      </c>
      <c r="K631" s="3">
        <v>600.92999999999995</v>
      </c>
      <c r="L631" s="3">
        <v>693.01</v>
      </c>
      <c r="M631" s="3">
        <v>251562.63</v>
      </c>
      <c r="N631" s="3">
        <v>218137.59</v>
      </c>
      <c r="O631" s="3">
        <v>33425.040000000001</v>
      </c>
      <c r="P631" s="3" t="s">
        <v>52</v>
      </c>
      <c r="Q631" s="3" t="s">
        <v>32</v>
      </c>
      <c r="R631" s="3">
        <v>13</v>
      </c>
      <c r="S631" s="3" t="s">
        <v>112</v>
      </c>
      <c r="T631" s="3">
        <v>1493</v>
      </c>
      <c r="U631" s="3">
        <v>5</v>
      </c>
      <c r="V631" s="3"/>
    </row>
    <row r="632" spans="1:22" x14ac:dyDescent="0.35">
      <c r="A632" s="2" t="s">
        <v>2029</v>
      </c>
      <c r="B632" s="2" t="s">
        <v>2030</v>
      </c>
      <c r="C632" s="2" t="s">
        <v>2031</v>
      </c>
      <c r="D632" s="2" t="s">
        <v>2032</v>
      </c>
      <c r="E632" s="2" t="s">
        <v>58</v>
      </c>
      <c r="F632" s="2" t="s">
        <v>259</v>
      </c>
      <c r="G632" s="2" t="s">
        <v>129</v>
      </c>
      <c r="H632" s="2" t="s">
        <v>704</v>
      </c>
      <c r="I632" s="2" t="s">
        <v>30</v>
      </c>
      <c r="J632" s="2">
        <v>436</v>
      </c>
      <c r="K632" s="2">
        <v>704.5</v>
      </c>
      <c r="L632" s="2">
        <v>1152.52</v>
      </c>
      <c r="M632" s="2">
        <v>502498.72</v>
      </c>
      <c r="N632" s="2">
        <v>307162</v>
      </c>
      <c r="O632" s="2">
        <v>195336.72</v>
      </c>
      <c r="P632" s="2" t="s">
        <v>31</v>
      </c>
      <c r="Q632" s="2" t="s">
        <v>32</v>
      </c>
      <c r="R632" s="2">
        <v>10</v>
      </c>
      <c r="S632" s="2" t="s">
        <v>112</v>
      </c>
      <c r="T632" s="2">
        <v>4089</v>
      </c>
      <c r="U632" s="2">
        <v>10</v>
      </c>
      <c r="V632" s="2"/>
    </row>
    <row r="633" spans="1:22" x14ac:dyDescent="0.35">
      <c r="A633" s="3" t="s">
        <v>2033</v>
      </c>
      <c r="B633" s="3" t="s">
        <v>198</v>
      </c>
      <c r="C633" s="3" t="s">
        <v>988</v>
      </c>
      <c r="D633" s="3" t="s">
        <v>1920</v>
      </c>
      <c r="E633" s="3" t="s">
        <v>26</v>
      </c>
      <c r="F633" s="3" t="s">
        <v>92</v>
      </c>
      <c r="G633" s="3" t="s">
        <v>78</v>
      </c>
      <c r="H633" s="3" t="s">
        <v>481</v>
      </c>
      <c r="I633" s="3" t="s">
        <v>293</v>
      </c>
      <c r="J633" s="3">
        <v>766</v>
      </c>
      <c r="K633" s="3">
        <v>643.39</v>
      </c>
      <c r="L633" s="3">
        <v>942.25</v>
      </c>
      <c r="M633" s="3">
        <v>721763.5</v>
      </c>
      <c r="N633" s="3">
        <v>492836.74</v>
      </c>
      <c r="O633" s="3">
        <v>228926.76</v>
      </c>
      <c r="P633" s="3" t="s">
        <v>31</v>
      </c>
      <c r="Q633" s="3" t="s">
        <v>63</v>
      </c>
      <c r="R633" s="3">
        <v>3</v>
      </c>
      <c r="S633" s="3" t="s">
        <v>86</v>
      </c>
      <c r="T633" s="3">
        <v>1843</v>
      </c>
      <c r="U633" s="3">
        <v>31</v>
      </c>
      <c r="V633" s="3"/>
    </row>
    <row r="634" spans="1:22" x14ac:dyDescent="0.35">
      <c r="A634" s="2" t="s">
        <v>2034</v>
      </c>
      <c r="B634" s="2" t="s">
        <v>736</v>
      </c>
      <c r="C634" s="2" t="s">
        <v>912</v>
      </c>
      <c r="D634" s="2" t="s">
        <v>2035</v>
      </c>
      <c r="E634" s="2" t="s">
        <v>48</v>
      </c>
      <c r="F634" s="2" t="s">
        <v>281</v>
      </c>
      <c r="G634" s="2" t="s">
        <v>129</v>
      </c>
      <c r="H634" s="2" t="s">
        <v>316</v>
      </c>
      <c r="I634" s="2" t="s">
        <v>141</v>
      </c>
      <c r="J634" s="2">
        <v>222</v>
      </c>
      <c r="K634" s="2">
        <v>1013.57</v>
      </c>
      <c r="L634" s="2">
        <v>1553.97</v>
      </c>
      <c r="M634" s="2">
        <v>344981.34</v>
      </c>
      <c r="N634" s="2">
        <v>225012.54</v>
      </c>
      <c r="O634" s="2">
        <v>119968.8</v>
      </c>
      <c r="P634" s="2" t="s">
        <v>31</v>
      </c>
      <c r="Q634" s="2" t="s">
        <v>32</v>
      </c>
      <c r="R634" s="2">
        <v>12</v>
      </c>
      <c r="S634" s="2" t="s">
        <v>53</v>
      </c>
      <c r="T634" s="2">
        <v>911</v>
      </c>
      <c r="U634" s="2">
        <v>6</v>
      </c>
      <c r="V634" s="2"/>
    </row>
    <row r="635" spans="1:22" x14ac:dyDescent="0.35">
      <c r="A635" s="3" t="s">
        <v>2036</v>
      </c>
      <c r="B635" s="3" t="s">
        <v>74</v>
      </c>
      <c r="C635" s="3" t="s">
        <v>75</v>
      </c>
      <c r="D635" s="3" t="s">
        <v>2037</v>
      </c>
      <c r="E635" s="3" t="s">
        <v>26</v>
      </c>
      <c r="F635" s="3" t="s">
        <v>77</v>
      </c>
      <c r="G635" s="3" t="s">
        <v>28</v>
      </c>
      <c r="H635" s="3" t="s">
        <v>579</v>
      </c>
      <c r="I635" s="3" t="s">
        <v>72</v>
      </c>
      <c r="J635" s="3">
        <v>93</v>
      </c>
      <c r="K635" s="3">
        <v>111.01</v>
      </c>
      <c r="L635" s="3">
        <v>130.69</v>
      </c>
      <c r="M635" s="3">
        <v>12154.17</v>
      </c>
      <c r="N635" s="3">
        <v>10323.93</v>
      </c>
      <c r="O635" s="3">
        <v>1830.24</v>
      </c>
      <c r="P635" s="3" t="s">
        <v>42</v>
      </c>
      <c r="Q635" s="3" t="s">
        <v>32</v>
      </c>
      <c r="R635" s="3">
        <v>9</v>
      </c>
      <c r="S635" s="3" t="s">
        <v>53</v>
      </c>
      <c r="T635" s="3">
        <v>269</v>
      </c>
      <c r="U635" s="3">
        <v>2</v>
      </c>
      <c r="V635" s="3"/>
    </row>
    <row r="636" spans="1:22" x14ac:dyDescent="0.35">
      <c r="A636" s="2" t="s">
        <v>1154</v>
      </c>
      <c r="B636" s="2" t="s">
        <v>694</v>
      </c>
      <c r="C636" s="2" t="s">
        <v>1149</v>
      </c>
      <c r="D636" s="2" t="s">
        <v>1155</v>
      </c>
      <c r="E636" s="2" t="s">
        <v>68</v>
      </c>
      <c r="F636" s="2" t="s">
        <v>69</v>
      </c>
      <c r="G636" s="2" t="s">
        <v>50</v>
      </c>
      <c r="H636" s="2" t="s">
        <v>107</v>
      </c>
      <c r="I636" s="2" t="s">
        <v>72</v>
      </c>
      <c r="J636" s="2">
        <v>457</v>
      </c>
      <c r="K636" s="2">
        <v>304.64999999999998</v>
      </c>
      <c r="L636" s="2">
        <v>342.69</v>
      </c>
      <c r="M636" s="2">
        <v>156609.32999999999</v>
      </c>
      <c r="N636" s="2">
        <v>139225.04999999999</v>
      </c>
      <c r="O636" s="2">
        <v>17384.28</v>
      </c>
      <c r="P636" s="2" t="s">
        <v>31</v>
      </c>
      <c r="Q636" s="2" t="s">
        <v>32</v>
      </c>
      <c r="R636" s="2">
        <v>10</v>
      </c>
      <c r="S636" s="2" t="s">
        <v>86</v>
      </c>
      <c r="T636" s="2">
        <v>2026</v>
      </c>
      <c r="U636" s="2">
        <v>10</v>
      </c>
      <c r="V636" s="2"/>
    </row>
    <row r="637" spans="1:22" x14ac:dyDescent="0.35">
      <c r="A637" s="3" t="s">
        <v>2038</v>
      </c>
      <c r="B637" s="3" t="s">
        <v>347</v>
      </c>
      <c r="C637" s="3" t="s">
        <v>1034</v>
      </c>
      <c r="D637" s="3" t="s">
        <v>2039</v>
      </c>
      <c r="E637" s="3" t="s">
        <v>100</v>
      </c>
      <c r="F637" s="3" t="s">
        <v>238</v>
      </c>
      <c r="G637" s="3" t="s">
        <v>70</v>
      </c>
      <c r="H637" s="3" t="s">
        <v>71</v>
      </c>
      <c r="I637" s="3" t="s">
        <v>118</v>
      </c>
      <c r="J637" s="3">
        <v>269</v>
      </c>
      <c r="K637" s="3">
        <v>281.43</v>
      </c>
      <c r="L637" s="3">
        <v>392.88</v>
      </c>
      <c r="M637" s="3">
        <v>105684.72</v>
      </c>
      <c r="N637" s="3">
        <v>75704.67</v>
      </c>
      <c r="O637" s="3">
        <v>29980.05</v>
      </c>
      <c r="P637" s="3" t="s">
        <v>42</v>
      </c>
      <c r="Q637" s="3" t="s">
        <v>63</v>
      </c>
      <c r="R637" s="3">
        <v>2</v>
      </c>
      <c r="S637" s="3" t="s">
        <v>158</v>
      </c>
      <c r="T637" s="3">
        <v>3772</v>
      </c>
      <c r="U637" s="3">
        <v>10</v>
      </c>
      <c r="V637" s="3"/>
    </row>
    <row r="638" spans="1:22" x14ac:dyDescent="0.35">
      <c r="A638" s="2" t="s">
        <v>2040</v>
      </c>
      <c r="B638" s="2" t="s">
        <v>2041</v>
      </c>
      <c r="C638" s="2" t="s">
        <v>2042</v>
      </c>
      <c r="D638" s="2" t="s">
        <v>2043</v>
      </c>
      <c r="E638" s="2" t="s">
        <v>58</v>
      </c>
      <c r="F638" s="2" t="s">
        <v>116</v>
      </c>
      <c r="G638" s="2" t="s">
        <v>217</v>
      </c>
      <c r="H638" s="2" t="s">
        <v>340</v>
      </c>
      <c r="I638" s="2" t="s">
        <v>30</v>
      </c>
      <c r="J638" s="2">
        <v>451</v>
      </c>
      <c r="K638" s="2">
        <v>622.24</v>
      </c>
      <c r="L638" s="2">
        <v>744.2</v>
      </c>
      <c r="M638" s="2">
        <v>335634.2</v>
      </c>
      <c r="N638" s="2">
        <v>280630.24</v>
      </c>
      <c r="O638" s="2">
        <v>55003.96</v>
      </c>
      <c r="P638" s="2" t="s">
        <v>95</v>
      </c>
      <c r="Q638" s="2" t="s">
        <v>32</v>
      </c>
      <c r="R638" s="2">
        <v>15</v>
      </c>
      <c r="S638" s="2" t="s">
        <v>112</v>
      </c>
      <c r="T638" s="2">
        <v>2191</v>
      </c>
      <c r="U638" s="2">
        <v>12</v>
      </c>
      <c r="V638" s="2"/>
    </row>
    <row r="639" spans="1:22" x14ac:dyDescent="0.35">
      <c r="A639" s="3" t="s">
        <v>2044</v>
      </c>
      <c r="B639" s="3" t="s">
        <v>716</v>
      </c>
      <c r="C639" s="3" t="s">
        <v>133</v>
      </c>
      <c r="D639" s="3" t="s">
        <v>2045</v>
      </c>
      <c r="E639" s="3" t="s">
        <v>58</v>
      </c>
      <c r="F639" s="3" t="s">
        <v>116</v>
      </c>
      <c r="G639" s="3" t="s">
        <v>217</v>
      </c>
      <c r="H639" s="3" t="s">
        <v>725</v>
      </c>
      <c r="I639" s="3" t="s">
        <v>85</v>
      </c>
      <c r="J639" s="3">
        <v>24</v>
      </c>
      <c r="K639" s="3">
        <v>996.05</v>
      </c>
      <c r="L639" s="3">
        <v>1404.22</v>
      </c>
      <c r="M639" s="3">
        <v>33701.279999999999</v>
      </c>
      <c r="N639" s="3">
        <v>23905.200000000001</v>
      </c>
      <c r="O639" s="3">
        <v>9796.08</v>
      </c>
      <c r="P639" s="3" t="s">
        <v>52</v>
      </c>
      <c r="Q639" s="3" t="s">
        <v>63</v>
      </c>
      <c r="R639" s="3">
        <v>1</v>
      </c>
      <c r="S639" s="3" t="s">
        <v>112</v>
      </c>
      <c r="T639" s="3">
        <v>3000</v>
      </c>
      <c r="U639" s="3">
        <v>1</v>
      </c>
      <c r="V639" s="3"/>
    </row>
    <row r="640" spans="1:22" x14ac:dyDescent="0.35">
      <c r="A640" s="2" t="s">
        <v>2046</v>
      </c>
      <c r="B640" s="2" t="s">
        <v>1311</v>
      </c>
      <c r="C640" s="2" t="s">
        <v>2047</v>
      </c>
      <c r="D640" s="2" t="s">
        <v>2048</v>
      </c>
      <c r="E640" s="2" t="s">
        <v>48</v>
      </c>
      <c r="F640" s="2" t="s">
        <v>183</v>
      </c>
      <c r="G640" s="2" t="s">
        <v>189</v>
      </c>
      <c r="H640" s="2" t="s">
        <v>190</v>
      </c>
      <c r="I640" s="2" t="s">
        <v>85</v>
      </c>
      <c r="J640" s="2">
        <v>515</v>
      </c>
      <c r="K640" s="2">
        <v>611.55999999999995</v>
      </c>
      <c r="L640" s="2">
        <v>773.13</v>
      </c>
      <c r="M640" s="2">
        <v>398161.95</v>
      </c>
      <c r="N640" s="2">
        <v>314953.40000000002</v>
      </c>
      <c r="O640" s="2">
        <v>83208.55</v>
      </c>
      <c r="P640" s="2" t="s">
        <v>52</v>
      </c>
      <c r="Q640" s="2" t="s">
        <v>32</v>
      </c>
      <c r="R640" s="2">
        <v>10</v>
      </c>
      <c r="S640" s="2" t="s">
        <v>158</v>
      </c>
      <c r="T640" s="2">
        <v>257</v>
      </c>
      <c r="U640" s="2">
        <v>15</v>
      </c>
      <c r="V640" s="2"/>
    </row>
    <row r="641" spans="1:22" x14ac:dyDescent="0.35">
      <c r="A641" s="3" t="s">
        <v>2049</v>
      </c>
      <c r="B641" s="3" t="s">
        <v>611</v>
      </c>
      <c r="C641" s="3" t="s">
        <v>1115</v>
      </c>
      <c r="D641" s="3" t="s">
        <v>2050</v>
      </c>
      <c r="E641" s="3" t="s">
        <v>68</v>
      </c>
      <c r="F641" s="3" t="s">
        <v>163</v>
      </c>
      <c r="G641" s="3" t="s">
        <v>70</v>
      </c>
      <c r="H641" s="3" t="s">
        <v>446</v>
      </c>
      <c r="I641" s="3" t="s">
        <v>41</v>
      </c>
      <c r="J641" s="3">
        <v>792</v>
      </c>
      <c r="K641" s="3">
        <v>645.12</v>
      </c>
      <c r="L641" s="3">
        <v>776.8</v>
      </c>
      <c r="M641" s="3">
        <v>615225.59999999998</v>
      </c>
      <c r="N641" s="3">
        <v>510935.03999999998</v>
      </c>
      <c r="O641" s="3">
        <v>104290.56</v>
      </c>
      <c r="P641" s="3" t="s">
        <v>52</v>
      </c>
      <c r="Q641" s="3" t="s">
        <v>63</v>
      </c>
      <c r="R641" s="3">
        <v>3</v>
      </c>
      <c r="S641" s="3" t="s">
        <v>43</v>
      </c>
      <c r="T641" s="3">
        <v>2366</v>
      </c>
      <c r="U641" s="3">
        <v>14</v>
      </c>
      <c r="V641" s="3"/>
    </row>
    <row r="642" spans="1:22" x14ac:dyDescent="0.35">
      <c r="A642" s="2" t="s">
        <v>2051</v>
      </c>
      <c r="B642" s="2" t="s">
        <v>1328</v>
      </c>
      <c r="C642" s="2" t="s">
        <v>215</v>
      </c>
      <c r="D642" s="2" t="s">
        <v>2052</v>
      </c>
      <c r="E642" s="2" t="s">
        <v>26</v>
      </c>
      <c r="F642" s="2" t="s">
        <v>228</v>
      </c>
      <c r="G642" s="2" t="s">
        <v>189</v>
      </c>
      <c r="H642" s="2" t="s">
        <v>365</v>
      </c>
      <c r="I642" s="2" t="s">
        <v>153</v>
      </c>
      <c r="J642" s="2">
        <v>773</v>
      </c>
      <c r="K642" s="2">
        <v>296.39999999999998</v>
      </c>
      <c r="L642" s="2">
        <v>412.38</v>
      </c>
      <c r="M642" s="2">
        <v>318769.74</v>
      </c>
      <c r="N642" s="2">
        <v>229117.2</v>
      </c>
      <c r="O642" s="2">
        <v>89652.54</v>
      </c>
      <c r="P642" s="2" t="s">
        <v>95</v>
      </c>
      <c r="Q642" s="2" t="s">
        <v>32</v>
      </c>
      <c r="R642" s="2">
        <v>15</v>
      </c>
      <c r="S642" s="2" t="s">
        <v>33</v>
      </c>
      <c r="T642" s="2">
        <v>559</v>
      </c>
      <c r="U642" s="2">
        <v>4</v>
      </c>
      <c r="V642" s="2"/>
    </row>
    <row r="643" spans="1:22" x14ac:dyDescent="0.35">
      <c r="A643" s="3" t="s">
        <v>2053</v>
      </c>
      <c r="B643" s="3" t="s">
        <v>1040</v>
      </c>
      <c r="C643" s="3" t="s">
        <v>402</v>
      </c>
      <c r="D643" s="3" t="s">
        <v>2054</v>
      </c>
      <c r="E643" s="3" t="s">
        <v>100</v>
      </c>
      <c r="F643" s="3" t="s">
        <v>238</v>
      </c>
      <c r="G643" s="3" t="s">
        <v>189</v>
      </c>
      <c r="H643" s="3" t="s">
        <v>190</v>
      </c>
      <c r="I643" s="3" t="s">
        <v>118</v>
      </c>
      <c r="J643" s="3">
        <v>262</v>
      </c>
      <c r="K643" s="3">
        <v>1052.78</v>
      </c>
      <c r="L643" s="3">
        <v>1724.11</v>
      </c>
      <c r="M643" s="3">
        <v>451716.82</v>
      </c>
      <c r="N643" s="3">
        <v>275828.36</v>
      </c>
      <c r="O643" s="3">
        <v>175888.46</v>
      </c>
      <c r="P643" s="3" t="s">
        <v>52</v>
      </c>
      <c r="Q643" s="3" t="s">
        <v>32</v>
      </c>
      <c r="R643" s="3">
        <v>14</v>
      </c>
      <c r="S643" s="3" t="s">
        <v>53</v>
      </c>
      <c r="T643" s="3">
        <v>3701</v>
      </c>
      <c r="U643" s="3">
        <v>4</v>
      </c>
      <c r="V643" s="3"/>
    </row>
    <row r="644" spans="1:22" x14ac:dyDescent="0.35">
      <c r="A644" s="2" t="s">
        <v>2055</v>
      </c>
      <c r="B644" s="2" t="s">
        <v>75</v>
      </c>
      <c r="C644" s="2" t="s">
        <v>432</v>
      </c>
      <c r="D644" s="2" t="s">
        <v>2056</v>
      </c>
      <c r="E644" s="2" t="s">
        <v>26</v>
      </c>
      <c r="F644" s="2" t="s">
        <v>92</v>
      </c>
      <c r="G644" s="2" t="s">
        <v>39</v>
      </c>
      <c r="H644" s="2" t="s">
        <v>647</v>
      </c>
      <c r="I644" s="2" t="s">
        <v>30</v>
      </c>
      <c r="J644" s="2">
        <v>554</v>
      </c>
      <c r="K644" s="2">
        <v>672.78</v>
      </c>
      <c r="L644" s="2">
        <v>1035.81</v>
      </c>
      <c r="M644" s="2">
        <v>573838.74</v>
      </c>
      <c r="N644" s="2">
        <v>372720.12</v>
      </c>
      <c r="O644" s="2">
        <v>201118.62</v>
      </c>
      <c r="P644" s="2" t="s">
        <v>95</v>
      </c>
      <c r="Q644" s="2" t="s">
        <v>32</v>
      </c>
      <c r="R644" s="2">
        <v>7</v>
      </c>
      <c r="S644" s="2" t="s">
        <v>112</v>
      </c>
      <c r="T644" s="2">
        <v>2268</v>
      </c>
      <c r="U644" s="2">
        <v>21</v>
      </c>
      <c r="V644" s="2"/>
    </row>
    <row r="645" spans="1:22" x14ac:dyDescent="0.35">
      <c r="A645" s="3" t="s">
        <v>2057</v>
      </c>
      <c r="B645" s="3" t="s">
        <v>2058</v>
      </c>
      <c r="C645" s="3" t="s">
        <v>197</v>
      </c>
      <c r="D645" s="3" t="s">
        <v>2059</v>
      </c>
      <c r="E645" s="3" t="s">
        <v>100</v>
      </c>
      <c r="F645" s="3" t="s">
        <v>238</v>
      </c>
      <c r="G645" s="3" t="s">
        <v>217</v>
      </c>
      <c r="H645" s="3" t="s">
        <v>218</v>
      </c>
      <c r="I645" s="3" t="s">
        <v>30</v>
      </c>
      <c r="J645" s="3">
        <v>19</v>
      </c>
      <c r="K645" s="3">
        <v>84.8</v>
      </c>
      <c r="L645" s="3">
        <v>139.18</v>
      </c>
      <c r="M645" s="3">
        <v>2644.42</v>
      </c>
      <c r="N645" s="3">
        <v>1611.2</v>
      </c>
      <c r="O645" s="3">
        <v>1033.22</v>
      </c>
      <c r="P645" s="3" t="s">
        <v>31</v>
      </c>
      <c r="Q645" s="3" t="s">
        <v>63</v>
      </c>
      <c r="R645" s="3">
        <v>4</v>
      </c>
      <c r="S645" s="3" t="s">
        <v>43</v>
      </c>
      <c r="T645" s="3">
        <v>4161</v>
      </c>
      <c r="U645" s="3">
        <v>1</v>
      </c>
      <c r="V645" s="3"/>
    </row>
    <row r="646" spans="1:22" x14ac:dyDescent="0.35">
      <c r="A646" s="2" t="s">
        <v>2060</v>
      </c>
      <c r="B646" s="2" t="s">
        <v>243</v>
      </c>
      <c r="C646" s="2" t="s">
        <v>1341</v>
      </c>
      <c r="D646" s="2" t="s">
        <v>2061</v>
      </c>
      <c r="E646" s="2" t="s">
        <v>68</v>
      </c>
      <c r="F646" s="2" t="s">
        <v>163</v>
      </c>
      <c r="G646" s="2" t="s">
        <v>50</v>
      </c>
      <c r="H646" s="2" t="s">
        <v>282</v>
      </c>
      <c r="I646" s="2" t="s">
        <v>191</v>
      </c>
      <c r="J646" s="2">
        <v>193</v>
      </c>
      <c r="K646" s="2">
        <v>613.85</v>
      </c>
      <c r="L646" s="2">
        <v>836.83</v>
      </c>
      <c r="M646" s="2">
        <v>161508.19</v>
      </c>
      <c r="N646" s="2">
        <v>118473.05</v>
      </c>
      <c r="O646" s="2">
        <v>43035.14</v>
      </c>
      <c r="P646" s="2" t="s">
        <v>52</v>
      </c>
      <c r="Q646" s="2" t="s">
        <v>32</v>
      </c>
      <c r="R646" s="2">
        <v>11</v>
      </c>
      <c r="S646" s="2" t="s">
        <v>112</v>
      </c>
      <c r="T646" s="2">
        <v>375</v>
      </c>
      <c r="U646" s="2">
        <v>2</v>
      </c>
      <c r="V646" s="2"/>
    </row>
    <row r="647" spans="1:22" x14ac:dyDescent="0.35">
      <c r="A647" s="3" t="s">
        <v>2062</v>
      </c>
      <c r="B647" s="3" t="s">
        <v>2063</v>
      </c>
      <c r="C647" s="3" t="s">
        <v>2064</v>
      </c>
      <c r="D647" s="3" t="s">
        <v>2065</v>
      </c>
      <c r="E647" s="3" t="s">
        <v>26</v>
      </c>
      <c r="F647" s="3" t="s">
        <v>77</v>
      </c>
      <c r="G647" s="3" t="s">
        <v>39</v>
      </c>
      <c r="H647" s="3" t="s">
        <v>647</v>
      </c>
      <c r="I647" s="3" t="s">
        <v>62</v>
      </c>
      <c r="J647" s="3">
        <v>646</v>
      </c>
      <c r="K647" s="3">
        <v>899.69</v>
      </c>
      <c r="L647" s="3">
        <v>1366.42</v>
      </c>
      <c r="M647" s="3">
        <v>882707.32</v>
      </c>
      <c r="N647" s="3">
        <v>581199.74</v>
      </c>
      <c r="O647" s="3">
        <v>301507.58</v>
      </c>
      <c r="P647" s="3" t="s">
        <v>31</v>
      </c>
      <c r="Q647" s="3" t="s">
        <v>32</v>
      </c>
      <c r="R647" s="3">
        <v>9</v>
      </c>
      <c r="S647" s="3" t="s">
        <v>53</v>
      </c>
      <c r="T647" s="3">
        <v>846</v>
      </c>
      <c r="U647" s="3">
        <v>16</v>
      </c>
      <c r="V647" s="3"/>
    </row>
    <row r="648" spans="1:22" x14ac:dyDescent="0.35">
      <c r="A648" s="2" t="s">
        <v>2066</v>
      </c>
      <c r="B648" s="2" t="s">
        <v>1097</v>
      </c>
      <c r="C648" s="2" t="s">
        <v>2067</v>
      </c>
      <c r="D648" s="2" t="s">
        <v>2068</v>
      </c>
      <c r="E648" s="2" t="s">
        <v>68</v>
      </c>
      <c r="F648" s="2" t="s">
        <v>249</v>
      </c>
      <c r="G648" s="2" t="s">
        <v>189</v>
      </c>
      <c r="H648" s="2" t="s">
        <v>360</v>
      </c>
      <c r="I648" s="2" t="s">
        <v>141</v>
      </c>
      <c r="J648" s="2">
        <v>439</v>
      </c>
      <c r="K648" s="2">
        <v>111.79</v>
      </c>
      <c r="L648" s="2">
        <v>183.96</v>
      </c>
      <c r="M648" s="2">
        <v>80758.44</v>
      </c>
      <c r="N648" s="2">
        <v>49075.81</v>
      </c>
      <c r="O648" s="2">
        <v>31682.63</v>
      </c>
      <c r="P648" s="2" t="s">
        <v>42</v>
      </c>
      <c r="Q648" s="2" t="s">
        <v>32</v>
      </c>
      <c r="R648" s="2">
        <v>6</v>
      </c>
      <c r="S648" s="2" t="s">
        <v>112</v>
      </c>
      <c r="T648" s="2">
        <v>1984</v>
      </c>
      <c r="U648" s="2">
        <v>6</v>
      </c>
      <c r="V648" s="2"/>
    </row>
    <row r="649" spans="1:22" x14ac:dyDescent="0.35">
      <c r="A649" s="3" t="s">
        <v>2069</v>
      </c>
      <c r="B649" s="3" t="s">
        <v>533</v>
      </c>
      <c r="C649" s="3" t="s">
        <v>1902</v>
      </c>
      <c r="D649" s="3" t="s">
        <v>2070</v>
      </c>
      <c r="E649" s="3" t="s">
        <v>48</v>
      </c>
      <c r="F649" s="3" t="s">
        <v>49</v>
      </c>
      <c r="G649" s="3" t="s">
        <v>39</v>
      </c>
      <c r="H649" s="3" t="s">
        <v>647</v>
      </c>
      <c r="I649" s="3" t="s">
        <v>72</v>
      </c>
      <c r="J649" s="3">
        <v>7</v>
      </c>
      <c r="K649" s="3">
        <v>446.96</v>
      </c>
      <c r="L649" s="3">
        <v>726.85</v>
      </c>
      <c r="M649" s="3">
        <v>5087.95</v>
      </c>
      <c r="N649" s="3">
        <v>3128.72</v>
      </c>
      <c r="O649" s="3">
        <v>1959.23</v>
      </c>
      <c r="P649" s="3" t="s">
        <v>31</v>
      </c>
      <c r="Q649" s="3" t="s">
        <v>32</v>
      </c>
      <c r="R649" s="3">
        <v>12</v>
      </c>
      <c r="S649" s="3" t="s">
        <v>33</v>
      </c>
      <c r="T649" s="3">
        <v>4821</v>
      </c>
      <c r="U649" s="3">
        <v>1</v>
      </c>
      <c r="V649" s="3"/>
    </row>
    <row r="650" spans="1:22" x14ac:dyDescent="0.35">
      <c r="A650" s="2" t="s">
        <v>2071</v>
      </c>
      <c r="B650" s="2" t="s">
        <v>1206</v>
      </c>
      <c r="C650" s="2" t="s">
        <v>1249</v>
      </c>
      <c r="D650" s="2" t="s">
        <v>2072</v>
      </c>
      <c r="E650" s="2" t="s">
        <v>68</v>
      </c>
      <c r="F650" s="2" t="s">
        <v>69</v>
      </c>
      <c r="G650" s="2" t="s">
        <v>28</v>
      </c>
      <c r="H650" s="2" t="s">
        <v>212</v>
      </c>
      <c r="I650" s="2" t="s">
        <v>41</v>
      </c>
      <c r="J650" s="2">
        <v>88</v>
      </c>
      <c r="K650" s="2">
        <v>1091.93</v>
      </c>
      <c r="L650" s="2">
        <v>1784.72</v>
      </c>
      <c r="M650" s="2">
        <v>157055.35999999999</v>
      </c>
      <c r="N650" s="2">
        <v>96089.84</v>
      </c>
      <c r="O650" s="2">
        <v>60965.52</v>
      </c>
      <c r="P650" s="2" t="s">
        <v>31</v>
      </c>
      <c r="Q650" s="2" t="s">
        <v>32</v>
      </c>
      <c r="R650" s="2">
        <v>15</v>
      </c>
      <c r="S650" s="2" t="s">
        <v>158</v>
      </c>
      <c r="T650" s="2">
        <v>2434</v>
      </c>
      <c r="U650" s="2">
        <v>1</v>
      </c>
      <c r="V650" s="2"/>
    </row>
    <row r="651" spans="1:22" x14ac:dyDescent="0.35">
      <c r="A651" s="3" t="s">
        <v>2073</v>
      </c>
      <c r="B651" s="3" t="s">
        <v>137</v>
      </c>
      <c r="C651" s="3" t="s">
        <v>1157</v>
      </c>
      <c r="D651" s="3" t="s">
        <v>2074</v>
      </c>
      <c r="E651" s="3" t="s">
        <v>26</v>
      </c>
      <c r="F651" s="4"/>
      <c r="G651" s="3" t="s">
        <v>60</v>
      </c>
      <c r="H651" s="3" t="s">
        <v>265</v>
      </c>
      <c r="I651" s="3" t="s">
        <v>41</v>
      </c>
      <c r="J651" s="3">
        <v>334</v>
      </c>
      <c r="K651" s="3">
        <v>925.66</v>
      </c>
      <c r="L651" s="3">
        <v>1385.04</v>
      </c>
      <c r="M651" s="3">
        <v>462603.36</v>
      </c>
      <c r="N651" s="3">
        <v>309170.44</v>
      </c>
      <c r="O651" s="3">
        <v>153432.92000000001</v>
      </c>
      <c r="P651" s="3" t="s">
        <v>95</v>
      </c>
      <c r="Q651" s="3" t="s">
        <v>32</v>
      </c>
      <c r="R651" s="3">
        <v>11</v>
      </c>
      <c r="S651" s="3" t="s">
        <v>86</v>
      </c>
      <c r="T651" s="3">
        <v>2259</v>
      </c>
      <c r="U651" s="3">
        <v>8</v>
      </c>
      <c r="V651" s="3"/>
    </row>
    <row r="652" spans="1:22" x14ac:dyDescent="0.35">
      <c r="A652" s="2" t="s">
        <v>2075</v>
      </c>
      <c r="B652" s="2" t="s">
        <v>309</v>
      </c>
      <c r="C652" s="2" t="s">
        <v>81</v>
      </c>
      <c r="D652" s="2" t="s">
        <v>2076</v>
      </c>
      <c r="E652" s="2" t="s">
        <v>100</v>
      </c>
      <c r="F652" s="2" t="s">
        <v>538</v>
      </c>
      <c r="G652" s="2" t="s">
        <v>129</v>
      </c>
      <c r="H652" s="2" t="s">
        <v>168</v>
      </c>
      <c r="I652" s="2" t="s">
        <v>72</v>
      </c>
      <c r="J652" s="2">
        <v>286</v>
      </c>
      <c r="K652" s="2">
        <v>1087.18</v>
      </c>
      <c r="L652" s="2">
        <v>1329.16</v>
      </c>
      <c r="M652" s="2">
        <v>380139.76</v>
      </c>
      <c r="N652" s="2">
        <v>310933.48</v>
      </c>
      <c r="O652" s="2">
        <v>69206.28</v>
      </c>
      <c r="P652" s="2" t="s">
        <v>95</v>
      </c>
      <c r="Q652" s="2" t="s">
        <v>32</v>
      </c>
      <c r="R652" s="2">
        <v>13</v>
      </c>
      <c r="S652" s="2" t="s">
        <v>86</v>
      </c>
      <c r="T652" s="2">
        <v>4213</v>
      </c>
      <c r="U652" s="2">
        <v>6</v>
      </c>
      <c r="V652" s="2"/>
    </row>
    <row r="653" spans="1:22" x14ac:dyDescent="0.35">
      <c r="A653" s="3" t="s">
        <v>2077</v>
      </c>
      <c r="B653" s="3" t="s">
        <v>328</v>
      </c>
      <c r="C653" s="3" t="s">
        <v>410</v>
      </c>
      <c r="D653" s="3" t="s">
        <v>2078</v>
      </c>
      <c r="E653" s="3" t="s">
        <v>58</v>
      </c>
      <c r="F653" s="3" t="s">
        <v>259</v>
      </c>
      <c r="G653" s="3" t="s">
        <v>70</v>
      </c>
      <c r="H653" s="3" t="s">
        <v>84</v>
      </c>
      <c r="I653" s="3" t="s">
        <v>191</v>
      </c>
      <c r="J653" s="3">
        <v>588</v>
      </c>
      <c r="K653" s="3">
        <v>103.77</v>
      </c>
      <c r="L653" s="3">
        <v>119.02</v>
      </c>
      <c r="M653" s="3">
        <v>69983.759999999995</v>
      </c>
      <c r="N653" s="3">
        <v>61016.76</v>
      </c>
      <c r="O653" s="3">
        <v>8967</v>
      </c>
      <c r="P653" s="3" t="s">
        <v>31</v>
      </c>
      <c r="Q653" s="3" t="s">
        <v>63</v>
      </c>
      <c r="R653" s="3">
        <v>5</v>
      </c>
      <c r="S653" s="3" t="s">
        <v>43</v>
      </c>
      <c r="T653" s="3">
        <v>2111</v>
      </c>
      <c r="U653" s="3">
        <v>18</v>
      </c>
      <c r="V653" s="3"/>
    </row>
    <row r="654" spans="1:22" x14ac:dyDescent="0.35">
      <c r="A654" s="2" t="s">
        <v>2079</v>
      </c>
      <c r="B654" s="2" t="s">
        <v>1177</v>
      </c>
      <c r="C654" s="2" t="s">
        <v>2080</v>
      </c>
      <c r="D654" s="2" t="s">
        <v>2081</v>
      </c>
      <c r="E654" s="2" t="s">
        <v>58</v>
      </c>
      <c r="F654" s="2" t="s">
        <v>259</v>
      </c>
      <c r="G654" s="2" t="s">
        <v>50</v>
      </c>
      <c r="H654" s="2" t="s">
        <v>135</v>
      </c>
      <c r="I654" s="2" t="s">
        <v>141</v>
      </c>
      <c r="J654" s="2">
        <v>762</v>
      </c>
      <c r="K654" s="2">
        <v>1073.3699999999999</v>
      </c>
      <c r="L654" s="2">
        <v>1260.81</v>
      </c>
      <c r="M654" s="2">
        <v>960737.22</v>
      </c>
      <c r="N654" s="2">
        <v>817907.94</v>
      </c>
      <c r="O654" s="2">
        <v>142829.28</v>
      </c>
      <c r="P654" s="2" t="s">
        <v>31</v>
      </c>
      <c r="Q654" s="2" t="s">
        <v>32</v>
      </c>
      <c r="R654" s="2">
        <v>10</v>
      </c>
      <c r="S654" s="2" t="s">
        <v>112</v>
      </c>
      <c r="T654" s="2">
        <v>4974</v>
      </c>
      <c r="U654" s="2">
        <v>6</v>
      </c>
      <c r="V654" s="2"/>
    </row>
    <row r="655" spans="1:22" x14ac:dyDescent="0.35">
      <c r="A655" s="3" t="s">
        <v>2082</v>
      </c>
      <c r="B655" s="3" t="s">
        <v>2015</v>
      </c>
      <c r="C655" s="3" t="s">
        <v>672</v>
      </c>
      <c r="D655" s="3" t="s">
        <v>2083</v>
      </c>
      <c r="E655" s="3" t="s">
        <v>48</v>
      </c>
      <c r="F655" s="3" t="s">
        <v>223</v>
      </c>
      <c r="G655" s="3" t="s">
        <v>189</v>
      </c>
      <c r="H655" s="3" t="s">
        <v>365</v>
      </c>
      <c r="I655" s="3" t="s">
        <v>30</v>
      </c>
      <c r="J655" s="3">
        <v>119</v>
      </c>
      <c r="K655" s="3">
        <v>214.43</v>
      </c>
      <c r="L655" s="3">
        <v>328.81</v>
      </c>
      <c r="M655" s="3">
        <v>39128.39</v>
      </c>
      <c r="N655" s="3">
        <v>25517.17</v>
      </c>
      <c r="O655" s="3">
        <v>13611.22</v>
      </c>
      <c r="P655" s="3" t="s">
        <v>42</v>
      </c>
      <c r="Q655" s="3" t="s">
        <v>63</v>
      </c>
      <c r="R655" s="3">
        <v>1</v>
      </c>
      <c r="S655" s="3" t="s">
        <v>158</v>
      </c>
      <c r="T655" s="3">
        <v>143</v>
      </c>
      <c r="U655" s="3">
        <v>1</v>
      </c>
      <c r="V655" s="3"/>
    </row>
    <row r="656" spans="1:22" x14ac:dyDescent="0.35">
      <c r="A656" s="2" t="s">
        <v>2084</v>
      </c>
      <c r="B656" s="2" t="s">
        <v>1093</v>
      </c>
      <c r="C656" s="2" t="s">
        <v>1967</v>
      </c>
      <c r="D656" s="2" t="s">
        <v>2085</v>
      </c>
      <c r="E656" s="2" t="s">
        <v>68</v>
      </c>
      <c r="F656" s="2" t="s">
        <v>146</v>
      </c>
      <c r="G656" s="2" t="s">
        <v>28</v>
      </c>
      <c r="H656" s="2" t="s">
        <v>111</v>
      </c>
      <c r="I656" s="2" t="s">
        <v>124</v>
      </c>
      <c r="J656" s="2">
        <v>226</v>
      </c>
      <c r="K656" s="2">
        <v>1154.78</v>
      </c>
      <c r="L656" s="2">
        <v>1771.33</v>
      </c>
      <c r="M656" s="2">
        <v>400320.58</v>
      </c>
      <c r="N656" s="2">
        <v>260980.28</v>
      </c>
      <c r="O656" s="2">
        <v>139340.29999999999</v>
      </c>
      <c r="P656" s="2" t="s">
        <v>52</v>
      </c>
      <c r="Q656" s="2" t="s">
        <v>32</v>
      </c>
      <c r="R656" s="2">
        <v>13</v>
      </c>
      <c r="S656" s="2" t="s">
        <v>158</v>
      </c>
      <c r="T656" s="2">
        <v>2782</v>
      </c>
      <c r="U656" s="2">
        <v>2</v>
      </c>
      <c r="V656" s="2"/>
    </row>
    <row r="657" spans="1:22" x14ac:dyDescent="0.35">
      <c r="A657" s="3" t="s">
        <v>2086</v>
      </c>
      <c r="B657" s="3" t="s">
        <v>343</v>
      </c>
      <c r="C657" s="3" t="s">
        <v>2087</v>
      </c>
      <c r="D657" s="3" t="s">
        <v>2088</v>
      </c>
      <c r="E657" s="3" t="s">
        <v>100</v>
      </c>
      <c r="F657" s="3" t="s">
        <v>538</v>
      </c>
      <c r="G657" s="3" t="s">
        <v>189</v>
      </c>
      <c r="H657" s="3" t="s">
        <v>561</v>
      </c>
      <c r="I657" s="3" t="s">
        <v>72</v>
      </c>
      <c r="J657" s="3">
        <v>751</v>
      </c>
      <c r="K657" s="3">
        <v>728.77</v>
      </c>
      <c r="L657" s="3">
        <v>1071</v>
      </c>
      <c r="M657" s="3">
        <v>804321</v>
      </c>
      <c r="N657" s="3">
        <v>547306.27</v>
      </c>
      <c r="O657" s="3">
        <v>257014.73</v>
      </c>
      <c r="P657" s="3" t="s">
        <v>31</v>
      </c>
      <c r="Q657" s="3" t="s">
        <v>32</v>
      </c>
      <c r="R657" s="3">
        <v>14</v>
      </c>
      <c r="S657" s="3" t="s">
        <v>86</v>
      </c>
      <c r="T657" s="3">
        <v>2849</v>
      </c>
      <c r="U657" s="3">
        <v>36</v>
      </c>
      <c r="V657" s="3"/>
    </row>
    <row r="658" spans="1:22" x14ac:dyDescent="0.35">
      <c r="A658" s="2" t="s">
        <v>2089</v>
      </c>
      <c r="B658" s="2" t="s">
        <v>617</v>
      </c>
      <c r="C658" s="2" t="s">
        <v>362</v>
      </c>
      <c r="D658" s="2" t="s">
        <v>2090</v>
      </c>
      <c r="E658" s="2" t="s">
        <v>68</v>
      </c>
      <c r="F658" s="2" t="s">
        <v>2091</v>
      </c>
      <c r="G658" s="2" t="s">
        <v>189</v>
      </c>
      <c r="H658" s="2" t="s">
        <v>437</v>
      </c>
      <c r="I658" s="2" t="s">
        <v>41</v>
      </c>
      <c r="J658" s="2">
        <v>564</v>
      </c>
      <c r="K658" s="2">
        <v>129.55000000000001</v>
      </c>
      <c r="L658" s="2">
        <v>159.97</v>
      </c>
      <c r="M658" s="2">
        <v>90223.08</v>
      </c>
      <c r="N658" s="2">
        <v>73066.2</v>
      </c>
      <c r="O658" s="2">
        <v>17156.88</v>
      </c>
      <c r="P658" s="2" t="s">
        <v>52</v>
      </c>
      <c r="Q658" s="2" t="s">
        <v>63</v>
      </c>
      <c r="R658" s="2">
        <v>1</v>
      </c>
      <c r="S658" s="2" t="s">
        <v>112</v>
      </c>
      <c r="T658" s="2">
        <v>2926</v>
      </c>
      <c r="U658" s="2">
        <v>5</v>
      </c>
      <c r="V658" s="2"/>
    </row>
    <row r="659" spans="1:22" x14ac:dyDescent="0.35">
      <c r="A659" s="3" t="s">
        <v>2092</v>
      </c>
      <c r="B659" s="3" t="s">
        <v>1353</v>
      </c>
      <c r="C659" s="3" t="s">
        <v>274</v>
      </c>
      <c r="D659" s="3" t="s">
        <v>2093</v>
      </c>
      <c r="E659" s="3" t="s">
        <v>58</v>
      </c>
      <c r="F659" s="3" t="s">
        <v>116</v>
      </c>
      <c r="G659" s="3" t="s">
        <v>217</v>
      </c>
      <c r="H659" s="3" t="s">
        <v>725</v>
      </c>
      <c r="I659" s="3" t="s">
        <v>118</v>
      </c>
      <c r="J659" s="3">
        <v>69</v>
      </c>
      <c r="K659" s="3">
        <v>146.97</v>
      </c>
      <c r="L659" s="3">
        <v>198.67</v>
      </c>
      <c r="M659" s="3">
        <v>13708.23</v>
      </c>
      <c r="N659" s="3">
        <v>10140.93</v>
      </c>
      <c r="O659" s="3">
        <v>3567.3</v>
      </c>
      <c r="P659" s="3" t="s">
        <v>31</v>
      </c>
      <c r="Q659" s="3" t="s">
        <v>63</v>
      </c>
      <c r="R659" s="3">
        <v>1</v>
      </c>
      <c r="S659" s="3" t="s">
        <v>53</v>
      </c>
      <c r="T659" s="3">
        <v>4502</v>
      </c>
      <c r="U659" s="3">
        <v>0</v>
      </c>
      <c r="V659" s="3"/>
    </row>
    <row r="660" spans="1:22" x14ac:dyDescent="0.35">
      <c r="A660" s="2" t="s">
        <v>2094</v>
      </c>
      <c r="B660" s="2" t="s">
        <v>2095</v>
      </c>
      <c r="C660" s="2" t="s">
        <v>1304</v>
      </c>
      <c r="D660" s="2" t="s">
        <v>2096</v>
      </c>
      <c r="E660" s="2" t="s">
        <v>100</v>
      </c>
      <c r="F660" s="2" t="s">
        <v>238</v>
      </c>
      <c r="G660" s="2" t="s">
        <v>78</v>
      </c>
      <c r="H660" s="2" t="s">
        <v>425</v>
      </c>
      <c r="I660" s="2" t="s">
        <v>62</v>
      </c>
      <c r="J660" s="2">
        <v>153</v>
      </c>
      <c r="K660" s="2">
        <v>508.24</v>
      </c>
      <c r="L660" s="2">
        <v>634.23</v>
      </c>
      <c r="M660" s="2">
        <v>97037.19</v>
      </c>
      <c r="N660" s="2">
        <v>77760.72</v>
      </c>
      <c r="O660" s="2">
        <v>19276.47</v>
      </c>
      <c r="P660" s="2" t="s">
        <v>52</v>
      </c>
      <c r="Q660" s="2" t="s">
        <v>32</v>
      </c>
      <c r="R660" s="2">
        <v>8</v>
      </c>
      <c r="S660" s="2" t="s">
        <v>86</v>
      </c>
      <c r="T660" s="2">
        <v>2214</v>
      </c>
      <c r="U660" s="2">
        <v>3</v>
      </c>
      <c r="V660" s="2"/>
    </row>
    <row r="661" spans="1:22" x14ac:dyDescent="0.35">
      <c r="A661" s="3" t="s">
        <v>2097</v>
      </c>
      <c r="B661" s="3" t="s">
        <v>596</v>
      </c>
      <c r="C661" s="3" t="s">
        <v>755</v>
      </c>
      <c r="D661" s="3" t="s">
        <v>2098</v>
      </c>
      <c r="E661" s="3" t="s">
        <v>100</v>
      </c>
      <c r="F661" s="3" t="s">
        <v>330</v>
      </c>
      <c r="G661" s="3" t="s">
        <v>28</v>
      </c>
      <c r="H661" s="3" t="s">
        <v>579</v>
      </c>
      <c r="I661" s="3" t="s">
        <v>30</v>
      </c>
      <c r="J661" s="3">
        <v>291</v>
      </c>
      <c r="K661" s="3">
        <v>125.77</v>
      </c>
      <c r="L661" s="3">
        <v>148.54</v>
      </c>
      <c r="M661" s="3">
        <v>43225.14</v>
      </c>
      <c r="N661" s="3">
        <v>36599.07</v>
      </c>
      <c r="O661" s="3">
        <v>6626.07</v>
      </c>
      <c r="P661" s="3" t="s">
        <v>31</v>
      </c>
      <c r="Q661" s="3" t="s">
        <v>32</v>
      </c>
      <c r="R661" s="3">
        <v>11</v>
      </c>
      <c r="S661" s="3" t="s">
        <v>112</v>
      </c>
      <c r="T661" s="3">
        <v>1608</v>
      </c>
      <c r="U661" s="3">
        <v>2</v>
      </c>
      <c r="V661" s="3"/>
    </row>
    <row r="662" spans="1:22" x14ac:dyDescent="0.35">
      <c r="A662" s="2" t="s">
        <v>2099</v>
      </c>
      <c r="B662" s="2" t="s">
        <v>137</v>
      </c>
      <c r="C662" s="2" t="s">
        <v>596</v>
      </c>
      <c r="D662" s="2" t="s">
        <v>2100</v>
      </c>
      <c r="E662" s="2" t="s">
        <v>68</v>
      </c>
      <c r="F662" s="2" t="s">
        <v>163</v>
      </c>
      <c r="G662" s="2" t="s">
        <v>93</v>
      </c>
      <c r="H662" s="2" t="s">
        <v>485</v>
      </c>
      <c r="I662" s="2" t="s">
        <v>240</v>
      </c>
      <c r="J662" s="2">
        <v>568</v>
      </c>
      <c r="K662" s="2">
        <v>1130.29</v>
      </c>
      <c r="L662" s="2">
        <v>1435.01</v>
      </c>
      <c r="M662" s="2">
        <v>815085.68</v>
      </c>
      <c r="N662" s="2">
        <v>642004.72</v>
      </c>
      <c r="O662" s="2">
        <v>173080.95999999999</v>
      </c>
      <c r="P662" s="2" t="s">
        <v>95</v>
      </c>
      <c r="Q662" s="2" t="s">
        <v>32</v>
      </c>
      <c r="R662" s="2">
        <v>14</v>
      </c>
      <c r="S662" s="2" t="s">
        <v>158</v>
      </c>
      <c r="T662" s="2">
        <v>2150</v>
      </c>
      <c r="U662" s="2">
        <v>25</v>
      </c>
      <c r="V662" s="2"/>
    </row>
    <row r="663" spans="1:22" x14ac:dyDescent="0.35">
      <c r="A663" s="3" t="s">
        <v>2101</v>
      </c>
      <c r="B663" s="3" t="s">
        <v>81</v>
      </c>
      <c r="C663" s="3" t="s">
        <v>176</v>
      </c>
      <c r="D663" s="3" t="s">
        <v>2102</v>
      </c>
      <c r="E663" s="3" t="s">
        <v>26</v>
      </c>
      <c r="F663" s="3" t="s">
        <v>77</v>
      </c>
      <c r="G663" s="3" t="s">
        <v>60</v>
      </c>
      <c r="H663" s="3" t="s">
        <v>780</v>
      </c>
      <c r="I663" s="3" t="s">
        <v>62</v>
      </c>
      <c r="J663" s="3">
        <v>523</v>
      </c>
      <c r="K663" s="3">
        <v>135.66999999999999</v>
      </c>
      <c r="L663" s="3">
        <v>193.23</v>
      </c>
      <c r="M663" s="3">
        <v>101059.29</v>
      </c>
      <c r="N663" s="3">
        <v>70955.41</v>
      </c>
      <c r="O663" s="3">
        <v>30103.88</v>
      </c>
      <c r="P663" s="3" t="s">
        <v>42</v>
      </c>
      <c r="Q663" s="3" t="s">
        <v>32</v>
      </c>
      <c r="R663" s="3">
        <v>8</v>
      </c>
      <c r="S663" s="3" t="s">
        <v>33</v>
      </c>
      <c r="T663" s="3">
        <v>3443</v>
      </c>
      <c r="U663" s="3">
        <v>10</v>
      </c>
      <c r="V663" s="3"/>
    </row>
    <row r="664" spans="1:22" x14ac:dyDescent="0.35">
      <c r="A664" s="2" t="s">
        <v>2103</v>
      </c>
      <c r="B664" s="2" t="s">
        <v>805</v>
      </c>
      <c r="C664" s="2" t="s">
        <v>1581</v>
      </c>
      <c r="D664" s="2" t="s">
        <v>2104</v>
      </c>
      <c r="E664" s="2" t="s">
        <v>26</v>
      </c>
      <c r="F664" s="2" t="s">
        <v>228</v>
      </c>
      <c r="G664" s="2" t="s">
        <v>39</v>
      </c>
      <c r="H664" s="2" t="s">
        <v>40</v>
      </c>
      <c r="I664" s="2" t="s">
        <v>72</v>
      </c>
      <c r="J664" s="2">
        <v>590</v>
      </c>
      <c r="K664" s="2">
        <v>409.13</v>
      </c>
      <c r="L664" s="2">
        <v>641.48</v>
      </c>
      <c r="M664" s="2">
        <v>378473.2</v>
      </c>
      <c r="N664" s="2">
        <v>241386.7</v>
      </c>
      <c r="O664" s="2">
        <v>137086.5</v>
      </c>
      <c r="P664" s="2" t="s">
        <v>31</v>
      </c>
      <c r="Q664" s="2" t="s">
        <v>63</v>
      </c>
      <c r="R664" s="2">
        <v>4</v>
      </c>
      <c r="S664" s="2" t="s">
        <v>53</v>
      </c>
      <c r="T664" s="2">
        <v>3521</v>
      </c>
      <c r="U664" s="2">
        <v>5</v>
      </c>
      <c r="V664" s="2"/>
    </row>
    <row r="665" spans="1:22" x14ac:dyDescent="0.35">
      <c r="A665" s="3" t="s">
        <v>2105</v>
      </c>
      <c r="B665" s="3" t="s">
        <v>251</v>
      </c>
      <c r="C665" s="3" t="s">
        <v>104</v>
      </c>
      <c r="D665" s="3" t="s">
        <v>2106</v>
      </c>
      <c r="E665" s="3" t="s">
        <v>100</v>
      </c>
      <c r="F665" s="3" t="s">
        <v>238</v>
      </c>
      <c r="G665" s="3" t="s">
        <v>60</v>
      </c>
      <c r="H665" s="3" t="s">
        <v>834</v>
      </c>
      <c r="I665" s="3" t="s">
        <v>118</v>
      </c>
      <c r="J665" s="3">
        <v>707</v>
      </c>
      <c r="K665" s="3">
        <v>313.14</v>
      </c>
      <c r="L665" s="3">
        <v>515.21</v>
      </c>
      <c r="M665" s="3">
        <v>364253.47</v>
      </c>
      <c r="N665" s="3">
        <v>221389.98</v>
      </c>
      <c r="O665" s="3">
        <v>142863.49</v>
      </c>
      <c r="P665" s="3" t="s">
        <v>52</v>
      </c>
      <c r="Q665" s="3" t="s">
        <v>63</v>
      </c>
      <c r="R665" s="3">
        <v>2</v>
      </c>
      <c r="S665" s="3" t="s">
        <v>158</v>
      </c>
      <c r="T665" s="3">
        <v>988</v>
      </c>
      <c r="U665" s="3">
        <v>29</v>
      </c>
      <c r="V665" s="3"/>
    </row>
    <row r="666" spans="1:22" x14ac:dyDescent="0.35">
      <c r="A666" s="2" t="s">
        <v>2107</v>
      </c>
      <c r="B666" s="2" t="s">
        <v>262</v>
      </c>
      <c r="C666" s="2" t="s">
        <v>262</v>
      </c>
      <c r="D666" s="2" t="s">
        <v>2108</v>
      </c>
      <c r="E666" s="2" t="s">
        <v>68</v>
      </c>
      <c r="F666" s="2" t="s">
        <v>146</v>
      </c>
      <c r="G666" s="2" t="s">
        <v>60</v>
      </c>
      <c r="H666" s="2" t="s">
        <v>265</v>
      </c>
      <c r="I666" s="2" t="s">
        <v>240</v>
      </c>
      <c r="J666" s="2">
        <v>23</v>
      </c>
      <c r="K666" s="2">
        <v>104.81</v>
      </c>
      <c r="L666" s="2">
        <v>157</v>
      </c>
      <c r="M666" s="2">
        <v>3611</v>
      </c>
      <c r="N666" s="2">
        <v>2410.63</v>
      </c>
      <c r="O666" s="2">
        <v>1200.3699999999999</v>
      </c>
      <c r="P666" s="2" t="s">
        <v>42</v>
      </c>
      <c r="Q666" s="2" t="s">
        <v>63</v>
      </c>
      <c r="R666" s="2">
        <v>5</v>
      </c>
      <c r="S666" s="2" t="s">
        <v>53</v>
      </c>
      <c r="T666" s="2">
        <v>3494</v>
      </c>
      <c r="U666" s="2">
        <v>1</v>
      </c>
      <c r="V666" s="2"/>
    </row>
    <row r="667" spans="1:22" x14ac:dyDescent="0.35">
      <c r="A667" s="3" t="s">
        <v>2109</v>
      </c>
      <c r="B667" s="3" t="s">
        <v>1152</v>
      </c>
      <c r="C667" s="3" t="s">
        <v>1294</v>
      </c>
      <c r="D667" s="3" t="s">
        <v>2110</v>
      </c>
      <c r="E667" s="3" t="s">
        <v>68</v>
      </c>
      <c r="F667" s="3" t="s">
        <v>276</v>
      </c>
      <c r="G667" s="3" t="s">
        <v>60</v>
      </c>
      <c r="H667" s="3" t="s">
        <v>164</v>
      </c>
      <c r="I667" s="3" t="s">
        <v>240</v>
      </c>
      <c r="J667" s="3">
        <v>107</v>
      </c>
      <c r="K667" s="3">
        <v>104.87</v>
      </c>
      <c r="L667" s="3">
        <v>158.78</v>
      </c>
      <c r="M667" s="3">
        <v>16989.46</v>
      </c>
      <c r="N667" s="3">
        <v>11221.09</v>
      </c>
      <c r="O667" s="3">
        <v>5768.37</v>
      </c>
      <c r="P667" s="3" t="s">
        <v>31</v>
      </c>
      <c r="Q667" s="3" t="s">
        <v>63</v>
      </c>
      <c r="R667" s="3">
        <v>1</v>
      </c>
      <c r="S667" s="3" t="s">
        <v>158</v>
      </c>
      <c r="T667" s="3">
        <v>1640</v>
      </c>
      <c r="U667" s="3">
        <v>4</v>
      </c>
      <c r="V667" s="3"/>
    </row>
    <row r="668" spans="1:22" x14ac:dyDescent="0.35">
      <c r="A668" s="2" t="s">
        <v>2111</v>
      </c>
      <c r="B668" s="2" t="s">
        <v>701</v>
      </c>
      <c r="C668" s="2" t="s">
        <v>1328</v>
      </c>
      <c r="D668" s="2" t="s">
        <v>2112</v>
      </c>
      <c r="E668" s="2" t="s">
        <v>100</v>
      </c>
      <c r="F668" s="2" t="s">
        <v>330</v>
      </c>
      <c r="G668" s="2" t="s">
        <v>60</v>
      </c>
      <c r="H668" s="2" t="s">
        <v>229</v>
      </c>
      <c r="I668" s="2" t="s">
        <v>240</v>
      </c>
      <c r="J668" s="2">
        <v>73</v>
      </c>
      <c r="K668" s="2">
        <v>747.74</v>
      </c>
      <c r="L668" s="2">
        <v>1223.3499999999999</v>
      </c>
      <c r="M668" s="2">
        <v>89304.55</v>
      </c>
      <c r="N668" s="2">
        <v>54585.02</v>
      </c>
      <c r="O668" s="2">
        <v>34719.53</v>
      </c>
      <c r="P668" s="2" t="s">
        <v>31</v>
      </c>
      <c r="Q668" s="2" t="s">
        <v>63</v>
      </c>
      <c r="R668" s="2">
        <v>5</v>
      </c>
      <c r="S668" s="2" t="s">
        <v>53</v>
      </c>
      <c r="T668" s="2">
        <v>1859</v>
      </c>
      <c r="U668" s="2">
        <v>0</v>
      </c>
      <c r="V668" s="2"/>
    </row>
    <row r="669" spans="1:22" x14ac:dyDescent="0.35">
      <c r="A669" s="3" t="s">
        <v>2113</v>
      </c>
      <c r="B669" s="3" t="s">
        <v>323</v>
      </c>
      <c r="C669" s="3" t="s">
        <v>1003</v>
      </c>
      <c r="D669" s="3" t="s">
        <v>2114</v>
      </c>
      <c r="E669" s="3" t="s">
        <v>26</v>
      </c>
      <c r="F669" s="3" t="s">
        <v>38</v>
      </c>
      <c r="G669" s="3" t="s">
        <v>28</v>
      </c>
      <c r="H669" s="3" t="s">
        <v>714</v>
      </c>
      <c r="I669" s="3" t="s">
        <v>118</v>
      </c>
      <c r="J669" s="3">
        <v>381</v>
      </c>
      <c r="K669" s="3">
        <v>117.85</v>
      </c>
      <c r="L669" s="3">
        <v>137.78</v>
      </c>
      <c r="M669" s="3">
        <v>52494.18</v>
      </c>
      <c r="N669" s="3">
        <v>44900.85</v>
      </c>
      <c r="O669" s="3">
        <v>7593.33</v>
      </c>
      <c r="P669" s="3" t="s">
        <v>52</v>
      </c>
      <c r="Q669" s="3" t="s">
        <v>63</v>
      </c>
      <c r="R669" s="3">
        <v>3</v>
      </c>
      <c r="S669" s="3" t="s">
        <v>112</v>
      </c>
      <c r="T669" s="3">
        <v>1412</v>
      </c>
      <c r="U669" s="3">
        <v>9</v>
      </c>
      <c r="V669" s="3"/>
    </row>
    <row r="670" spans="1:22" x14ac:dyDescent="0.35">
      <c r="A670" s="2" t="s">
        <v>2115</v>
      </c>
      <c r="B670" s="2" t="s">
        <v>950</v>
      </c>
      <c r="C670" s="2" t="s">
        <v>1125</v>
      </c>
      <c r="D670" s="2" t="s">
        <v>2116</v>
      </c>
      <c r="E670" s="2" t="s">
        <v>48</v>
      </c>
      <c r="F670" s="2" t="s">
        <v>49</v>
      </c>
      <c r="G670" s="2" t="s">
        <v>189</v>
      </c>
      <c r="H670" s="2" t="s">
        <v>311</v>
      </c>
      <c r="I670" s="2" t="s">
        <v>141</v>
      </c>
      <c r="J670" s="2">
        <v>781</v>
      </c>
      <c r="K670" s="2">
        <v>834.48</v>
      </c>
      <c r="L670" s="2">
        <v>1007.43</v>
      </c>
      <c r="M670" s="2">
        <v>786802.83</v>
      </c>
      <c r="N670" s="2">
        <v>651728.88</v>
      </c>
      <c r="O670" s="2">
        <v>135073.95000000001</v>
      </c>
      <c r="P670" s="2" t="s">
        <v>31</v>
      </c>
      <c r="Q670" s="2" t="s">
        <v>32</v>
      </c>
      <c r="R670" s="2">
        <v>6</v>
      </c>
      <c r="S670" s="2" t="s">
        <v>53</v>
      </c>
      <c r="T670" s="2">
        <v>1652</v>
      </c>
      <c r="U670" s="2">
        <v>25</v>
      </c>
      <c r="V670" s="2"/>
    </row>
    <row r="671" spans="1:22" x14ac:dyDescent="0.35">
      <c r="A671" s="3" t="s">
        <v>2117</v>
      </c>
      <c r="B671" s="3" t="s">
        <v>1252</v>
      </c>
      <c r="C671" s="3" t="s">
        <v>1454</v>
      </c>
      <c r="D671" s="3" t="s">
        <v>2118</v>
      </c>
      <c r="E671" s="3" t="s">
        <v>100</v>
      </c>
      <c r="F671" s="3" t="s">
        <v>330</v>
      </c>
      <c r="G671" s="3" t="s">
        <v>60</v>
      </c>
      <c r="H671" s="3" t="s">
        <v>265</v>
      </c>
      <c r="I671" s="3" t="s">
        <v>153</v>
      </c>
      <c r="J671" s="3">
        <v>173</v>
      </c>
      <c r="K671" s="3">
        <v>241.32</v>
      </c>
      <c r="L671" s="3">
        <v>353.49</v>
      </c>
      <c r="M671" s="3">
        <v>61153.77</v>
      </c>
      <c r="N671" s="3">
        <v>41748.36</v>
      </c>
      <c r="O671" s="3">
        <v>19405.41</v>
      </c>
      <c r="P671" s="3" t="s">
        <v>42</v>
      </c>
      <c r="Q671" s="3" t="s">
        <v>32</v>
      </c>
      <c r="R671" s="3">
        <v>13</v>
      </c>
      <c r="S671" s="3" t="s">
        <v>43</v>
      </c>
      <c r="T671" s="3">
        <v>4715</v>
      </c>
      <c r="U671" s="3">
        <v>3</v>
      </c>
      <c r="V671" s="3"/>
    </row>
    <row r="672" spans="1:22" x14ac:dyDescent="0.35">
      <c r="A672" s="2" t="s">
        <v>2119</v>
      </c>
      <c r="B672" s="2" t="s">
        <v>719</v>
      </c>
      <c r="C672" s="2" t="s">
        <v>324</v>
      </c>
      <c r="D672" s="2" t="s">
        <v>2120</v>
      </c>
      <c r="E672" s="2" t="s">
        <v>68</v>
      </c>
      <c r="F672" s="2" t="s">
        <v>276</v>
      </c>
      <c r="G672" s="2" t="s">
        <v>93</v>
      </c>
      <c r="H672" s="2" t="s">
        <v>485</v>
      </c>
      <c r="I672" s="2" t="s">
        <v>240</v>
      </c>
      <c r="J672" s="2">
        <v>756</v>
      </c>
      <c r="K672" s="2">
        <v>316.77</v>
      </c>
      <c r="L672" s="2">
        <v>358.84</v>
      </c>
      <c r="M672" s="2">
        <v>271283.03999999998</v>
      </c>
      <c r="N672" s="2">
        <v>239478.12</v>
      </c>
      <c r="O672" s="2">
        <v>31804.92</v>
      </c>
      <c r="P672" s="2" t="s">
        <v>52</v>
      </c>
      <c r="Q672" s="2" t="s">
        <v>32</v>
      </c>
      <c r="R672" s="2">
        <v>8</v>
      </c>
      <c r="S672" s="2" t="s">
        <v>43</v>
      </c>
      <c r="T672" s="2">
        <v>3577</v>
      </c>
      <c r="U672" s="2">
        <v>30</v>
      </c>
      <c r="V672" s="2"/>
    </row>
    <row r="673" spans="1:22" x14ac:dyDescent="0.35">
      <c r="A673" s="3" t="s">
        <v>2121</v>
      </c>
      <c r="B673" s="3" t="s">
        <v>2122</v>
      </c>
      <c r="C673" s="3" t="s">
        <v>2123</v>
      </c>
      <c r="D673" s="3" t="s">
        <v>2124</v>
      </c>
      <c r="E673" s="3" t="s">
        <v>26</v>
      </c>
      <c r="F673" s="3" t="s">
        <v>27</v>
      </c>
      <c r="G673" s="3" t="s">
        <v>50</v>
      </c>
      <c r="H673" s="3" t="s">
        <v>51</v>
      </c>
      <c r="I673" s="3" t="s">
        <v>85</v>
      </c>
      <c r="J673" s="3">
        <v>726</v>
      </c>
      <c r="K673" s="3">
        <v>982.68</v>
      </c>
      <c r="L673" s="3">
        <v>1102.1600000000001</v>
      </c>
      <c r="M673" s="3">
        <v>800168.16</v>
      </c>
      <c r="N673" s="3">
        <v>713425.68</v>
      </c>
      <c r="O673" s="3">
        <v>86742.48</v>
      </c>
      <c r="P673" s="3" t="s">
        <v>52</v>
      </c>
      <c r="Q673" s="3" t="s">
        <v>32</v>
      </c>
      <c r="R673" s="3">
        <v>-3</v>
      </c>
      <c r="S673" s="3" t="s">
        <v>86</v>
      </c>
      <c r="T673" s="3">
        <v>4326</v>
      </c>
      <c r="U673" s="3">
        <v>15</v>
      </c>
      <c r="V673" s="3"/>
    </row>
    <row r="674" spans="1:22" x14ac:dyDescent="0.35">
      <c r="A674" s="2" t="s">
        <v>2125</v>
      </c>
      <c r="B674" s="2" t="s">
        <v>785</v>
      </c>
      <c r="C674" s="2" t="s">
        <v>1299</v>
      </c>
      <c r="D674" s="2" t="s">
        <v>2126</v>
      </c>
      <c r="E674" s="2" t="s">
        <v>68</v>
      </c>
      <c r="F674" s="2" t="s">
        <v>146</v>
      </c>
      <c r="G674" s="2" t="s">
        <v>50</v>
      </c>
      <c r="H674" s="2" t="s">
        <v>734</v>
      </c>
      <c r="I674" s="2" t="s">
        <v>191</v>
      </c>
      <c r="J674" s="2">
        <v>540</v>
      </c>
      <c r="K674" s="2">
        <v>17.34</v>
      </c>
      <c r="L674" s="2">
        <v>24.13</v>
      </c>
      <c r="M674" s="2">
        <v>13030.2</v>
      </c>
      <c r="N674" s="2">
        <v>9363.6</v>
      </c>
      <c r="O674" s="2">
        <v>3666.6</v>
      </c>
      <c r="P674" s="2" t="s">
        <v>31</v>
      </c>
      <c r="Q674" s="2" t="s">
        <v>32</v>
      </c>
      <c r="R674" s="2">
        <v>7</v>
      </c>
      <c r="S674" s="2" t="s">
        <v>53</v>
      </c>
      <c r="T674" s="2">
        <v>3593</v>
      </c>
      <c r="U674" s="2">
        <v>11</v>
      </c>
      <c r="V674" s="2"/>
    </row>
    <row r="675" spans="1:22" x14ac:dyDescent="0.35">
      <c r="A675" s="3" t="s">
        <v>2127</v>
      </c>
      <c r="B675" s="3" t="s">
        <v>1444</v>
      </c>
      <c r="C675" s="3" t="s">
        <v>103</v>
      </c>
      <c r="D675" s="3" t="s">
        <v>2128</v>
      </c>
      <c r="E675" s="3" t="s">
        <v>26</v>
      </c>
      <c r="F675" s="3" t="s">
        <v>228</v>
      </c>
      <c r="G675" s="3" t="s">
        <v>39</v>
      </c>
      <c r="H675" s="3" t="s">
        <v>412</v>
      </c>
      <c r="I675" s="3" t="s">
        <v>118</v>
      </c>
      <c r="J675" s="3">
        <v>713</v>
      </c>
      <c r="K675" s="3">
        <v>388.22</v>
      </c>
      <c r="L675" s="3">
        <v>566.29</v>
      </c>
      <c r="M675" s="3">
        <v>403764.77</v>
      </c>
      <c r="N675" s="3">
        <v>276800.86</v>
      </c>
      <c r="O675" s="3">
        <v>126963.91</v>
      </c>
      <c r="P675" s="3" t="s">
        <v>95</v>
      </c>
      <c r="Q675" s="3" t="s">
        <v>63</v>
      </c>
      <c r="R675" s="3">
        <v>3</v>
      </c>
      <c r="S675" s="3" t="s">
        <v>112</v>
      </c>
      <c r="T675" s="3">
        <v>1307</v>
      </c>
      <c r="U675" s="3">
        <v>27</v>
      </c>
      <c r="V675" s="3"/>
    </row>
    <row r="676" spans="1:22" x14ac:dyDescent="0.35">
      <c r="A676" s="2" t="s">
        <v>2129</v>
      </c>
      <c r="B676" s="2" t="s">
        <v>2130</v>
      </c>
      <c r="C676" s="2" t="s">
        <v>156</v>
      </c>
      <c r="D676" s="2" t="s">
        <v>2131</v>
      </c>
      <c r="E676" s="2" t="s">
        <v>26</v>
      </c>
      <c r="F676" s="2" t="s">
        <v>27</v>
      </c>
      <c r="G676" s="2" t="s">
        <v>60</v>
      </c>
      <c r="H676" s="2" t="s">
        <v>265</v>
      </c>
      <c r="I676" s="2" t="s">
        <v>62</v>
      </c>
      <c r="J676" s="2">
        <v>103</v>
      </c>
      <c r="K676" s="2">
        <v>738.91</v>
      </c>
      <c r="L676" s="2">
        <v>1082.52</v>
      </c>
      <c r="M676" s="2">
        <v>111499.56</v>
      </c>
      <c r="N676" s="2">
        <v>76107.73</v>
      </c>
      <c r="O676" s="2">
        <v>35391.83</v>
      </c>
      <c r="P676" s="2" t="s">
        <v>42</v>
      </c>
      <c r="Q676" s="2" t="s">
        <v>32</v>
      </c>
      <c r="R676" s="2">
        <v>12</v>
      </c>
      <c r="S676" s="2" t="s">
        <v>86</v>
      </c>
      <c r="T676" s="2">
        <v>2423</v>
      </c>
      <c r="U676" s="2">
        <v>3</v>
      </c>
      <c r="V676" s="2"/>
    </row>
    <row r="677" spans="1:22" x14ac:dyDescent="0.35">
      <c r="A677" s="3" t="s">
        <v>2132</v>
      </c>
      <c r="B677" s="3" t="s">
        <v>308</v>
      </c>
      <c r="C677" s="3" t="s">
        <v>588</v>
      </c>
      <c r="D677" s="3" t="s">
        <v>2133</v>
      </c>
      <c r="E677" s="3" t="s">
        <v>48</v>
      </c>
      <c r="F677" s="3" t="s">
        <v>270</v>
      </c>
      <c r="G677" s="3" t="s">
        <v>93</v>
      </c>
      <c r="H677" s="3" t="s">
        <v>184</v>
      </c>
      <c r="I677" s="3" t="s">
        <v>293</v>
      </c>
      <c r="J677" s="3">
        <v>18</v>
      </c>
      <c r="K677" s="3">
        <v>807.39</v>
      </c>
      <c r="L677" s="3">
        <v>1126.6300000000001</v>
      </c>
      <c r="M677" s="3">
        <v>20279.34</v>
      </c>
      <c r="N677" s="3">
        <v>14533.02</v>
      </c>
      <c r="O677" s="3">
        <v>5746.32</v>
      </c>
      <c r="P677" s="3" t="s">
        <v>42</v>
      </c>
      <c r="Q677" s="3" t="s">
        <v>32</v>
      </c>
      <c r="R677" s="3">
        <v>11</v>
      </c>
      <c r="S677" s="3" t="s">
        <v>86</v>
      </c>
      <c r="T677" s="3">
        <v>1484</v>
      </c>
      <c r="U677" s="3">
        <v>1</v>
      </c>
      <c r="V677" s="3"/>
    </row>
    <row r="678" spans="1:22" x14ac:dyDescent="0.35">
      <c r="A678" s="2" t="s">
        <v>2134</v>
      </c>
      <c r="B678" s="2" t="s">
        <v>1028</v>
      </c>
      <c r="C678" s="2" t="s">
        <v>1902</v>
      </c>
      <c r="D678" s="2" t="s">
        <v>2135</v>
      </c>
      <c r="E678" s="2" t="s">
        <v>26</v>
      </c>
      <c r="F678" s="2" t="s">
        <v>27</v>
      </c>
      <c r="G678" s="2" t="s">
        <v>129</v>
      </c>
      <c r="H678" s="2" t="s">
        <v>168</v>
      </c>
      <c r="I678" s="2" t="s">
        <v>85</v>
      </c>
      <c r="J678" s="2">
        <v>483</v>
      </c>
      <c r="K678" s="2">
        <v>748.1</v>
      </c>
      <c r="L678" s="2">
        <v>1111.5</v>
      </c>
      <c r="M678" s="2">
        <v>536854.5</v>
      </c>
      <c r="N678" s="2">
        <v>361332.3</v>
      </c>
      <c r="O678" s="2">
        <v>175522.2</v>
      </c>
      <c r="P678" s="2" t="s">
        <v>52</v>
      </c>
      <c r="Q678" s="2" t="s">
        <v>32</v>
      </c>
      <c r="R678" s="2">
        <v>14</v>
      </c>
      <c r="S678" s="2" t="s">
        <v>158</v>
      </c>
      <c r="T678" s="2">
        <v>1417</v>
      </c>
      <c r="U678" s="2">
        <v>17</v>
      </c>
      <c r="V678" s="2"/>
    </row>
    <row r="679" spans="1:22" x14ac:dyDescent="0.35">
      <c r="A679" s="3" t="s">
        <v>2136</v>
      </c>
      <c r="B679" s="3" t="s">
        <v>390</v>
      </c>
      <c r="C679" s="3" t="s">
        <v>379</v>
      </c>
      <c r="D679" s="3" t="s">
        <v>2137</v>
      </c>
      <c r="E679" s="3" t="s">
        <v>68</v>
      </c>
      <c r="F679" s="3" t="s">
        <v>2138</v>
      </c>
      <c r="G679" s="3" t="s">
        <v>70</v>
      </c>
      <c r="H679" s="3" t="s">
        <v>384</v>
      </c>
      <c r="I679" s="3" t="s">
        <v>124</v>
      </c>
      <c r="J679" s="3">
        <v>193</v>
      </c>
      <c r="K679" s="3">
        <v>576.45000000000005</v>
      </c>
      <c r="L679" s="3">
        <v>831.25</v>
      </c>
      <c r="M679" s="3">
        <v>160431.25</v>
      </c>
      <c r="N679" s="3">
        <v>111254.85</v>
      </c>
      <c r="O679" s="3">
        <v>49176.4</v>
      </c>
      <c r="P679" s="3" t="s">
        <v>52</v>
      </c>
      <c r="Q679" s="3" t="s">
        <v>32</v>
      </c>
      <c r="R679" s="3">
        <v>9</v>
      </c>
      <c r="S679" s="3" t="s">
        <v>158</v>
      </c>
      <c r="T679" s="3">
        <v>4757</v>
      </c>
      <c r="U679" s="3">
        <v>5</v>
      </c>
      <c r="V679" s="3"/>
    </row>
    <row r="680" spans="1:22" x14ac:dyDescent="0.35">
      <c r="A680" s="2" t="s">
        <v>2139</v>
      </c>
      <c r="B680" s="2" t="s">
        <v>348</v>
      </c>
      <c r="C680" s="2" t="s">
        <v>850</v>
      </c>
      <c r="D680" s="2" t="s">
        <v>2140</v>
      </c>
      <c r="E680" s="2" t="s">
        <v>26</v>
      </c>
      <c r="F680" s="2" t="s">
        <v>77</v>
      </c>
      <c r="G680" s="2" t="s">
        <v>93</v>
      </c>
      <c r="H680" s="2" t="s">
        <v>184</v>
      </c>
      <c r="I680" s="2" t="s">
        <v>240</v>
      </c>
      <c r="J680" s="2">
        <v>128</v>
      </c>
      <c r="K680" s="2">
        <v>416.16</v>
      </c>
      <c r="L680" s="2">
        <v>589.95000000000005</v>
      </c>
      <c r="M680" s="2">
        <v>75513.600000000006</v>
      </c>
      <c r="N680" s="2">
        <v>53268.480000000003</v>
      </c>
      <c r="O680" s="2">
        <v>22245.119999999999</v>
      </c>
      <c r="P680" s="2" t="s">
        <v>42</v>
      </c>
      <c r="Q680" s="2" t="s">
        <v>63</v>
      </c>
      <c r="R680" s="2">
        <v>4</v>
      </c>
      <c r="S680" s="2" t="s">
        <v>158</v>
      </c>
      <c r="T680" s="2">
        <v>583</v>
      </c>
      <c r="U680" s="2">
        <v>1</v>
      </c>
      <c r="V680" s="2"/>
    </row>
    <row r="681" spans="1:22" x14ac:dyDescent="0.35">
      <c r="A681" s="3" t="s">
        <v>2141</v>
      </c>
      <c r="B681" s="3" t="s">
        <v>859</v>
      </c>
      <c r="C681" s="3" t="s">
        <v>2142</v>
      </c>
      <c r="D681" s="3" t="s">
        <v>2143</v>
      </c>
      <c r="E681" s="3" t="s">
        <v>48</v>
      </c>
      <c r="F681" s="3" t="s">
        <v>223</v>
      </c>
      <c r="G681" s="3" t="s">
        <v>28</v>
      </c>
      <c r="H681" s="3" t="s">
        <v>579</v>
      </c>
      <c r="I681" s="3" t="s">
        <v>141</v>
      </c>
      <c r="J681" s="3">
        <v>393</v>
      </c>
      <c r="K681" s="3">
        <v>1181.6099999999999</v>
      </c>
      <c r="L681" s="3">
        <v>1455.93</v>
      </c>
      <c r="M681" s="3">
        <v>572180.49</v>
      </c>
      <c r="N681" s="3">
        <v>464372.73</v>
      </c>
      <c r="O681" s="3">
        <v>107807.76</v>
      </c>
      <c r="P681" s="3" t="s">
        <v>42</v>
      </c>
      <c r="Q681" s="3" t="s">
        <v>2144</v>
      </c>
      <c r="R681" s="3">
        <v>11</v>
      </c>
      <c r="S681" s="3" t="s">
        <v>53</v>
      </c>
      <c r="T681" s="3">
        <v>1356</v>
      </c>
      <c r="U681" s="3">
        <v>3</v>
      </c>
      <c r="V681" s="3"/>
    </row>
    <row r="682" spans="1:22" x14ac:dyDescent="0.35">
      <c r="A682" s="2" t="s">
        <v>2145</v>
      </c>
      <c r="B682" s="2" t="s">
        <v>1093</v>
      </c>
      <c r="C682" s="2" t="s">
        <v>1454</v>
      </c>
      <c r="D682" s="2" t="s">
        <v>2146</v>
      </c>
      <c r="E682" s="2" t="s">
        <v>48</v>
      </c>
      <c r="F682" s="2" t="s">
        <v>49</v>
      </c>
      <c r="G682" s="2" t="s">
        <v>28</v>
      </c>
      <c r="H682" s="2" t="s">
        <v>507</v>
      </c>
      <c r="I682" s="2" t="s">
        <v>141</v>
      </c>
      <c r="J682" s="2">
        <v>419</v>
      </c>
      <c r="K682" s="4" t="s">
        <v>697</v>
      </c>
      <c r="L682" s="2">
        <v>911.88</v>
      </c>
      <c r="M682" s="2">
        <v>382077.72</v>
      </c>
      <c r="N682" s="2">
        <v>282900.42</v>
      </c>
      <c r="O682" s="2">
        <v>99177.3</v>
      </c>
      <c r="P682" s="2" t="s">
        <v>31</v>
      </c>
      <c r="Q682" s="2" t="s">
        <v>32</v>
      </c>
      <c r="R682" s="2">
        <v>6</v>
      </c>
      <c r="S682" s="2" t="s">
        <v>33</v>
      </c>
      <c r="T682" s="2">
        <v>503</v>
      </c>
      <c r="U682" s="2">
        <v>2</v>
      </c>
      <c r="V682" s="2"/>
    </row>
    <row r="683" spans="1:22" x14ac:dyDescent="0.35">
      <c r="A683" s="3" t="s">
        <v>2147</v>
      </c>
      <c r="B683" s="3" t="s">
        <v>937</v>
      </c>
      <c r="C683" s="3" t="s">
        <v>160</v>
      </c>
      <c r="D683" s="3" t="s">
        <v>2148</v>
      </c>
      <c r="E683" s="3" t="s">
        <v>68</v>
      </c>
      <c r="F683" s="3" t="s">
        <v>276</v>
      </c>
      <c r="G683" s="3" t="s">
        <v>78</v>
      </c>
      <c r="H683" s="3" t="s">
        <v>178</v>
      </c>
      <c r="I683" s="3" t="s">
        <v>85</v>
      </c>
      <c r="J683" s="3">
        <v>267</v>
      </c>
      <c r="K683" s="3">
        <v>796.91</v>
      </c>
      <c r="L683" s="3">
        <v>1178.76</v>
      </c>
      <c r="M683" s="3">
        <v>314728.92</v>
      </c>
      <c r="N683" s="3">
        <v>212774.97</v>
      </c>
      <c r="O683" s="3">
        <v>101953.95</v>
      </c>
      <c r="P683" s="3" t="s">
        <v>95</v>
      </c>
      <c r="Q683" s="3" t="s">
        <v>63</v>
      </c>
      <c r="R683" s="3">
        <v>1</v>
      </c>
      <c r="S683" s="3" t="s">
        <v>158</v>
      </c>
      <c r="T683" s="3">
        <v>4853</v>
      </c>
      <c r="U683" s="3">
        <v>6</v>
      </c>
      <c r="V683" s="3"/>
    </row>
    <row r="684" spans="1:22" x14ac:dyDescent="0.35">
      <c r="A684" s="2" t="s">
        <v>2149</v>
      </c>
      <c r="B684" s="2" t="s">
        <v>439</v>
      </c>
      <c r="C684" s="2" t="s">
        <v>23</v>
      </c>
      <c r="D684" s="2" t="s">
        <v>2150</v>
      </c>
      <c r="E684" s="2" t="s">
        <v>48</v>
      </c>
      <c r="F684" s="2" t="s">
        <v>183</v>
      </c>
      <c r="G684" s="2" t="s">
        <v>39</v>
      </c>
      <c r="H684" s="2" t="s">
        <v>527</v>
      </c>
      <c r="I684" s="2" t="s">
        <v>72</v>
      </c>
      <c r="J684" s="2">
        <v>736</v>
      </c>
      <c r="K684" s="2">
        <v>109.62</v>
      </c>
      <c r="L684" s="2">
        <v>166.55</v>
      </c>
      <c r="M684" s="2">
        <v>122580.8</v>
      </c>
      <c r="N684" s="2">
        <v>80680.320000000007</v>
      </c>
      <c r="O684" s="2">
        <v>41900.480000000003</v>
      </c>
      <c r="P684" s="2" t="s">
        <v>2151</v>
      </c>
      <c r="Q684" s="2" t="s">
        <v>32</v>
      </c>
      <c r="R684" s="2">
        <v>13</v>
      </c>
      <c r="S684" s="2" t="s">
        <v>43</v>
      </c>
      <c r="T684" s="2">
        <v>3259</v>
      </c>
      <c r="U684" s="2">
        <v>35</v>
      </c>
      <c r="V684" s="2"/>
    </row>
    <row r="685" spans="1:22" x14ac:dyDescent="0.35">
      <c r="A685" s="3" t="s">
        <v>2152</v>
      </c>
      <c r="B685" s="3" t="s">
        <v>2153</v>
      </c>
      <c r="C685" s="3" t="s">
        <v>2058</v>
      </c>
      <c r="D685" s="3" t="s">
        <v>2154</v>
      </c>
      <c r="E685" s="3" t="s">
        <v>100</v>
      </c>
      <c r="F685" s="3" t="s">
        <v>238</v>
      </c>
      <c r="G685" s="3" t="s">
        <v>28</v>
      </c>
      <c r="H685" s="3" t="s">
        <v>254</v>
      </c>
      <c r="I685" s="3" t="s">
        <v>240</v>
      </c>
      <c r="J685" s="3">
        <v>275</v>
      </c>
      <c r="K685" s="3">
        <v>908.98</v>
      </c>
      <c r="L685" s="3">
        <v>1272.47</v>
      </c>
      <c r="M685" s="3">
        <v>349929.25</v>
      </c>
      <c r="N685" s="3">
        <v>249969.5</v>
      </c>
      <c r="O685" s="3">
        <v>99959.75</v>
      </c>
      <c r="P685" s="3" t="s">
        <v>31</v>
      </c>
      <c r="Q685" s="3" t="s">
        <v>32</v>
      </c>
      <c r="R685" s="3">
        <v>15</v>
      </c>
      <c r="S685" s="3" t="s">
        <v>158</v>
      </c>
      <c r="T685" s="3">
        <v>2647</v>
      </c>
      <c r="U685" s="3">
        <v>10</v>
      </c>
      <c r="V685" s="3"/>
    </row>
    <row r="686" spans="1:22" x14ac:dyDescent="0.35">
      <c r="A686" s="2" t="s">
        <v>2155</v>
      </c>
      <c r="B686" s="2" t="s">
        <v>1509</v>
      </c>
      <c r="C686" s="2" t="s">
        <v>1552</v>
      </c>
      <c r="D686" s="2" t="s">
        <v>2156</v>
      </c>
      <c r="E686" s="2" t="s">
        <v>68</v>
      </c>
      <c r="F686" s="2" t="s">
        <v>276</v>
      </c>
      <c r="G686" s="2" t="s">
        <v>60</v>
      </c>
      <c r="H686" s="2" t="s">
        <v>61</v>
      </c>
      <c r="I686" s="2" t="s">
        <v>118</v>
      </c>
      <c r="J686" s="2">
        <v>179</v>
      </c>
      <c r="K686" s="2">
        <v>725.38</v>
      </c>
      <c r="L686" s="2">
        <v>914.9</v>
      </c>
      <c r="M686" s="2">
        <v>163767.1</v>
      </c>
      <c r="N686" s="2">
        <v>129843.02</v>
      </c>
      <c r="O686" s="2">
        <v>33924.080000000002</v>
      </c>
      <c r="P686" s="2" t="s">
        <v>31</v>
      </c>
      <c r="Q686" s="2" t="s">
        <v>32</v>
      </c>
      <c r="R686" s="2">
        <v>11</v>
      </c>
      <c r="S686" s="2" t="s">
        <v>53</v>
      </c>
      <c r="T686" s="2">
        <v>3511</v>
      </c>
      <c r="U686" s="2">
        <v>4</v>
      </c>
      <c r="V686" s="2"/>
    </row>
    <row r="687" spans="1:22" x14ac:dyDescent="0.35">
      <c r="A687" s="3" t="s">
        <v>2157</v>
      </c>
      <c r="B687" s="3" t="s">
        <v>323</v>
      </c>
      <c r="C687" s="3" t="s">
        <v>454</v>
      </c>
      <c r="D687" s="3" t="s">
        <v>2158</v>
      </c>
      <c r="E687" s="3" t="s">
        <v>58</v>
      </c>
      <c r="F687" s="3" t="s">
        <v>116</v>
      </c>
      <c r="G687" s="3" t="s">
        <v>129</v>
      </c>
      <c r="H687" s="3" t="s">
        <v>811</v>
      </c>
      <c r="I687" s="3" t="s">
        <v>30</v>
      </c>
      <c r="J687" s="3">
        <v>584</v>
      </c>
      <c r="K687" s="3">
        <v>516.24</v>
      </c>
      <c r="L687" s="3">
        <v>671.99</v>
      </c>
      <c r="M687" s="3">
        <v>392442.16</v>
      </c>
      <c r="N687" s="3">
        <v>301484.15999999997</v>
      </c>
      <c r="O687" s="3">
        <v>90958</v>
      </c>
      <c r="P687" s="3" t="s">
        <v>42</v>
      </c>
      <c r="Q687" s="3" t="s">
        <v>63</v>
      </c>
      <c r="R687" s="3">
        <v>5</v>
      </c>
      <c r="S687" s="3" t="s">
        <v>33</v>
      </c>
      <c r="T687" s="3">
        <v>4497</v>
      </c>
      <c r="U687" s="3">
        <v>23</v>
      </c>
      <c r="V687" s="3"/>
    </row>
    <row r="688" spans="1:22" x14ac:dyDescent="0.35">
      <c r="A688" s="2" t="s">
        <v>2159</v>
      </c>
      <c r="B688" s="2" t="s">
        <v>1459</v>
      </c>
      <c r="C688" s="2" t="s">
        <v>2011</v>
      </c>
      <c r="D688" s="2" t="s">
        <v>2160</v>
      </c>
      <c r="E688" s="2" t="s">
        <v>58</v>
      </c>
      <c r="F688" s="2" t="s">
        <v>59</v>
      </c>
      <c r="G688" s="2" t="s">
        <v>129</v>
      </c>
      <c r="H688" s="2" t="s">
        <v>704</v>
      </c>
      <c r="I688" s="2" t="s">
        <v>30</v>
      </c>
      <c r="J688" s="2">
        <v>173</v>
      </c>
      <c r="K688" s="2">
        <v>633.85</v>
      </c>
      <c r="L688" s="2">
        <v>1003.92</v>
      </c>
      <c r="M688" s="2">
        <v>173678.16</v>
      </c>
      <c r="N688" s="2">
        <v>109656.05</v>
      </c>
      <c r="O688" s="2">
        <v>64022.11</v>
      </c>
      <c r="P688" s="2" t="s">
        <v>31</v>
      </c>
      <c r="Q688" s="2" t="s">
        <v>63</v>
      </c>
      <c r="R688" s="2">
        <v>3</v>
      </c>
      <c r="S688" s="2" t="s">
        <v>33</v>
      </c>
      <c r="T688" s="2">
        <v>2119</v>
      </c>
      <c r="U688" s="2">
        <v>8</v>
      </c>
      <c r="V688" s="2"/>
    </row>
    <row r="689" spans="1:22" x14ac:dyDescent="0.35">
      <c r="A689" s="3" t="s">
        <v>2161</v>
      </c>
      <c r="B689" s="3" t="s">
        <v>81</v>
      </c>
      <c r="C689" s="3" t="s">
        <v>630</v>
      </c>
      <c r="D689" s="3" t="s">
        <v>2162</v>
      </c>
      <c r="E689" s="3" t="s">
        <v>58</v>
      </c>
      <c r="F689" s="3" t="s">
        <v>259</v>
      </c>
      <c r="G689" s="3" t="s">
        <v>78</v>
      </c>
      <c r="H689" s="3" t="s">
        <v>481</v>
      </c>
      <c r="I689" s="3" t="s">
        <v>118</v>
      </c>
      <c r="J689" s="3">
        <v>324</v>
      </c>
      <c r="K689" s="3">
        <v>585.84</v>
      </c>
      <c r="L689" s="3">
        <v>701.9</v>
      </c>
      <c r="M689" s="3">
        <v>227415.6</v>
      </c>
      <c r="N689" s="3">
        <v>189812.16</v>
      </c>
      <c r="O689" s="3">
        <v>37603.440000000002</v>
      </c>
      <c r="P689" s="3" t="s">
        <v>95</v>
      </c>
      <c r="Q689" s="3" t="s">
        <v>32</v>
      </c>
      <c r="R689" s="3">
        <v>11</v>
      </c>
      <c r="S689" s="3" t="s">
        <v>158</v>
      </c>
      <c r="T689" s="3">
        <v>2472</v>
      </c>
      <c r="U689" s="3">
        <v>0</v>
      </c>
      <c r="V689" s="3"/>
    </row>
    <row r="690" spans="1:22" x14ac:dyDescent="0.35">
      <c r="A690" s="2" t="s">
        <v>2163</v>
      </c>
      <c r="B690" s="2" t="s">
        <v>55</v>
      </c>
      <c r="C690" s="2" t="s">
        <v>394</v>
      </c>
      <c r="D690" s="2" t="s">
        <v>2164</v>
      </c>
      <c r="E690" s="2" t="s">
        <v>100</v>
      </c>
      <c r="F690" s="2" t="s">
        <v>101</v>
      </c>
      <c r="G690" s="2" t="s">
        <v>93</v>
      </c>
      <c r="H690" s="2" t="s">
        <v>1442</v>
      </c>
      <c r="I690" s="2" t="s">
        <v>153</v>
      </c>
      <c r="J690" s="2">
        <v>204</v>
      </c>
      <c r="K690" s="2">
        <v>1155.03</v>
      </c>
      <c r="L690" s="2">
        <v>1670.55</v>
      </c>
      <c r="M690" s="2">
        <v>340792.2</v>
      </c>
      <c r="N690" s="2">
        <v>235626.12</v>
      </c>
      <c r="O690" s="2">
        <v>105166.08</v>
      </c>
      <c r="P690" s="2" t="s">
        <v>31</v>
      </c>
      <c r="Q690" s="2" t="s">
        <v>32</v>
      </c>
      <c r="R690" s="2">
        <v>11</v>
      </c>
      <c r="S690" s="2" t="s">
        <v>33</v>
      </c>
      <c r="T690" s="2">
        <v>3224</v>
      </c>
      <c r="U690" s="2">
        <v>3</v>
      </c>
      <c r="V690" s="2"/>
    </row>
    <row r="691" spans="1:22" x14ac:dyDescent="0.35">
      <c r="A691" s="3" t="s">
        <v>2165</v>
      </c>
      <c r="B691" s="3" t="s">
        <v>1103</v>
      </c>
      <c r="C691" s="3" t="s">
        <v>2166</v>
      </c>
      <c r="D691" s="3" t="s">
        <v>2167</v>
      </c>
      <c r="E691" s="3" t="s">
        <v>100</v>
      </c>
      <c r="F691" s="3" t="s">
        <v>330</v>
      </c>
      <c r="G691" s="3" t="s">
        <v>93</v>
      </c>
      <c r="H691" s="3" t="s">
        <v>94</v>
      </c>
      <c r="I691" s="3" t="s">
        <v>153</v>
      </c>
      <c r="J691" s="3">
        <v>687</v>
      </c>
      <c r="K691" s="3">
        <v>528.19000000000005</v>
      </c>
      <c r="L691" s="3">
        <v>809.82</v>
      </c>
      <c r="M691" s="3">
        <v>556346.34</v>
      </c>
      <c r="N691" s="3">
        <v>362866.53</v>
      </c>
      <c r="O691" s="3">
        <v>193479.81</v>
      </c>
      <c r="P691" s="3" t="s">
        <v>42</v>
      </c>
      <c r="Q691" s="3" t="s">
        <v>32</v>
      </c>
      <c r="R691" s="3">
        <v>14</v>
      </c>
      <c r="S691" s="3" t="s">
        <v>33</v>
      </c>
      <c r="T691" s="3">
        <v>1970</v>
      </c>
      <c r="U691" s="3">
        <v>28</v>
      </c>
      <c r="V691" s="3"/>
    </row>
    <row r="692" spans="1:22" x14ac:dyDescent="0.35">
      <c r="A692" s="2" t="s">
        <v>2168</v>
      </c>
      <c r="B692" s="2" t="s">
        <v>1375</v>
      </c>
      <c r="C692" s="2" t="s">
        <v>36</v>
      </c>
      <c r="D692" s="2" t="s">
        <v>2169</v>
      </c>
      <c r="E692" s="2" t="s">
        <v>26</v>
      </c>
      <c r="F692" s="2" t="s">
        <v>38</v>
      </c>
      <c r="G692" s="2" t="s">
        <v>60</v>
      </c>
      <c r="H692" s="2" t="s">
        <v>164</v>
      </c>
      <c r="I692" s="2" t="s">
        <v>240</v>
      </c>
      <c r="J692" s="2">
        <v>149</v>
      </c>
      <c r="K692" s="2">
        <v>750.62</v>
      </c>
      <c r="L692" s="2">
        <v>1033.3900000000001</v>
      </c>
      <c r="M692" s="2">
        <v>153975.10999999999</v>
      </c>
      <c r="N692" s="2">
        <v>111842.38</v>
      </c>
      <c r="O692" s="2">
        <v>42132.73</v>
      </c>
      <c r="P692" s="2" t="s">
        <v>95</v>
      </c>
      <c r="Q692" s="2" t="s">
        <v>32</v>
      </c>
      <c r="R692" s="2">
        <v>12</v>
      </c>
      <c r="S692" s="2" t="s">
        <v>158</v>
      </c>
      <c r="T692" s="2">
        <v>2140</v>
      </c>
      <c r="U692" s="2">
        <v>6</v>
      </c>
      <c r="V692" s="2"/>
    </row>
    <row r="693" spans="1:22" x14ac:dyDescent="0.35">
      <c r="A693" s="3" t="s">
        <v>2170</v>
      </c>
      <c r="B693" s="3" t="s">
        <v>2011</v>
      </c>
      <c r="C693" s="3" t="s">
        <v>2171</v>
      </c>
      <c r="D693" s="3" t="s">
        <v>2172</v>
      </c>
      <c r="E693" s="3" t="s">
        <v>2173</v>
      </c>
      <c r="F693" s="3" t="s">
        <v>116</v>
      </c>
      <c r="G693" s="3" t="s">
        <v>60</v>
      </c>
      <c r="H693" s="3" t="s">
        <v>61</v>
      </c>
      <c r="I693" s="3" t="s">
        <v>41</v>
      </c>
      <c r="J693" s="3">
        <v>71</v>
      </c>
      <c r="K693" s="3">
        <v>335.59</v>
      </c>
      <c r="L693" s="3">
        <v>393.55</v>
      </c>
      <c r="M693" s="3">
        <v>27942.05</v>
      </c>
      <c r="N693" s="3">
        <v>23826.89</v>
      </c>
      <c r="O693" s="3">
        <v>4115.16</v>
      </c>
      <c r="P693" s="3" t="s">
        <v>52</v>
      </c>
      <c r="Q693" s="3" t="s">
        <v>63</v>
      </c>
      <c r="R693" s="3">
        <v>5</v>
      </c>
      <c r="S693" s="3" t="s">
        <v>158</v>
      </c>
      <c r="T693" s="3">
        <v>1834</v>
      </c>
      <c r="U693" s="3">
        <v>1</v>
      </c>
      <c r="V693" s="3"/>
    </row>
    <row r="694" spans="1:22" x14ac:dyDescent="0.35">
      <c r="A694" s="2" t="s">
        <v>2174</v>
      </c>
      <c r="B694" s="2" t="s">
        <v>1246</v>
      </c>
      <c r="C694" s="2" t="s">
        <v>1474</v>
      </c>
      <c r="D694" s="2" t="s">
        <v>2175</v>
      </c>
      <c r="E694" s="2" t="s">
        <v>68</v>
      </c>
      <c r="F694" s="2" t="s">
        <v>146</v>
      </c>
      <c r="G694" s="2" t="s">
        <v>189</v>
      </c>
      <c r="H694" s="2" t="s">
        <v>365</v>
      </c>
      <c r="I694" s="2" t="s">
        <v>72</v>
      </c>
      <c r="J694" s="2">
        <v>244</v>
      </c>
      <c r="K694" s="2">
        <v>1154</v>
      </c>
      <c r="L694" s="2">
        <v>1858.83</v>
      </c>
      <c r="M694" s="2">
        <v>453554.52</v>
      </c>
      <c r="N694" s="2">
        <v>281576</v>
      </c>
      <c r="O694" s="2">
        <v>171978.52</v>
      </c>
      <c r="P694" s="2" t="s">
        <v>42</v>
      </c>
      <c r="Q694" s="2" t="s">
        <v>32</v>
      </c>
      <c r="R694" s="2">
        <v>10</v>
      </c>
      <c r="S694" s="2" t="s">
        <v>43</v>
      </c>
      <c r="T694" s="2">
        <v>499</v>
      </c>
      <c r="U694" s="2">
        <v>7</v>
      </c>
      <c r="V694" s="2"/>
    </row>
    <row r="695" spans="1:22" x14ac:dyDescent="0.35">
      <c r="A695" s="3" t="s">
        <v>361</v>
      </c>
      <c r="B695" s="3" t="s">
        <v>362</v>
      </c>
      <c r="C695" s="3" t="s">
        <v>363</v>
      </c>
      <c r="D695" s="3" t="s">
        <v>364</v>
      </c>
      <c r="E695" s="3" t="s">
        <v>58</v>
      </c>
      <c r="F695" s="3" t="s">
        <v>59</v>
      </c>
      <c r="G695" s="3" t="s">
        <v>189</v>
      </c>
      <c r="H695" s="3" t="s">
        <v>365</v>
      </c>
      <c r="I695" s="3" t="s">
        <v>293</v>
      </c>
      <c r="J695" s="3">
        <v>536</v>
      </c>
      <c r="K695" s="3">
        <v>195.55</v>
      </c>
      <c r="L695" s="3">
        <v>318.19</v>
      </c>
      <c r="M695" s="3">
        <v>170549.84</v>
      </c>
      <c r="N695" s="3">
        <v>104814.8</v>
      </c>
      <c r="O695" s="3">
        <v>65735.039999999994</v>
      </c>
      <c r="P695" s="3" t="s">
        <v>52</v>
      </c>
      <c r="Q695" s="3" t="s">
        <v>32</v>
      </c>
      <c r="R695" s="3">
        <v>6</v>
      </c>
      <c r="S695" s="3" t="s">
        <v>112</v>
      </c>
      <c r="T695" s="4"/>
      <c r="U695" s="3">
        <v>16</v>
      </c>
      <c r="V695" s="3"/>
    </row>
    <row r="696" spans="1:22" x14ac:dyDescent="0.35">
      <c r="A696" s="2" t="s">
        <v>2176</v>
      </c>
      <c r="B696" s="2" t="s">
        <v>362</v>
      </c>
      <c r="C696" s="2" t="s">
        <v>308</v>
      </c>
      <c r="D696" s="2" t="s">
        <v>2177</v>
      </c>
      <c r="E696" s="2" t="s">
        <v>26</v>
      </c>
      <c r="F696" s="2" t="s">
        <v>228</v>
      </c>
      <c r="G696" s="2" t="s">
        <v>78</v>
      </c>
      <c r="H696" s="2" t="s">
        <v>79</v>
      </c>
      <c r="I696" s="2" t="s">
        <v>153</v>
      </c>
      <c r="J696" s="2">
        <v>344</v>
      </c>
      <c r="K696" s="2">
        <v>711.55</v>
      </c>
      <c r="L696" s="2">
        <v>1039.6500000000001</v>
      </c>
      <c r="M696" s="2">
        <v>357639.6</v>
      </c>
      <c r="N696" s="2">
        <v>244773.2</v>
      </c>
      <c r="O696" s="2">
        <v>112866.4</v>
      </c>
      <c r="P696" s="2" t="s">
        <v>31</v>
      </c>
      <c r="Q696" s="2" t="s">
        <v>32</v>
      </c>
      <c r="R696" s="2">
        <v>14</v>
      </c>
      <c r="S696" s="2" t="s">
        <v>158</v>
      </c>
      <c r="T696" s="2">
        <v>2422</v>
      </c>
      <c r="U696" s="2">
        <v>13</v>
      </c>
      <c r="V696" s="2"/>
    </row>
    <row r="697" spans="1:22" x14ac:dyDescent="0.35">
      <c r="A697" s="3" t="s">
        <v>2178</v>
      </c>
      <c r="B697" s="3" t="s">
        <v>1632</v>
      </c>
      <c r="C697" s="3" t="s">
        <v>423</v>
      </c>
      <c r="D697" s="3" t="s">
        <v>2179</v>
      </c>
      <c r="E697" s="3" t="s">
        <v>100</v>
      </c>
      <c r="F697" s="3" t="s">
        <v>330</v>
      </c>
      <c r="G697" s="3" t="s">
        <v>78</v>
      </c>
      <c r="H697" s="3" t="s">
        <v>123</v>
      </c>
      <c r="I697" s="3" t="s">
        <v>118</v>
      </c>
      <c r="J697" s="3">
        <v>282</v>
      </c>
      <c r="K697" s="3">
        <v>820.59</v>
      </c>
      <c r="L697" s="3">
        <v>1111.04</v>
      </c>
      <c r="M697" s="3">
        <v>313313.28000000003</v>
      </c>
      <c r="N697" s="3">
        <v>231406.38</v>
      </c>
      <c r="O697" s="3">
        <v>81906.899999999994</v>
      </c>
      <c r="P697" s="3" t="s">
        <v>31</v>
      </c>
      <c r="Q697" s="3" t="s">
        <v>63</v>
      </c>
      <c r="R697" s="3">
        <v>1</v>
      </c>
      <c r="S697" s="3" t="s">
        <v>112</v>
      </c>
      <c r="T697" s="3">
        <v>4208</v>
      </c>
      <c r="U697" s="3">
        <v>5</v>
      </c>
      <c r="V697" s="3"/>
    </row>
    <row r="698" spans="1:22" x14ac:dyDescent="0.35">
      <c r="A698" s="2" t="s">
        <v>2180</v>
      </c>
      <c r="B698" s="2" t="s">
        <v>499</v>
      </c>
      <c r="C698" s="2" t="s">
        <v>1934</v>
      </c>
      <c r="D698" s="2" t="s">
        <v>2181</v>
      </c>
      <c r="E698" s="2" t="s">
        <v>48</v>
      </c>
      <c r="F698" s="2" t="s">
        <v>183</v>
      </c>
      <c r="G698" s="2" t="s">
        <v>39</v>
      </c>
      <c r="H698" s="2" t="s">
        <v>354</v>
      </c>
      <c r="I698" s="2" t="s">
        <v>153</v>
      </c>
      <c r="J698" s="2">
        <v>582</v>
      </c>
      <c r="K698" s="2">
        <v>128.30000000000001</v>
      </c>
      <c r="L698" s="2">
        <v>177.92</v>
      </c>
      <c r="M698" s="2">
        <v>103549.44</v>
      </c>
      <c r="N698" s="2">
        <v>74670.600000000006</v>
      </c>
      <c r="O698" s="2">
        <v>28878.84</v>
      </c>
      <c r="P698" s="2" t="s">
        <v>42</v>
      </c>
      <c r="Q698" s="2" t="s">
        <v>32</v>
      </c>
      <c r="R698" s="2">
        <v>9</v>
      </c>
      <c r="S698" s="2" t="s">
        <v>53</v>
      </c>
      <c r="T698" s="2">
        <v>2287</v>
      </c>
      <c r="U698" s="2">
        <v>25</v>
      </c>
      <c r="V698" s="2"/>
    </row>
    <row r="699" spans="1:22" x14ac:dyDescent="0.35">
      <c r="A699" s="3" t="s">
        <v>2182</v>
      </c>
      <c r="B699" s="3" t="s">
        <v>1995</v>
      </c>
      <c r="C699" s="3" t="s">
        <v>1775</v>
      </c>
      <c r="D699" s="3" t="s">
        <v>2183</v>
      </c>
      <c r="E699" s="3" t="s">
        <v>26</v>
      </c>
      <c r="F699" s="3" t="s">
        <v>27</v>
      </c>
      <c r="G699" s="3" t="s">
        <v>39</v>
      </c>
      <c r="H699" s="3" t="s">
        <v>527</v>
      </c>
      <c r="I699" s="3" t="s">
        <v>293</v>
      </c>
      <c r="J699" s="3">
        <v>130</v>
      </c>
      <c r="K699" s="3">
        <v>1126.73</v>
      </c>
      <c r="L699" s="3">
        <v>1802.2</v>
      </c>
      <c r="M699" s="3">
        <v>234286</v>
      </c>
      <c r="N699" s="3">
        <v>146474.9</v>
      </c>
      <c r="O699" s="3">
        <v>87811.1</v>
      </c>
      <c r="P699" s="3" t="s">
        <v>95</v>
      </c>
      <c r="Q699" s="3" t="s">
        <v>32</v>
      </c>
      <c r="R699" s="3">
        <v>13</v>
      </c>
      <c r="S699" s="3" t="s">
        <v>86</v>
      </c>
      <c r="T699" s="3">
        <v>1405</v>
      </c>
      <c r="U699" s="3">
        <v>5</v>
      </c>
      <c r="V699" s="3"/>
    </row>
    <row r="700" spans="1:22" x14ac:dyDescent="0.35">
      <c r="A700" s="2" t="s">
        <v>2184</v>
      </c>
      <c r="B700" s="2" t="s">
        <v>347</v>
      </c>
      <c r="C700" s="2" t="s">
        <v>532</v>
      </c>
      <c r="D700" s="2" t="s">
        <v>2185</v>
      </c>
      <c r="E700" s="2" t="s">
        <v>26</v>
      </c>
      <c r="F700" s="2" t="s">
        <v>228</v>
      </c>
      <c r="G700" s="2" t="s">
        <v>60</v>
      </c>
      <c r="H700" s="2" t="s">
        <v>539</v>
      </c>
      <c r="I700" s="2" t="s">
        <v>30</v>
      </c>
      <c r="J700" s="2">
        <v>493</v>
      </c>
      <c r="K700" s="2">
        <v>640.55999999999995</v>
      </c>
      <c r="L700" s="2">
        <v>920.64</v>
      </c>
      <c r="M700" s="2">
        <v>453875.52</v>
      </c>
      <c r="N700" s="2">
        <v>315796.08</v>
      </c>
      <c r="O700" s="2">
        <v>138079.44</v>
      </c>
      <c r="P700" s="2" t="s">
        <v>31</v>
      </c>
      <c r="Q700" s="2" t="s">
        <v>32</v>
      </c>
      <c r="R700" s="2">
        <v>15</v>
      </c>
      <c r="S700" s="2" t="s">
        <v>86</v>
      </c>
      <c r="T700" s="2">
        <v>2522</v>
      </c>
      <c r="U700" s="2">
        <v>3</v>
      </c>
      <c r="V700" s="2"/>
    </row>
    <row r="701" spans="1:22" x14ac:dyDescent="0.35">
      <c r="A701" s="3" t="s">
        <v>2186</v>
      </c>
      <c r="B701" s="3" t="s">
        <v>950</v>
      </c>
      <c r="C701" s="3" t="s">
        <v>2042</v>
      </c>
      <c r="D701" s="3" t="s">
        <v>115</v>
      </c>
      <c r="E701" s="3" t="s">
        <v>68</v>
      </c>
      <c r="F701" s="3" t="s">
        <v>163</v>
      </c>
      <c r="G701" s="3" t="s">
        <v>39</v>
      </c>
      <c r="H701" s="3" t="s">
        <v>147</v>
      </c>
      <c r="I701" s="3" t="s">
        <v>124</v>
      </c>
      <c r="J701" s="3">
        <v>797</v>
      </c>
      <c r="K701" s="3">
        <v>8.6999999999999993</v>
      </c>
      <c r="L701" s="3">
        <v>14.07</v>
      </c>
      <c r="M701" s="3">
        <v>11213.79</v>
      </c>
      <c r="N701" s="3">
        <v>6933.9</v>
      </c>
      <c r="O701" s="3">
        <v>4279.8900000000003</v>
      </c>
      <c r="P701" s="3" t="s">
        <v>52</v>
      </c>
      <c r="Q701" s="3" t="s">
        <v>32</v>
      </c>
      <c r="R701" s="3">
        <v>8</v>
      </c>
      <c r="S701" s="3" t="s">
        <v>53</v>
      </c>
      <c r="T701" s="3">
        <v>3612</v>
      </c>
      <c r="U701" s="3">
        <v>12</v>
      </c>
      <c r="V701" s="3"/>
    </row>
    <row r="702" spans="1:22" x14ac:dyDescent="0.35">
      <c r="A702" s="2" t="s">
        <v>2187</v>
      </c>
      <c r="B702" s="2" t="s">
        <v>1232</v>
      </c>
      <c r="C702" s="2" t="s">
        <v>379</v>
      </c>
      <c r="D702" s="2" t="s">
        <v>1190</v>
      </c>
      <c r="E702" s="2" t="s">
        <v>48</v>
      </c>
      <c r="F702" s="2" t="s">
        <v>270</v>
      </c>
      <c r="G702" s="2" t="s">
        <v>129</v>
      </c>
      <c r="H702" s="2" t="s">
        <v>130</v>
      </c>
      <c r="I702" s="2" t="s">
        <v>41</v>
      </c>
      <c r="J702" s="2">
        <v>695</v>
      </c>
      <c r="K702" s="2">
        <v>539.28</v>
      </c>
      <c r="L702" s="2">
        <v>853.11</v>
      </c>
      <c r="M702" s="2">
        <v>592911.44999999995</v>
      </c>
      <c r="N702" s="2">
        <v>374799.6</v>
      </c>
      <c r="O702" s="4"/>
      <c r="P702" s="2" t="s">
        <v>31</v>
      </c>
      <c r="Q702" s="2" t="s">
        <v>63</v>
      </c>
      <c r="R702" s="2">
        <v>4</v>
      </c>
      <c r="S702" s="2" t="s">
        <v>86</v>
      </c>
      <c r="T702" s="2">
        <v>4127</v>
      </c>
      <c r="U702" s="2">
        <v>18</v>
      </c>
      <c r="V702" s="2"/>
    </row>
    <row r="703" spans="1:22" x14ac:dyDescent="0.35">
      <c r="A703" s="3" t="s">
        <v>2188</v>
      </c>
      <c r="B703" s="3" t="s">
        <v>246</v>
      </c>
      <c r="C703" s="3" t="s">
        <v>1027</v>
      </c>
      <c r="D703" s="3" t="s">
        <v>67</v>
      </c>
      <c r="E703" s="3" t="s">
        <v>48</v>
      </c>
      <c r="F703" s="3" t="s">
        <v>49</v>
      </c>
      <c r="G703" s="3" t="s">
        <v>78</v>
      </c>
      <c r="H703" s="3" t="s">
        <v>178</v>
      </c>
      <c r="I703" s="3" t="s">
        <v>41</v>
      </c>
      <c r="J703" s="3">
        <v>292</v>
      </c>
      <c r="K703" s="3">
        <v>175.07</v>
      </c>
      <c r="L703" s="3">
        <v>212.31</v>
      </c>
      <c r="M703" s="3">
        <v>61994.52</v>
      </c>
      <c r="N703" s="3">
        <v>51120.44</v>
      </c>
      <c r="O703" s="3">
        <v>10874.08</v>
      </c>
      <c r="P703" s="3" t="s">
        <v>52</v>
      </c>
      <c r="Q703" s="3" t="s">
        <v>906</v>
      </c>
      <c r="R703" s="3">
        <v>13</v>
      </c>
      <c r="S703" s="3" t="s">
        <v>112</v>
      </c>
      <c r="T703" s="3">
        <v>1221</v>
      </c>
      <c r="U703" s="3">
        <v>12</v>
      </c>
      <c r="V703" s="3"/>
    </row>
    <row r="704" spans="1:22" x14ac:dyDescent="0.35">
      <c r="A704" s="2" t="s">
        <v>2189</v>
      </c>
      <c r="B704" s="2" t="s">
        <v>719</v>
      </c>
      <c r="C704" s="2" t="s">
        <v>701</v>
      </c>
      <c r="D704" s="2" t="s">
        <v>2190</v>
      </c>
      <c r="E704" s="2" t="s">
        <v>58</v>
      </c>
      <c r="F704" s="2" t="s">
        <v>259</v>
      </c>
      <c r="G704" s="2" t="s">
        <v>78</v>
      </c>
      <c r="H704" s="2" t="s">
        <v>425</v>
      </c>
      <c r="I704" s="2" t="s">
        <v>118</v>
      </c>
      <c r="J704" s="2">
        <v>702</v>
      </c>
      <c r="K704" s="2">
        <v>930.3</v>
      </c>
      <c r="L704" s="2">
        <v>1448.76</v>
      </c>
      <c r="M704" s="2">
        <v>1017029.52</v>
      </c>
      <c r="N704" s="2">
        <v>653070.6</v>
      </c>
      <c r="O704" s="2">
        <v>363958.92</v>
      </c>
      <c r="P704" s="2" t="s">
        <v>31</v>
      </c>
      <c r="Q704" s="2" t="s">
        <v>63</v>
      </c>
      <c r="R704" s="2">
        <v>1</v>
      </c>
      <c r="S704" s="2" t="s">
        <v>53</v>
      </c>
      <c r="T704" s="2">
        <v>3519</v>
      </c>
      <c r="U704" s="2">
        <v>11</v>
      </c>
      <c r="V704" s="2"/>
    </row>
    <row r="705" spans="1:22" x14ac:dyDescent="0.35">
      <c r="A705" s="3" t="s">
        <v>2191</v>
      </c>
      <c r="B705" s="3" t="s">
        <v>645</v>
      </c>
      <c r="C705" s="3" t="s">
        <v>2192</v>
      </c>
      <c r="D705" s="3" t="s">
        <v>2193</v>
      </c>
      <c r="E705" s="3" t="s">
        <v>26</v>
      </c>
      <c r="F705" s="3" t="s">
        <v>27</v>
      </c>
      <c r="G705" s="3" t="s">
        <v>93</v>
      </c>
      <c r="H705" s="3" t="s">
        <v>140</v>
      </c>
      <c r="I705" s="3" t="s">
        <v>41</v>
      </c>
      <c r="J705" s="3">
        <v>93</v>
      </c>
      <c r="K705" s="3">
        <v>146.28</v>
      </c>
      <c r="L705" s="3">
        <v>222.75</v>
      </c>
      <c r="M705" s="3">
        <v>20715.75</v>
      </c>
      <c r="N705" s="3">
        <v>13604.04</v>
      </c>
      <c r="O705" s="3">
        <v>7111.71</v>
      </c>
      <c r="P705" s="3" t="s">
        <v>31</v>
      </c>
      <c r="Q705" s="3" t="s">
        <v>32</v>
      </c>
      <c r="R705" s="3">
        <v>7</v>
      </c>
      <c r="S705" s="3" t="s">
        <v>33</v>
      </c>
      <c r="T705" s="3">
        <v>4103</v>
      </c>
      <c r="U705" s="3">
        <v>2</v>
      </c>
      <c r="V705" s="3"/>
    </row>
    <row r="706" spans="1:22" x14ac:dyDescent="0.35">
      <c r="A706" s="2" t="s">
        <v>2194</v>
      </c>
      <c r="B706" s="2" t="s">
        <v>488</v>
      </c>
      <c r="C706" s="2" t="s">
        <v>941</v>
      </c>
      <c r="D706" s="2" t="s">
        <v>2195</v>
      </c>
      <c r="E706" s="2" t="s">
        <v>26</v>
      </c>
      <c r="F706" s="2" t="s">
        <v>77</v>
      </c>
      <c r="G706" s="2" t="s">
        <v>39</v>
      </c>
      <c r="H706" s="2" t="s">
        <v>412</v>
      </c>
      <c r="I706" s="2" t="s">
        <v>141</v>
      </c>
      <c r="J706" s="2">
        <v>768</v>
      </c>
      <c r="K706" s="4"/>
      <c r="L706" s="2">
        <v>1467.45</v>
      </c>
      <c r="M706" s="2">
        <v>1127001.6000000001</v>
      </c>
      <c r="N706" s="2">
        <v>757639.68000000005</v>
      </c>
      <c r="O706" s="2">
        <v>369361.91999999998</v>
      </c>
      <c r="P706" s="2" t="s">
        <v>95</v>
      </c>
      <c r="Q706" s="2" t="s">
        <v>32</v>
      </c>
      <c r="R706" s="2">
        <v>8</v>
      </c>
      <c r="S706" s="2" t="s">
        <v>86</v>
      </c>
      <c r="T706" s="2">
        <v>2072</v>
      </c>
      <c r="U706" s="2">
        <v>10</v>
      </c>
      <c r="V706" s="2"/>
    </row>
    <row r="707" spans="1:22" x14ac:dyDescent="0.35">
      <c r="A707" s="3" t="s">
        <v>2196</v>
      </c>
      <c r="B707" s="3" t="s">
        <v>313</v>
      </c>
      <c r="C707" s="3" t="s">
        <v>581</v>
      </c>
      <c r="D707" s="3" t="s">
        <v>2197</v>
      </c>
      <c r="E707" s="3" t="s">
        <v>26</v>
      </c>
      <c r="F707" s="3" t="s">
        <v>77</v>
      </c>
      <c r="G707" s="3" t="s">
        <v>70</v>
      </c>
      <c r="H707" s="3" t="s">
        <v>1019</v>
      </c>
      <c r="I707" s="3" t="s">
        <v>293</v>
      </c>
      <c r="J707" s="3">
        <v>257</v>
      </c>
      <c r="K707" s="3">
        <v>1146.54</v>
      </c>
      <c r="L707" s="3">
        <v>1492.32</v>
      </c>
      <c r="M707" s="3">
        <v>383526.24</v>
      </c>
      <c r="N707" s="3">
        <v>294660.78000000003</v>
      </c>
      <c r="O707" s="3">
        <v>88865.46</v>
      </c>
      <c r="P707" s="3" t="s">
        <v>95</v>
      </c>
      <c r="Q707" s="3" t="s">
        <v>63</v>
      </c>
      <c r="R707" s="3">
        <v>3</v>
      </c>
      <c r="S707" s="3" t="s">
        <v>43</v>
      </c>
      <c r="T707" s="3">
        <v>3895</v>
      </c>
      <c r="U707" s="3">
        <v>1</v>
      </c>
      <c r="V707" s="3"/>
    </row>
    <row r="708" spans="1:22" x14ac:dyDescent="0.35">
      <c r="A708" s="2" t="s">
        <v>2198</v>
      </c>
      <c r="B708" s="2" t="s">
        <v>510</v>
      </c>
      <c r="C708" s="2" t="s">
        <v>2199</v>
      </c>
      <c r="D708" s="2" t="s">
        <v>2200</v>
      </c>
      <c r="E708" s="2" t="s">
        <v>26</v>
      </c>
      <c r="F708" s="4"/>
      <c r="G708" s="2" t="s">
        <v>217</v>
      </c>
      <c r="H708" s="2" t="s">
        <v>218</v>
      </c>
      <c r="I708" s="2" t="s">
        <v>141</v>
      </c>
      <c r="J708" s="2">
        <v>279</v>
      </c>
      <c r="K708" s="2">
        <v>129.93</v>
      </c>
      <c r="L708" s="2">
        <v>185.42</v>
      </c>
      <c r="M708" s="2">
        <v>51732.18</v>
      </c>
      <c r="N708" s="2">
        <v>36250.47</v>
      </c>
      <c r="O708" s="2">
        <v>15481.71</v>
      </c>
      <c r="P708" s="2" t="s">
        <v>52</v>
      </c>
      <c r="Q708" s="2" t="s">
        <v>63</v>
      </c>
      <c r="R708" s="2">
        <v>5</v>
      </c>
      <c r="S708" s="2" t="s">
        <v>33</v>
      </c>
      <c r="T708" s="2">
        <v>4762</v>
      </c>
      <c r="U708" s="2">
        <v>4</v>
      </c>
      <c r="V708" s="2"/>
    </row>
    <row r="709" spans="1:22" x14ac:dyDescent="0.35">
      <c r="A709" s="3" t="s">
        <v>2201</v>
      </c>
      <c r="B709" s="3" t="s">
        <v>1298</v>
      </c>
      <c r="C709" s="3" t="s">
        <v>448</v>
      </c>
      <c r="D709" s="3" t="s">
        <v>2202</v>
      </c>
      <c r="E709" s="3" t="s">
        <v>58</v>
      </c>
      <c r="F709" s="3" t="s">
        <v>59</v>
      </c>
      <c r="G709" s="3" t="s">
        <v>50</v>
      </c>
      <c r="H709" s="3" t="s">
        <v>117</v>
      </c>
      <c r="I709" s="4"/>
      <c r="J709" s="3">
        <v>313</v>
      </c>
      <c r="K709" s="3">
        <v>432.01</v>
      </c>
      <c r="L709" s="3">
        <v>583.91</v>
      </c>
      <c r="M709" s="3">
        <v>182763.83</v>
      </c>
      <c r="N709" s="3">
        <v>135219.13</v>
      </c>
      <c r="O709" s="3">
        <v>47544.7</v>
      </c>
      <c r="P709" s="3" t="s">
        <v>42</v>
      </c>
      <c r="Q709" s="3" t="s">
        <v>32</v>
      </c>
      <c r="R709" s="3">
        <v>13</v>
      </c>
      <c r="S709" s="3" t="s">
        <v>86</v>
      </c>
      <c r="T709" s="3">
        <v>901</v>
      </c>
      <c r="U709" s="3">
        <v>8</v>
      </c>
      <c r="V709" s="3"/>
    </row>
    <row r="710" spans="1:22" x14ac:dyDescent="0.35">
      <c r="A710" s="2" t="s">
        <v>2203</v>
      </c>
      <c r="B710" s="2" t="s">
        <v>1538</v>
      </c>
      <c r="C710" s="2" t="s">
        <v>513</v>
      </c>
      <c r="D710" s="2" t="s">
        <v>2204</v>
      </c>
      <c r="E710" s="2" t="s">
        <v>48</v>
      </c>
      <c r="F710" s="2" t="s">
        <v>49</v>
      </c>
      <c r="G710" s="2" t="s">
        <v>60</v>
      </c>
      <c r="H710" s="2" t="s">
        <v>61</v>
      </c>
      <c r="I710" s="2" t="s">
        <v>1030</v>
      </c>
      <c r="J710" s="2">
        <v>393</v>
      </c>
      <c r="K710" s="2">
        <v>406.21</v>
      </c>
      <c r="L710" s="2">
        <v>497.51</v>
      </c>
      <c r="M710" s="2">
        <v>195521.43</v>
      </c>
      <c r="N710" s="2">
        <v>159640.53</v>
      </c>
      <c r="O710" s="2">
        <v>35880.9</v>
      </c>
      <c r="P710" s="2" t="s">
        <v>95</v>
      </c>
      <c r="Q710" s="2" t="s">
        <v>32</v>
      </c>
      <c r="R710" s="2">
        <v>11</v>
      </c>
      <c r="S710" s="2" t="s">
        <v>43</v>
      </c>
      <c r="T710" s="2">
        <v>2419</v>
      </c>
      <c r="U710" s="2">
        <v>6</v>
      </c>
      <c r="V710" s="2"/>
    </row>
    <row r="711" spans="1:22" x14ac:dyDescent="0.35">
      <c r="A711" s="3" t="s">
        <v>2205</v>
      </c>
      <c r="B711" s="3" t="s">
        <v>2206</v>
      </c>
      <c r="C711" s="3" t="s">
        <v>1192</v>
      </c>
      <c r="D711" s="3" t="s">
        <v>2207</v>
      </c>
      <c r="E711" s="3" t="s">
        <v>100</v>
      </c>
      <c r="F711" s="3" t="s">
        <v>330</v>
      </c>
      <c r="G711" s="3" t="s">
        <v>28</v>
      </c>
      <c r="H711" s="3" t="s">
        <v>714</v>
      </c>
      <c r="I711" s="3" t="s">
        <v>240</v>
      </c>
      <c r="J711" s="3">
        <v>85</v>
      </c>
      <c r="K711" s="3">
        <v>304.10000000000002</v>
      </c>
      <c r="L711" s="3">
        <v>485.41</v>
      </c>
      <c r="M711" s="3">
        <v>41259.85</v>
      </c>
      <c r="N711" s="3">
        <v>25848.5</v>
      </c>
      <c r="O711" s="3">
        <v>15411.35</v>
      </c>
      <c r="P711" s="3" t="s">
        <v>31</v>
      </c>
      <c r="Q711" s="3" t="s">
        <v>32</v>
      </c>
      <c r="R711" s="3">
        <v>10</v>
      </c>
      <c r="S711" s="3" t="s">
        <v>53</v>
      </c>
      <c r="T711" s="3">
        <v>943</v>
      </c>
      <c r="U711" s="3">
        <v>1</v>
      </c>
      <c r="V711" s="3"/>
    </row>
    <row r="712" spans="1:22" x14ac:dyDescent="0.35">
      <c r="A712" s="2" t="s">
        <v>2208</v>
      </c>
      <c r="B712" s="2" t="s">
        <v>351</v>
      </c>
      <c r="C712" s="2" t="s">
        <v>595</v>
      </c>
      <c r="D712" s="2" t="s">
        <v>2209</v>
      </c>
      <c r="E712" s="2" t="s">
        <v>100</v>
      </c>
      <c r="F712" s="2" t="s">
        <v>101</v>
      </c>
      <c r="G712" s="2" t="s">
        <v>78</v>
      </c>
      <c r="H712" s="2" t="s">
        <v>481</v>
      </c>
      <c r="I712" s="2" t="s">
        <v>153</v>
      </c>
      <c r="J712" s="2">
        <v>750</v>
      </c>
      <c r="K712" s="2">
        <v>134.71</v>
      </c>
      <c r="L712" s="2">
        <v>176.52</v>
      </c>
      <c r="M712" s="2">
        <v>132390</v>
      </c>
      <c r="N712" s="2">
        <v>101032.5</v>
      </c>
      <c r="O712" s="2">
        <v>31357.5</v>
      </c>
      <c r="P712" s="2" t="s">
        <v>31</v>
      </c>
      <c r="Q712" s="2" t="s">
        <v>32</v>
      </c>
      <c r="R712" s="2">
        <v>11</v>
      </c>
      <c r="S712" s="2" t="s">
        <v>112</v>
      </c>
      <c r="T712" s="2">
        <v>3991</v>
      </c>
      <c r="U712" s="2">
        <v>29</v>
      </c>
      <c r="V712" s="2"/>
    </row>
    <row r="713" spans="1:22" x14ac:dyDescent="0.35">
      <c r="A713" s="3" t="s">
        <v>2210</v>
      </c>
      <c r="B713" s="3" t="s">
        <v>440</v>
      </c>
      <c r="C713" s="3" t="s">
        <v>1090</v>
      </c>
      <c r="D713" s="3" t="s">
        <v>2211</v>
      </c>
      <c r="E713" s="3" t="s">
        <v>26</v>
      </c>
      <c r="F713" s="3" t="s">
        <v>27</v>
      </c>
      <c r="G713" s="3" t="s">
        <v>93</v>
      </c>
      <c r="H713" s="3" t="s">
        <v>321</v>
      </c>
      <c r="I713" s="3" t="s">
        <v>240</v>
      </c>
      <c r="J713" s="3">
        <v>177</v>
      </c>
      <c r="K713" s="3">
        <v>1160.3800000000001</v>
      </c>
      <c r="L713" s="3">
        <v>1632.01</v>
      </c>
      <c r="M713" s="3">
        <v>288865.77</v>
      </c>
      <c r="N713" s="3">
        <v>205387.26</v>
      </c>
      <c r="O713" s="3">
        <v>83478.509999999995</v>
      </c>
      <c r="P713" s="3" t="s">
        <v>31</v>
      </c>
      <c r="Q713" s="3" t="s">
        <v>32</v>
      </c>
      <c r="R713" s="3">
        <v>15</v>
      </c>
      <c r="S713" s="3" t="s">
        <v>43</v>
      </c>
      <c r="T713" s="3">
        <v>3311</v>
      </c>
      <c r="U713" s="3">
        <v>8</v>
      </c>
      <c r="V713" s="3"/>
    </row>
    <row r="714" spans="1:22" x14ac:dyDescent="0.35">
      <c r="A714" s="2" t="s">
        <v>2212</v>
      </c>
      <c r="B714" s="2" t="s">
        <v>614</v>
      </c>
      <c r="C714" s="2" t="s">
        <v>1046</v>
      </c>
      <c r="D714" s="4"/>
      <c r="E714" s="2" t="s">
        <v>100</v>
      </c>
      <c r="F714" s="2" t="s">
        <v>538</v>
      </c>
      <c r="G714" s="2" t="s">
        <v>28</v>
      </c>
      <c r="H714" s="2" t="s">
        <v>29</v>
      </c>
      <c r="I714" s="2" t="s">
        <v>62</v>
      </c>
      <c r="J714" s="2">
        <v>756</v>
      </c>
      <c r="K714" s="2">
        <v>108.87</v>
      </c>
      <c r="L714" s="2">
        <v>146.69999999999999</v>
      </c>
      <c r="M714" s="2">
        <v>110905.2</v>
      </c>
      <c r="N714" s="2">
        <v>82305.72</v>
      </c>
      <c r="O714" s="2">
        <v>28599.48</v>
      </c>
      <c r="P714" s="2" t="s">
        <v>31</v>
      </c>
      <c r="Q714" s="2" t="s">
        <v>63</v>
      </c>
      <c r="R714" s="2">
        <v>5</v>
      </c>
      <c r="S714" s="2" t="s">
        <v>86</v>
      </c>
      <c r="T714" s="2">
        <v>503</v>
      </c>
      <c r="U714" s="2">
        <v>26</v>
      </c>
      <c r="V714" s="2"/>
    </row>
    <row r="715" spans="1:22" x14ac:dyDescent="0.35">
      <c r="A715" s="3" t="s">
        <v>2213</v>
      </c>
      <c r="B715" s="3" t="s">
        <v>2080</v>
      </c>
      <c r="C715" s="3" t="s">
        <v>2214</v>
      </c>
      <c r="D715" s="3" t="s">
        <v>2215</v>
      </c>
      <c r="E715" s="3" t="s">
        <v>26</v>
      </c>
      <c r="F715" s="3" t="s">
        <v>92</v>
      </c>
      <c r="G715" s="3" t="s">
        <v>189</v>
      </c>
      <c r="H715" s="3" t="s">
        <v>369</v>
      </c>
      <c r="I715" s="3" t="s">
        <v>62</v>
      </c>
      <c r="J715" s="3">
        <v>249</v>
      </c>
      <c r="K715" s="3">
        <v>710.07</v>
      </c>
      <c r="L715" s="3">
        <v>798.78</v>
      </c>
      <c r="M715" s="3">
        <v>198896.22</v>
      </c>
      <c r="N715" s="3">
        <v>176807.43</v>
      </c>
      <c r="O715" s="3">
        <v>22088.79</v>
      </c>
      <c r="P715" s="3" t="s">
        <v>52</v>
      </c>
      <c r="Q715" s="3" t="s">
        <v>32</v>
      </c>
      <c r="R715" s="3">
        <v>11</v>
      </c>
      <c r="S715" s="3" t="s">
        <v>158</v>
      </c>
      <c r="T715" s="3">
        <v>1097</v>
      </c>
      <c r="U715" s="3">
        <v>1</v>
      </c>
      <c r="V715" s="3"/>
    </row>
    <row r="716" spans="1:22" x14ac:dyDescent="0.35">
      <c r="A716" s="2" t="s">
        <v>2216</v>
      </c>
      <c r="B716" s="2" t="s">
        <v>1216</v>
      </c>
      <c r="C716" s="2" t="s">
        <v>2217</v>
      </c>
      <c r="D716" s="2" t="s">
        <v>2218</v>
      </c>
      <c r="E716" s="2" t="s">
        <v>48</v>
      </c>
      <c r="F716" s="2" t="s">
        <v>223</v>
      </c>
      <c r="G716" s="2" t="s">
        <v>93</v>
      </c>
      <c r="H716" s="2" t="s">
        <v>643</v>
      </c>
      <c r="I716" s="2" t="s">
        <v>293</v>
      </c>
      <c r="J716" s="2">
        <v>266</v>
      </c>
      <c r="K716" s="2">
        <v>40.409999999999997</v>
      </c>
      <c r="L716" s="2">
        <v>61.83</v>
      </c>
      <c r="M716" s="2">
        <v>16446.78</v>
      </c>
      <c r="N716" s="2">
        <v>10749.06</v>
      </c>
      <c r="O716" s="2">
        <v>5697.72</v>
      </c>
      <c r="P716" s="2" t="s">
        <v>42</v>
      </c>
      <c r="Q716" s="2" t="s">
        <v>32</v>
      </c>
      <c r="R716" s="2">
        <v>7</v>
      </c>
      <c r="S716" s="2" t="s">
        <v>43</v>
      </c>
      <c r="T716" s="2">
        <v>2639</v>
      </c>
      <c r="U716" s="2">
        <v>12</v>
      </c>
      <c r="V716" s="2"/>
    </row>
    <row r="717" spans="1:22" x14ac:dyDescent="0.35">
      <c r="A717" s="3" t="s">
        <v>2219</v>
      </c>
      <c r="B717" s="3" t="s">
        <v>774</v>
      </c>
      <c r="C717" s="3" t="s">
        <v>274</v>
      </c>
      <c r="D717" s="3" t="s">
        <v>2220</v>
      </c>
      <c r="E717" s="3" t="s">
        <v>100</v>
      </c>
      <c r="F717" s="3" t="s">
        <v>106</v>
      </c>
      <c r="G717" s="3" t="s">
        <v>78</v>
      </c>
      <c r="H717" s="3" t="s">
        <v>123</v>
      </c>
      <c r="I717" s="3" t="s">
        <v>62</v>
      </c>
      <c r="J717" s="3">
        <v>118</v>
      </c>
      <c r="K717" s="3">
        <v>360.97</v>
      </c>
      <c r="L717" s="3">
        <v>450.09</v>
      </c>
      <c r="M717" s="3">
        <v>53110.62</v>
      </c>
      <c r="N717" s="3">
        <v>42594.46</v>
      </c>
      <c r="O717" s="3">
        <v>10516.16</v>
      </c>
      <c r="P717" s="3" t="s">
        <v>95</v>
      </c>
      <c r="Q717" s="3" t="s">
        <v>63</v>
      </c>
      <c r="R717" s="3">
        <v>2</v>
      </c>
      <c r="S717" s="3" t="s">
        <v>112</v>
      </c>
      <c r="T717" s="3">
        <v>3937</v>
      </c>
      <c r="U717" s="3">
        <v>5</v>
      </c>
      <c r="V717" s="3"/>
    </row>
    <row r="718" spans="1:22" x14ac:dyDescent="0.35">
      <c r="A718" s="2" t="s">
        <v>2221</v>
      </c>
      <c r="B718" s="2" t="s">
        <v>138</v>
      </c>
      <c r="C718" s="2" t="s">
        <v>133</v>
      </c>
      <c r="D718" s="2" t="s">
        <v>2222</v>
      </c>
      <c r="E718" s="2" t="s">
        <v>100</v>
      </c>
      <c r="F718" s="2" t="s">
        <v>106</v>
      </c>
      <c r="G718" s="2" t="s">
        <v>129</v>
      </c>
      <c r="H718" s="2" t="s">
        <v>130</v>
      </c>
      <c r="I718" s="2" t="s">
        <v>141</v>
      </c>
      <c r="J718" s="2">
        <v>672</v>
      </c>
      <c r="K718" s="2">
        <v>1116.42</v>
      </c>
      <c r="L718" s="2">
        <v>1361.34</v>
      </c>
      <c r="M718" s="2">
        <v>914820.48</v>
      </c>
      <c r="N718" s="2">
        <v>750234.24</v>
      </c>
      <c r="O718" s="2">
        <v>164586.23999999999</v>
      </c>
      <c r="P718" s="2" t="s">
        <v>52</v>
      </c>
      <c r="Q718" s="2" t="s">
        <v>32</v>
      </c>
      <c r="R718" s="2">
        <v>10</v>
      </c>
      <c r="S718" s="2" t="s">
        <v>112</v>
      </c>
      <c r="T718" s="2">
        <v>34</v>
      </c>
      <c r="U718" s="2">
        <v>20</v>
      </c>
      <c r="V718" s="2"/>
    </row>
    <row r="719" spans="1:22" x14ac:dyDescent="0.35">
      <c r="A719" s="3" t="s">
        <v>2223</v>
      </c>
      <c r="B719" s="3" t="s">
        <v>1125</v>
      </c>
      <c r="C719" s="3" t="s">
        <v>2224</v>
      </c>
      <c r="D719" s="3" t="s">
        <v>2225</v>
      </c>
      <c r="E719" s="3" t="s">
        <v>100</v>
      </c>
      <c r="F719" s="3" t="s">
        <v>330</v>
      </c>
      <c r="G719" s="3" t="s">
        <v>93</v>
      </c>
      <c r="H719" s="3" t="s">
        <v>321</v>
      </c>
      <c r="I719" s="3" t="s">
        <v>85</v>
      </c>
      <c r="J719" s="3">
        <v>409</v>
      </c>
      <c r="K719" s="3">
        <v>547.58000000000004</v>
      </c>
      <c r="L719" s="3">
        <v>788</v>
      </c>
      <c r="M719" s="3">
        <v>322292</v>
      </c>
      <c r="N719" s="3">
        <v>223960.22</v>
      </c>
      <c r="O719" s="3">
        <v>98331.78</v>
      </c>
      <c r="P719" s="3" t="s">
        <v>42</v>
      </c>
      <c r="Q719" s="3" t="s">
        <v>32</v>
      </c>
      <c r="R719" s="3">
        <v>6</v>
      </c>
      <c r="S719" s="3" t="s">
        <v>43</v>
      </c>
      <c r="T719" s="3">
        <v>2642</v>
      </c>
      <c r="U719" s="3">
        <v>12</v>
      </c>
      <c r="V719" s="3"/>
    </row>
    <row r="720" spans="1:22" x14ac:dyDescent="0.35">
      <c r="A720" s="2" t="s">
        <v>2226</v>
      </c>
      <c r="B720" s="2" t="s">
        <v>1750</v>
      </c>
      <c r="C720" s="2" t="s">
        <v>215</v>
      </c>
      <c r="D720" s="2" t="s">
        <v>997</v>
      </c>
      <c r="E720" s="2" t="s">
        <v>68</v>
      </c>
      <c r="F720" s="2" t="s">
        <v>69</v>
      </c>
      <c r="G720" s="2" t="s">
        <v>217</v>
      </c>
      <c r="H720" s="2" t="s">
        <v>335</v>
      </c>
      <c r="I720" s="2" t="s">
        <v>85</v>
      </c>
      <c r="J720" s="2">
        <v>152</v>
      </c>
      <c r="K720" s="2">
        <v>355.62</v>
      </c>
      <c r="L720" s="2">
        <v>520.82000000000005</v>
      </c>
      <c r="M720" s="2">
        <v>79164.639999999999</v>
      </c>
      <c r="N720" s="2">
        <v>54054.239999999998</v>
      </c>
      <c r="O720" s="2">
        <v>25110.400000000001</v>
      </c>
      <c r="P720" s="2" t="s">
        <v>52</v>
      </c>
      <c r="Q720" s="2" t="s">
        <v>32</v>
      </c>
      <c r="R720" s="2">
        <v>9</v>
      </c>
      <c r="S720" s="2" t="s">
        <v>112</v>
      </c>
      <c r="T720" s="2">
        <v>90</v>
      </c>
      <c r="U720" s="2">
        <v>7</v>
      </c>
      <c r="V720" s="2"/>
    </row>
    <row r="721" spans="1:22" x14ac:dyDescent="0.35">
      <c r="A721" s="3" t="s">
        <v>2227</v>
      </c>
      <c r="B721" s="3" t="s">
        <v>406</v>
      </c>
      <c r="C721" s="3" t="s">
        <v>232</v>
      </c>
      <c r="D721" s="3" t="s">
        <v>2228</v>
      </c>
      <c r="E721" s="3" t="s">
        <v>68</v>
      </c>
      <c r="F721" s="3" t="s">
        <v>2138</v>
      </c>
      <c r="G721" s="3" t="s">
        <v>50</v>
      </c>
      <c r="H721" s="4"/>
      <c r="I721" s="3" t="s">
        <v>191</v>
      </c>
      <c r="J721" s="3">
        <v>422</v>
      </c>
      <c r="K721" s="3">
        <v>231.21</v>
      </c>
      <c r="L721" s="3">
        <v>358.01</v>
      </c>
      <c r="M721" s="3">
        <v>151080.22</v>
      </c>
      <c r="N721" s="3">
        <v>97570.62</v>
      </c>
      <c r="O721" s="3">
        <v>53509.599999999999</v>
      </c>
      <c r="P721" s="3" t="s">
        <v>31</v>
      </c>
      <c r="Q721" s="3" t="s">
        <v>63</v>
      </c>
      <c r="R721" s="3">
        <v>3</v>
      </c>
      <c r="S721" s="3" t="s">
        <v>53</v>
      </c>
      <c r="T721" s="3">
        <v>2949</v>
      </c>
      <c r="U721" s="3">
        <v>17</v>
      </c>
      <c r="V721" s="3"/>
    </row>
    <row r="722" spans="1:22" x14ac:dyDescent="0.35">
      <c r="A722" s="2" t="s">
        <v>2229</v>
      </c>
      <c r="B722" s="2" t="s">
        <v>992</v>
      </c>
      <c r="C722" s="2" t="s">
        <v>1217</v>
      </c>
      <c r="D722" s="2" t="s">
        <v>2230</v>
      </c>
      <c r="E722" s="2" t="s">
        <v>58</v>
      </c>
      <c r="F722" s="2" t="s">
        <v>122</v>
      </c>
      <c r="G722" s="2" t="s">
        <v>93</v>
      </c>
      <c r="H722" s="2" t="s">
        <v>1442</v>
      </c>
      <c r="I722" s="2" t="s">
        <v>293</v>
      </c>
      <c r="J722" s="2">
        <v>605</v>
      </c>
      <c r="K722" s="2">
        <v>478.8</v>
      </c>
      <c r="L722" s="2">
        <v>766.59</v>
      </c>
      <c r="M722" s="2">
        <v>463786.95</v>
      </c>
      <c r="N722" s="2">
        <v>289674</v>
      </c>
      <c r="O722" s="2">
        <v>174112.95</v>
      </c>
      <c r="P722" s="2" t="s">
        <v>52</v>
      </c>
      <c r="Q722" s="2" t="s">
        <v>32</v>
      </c>
      <c r="R722" s="2">
        <v>7</v>
      </c>
      <c r="S722" s="2" t="s">
        <v>86</v>
      </c>
      <c r="T722" s="2">
        <v>3769</v>
      </c>
      <c r="U722" s="2">
        <v>8</v>
      </c>
      <c r="V722" s="2"/>
    </row>
    <row r="723" spans="1:22" x14ac:dyDescent="0.35">
      <c r="A723" s="3" t="s">
        <v>2231</v>
      </c>
      <c r="B723" s="3" t="s">
        <v>1909</v>
      </c>
      <c r="C723" s="3" t="s">
        <v>2087</v>
      </c>
      <c r="D723" s="3" t="s">
        <v>2232</v>
      </c>
      <c r="E723" s="3" t="s">
        <v>68</v>
      </c>
      <c r="F723" s="3" t="s">
        <v>2233</v>
      </c>
      <c r="G723" s="3" t="s">
        <v>217</v>
      </c>
      <c r="H723" s="3" t="s">
        <v>524</v>
      </c>
      <c r="I723" s="3" t="s">
        <v>118</v>
      </c>
      <c r="J723" s="3">
        <v>785</v>
      </c>
      <c r="K723" s="3">
        <v>178.81</v>
      </c>
      <c r="L723" s="3">
        <v>244.37</v>
      </c>
      <c r="M723" s="3">
        <v>191830.45</v>
      </c>
      <c r="N723" s="3">
        <v>140365.85</v>
      </c>
      <c r="O723" s="3">
        <v>51464.6</v>
      </c>
      <c r="P723" s="3" t="s">
        <v>95</v>
      </c>
      <c r="Q723" s="3" t="s">
        <v>2234</v>
      </c>
      <c r="R723" s="3">
        <v>2</v>
      </c>
      <c r="S723" s="3" t="s">
        <v>43</v>
      </c>
      <c r="T723" s="3">
        <v>1689</v>
      </c>
      <c r="U723" s="3">
        <v>25</v>
      </c>
      <c r="V723" s="3"/>
    </row>
    <row r="724" spans="1:22" x14ac:dyDescent="0.35">
      <c r="A724" s="2" t="s">
        <v>2235</v>
      </c>
      <c r="B724" s="2" t="s">
        <v>641</v>
      </c>
      <c r="C724" s="2" t="s">
        <v>327</v>
      </c>
      <c r="D724" s="2" t="s">
        <v>2236</v>
      </c>
      <c r="E724" s="2" t="s">
        <v>58</v>
      </c>
      <c r="F724" s="2" t="s">
        <v>59</v>
      </c>
      <c r="G724" s="2" t="s">
        <v>70</v>
      </c>
      <c r="H724" s="2" t="s">
        <v>84</v>
      </c>
      <c r="I724" s="2" t="s">
        <v>41</v>
      </c>
      <c r="J724" s="2">
        <v>674</v>
      </c>
      <c r="K724" s="2">
        <v>298.35000000000002</v>
      </c>
      <c r="L724" s="2">
        <v>471.55</v>
      </c>
      <c r="M724" s="2">
        <v>317824.7</v>
      </c>
      <c r="N724" s="2">
        <v>201087.9</v>
      </c>
      <c r="O724" s="2">
        <v>116736.8</v>
      </c>
      <c r="P724" s="2" t="s">
        <v>42</v>
      </c>
      <c r="Q724" s="2" t="s">
        <v>63</v>
      </c>
      <c r="R724" s="2">
        <v>4</v>
      </c>
      <c r="S724" s="2" t="s">
        <v>33</v>
      </c>
      <c r="T724" s="2">
        <v>3581</v>
      </c>
      <c r="U724" s="2">
        <v>8</v>
      </c>
      <c r="V724" s="2"/>
    </row>
    <row r="725" spans="1:22" x14ac:dyDescent="0.35">
      <c r="A725" s="3" t="s">
        <v>2237</v>
      </c>
      <c r="B725" s="3" t="s">
        <v>742</v>
      </c>
      <c r="C725" s="3" t="s">
        <v>747</v>
      </c>
      <c r="D725" s="3" t="s">
        <v>739</v>
      </c>
      <c r="E725" s="3" t="s">
        <v>26</v>
      </c>
      <c r="F725" s="3" t="s">
        <v>92</v>
      </c>
      <c r="G725" s="3" t="s">
        <v>50</v>
      </c>
      <c r="H725" s="3" t="s">
        <v>51</v>
      </c>
      <c r="I725" s="3" t="s">
        <v>240</v>
      </c>
      <c r="J725" s="3">
        <v>619</v>
      </c>
      <c r="K725" s="3">
        <v>158.35</v>
      </c>
      <c r="L725" s="3">
        <v>260.72000000000003</v>
      </c>
      <c r="M725" s="3">
        <v>161385.68</v>
      </c>
      <c r="N725" s="3">
        <v>98018.65</v>
      </c>
      <c r="O725" s="3">
        <v>63367.03</v>
      </c>
      <c r="P725" s="3" t="s">
        <v>42</v>
      </c>
      <c r="Q725" s="3" t="s">
        <v>32</v>
      </c>
      <c r="R725" s="3">
        <v>11</v>
      </c>
      <c r="S725" s="3" t="s">
        <v>158</v>
      </c>
      <c r="T725" s="3">
        <v>1912</v>
      </c>
      <c r="U725" s="3">
        <v>27</v>
      </c>
      <c r="V725" s="3"/>
    </row>
    <row r="726" spans="1:22" x14ac:dyDescent="0.35">
      <c r="A726" s="2" t="s">
        <v>2238</v>
      </c>
      <c r="B726" s="2" t="s">
        <v>926</v>
      </c>
      <c r="C726" s="2" t="s">
        <v>786</v>
      </c>
      <c r="D726" s="2" t="s">
        <v>2239</v>
      </c>
      <c r="E726" s="2" t="s">
        <v>26</v>
      </c>
      <c r="F726" s="2" t="s">
        <v>2240</v>
      </c>
      <c r="G726" s="2" t="s">
        <v>60</v>
      </c>
      <c r="H726" s="2" t="s">
        <v>61</v>
      </c>
      <c r="I726" s="2" t="s">
        <v>191</v>
      </c>
      <c r="J726" s="2">
        <v>123</v>
      </c>
      <c r="K726" s="2">
        <v>392.56</v>
      </c>
      <c r="L726" s="2">
        <v>447.68</v>
      </c>
      <c r="M726" s="2">
        <v>55064.639999999999</v>
      </c>
      <c r="N726" s="2">
        <v>48284.88</v>
      </c>
      <c r="O726" s="2">
        <v>6779.76</v>
      </c>
      <c r="P726" s="2" t="s">
        <v>42</v>
      </c>
      <c r="Q726" s="2" t="s">
        <v>32</v>
      </c>
      <c r="R726" s="2">
        <v>11</v>
      </c>
      <c r="S726" s="2" t="s">
        <v>53</v>
      </c>
      <c r="T726" s="2">
        <v>839</v>
      </c>
      <c r="U726" s="2">
        <v>1</v>
      </c>
      <c r="V726" s="2"/>
    </row>
    <row r="727" spans="1:22" x14ac:dyDescent="0.35">
      <c r="A727" s="3" t="s">
        <v>2241</v>
      </c>
      <c r="B727" s="3" t="s">
        <v>1483</v>
      </c>
      <c r="C727" s="3" t="s">
        <v>1444</v>
      </c>
      <c r="D727" s="3" t="s">
        <v>2242</v>
      </c>
      <c r="E727" s="3" t="s">
        <v>100</v>
      </c>
      <c r="F727" s="3" t="s">
        <v>330</v>
      </c>
      <c r="G727" s="3" t="s">
        <v>50</v>
      </c>
      <c r="H727" s="3" t="s">
        <v>260</v>
      </c>
      <c r="I727" s="3" t="s">
        <v>85</v>
      </c>
      <c r="J727" s="3">
        <v>706</v>
      </c>
      <c r="K727" s="3">
        <v>55.2</v>
      </c>
      <c r="L727" s="3">
        <v>74.2</v>
      </c>
      <c r="M727" s="3">
        <v>52385.2</v>
      </c>
      <c r="N727" s="3">
        <v>38971.199999999997</v>
      </c>
      <c r="O727" s="3">
        <v>13414</v>
      </c>
      <c r="P727" s="3" t="s">
        <v>95</v>
      </c>
      <c r="Q727" s="3" t="s">
        <v>63</v>
      </c>
      <c r="R727" s="3">
        <v>3</v>
      </c>
      <c r="S727" s="3" t="s">
        <v>112</v>
      </c>
      <c r="T727" s="3">
        <v>3783</v>
      </c>
      <c r="U727" s="3">
        <v>14</v>
      </c>
      <c r="V727" s="3"/>
    </row>
    <row r="728" spans="1:22" x14ac:dyDescent="0.35">
      <c r="A728" s="2" t="s">
        <v>2243</v>
      </c>
      <c r="B728" s="2" t="s">
        <v>247</v>
      </c>
      <c r="C728" s="2" t="s">
        <v>2244</v>
      </c>
      <c r="D728" s="2" t="s">
        <v>2245</v>
      </c>
      <c r="E728" s="2" t="s">
        <v>68</v>
      </c>
      <c r="F728" s="2" t="s">
        <v>163</v>
      </c>
      <c r="G728" s="2" t="s">
        <v>129</v>
      </c>
      <c r="H728" s="2" t="s">
        <v>130</v>
      </c>
      <c r="I728" s="2" t="s">
        <v>118</v>
      </c>
      <c r="J728" s="2">
        <v>512</v>
      </c>
      <c r="K728" s="2">
        <v>1160.6199999999999</v>
      </c>
      <c r="L728" s="2">
        <v>1839.57</v>
      </c>
      <c r="M728" s="2">
        <v>941859.83999999997</v>
      </c>
      <c r="N728" s="2">
        <v>594237.43999999994</v>
      </c>
      <c r="O728" s="2">
        <v>347622.40000000002</v>
      </c>
      <c r="P728" s="2" t="s">
        <v>42</v>
      </c>
      <c r="Q728" s="2" t="s">
        <v>63</v>
      </c>
      <c r="R728" s="2">
        <v>1</v>
      </c>
      <c r="S728" s="2" t="s">
        <v>158</v>
      </c>
      <c r="T728" s="2">
        <v>3841</v>
      </c>
      <c r="U728" s="2">
        <v>24</v>
      </c>
      <c r="V728" s="2"/>
    </row>
    <row r="729" spans="1:22" x14ac:dyDescent="0.35">
      <c r="A729" s="3" t="s">
        <v>2246</v>
      </c>
      <c r="B729" s="3" t="s">
        <v>662</v>
      </c>
      <c r="C729" s="3" t="s">
        <v>2247</v>
      </c>
      <c r="D729" s="3" t="s">
        <v>2248</v>
      </c>
      <c r="E729" s="3" t="s">
        <v>58</v>
      </c>
      <c r="F729" s="3" t="s">
        <v>417</v>
      </c>
      <c r="G729" s="3" t="s">
        <v>129</v>
      </c>
      <c r="H729" s="3" t="s">
        <v>168</v>
      </c>
      <c r="I729" s="3" t="s">
        <v>30</v>
      </c>
      <c r="J729" s="3">
        <v>393</v>
      </c>
      <c r="K729" s="3">
        <v>61.23</v>
      </c>
      <c r="L729" s="3">
        <v>96.49</v>
      </c>
      <c r="M729" s="3">
        <v>37920.57</v>
      </c>
      <c r="N729" s="3">
        <v>24063.39</v>
      </c>
      <c r="O729" s="3">
        <v>13857.18</v>
      </c>
      <c r="P729" s="3" t="s">
        <v>52</v>
      </c>
      <c r="Q729" s="3" t="s">
        <v>63</v>
      </c>
      <c r="R729" s="3">
        <v>5</v>
      </c>
      <c r="S729" s="3" t="s">
        <v>112</v>
      </c>
      <c r="T729" s="3">
        <v>3070</v>
      </c>
      <c r="U729" s="3">
        <v>9</v>
      </c>
      <c r="V729" s="3"/>
    </row>
    <row r="730" spans="1:22" x14ac:dyDescent="0.35">
      <c r="A730" s="2" t="s">
        <v>2249</v>
      </c>
      <c r="B730" s="2" t="s">
        <v>884</v>
      </c>
      <c r="C730" s="2" t="s">
        <v>2250</v>
      </c>
      <c r="D730" s="2" t="s">
        <v>2251</v>
      </c>
      <c r="E730" s="2" t="s">
        <v>100</v>
      </c>
      <c r="F730" s="2" t="s">
        <v>330</v>
      </c>
      <c r="G730" s="2" t="s">
        <v>2252</v>
      </c>
      <c r="H730" s="2" t="s">
        <v>117</v>
      </c>
      <c r="I730" s="2" t="s">
        <v>1167</v>
      </c>
      <c r="J730" s="2">
        <v>721</v>
      </c>
      <c r="K730" s="2">
        <v>936.4</v>
      </c>
      <c r="L730" s="2">
        <v>1101.44</v>
      </c>
      <c r="M730" s="2">
        <v>794138.24</v>
      </c>
      <c r="N730" s="2">
        <v>675144.4</v>
      </c>
      <c r="O730" s="2">
        <v>118993.84</v>
      </c>
      <c r="P730" s="2" t="s">
        <v>95</v>
      </c>
      <c r="Q730" s="2" t="s">
        <v>63</v>
      </c>
      <c r="R730" s="2">
        <v>1</v>
      </c>
      <c r="S730" s="2" t="s">
        <v>112</v>
      </c>
      <c r="T730" s="2">
        <v>3670</v>
      </c>
      <c r="U730" s="2">
        <v>3</v>
      </c>
      <c r="V730" s="2"/>
    </row>
    <row r="731" spans="1:22" x14ac:dyDescent="0.35">
      <c r="A731" s="3" t="s">
        <v>2253</v>
      </c>
      <c r="B731" s="3" t="s">
        <v>82</v>
      </c>
      <c r="C731" s="3" t="s">
        <v>1295</v>
      </c>
      <c r="D731" s="3" t="s">
        <v>2254</v>
      </c>
      <c r="E731" s="3" t="s">
        <v>100</v>
      </c>
      <c r="F731" s="3" t="s">
        <v>106</v>
      </c>
      <c r="G731" s="3" t="s">
        <v>129</v>
      </c>
      <c r="H731" s="3" t="s">
        <v>704</v>
      </c>
      <c r="I731" s="3" t="s">
        <v>72</v>
      </c>
      <c r="J731" s="3">
        <v>131</v>
      </c>
      <c r="K731" s="3">
        <v>108.59</v>
      </c>
      <c r="L731" s="3">
        <v>176.89</v>
      </c>
      <c r="M731" s="3">
        <v>23172.59</v>
      </c>
      <c r="N731" s="3">
        <v>14225.29</v>
      </c>
      <c r="O731" s="3">
        <v>8947.2999999999993</v>
      </c>
      <c r="P731" s="3" t="s">
        <v>52</v>
      </c>
      <c r="Q731" s="3" t="s">
        <v>32</v>
      </c>
      <c r="R731" s="3">
        <v>8</v>
      </c>
      <c r="S731" s="3" t="s">
        <v>158</v>
      </c>
      <c r="T731" s="3">
        <v>3359</v>
      </c>
      <c r="U731" s="3">
        <v>1</v>
      </c>
      <c r="V731" s="3"/>
    </row>
    <row r="732" spans="1:22" x14ac:dyDescent="0.35">
      <c r="A732" s="2" t="s">
        <v>2255</v>
      </c>
      <c r="B732" s="2" t="s">
        <v>2256</v>
      </c>
      <c r="C732" s="2" t="s">
        <v>133</v>
      </c>
      <c r="D732" s="2" t="s">
        <v>2257</v>
      </c>
      <c r="E732" s="2" t="s">
        <v>100</v>
      </c>
      <c r="F732" s="2" t="s">
        <v>106</v>
      </c>
      <c r="G732" s="2" t="s">
        <v>78</v>
      </c>
      <c r="H732" s="2" t="s">
        <v>178</v>
      </c>
      <c r="I732" s="2" t="s">
        <v>85</v>
      </c>
      <c r="J732" s="2">
        <v>431</v>
      </c>
      <c r="K732" s="2">
        <v>894.83</v>
      </c>
      <c r="L732" s="2">
        <v>1060.92</v>
      </c>
      <c r="M732" s="2">
        <v>457256.52</v>
      </c>
      <c r="N732" s="2">
        <v>385671.73</v>
      </c>
      <c r="O732" s="2">
        <v>71584.789999999994</v>
      </c>
      <c r="P732" s="2" t="s">
        <v>31</v>
      </c>
      <c r="Q732" s="2" t="s">
        <v>32</v>
      </c>
      <c r="R732" s="2">
        <v>8</v>
      </c>
      <c r="S732" s="2" t="s">
        <v>158</v>
      </c>
      <c r="T732" s="2">
        <v>1496</v>
      </c>
      <c r="U732" s="2">
        <v>6</v>
      </c>
      <c r="V732" s="2"/>
    </row>
    <row r="733" spans="1:22" x14ac:dyDescent="0.35">
      <c r="A733" s="3" t="s">
        <v>2258</v>
      </c>
      <c r="B733" s="3" t="s">
        <v>308</v>
      </c>
      <c r="C733" s="3" t="s">
        <v>1328</v>
      </c>
      <c r="D733" s="3" t="s">
        <v>2259</v>
      </c>
      <c r="E733" s="3" t="s">
        <v>48</v>
      </c>
      <c r="F733" s="3" t="s">
        <v>49</v>
      </c>
      <c r="G733" s="3" t="s">
        <v>50</v>
      </c>
      <c r="H733" s="3" t="s">
        <v>734</v>
      </c>
      <c r="I733" s="3" t="s">
        <v>141</v>
      </c>
      <c r="J733" s="3">
        <v>499</v>
      </c>
      <c r="K733" s="3">
        <v>308.04000000000002</v>
      </c>
      <c r="L733" s="3">
        <v>498.15</v>
      </c>
      <c r="M733" s="3">
        <v>248576.85</v>
      </c>
      <c r="N733" s="3">
        <v>153711.96</v>
      </c>
      <c r="O733" s="3">
        <v>94864.89</v>
      </c>
      <c r="P733" s="3" t="s">
        <v>31</v>
      </c>
      <c r="Q733" s="3" t="s">
        <v>32</v>
      </c>
      <c r="R733" s="3">
        <v>7</v>
      </c>
      <c r="S733" s="3" t="s">
        <v>53</v>
      </c>
      <c r="T733" s="3">
        <v>998</v>
      </c>
      <c r="U733" s="3">
        <v>23</v>
      </c>
      <c r="V733" s="3"/>
    </row>
    <row r="734" spans="1:22" x14ac:dyDescent="0.35">
      <c r="A734" s="2" t="s">
        <v>2260</v>
      </c>
      <c r="B734" s="2" t="s">
        <v>2261</v>
      </c>
      <c r="C734" s="2" t="s">
        <v>1385</v>
      </c>
      <c r="D734" s="2" t="s">
        <v>2262</v>
      </c>
      <c r="E734" s="2" t="s">
        <v>48</v>
      </c>
      <c r="F734" s="2" t="s">
        <v>270</v>
      </c>
      <c r="G734" s="2" t="s">
        <v>70</v>
      </c>
      <c r="H734" s="2" t="s">
        <v>822</v>
      </c>
      <c r="I734" s="2" t="s">
        <v>153</v>
      </c>
      <c r="J734" s="2">
        <v>310</v>
      </c>
      <c r="K734" s="2">
        <v>925.47</v>
      </c>
      <c r="L734" s="2">
        <v>1291.3900000000001</v>
      </c>
      <c r="M734" s="2">
        <v>400330.9</v>
      </c>
      <c r="N734" s="2">
        <v>286895.7</v>
      </c>
      <c r="O734" s="2">
        <v>113435.2</v>
      </c>
      <c r="P734" s="2" t="s">
        <v>52</v>
      </c>
      <c r="Q734" s="2" t="s">
        <v>63</v>
      </c>
      <c r="R734" s="2">
        <v>4</v>
      </c>
      <c r="S734" s="2" t="s">
        <v>53</v>
      </c>
      <c r="T734" s="2">
        <v>2419</v>
      </c>
      <c r="U734" s="2">
        <v>15</v>
      </c>
      <c r="V734" s="2"/>
    </row>
    <row r="735" spans="1:22" x14ac:dyDescent="0.35">
      <c r="A735" s="3" t="s">
        <v>2263</v>
      </c>
      <c r="B735" s="3" t="s">
        <v>1913</v>
      </c>
      <c r="C735" s="3" t="s">
        <v>1459</v>
      </c>
      <c r="D735" s="3" t="s">
        <v>2264</v>
      </c>
      <c r="E735" s="3" t="s">
        <v>48</v>
      </c>
      <c r="F735" s="3" t="s">
        <v>183</v>
      </c>
      <c r="G735" s="3" t="s">
        <v>70</v>
      </c>
      <c r="H735" s="3" t="s">
        <v>239</v>
      </c>
      <c r="I735" s="3" t="s">
        <v>240</v>
      </c>
      <c r="J735" s="3">
        <v>518</v>
      </c>
      <c r="K735" s="3">
        <v>639.5</v>
      </c>
      <c r="L735" s="3">
        <v>716.68</v>
      </c>
      <c r="M735" s="3">
        <v>371240.24</v>
      </c>
      <c r="N735" s="3">
        <v>331261</v>
      </c>
      <c r="O735" s="3">
        <v>39979.24</v>
      </c>
      <c r="P735" s="3" t="s">
        <v>42</v>
      </c>
      <c r="Q735" s="3" t="s">
        <v>32</v>
      </c>
      <c r="R735" s="3">
        <v>11</v>
      </c>
      <c r="S735" s="3" t="s">
        <v>53</v>
      </c>
      <c r="T735" s="3">
        <v>1371</v>
      </c>
      <c r="U735" s="3">
        <v>16</v>
      </c>
      <c r="V735" s="3"/>
    </row>
    <row r="736" spans="1:22" x14ac:dyDescent="0.35">
      <c r="A736" s="2" t="s">
        <v>2265</v>
      </c>
      <c r="B736" s="2" t="s">
        <v>1650</v>
      </c>
      <c r="C736" s="2" t="s">
        <v>605</v>
      </c>
      <c r="D736" s="2" t="s">
        <v>2266</v>
      </c>
      <c r="E736" s="2" t="s">
        <v>26</v>
      </c>
      <c r="F736" s="2" t="s">
        <v>92</v>
      </c>
      <c r="G736" s="2" t="s">
        <v>70</v>
      </c>
      <c r="H736" s="2" t="s">
        <v>822</v>
      </c>
      <c r="I736" s="2" t="s">
        <v>293</v>
      </c>
      <c r="J736" s="2">
        <v>271</v>
      </c>
      <c r="K736" s="2">
        <v>1049.5899999999999</v>
      </c>
      <c r="L736" s="2">
        <v>1612.53</v>
      </c>
      <c r="M736" s="2">
        <v>436995.63</v>
      </c>
      <c r="N736" s="2">
        <v>284438.89</v>
      </c>
      <c r="O736" s="2">
        <v>152556.74</v>
      </c>
      <c r="P736" s="2" t="s">
        <v>42</v>
      </c>
      <c r="Q736" s="2" t="s">
        <v>32</v>
      </c>
      <c r="R736" s="2">
        <v>12</v>
      </c>
      <c r="S736" s="2" t="s">
        <v>86</v>
      </c>
      <c r="T736" s="2">
        <v>1889</v>
      </c>
      <c r="U736" s="2">
        <v>13</v>
      </c>
      <c r="V736" s="2"/>
    </row>
    <row r="737" spans="1:22" x14ac:dyDescent="0.35">
      <c r="A737" s="3" t="s">
        <v>2267</v>
      </c>
      <c r="B737" s="3" t="s">
        <v>2268</v>
      </c>
      <c r="C737" s="3" t="s">
        <v>2269</v>
      </c>
      <c r="D737" s="3" t="s">
        <v>2270</v>
      </c>
      <c r="E737" s="3" t="s">
        <v>100</v>
      </c>
      <c r="F737" s="3" t="s">
        <v>538</v>
      </c>
      <c r="G737" s="3" t="s">
        <v>70</v>
      </c>
      <c r="H737" s="3" t="s">
        <v>446</v>
      </c>
      <c r="I737" s="3" t="s">
        <v>62</v>
      </c>
      <c r="J737" s="3">
        <v>69</v>
      </c>
      <c r="K737" s="3">
        <v>432.63</v>
      </c>
      <c r="L737" s="3">
        <v>600.49</v>
      </c>
      <c r="M737" s="3">
        <v>41433.81</v>
      </c>
      <c r="N737" s="3">
        <v>29851.47</v>
      </c>
      <c r="O737" s="3">
        <v>11582.34</v>
      </c>
      <c r="P737" s="3" t="s">
        <v>42</v>
      </c>
      <c r="Q737" s="3" t="s">
        <v>32</v>
      </c>
      <c r="R737" s="3">
        <v>9</v>
      </c>
      <c r="S737" s="3" t="s">
        <v>33</v>
      </c>
      <c r="T737" s="3">
        <v>1366</v>
      </c>
      <c r="U737" s="3">
        <v>0</v>
      </c>
      <c r="V737" s="3"/>
    </row>
    <row r="738" spans="1:22" x14ac:dyDescent="0.35">
      <c r="A738" s="2" t="s">
        <v>2271</v>
      </c>
      <c r="B738" s="2" t="s">
        <v>649</v>
      </c>
      <c r="C738" s="2" t="s">
        <v>149</v>
      </c>
      <c r="D738" s="2" t="s">
        <v>2272</v>
      </c>
      <c r="E738" s="2" t="s">
        <v>26</v>
      </c>
      <c r="F738" s="2" t="s">
        <v>38</v>
      </c>
      <c r="G738" s="2" t="s">
        <v>93</v>
      </c>
      <c r="H738" s="2" t="s">
        <v>184</v>
      </c>
      <c r="I738" s="2" t="s">
        <v>41</v>
      </c>
      <c r="J738" s="2">
        <v>285</v>
      </c>
      <c r="K738" s="2">
        <v>700.67</v>
      </c>
      <c r="L738" s="2">
        <v>1106.3399999999999</v>
      </c>
      <c r="M738" s="2">
        <v>315306.90000000002</v>
      </c>
      <c r="N738" s="2">
        <v>199690.95</v>
      </c>
      <c r="O738" s="2">
        <v>115615.95</v>
      </c>
      <c r="P738" s="2" t="s">
        <v>95</v>
      </c>
      <c r="Q738" s="2" t="s">
        <v>32</v>
      </c>
      <c r="R738" s="2">
        <v>9</v>
      </c>
      <c r="S738" s="2" t="s">
        <v>158</v>
      </c>
      <c r="T738" s="2">
        <v>2163</v>
      </c>
      <c r="U738" s="2">
        <v>6</v>
      </c>
      <c r="V738" s="2"/>
    </row>
    <row r="739" spans="1:22" x14ac:dyDescent="0.35">
      <c r="A739" s="3" t="s">
        <v>2273</v>
      </c>
      <c r="B739" s="3" t="s">
        <v>865</v>
      </c>
      <c r="C739" s="3" t="s">
        <v>778</v>
      </c>
      <c r="D739" s="3" t="s">
        <v>2274</v>
      </c>
      <c r="E739" s="3" t="s">
        <v>58</v>
      </c>
      <c r="F739" s="3" t="s">
        <v>116</v>
      </c>
      <c r="G739" s="3" t="s">
        <v>129</v>
      </c>
      <c r="H739" s="3" t="s">
        <v>316</v>
      </c>
      <c r="I739" s="3" t="s">
        <v>72</v>
      </c>
      <c r="J739" s="3">
        <v>598</v>
      </c>
      <c r="K739" s="3">
        <v>1125.67</v>
      </c>
      <c r="L739" s="3">
        <v>1675.51</v>
      </c>
      <c r="M739" s="3">
        <v>1001954.98</v>
      </c>
      <c r="N739" s="3">
        <v>673150.66</v>
      </c>
      <c r="O739" s="3">
        <v>328804.32</v>
      </c>
      <c r="P739" s="3" t="s">
        <v>42</v>
      </c>
      <c r="Q739" s="3" t="s">
        <v>63</v>
      </c>
      <c r="R739" s="3">
        <v>3</v>
      </c>
      <c r="S739" s="3" t="s">
        <v>43</v>
      </c>
      <c r="T739" s="3">
        <v>4892</v>
      </c>
      <c r="U739" s="3">
        <v>25</v>
      </c>
      <c r="V739" s="3"/>
    </row>
    <row r="740" spans="1:22" x14ac:dyDescent="0.35">
      <c r="A740" s="2" t="s">
        <v>2275</v>
      </c>
      <c r="B740" s="2" t="s">
        <v>1049</v>
      </c>
      <c r="C740" s="2" t="s">
        <v>406</v>
      </c>
      <c r="D740" s="4"/>
      <c r="E740" s="2" t="s">
        <v>68</v>
      </c>
      <c r="F740" s="2" t="s">
        <v>146</v>
      </c>
      <c r="G740" s="2" t="s">
        <v>189</v>
      </c>
      <c r="H740" s="2" t="s">
        <v>311</v>
      </c>
      <c r="I740" s="2" t="s">
        <v>72</v>
      </c>
      <c r="J740" s="2">
        <v>705</v>
      </c>
      <c r="K740" s="2">
        <v>1018.42</v>
      </c>
      <c r="L740" s="2">
        <v>1151.53</v>
      </c>
      <c r="M740" s="2">
        <v>811828.65</v>
      </c>
      <c r="N740" s="2">
        <v>717986.1</v>
      </c>
      <c r="O740" s="2">
        <v>93842.55</v>
      </c>
      <c r="P740" s="2" t="s">
        <v>42</v>
      </c>
      <c r="Q740" s="2" t="s">
        <v>2276</v>
      </c>
      <c r="R740" s="2">
        <v>7</v>
      </c>
      <c r="S740" s="2" t="s">
        <v>112</v>
      </c>
      <c r="T740" s="2">
        <v>4413</v>
      </c>
      <c r="U740" s="2">
        <v>34</v>
      </c>
      <c r="V740" s="2"/>
    </row>
    <row r="741" spans="1:22" x14ac:dyDescent="0.35">
      <c r="A741" s="3" t="s">
        <v>2277</v>
      </c>
      <c r="B741" s="3" t="s">
        <v>987</v>
      </c>
      <c r="C741" s="3" t="s">
        <v>1073</v>
      </c>
      <c r="D741" s="3" t="s">
        <v>2278</v>
      </c>
      <c r="E741" s="3" t="s">
        <v>26</v>
      </c>
      <c r="F741" s="3" t="s">
        <v>228</v>
      </c>
      <c r="G741" s="3" t="s">
        <v>50</v>
      </c>
      <c r="H741" s="3" t="s">
        <v>282</v>
      </c>
      <c r="I741" s="3" t="s">
        <v>141</v>
      </c>
      <c r="J741" s="3">
        <v>146</v>
      </c>
      <c r="K741" s="3">
        <v>691.88</v>
      </c>
      <c r="L741" s="3">
        <v>869.18</v>
      </c>
      <c r="M741" s="3">
        <v>126900.28</v>
      </c>
      <c r="N741" s="3">
        <v>101014.48</v>
      </c>
      <c r="O741" s="3">
        <v>25885.8</v>
      </c>
      <c r="P741" s="3" t="s">
        <v>31</v>
      </c>
      <c r="Q741" s="3" t="s">
        <v>32</v>
      </c>
      <c r="R741" s="3">
        <v>12</v>
      </c>
      <c r="S741" s="3" t="s">
        <v>112</v>
      </c>
      <c r="T741" s="3">
        <v>3997</v>
      </c>
      <c r="U741" s="3">
        <v>1</v>
      </c>
      <c r="V741" s="3"/>
    </row>
    <row r="742" spans="1:22" x14ac:dyDescent="0.35">
      <c r="A742" s="2" t="s">
        <v>2279</v>
      </c>
      <c r="B742" s="2" t="s">
        <v>1216</v>
      </c>
      <c r="C742" s="2" t="s">
        <v>676</v>
      </c>
      <c r="D742" s="2" t="s">
        <v>2280</v>
      </c>
      <c r="E742" s="2" t="s">
        <v>100</v>
      </c>
      <c r="F742" s="2" t="s">
        <v>238</v>
      </c>
      <c r="G742" s="2" t="s">
        <v>78</v>
      </c>
      <c r="H742" s="2" t="s">
        <v>425</v>
      </c>
      <c r="I742" s="2" t="s">
        <v>240</v>
      </c>
      <c r="J742" s="2">
        <v>235</v>
      </c>
      <c r="K742" s="2">
        <v>221.36</v>
      </c>
      <c r="L742" s="2">
        <v>282.31</v>
      </c>
      <c r="M742" s="2">
        <v>66342.850000000006</v>
      </c>
      <c r="N742" s="2">
        <v>52019.6</v>
      </c>
      <c r="O742" s="2">
        <v>14323.25</v>
      </c>
      <c r="P742" s="2" t="s">
        <v>95</v>
      </c>
      <c r="Q742" s="2" t="s">
        <v>63</v>
      </c>
      <c r="R742" s="2">
        <v>4</v>
      </c>
      <c r="S742" s="2" t="s">
        <v>112</v>
      </c>
      <c r="T742" s="2">
        <v>1093</v>
      </c>
      <c r="U742" s="2">
        <v>6</v>
      </c>
      <c r="V742" s="2"/>
    </row>
    <row r="743" spans="1:22" x14ac:dyDescent="0.35">
      <c r="A743" s="3" t="s">
        <v>2281</v>
      </c>
      <c r="B743" s="3" t="s">
        <v>2282</v>
      </c>
      <c r="C743" s="3" t="s">
        <v>1612</v>
      </c>
      <c r="D743" s="3" t="s">
        <v>2283</v>
      </c>
      <c r="E743" s="3" t="s">
        <v>58</v>
      </c>
      <c r="F743" s="3" t="s">
        <v>259</v>
      </c>
      <c r="G743" s="3" t="s">
        <v>50</v>
      </c>
      <c r="H743" s="3" t="s">
        <v>117</v>
      </c>
      <c r="I743" s="3" t="s">
        <v>30</v>
      </c>
      <c r="J743" s="3">
        <v>175</v>
      </c>
      <c r="K743" s="3">
        <v>687.35</v>
      </c>
      <c r="L743" s="3">
        <v>825.75</v>
      </c>
      <c r="M743" s="3">
        <v>144506.25</v>
      </c>
      <c r="N743" s="3">
        <v>120286.25</v>
      </c>
      <c r="O743" s="3">
        <v>24220</v>
      </c>
      <c r="P743" s="3" t="s">
        <v>95</v>
      </c>
      <c r="Q743" s="3" t="s">
        <v>32</v>
      </c>
      <c r="R743" s="3">
        <v>10</v>
      </c>
      <c r="S743" s="3" t="s">
        <v>53</v>
      </c>
      <c r="T743" s="3">
        <v>2356</v>
      </c>
      <c r="U743" s="3">
        <v>2</v>
      </c>
      <c r="V743" s="3"/>
    </row>
    <row r="744" spans="1:22" x14ac:dyDescent="0.35">
      <c r="A744" s="2" t="s">
        <v>2284</v>
      </c>
      <c r="B744" s="2" t="s">
        <v>1688</v>
      </c>
      <c r="C744" s="2" t="s">
        <v>1319</v>
      </c>
      <c r="D744" s="2" t="s">
        <v>2285</v>
      </c>
      <c r="E744" s="2" t="s">
        <v>100</v>
      </c>
      <c r="F744" s="2" t="s">
        <v>1606</v>
      </c>
      <c r="G744" s="2" t="s">
        <v>217</v>
      </c>
      <c r="H744" s="2" t="s">
        <v>494</v>
      </c>
      <c r="I744" s="2" t="s">
        <v>191</v>
      </c>
      <c r="J744" s="2">
        <v>296</v>
      </c>
      <c r="K744" s="2">
        <v>622.86</v>
      </c>
      <c r="L744" s="2">
        <v>698.15</v>
      </c>
      <c r="M744" s="2">
        <v>206652.4</v>
      </c>
      <c r="N744" s="2">
        <v>184366.56</v>
      </c>
      <c r="O744" s="2">
        <v>22285.84</v>
      </c>
      <c r="P744" s="2" t="s">
        <v>95</v>
      </c>
      <c r="Q744" s="2" t="s">
        <v>63</v>
      </c>
      <c r="R744" s="2">
        <v>3</v>
      </c>
      <c r="S744" s="2" t="s">
        <v>33</v>
      </c>
      <c r="T744" s="2">
        <v>2366</v>
      </c>
      <c r="U744" s="2">
        <v>14</v>
      </c>
      <c r="V744" s="2"/>
    </row>
    <row r="745" spans="1:22" x14ac:dyDescent="0.35">
      <c r="A745" s="3" t="s">
        <v>2286</v>
      </c>
      <c r="B745" s="3" t="s">
        <v>2171</v>
      </c>
      <c r="C745" s="3" t="s">
        <v>1065</v>
      </c>
      <c r="D745" s="3" t="s">
        <v>2287</v>
      </c>
      <c r="E745" s="3" t="s">
        <v>100</v>
      </c>
      <c r="F745" s="3" t="s">
        <v>330</v>
      </c>
      <c r="G745" s="3" t="s">
        <v>50</v>
      </c>
      <c r="H745" s="3" t="s">
        <v>260</v>
      </c>
      <c r="I745" s="3" t="s">
        <v>141</v>
      </c>
      <c r="J745" s="3">
        <v>153</v>
      </c>
      <c r="K745" s="3">
        <v>530.91999999999996</v>
      </c>
      <c r="L745" s="3">
        <v>782.71</v>
      </c>
      <c r="M745" s="3">
        <v>119754.63</v>
      </c>
      <c r="N745" s="3">
        <v>81230.759999999995</v>
      </c>
      <c r="O745" s="3">
        <v>38523.870000000003</v>
      </c>
      <c r="P745" s="3" t="s">
        <v>1781</v>
      </c>
      <c r="Q745" s="3" t="s">
        <v>63</v>
      </c>
      <c r="R745" s="3">
        <v>5</v>
      </c>
      <c r="S745" s="3" t="s">
        <v>112</v>
      </c>
      <c r="T745" s="3">
        <v>1394</v>
      </c>
      <c r="U745" s="3">
        <v>7</v>
      </c>
      <c r="V745" s="3"/>
    </row>
    <row r="746" spans="1:22" x14ac:dyDescent="0.35">
      <c r="A746" s="2" t="s">
        <v>2288</v>
      </c>
      <c r="B746" s="2" t="s">
        <v>1103</v>
      </c>
      <c r="C746" s="2" t="s">
        <v>2289</v>
      </c>
      <c r="D746" s="2" t="s">
        <v>2290</v>
      </c>
      <c r="E746" s="2" t="s">
        <v>68</v>
      </c>
      <c r="F746" s="2" t="s">
        <v>146</v>
      </c>
      <c r="G746" s="2" t="s">
        <v>189</v>
      </c>
      <c r="H746" s="2" t="s">
        <v>311</v>
      </c>
      <c r="I746" s="2" t="s">
        <v>191</v>
      </c>
      <c r="J746" s="2">
        <v>613</v>
      </c>
      <c r="K746" s="2">
        <v>332.58</v>
      </c>
      <c r="L746" s="2">
        <v>512.99</v>
      </c>
      <c r="M746" s="2">
        <v>314462.87</v>
      </c>
      <c r="N746" s="2">
        <v>203871.54</v>
      </c>
      <c r="O746" s="2">
        <v>110591.33</v>
      </c>
      <c r="P746" s="2" t="s">
        <v>52</v>
      </c>
      <c r="Q746" s="2" t="s">
        <v>32</v>
      </c>
      <c r="R746" s="2">
        <v>9</v>
      </c>
      <c r="S746" s="2" t="s">
        <v>33</v>
      </c>
      <c r="T746" s="2">
        <v>4524</v>
      </c>
      <c r="U746" s="2">
        <v>6</v>
      </c>
      <c r="V746" s="2"/>
    </row>
    <row r="747" spans="1:22" x14ac:dyDescent="0.35">
      <c r="A747" s="3" t="s">
        <v>2291</v>
      </c>
      <c r="B747" s="3" t="s">
        <v>741</v>
      </c>
      <c r="C747" s="3" t="s">
        <v>1471</v>
      </c>
      <c r="D747" s="3" t="s">
        <v>2292</v>
      </c>
      <c r="E747" s="3" t="s">
        <v>58</v>
      </c>
      <c r="F747" s="3" t="s">
        <v>59</v>
      </c>
      <c r="G747" s="3" t="s">
        <v>50</v>
      </c>
      <c r="H747" s="3" t="s">
        <v>734</v>
      </c>
      <c r="I747" s="3" t="s">
        <v>153</v>
      </c>
      <c r="J747" s="3">
        <v>717</v>
      </c>
      <c r="K747" s="3">
        <v>515.92999999999995</v>
      </c>
      <c r="L747" s="3">
        <v>760.38</v>
      </c>
      <c r="M747" s="3">
        <v>545192.46</v>
      </c>
      <c r="N747" s="3">
        <v>369921.81</v>
      </c>
      <c r="O747" s="3">
        <v>175270.65</v>
      </c>
      <c r="P747" s="3" t="s">
        <v>2293</v>
      </c>
      <c r="Q747" s="3" t="s">
        <v>32</v>
      </c>
      <c r="R747" s="3">
        <v>13</v>
      </c>
      <c r="S747" s="3" t="s">
        <v>53</v>
      </c>
      <c r="T747" s="3">
        <v>3485</v>
      </c>
      <c r="U747" s="3">
        <v>15</v>
      </c>
      <c r="V747" s="3"/>
    </row>
    <row r="748" spans="1:22" x14ac:dyDescent="0.35">
      <c r="A748" s="2" t="s">
        <v>1413</v>
      </c>
      <c r="B748" s="2" t="s">
        <v>278</v>
      </c>
      <c r="C748" s="2" t="s">
        <v>176</v>
      </c>
      <c r="D748" s="2" t="s">
        <v>1414</v>
      </c>
      <c r="E748" s="2" t="s">
        <v>48</v>
      </c>
      <c r="F748" s="2" t="s">
        <v>270</v>
      </c>
      <c r="G748" s="2" t="s">
        <v>93</v>
      </c>
      <c r="H748" s="2" t="s">
        <v>94</v>
      </c>
      <c r="I748" s="2" t="s">
        <v>240</v>
      </c>
      <c r="J748" s="2">
        <v>460</v>
      </c>
      <c r="K748" s="2">
        <v>415.62</v>
      </c>
      <c r="L748" s="2">
        <v>571.84</v>
      </c>
      <c r="M748" s="2">
        <v>263046.40000000002</v>
      </c>
      <c r="N748" s="2">
        <v>191185.2</v>
      </c>
      <c r="O748" s="2">
        <v>71861.2</v>
      </c>
      <c r="P748" s="2" t="s">
        <v>95</v>
      </c>
      <c r="Q748" s="2" t="s">
        <v>2294</v>
      </c>
      <c r="R748" s="2">
        <v>3</v>
      </c>
      <c r="S748" s="2" t="s">
        <v>43</v>
      </c>
      <c r="T748" s="2">
        <v>1731</v>
      </c>
      <c r="U748" s="2">
        <v>9</v>
      </c>
      <c r="V748" s="2"/>
    </row>
    <row r="749" spans="1:22" x14ac:dyDescent="0.35">
      <c r="A749" s="3" t="s">
        <v>2295</v>
      </c>
      <c r="B749" s="3" t="s">
        <v>711</v>
      </c>
      <c r="C749" s="3" t="s">
        <v>805</v>
      </c>
      <c r="D749" s="3" t="s">
        <v>2296</v>
      </c>
      <c r="E749" s="3" t="s">
        <v>48</v>
      </c>
      <c r="F749" s="3" t="s">
        <v>281</v>
      </c>
      <c r="G749" s="3" t="s">
        <v>78</v>
      </c>
      <c r="H749" s="3" t="s">
        <v>628</v>
      </c>
      <c r="I749" s="3" t="s">
        <v>41</v>
      </c>
      <c r="J749" s="3">
        <v>20</v>
      </c>
      <c r="K749" s="3">
        <v>575.09</v>
      </c>
      <c r="L749" s="3">
        <v>683.98</v>
      </c>
      <c r="M749" s="3">
        <v>13679.6</v>
      </c>
      <c r="N749" s="3">
        <v>11501.8</v>
      </c>
      <c r="O749" s="3">
        <v>2177.8000000000002</v>
      </c>
      <c r="P749" s="3" t="s">
        <v>52</v>
      </c>
      <c r="Q749" s="3" t="s">
        <v>63</v>
      </c>
      <c r="R749" s="3">
        <v>2</v>
      </c>
      <c r="S749" s="3" t="s">
        <v>112</v>
      </c>
      <c r="T749" s="3">
        <v>1750</v>
      </c>
      <c r="U749" s="3">
        <v>1</v>
      </c>
      <c r="V749" s="3"/>
    </row>
    <row r="750" spans="1:22" x14ac:dyDescent="0.35">
      <c r="A750" s="2" t="s">
        <v>2297</v>
      </c>
      <c r="B750" s="2" t="s">
        <v>1074</v>
      </c>
      <c r="C750" s="2" t="s">
        <v>171</v>
      </c>
      <c r="D750" s="2" t="s">
        <v>2298</v>
      </c>
      <c r="E750" s="2" t="s">
        <v>26</v>
      </c>
      <c r="F750" s="2" t="s">
        <v>38</v>
      </c>
      <c r="G750" s="2" t="s">
        <v>60</v>
      </c>
      <c r="H750" s="2" t="s">
        <v>229</v>
      </c>
      <c r="I750" s="2" t="s">
        <v>118</v>
      </c>
      <c r="J750" s="2">
        <v>675</v>
      </c>
      <c r="K750" s="2">
        <v>49.18</v>
      </c>
      <c r="L750" s="2">
        <v>64.11</v>
      </c>
      <c r="M750" s="2">
        <v>43274.25</v>
      </c>
      <c r="N750" s="2">
        <v>33196.5</v>
      </c>
      <c r="O750" s="2">
        <v>10077.75</v>
      </c>
      <c r="P750" s="2" t="s">
        <v>42</v>
      </c>
      <c r="Q750" s="2" t="s">
        <v>32</v>
      </c>
      <c r="R750" s="2">
        <v>8</v>
      </c>
      <c r="S750" s="2" t="s">
        <v>158</v>
      </c>
      <c r="T750" s="2">
        <v>470</v>
      </c>
      <c r="U750" s="2">
        <v>30</v>
      </c>
      <c r="V750" s="2"/>
    </row>
    <row r="751" spans="1:22" x14ac:dyDescent="0.35">
      <c r="A751" s="3" t="s">
        <v>2299</v>
      </c>
      <c r="B751" s="3" t="s">
        <v>949</v>
      </c>
      <c r="C751" s="3" t="s">
        <v>1189</v>
      </c>
      <c r="D751" s="3" t="s">
        <v>1845</v>
      </c>
      <c r="E751" s="3" t="s">
        <v>68</v>
      </c>
      <c r="F751" s="3" t="s">
        <v>69</v>
      </c>
      <c r="G751" s="3" t="s">
        <v>60</v>
      </c>
      <c r="H751" s="3" t="s">
        <v>539</v>
      </c>
      <c r="I751" s="3" t="s">
        <v>1230</v>
      </c>
      <c r="J751" s="3">
        <v>152</v>
      </c>
      <c r="K751" s="3">
        <v>777.87</v>
      </c>
      <c r="L751" s="3">
        <v>918.6</v>
      </c>
      <c r="M751" s="3">
        <v>139627.20000000001</v>
      </c>
      <c r="N751" s="3">
        <v>118236.24</v>
      </c>
      <c r="O751" s="3">
        <v>21390.959999999999</v>
      </c>
      <c r="P751" s="3" t="s">
        <v>52</v>
      </c>
      <c r="Q751" s="3" t="s">
        <v>32</v>
      </c>
      <c r="R751" s="3">
        <v>7</v>
      </c>
      <c r="S751" s="3" t="s">
        <v>33</v>
      </c>
      <c r="T751" s="3">
        <v>1808</v>
      </c>
      <c r="U751" s="3">
        <v>0</v>
      </c>
      <c r="V751" s="3"/>
    </row>
    <row r="752" spans="1:22" x14ac:dyDescent="0.35">
      <c r="A752" s="2" t="s">
        <v>2300</v>
      </c>
      <c r="B752" s="2" t="s">
        <v>2301</v>
      </c>
      <c r="C752" s="2" t="s">
        <v>596</v>
      </c>
      <c r="D752" s="2" t="s">
        <v>2302</v>
      </c>
      <c r="E752" s="2" t="s">
        <v>48</v>
      </c>
      <c r="F752" s="2" t="s">
        <v>281</v>
      </c>
      <c r="G752" s="2" t="s">
        <v>39</v>
      </c>
      <c r="H752" s="2" t="s">
        <v>354</v>
      </c>
      <c r="I752" s="2" t="s">
        <v>41</v>
      </c>
      <c r="J752" s="2">
        <v>72</v>
      </c>
      <c r="K752" s="2">
        <v>389.37</v>
      </c>
      <c r="L752" s="2">
        <v>578.88</v>
      </c>
      <c r="M752" s="2">
        <v>41679.360000000001</v>
      </c>
      <c r="N752" s="2">
        <v>28034.639999999999</v>
      </c>
      <c r="O752" s="2">
        <v>13644.72</v>
      </c>
      <c r="P752" s="2" t="s">
        <v>31</v>
      </c>
      <c r="Q752" s="2" t="s">
        <v>32</v>
      </c>
      <c r="R752" s="2">
        <v>11</v>
      </c>
      <c r="S752" s="2" t="s">
        <v>43</v>
      </c>
      <c r="T752" s="2">
        <v>4189</v>
      </c>
      <c r="U752" s="2">
        <v>2</v>
      </c>
      <c r="V752" s="2"/>
    </row>
    <row r="753" spans="1:22" x14ac:dyDescent="0.35">
      <c r="A753" s="3" t="s">
        <v>2303</v>
      </c>
      <c r="B753" s="3" t="s">
        <v>611</v>
      </c>
      <c r="C753" s="3" t="s">
        <v>356</v>
      </c>
      <c r="D753" s="3" t="s">
        <v>2304</v>
      </c>
      <c r="E753" s="3" t="s">
        <v>26</v>
      </c>
      <c r="F753" s="3" t="s">
        <v>38</v>
      </c>
      <c r="G753" s="3" t="s">
        <v>28</v>
      </c>
      <c r="H753" s="3" t="s">
        <v>714</v>
      </c>
      <c r="I753" s="3" t="s">
        <v>124</v>
      </c>
      <c r="J753" s="3">
        <v>408</v>
      </c>
      <c r="K753" s="3">
        <v>1104.9000000000001</v>
      </c>
      <c r="L753" s="3">
        <v>1746.27</v>
      </c>
      <c r="M753" s="3">
        <v>712478.16</v>
      </c>
      <c r="N753" s="3">
        <v>450799.2</v>
      </c>
      <c r="O753" s="3">
        <v>261678.96</v>
      </c>
      <c r="P753" s="3" t="s">
        <v>52</v>
      </c>
      <c r="Q753" s="3" t="s">
        <v>32</v>
      </c>
      <c r="R753" s="3">
        <v>14</v>
      </c>
      <c r="S753" s="3" t="s">
        <v>158</v>
      </c>
      <c r="T753" s="3">
        <v>2097</v>
      </c>
      <c r="U753" s="3">
        <v>18</v>
      </c>
      <c r="V753" s="3"/>
    </row>
    <row r="754" spans="1:22" x14ac:dyDescent="0.35">
      <c r="A754" s="2" t="s">
        <v>2305</v>
      </c>
      <c r="B754" s="2" t="s">
        <v>614</v>
      </c>
      <c r="C754" s="2" t="s">
        <v>884</v>
      </c>
      <c r="D754" s="2" t="s">
        <v>2306</v>
      </c>
      <c r="E754" s="2" t="s">
        <v>58</v>
      </c>
      <c r="F754" s="2" t="s">
        <v>259</v>
      </c>
      <c r="G754" s="2" t="s">
        <v>50</v>
      </c>
      <c r="H754" s="2" t="s">
        <v>107</v>
      </c>
      <c r="I754" s="2" t="s">
        <v>72</v>
      </c>
      <c r="J754" s="2">
        <v>319</v>
      </c>
      <c r="K754" s="2">
        <v>1070.77</v>
      </c>
      <c r="L754" s="2">
        <v>1704.89</v>
      </c>
      <c r="M754" s="2">
        <v>543859.91</v>
      </c>
      <c r="N754" s="2">
        <v>341575.63</v>
      </c>
      <c r="O754" s="2">
        <v>202284.28</v>
      </c>
      <c r="P754" s="2" t="s">
        <v>95</v>
      </c>
      <c r="Q754" s="2" t="s">
        <v>32</v>
      </c>
      <c r="R754" s="2">
        <v>15</v>
      </c>
      <c r="S754" s="2" t="s">
        <v>53</v>
      </c>
      <c r="T754" s="2">
        <v>4206</v>
      </c>
      <c r="U754" s="2">
        <v>11</v>
      </c>
      <c r="V754" s="2"/>
    </row>
    <row r="755" spans="1:22" x14ac:dyDescent="0.35">
      <c r="A755" s="3" t="s">
        <v>2307</v>
      </c>
      <c r="B755" s="3" t="s">
        <v>55</v>
      </c>
      <c r="C755" s="3" t="s">
        <v>427</v>
      </c>
      <c r="D755" s="3" t="s">
        <v>2308</v>
      </c>
      <c r="E755" s="3" t="s">
        <v>48</v>
      </c>
      <c r="F755" s="3" t="s">
        <v>223</v>
      </c>
      <c r="G755" s="3" t="s">
        <v>60</v>
      </c>
      <c r="H755" s="3" t="s">
        <v>400</v>
      </c>
      <c r="I755" s="3" t="s">
        <v>141</v>
      </c>
      <c r="J755" s="3">
        <v>696</v>
      </c>
      <c r="K755" s="3">
        <v>382.92</v>
      </c>
      <c r="L755" s="3">
        <v>488.57</v>
      </c>
      <c r="M755" s="3">
        <v>340044.72</v>
      </c>
      <c r="N755" s="3">
        <v>266512.32</v>
      </c>
      <c r="O755" s="3">
        <v>73532.399999999994</v>
      </c>
      <c r="P755" s="3" t="s">
        <v>52</v>
      </c>
      <c r="Q755" s="3" t="s">
        <v>32</v>
      </c>
      <c r="R755" s="3">
        <v>14</v>
      </c>
      <c r="S755" s="3" t="s">
        <v>33</v>
      </c>
      <c r="T755" s="3">
        <v>4108</v>
      </c>
      <c r="U755" s="3">
        <v>4</v>
      </c>
      <c r="V755" s="3"/>
    </row>
    <row r="756" spans="1:22" x14ac:dyDescent="0.35">
      <c r="A756" s="2" t="s">
        <v>2309</v>
      </c>
      <c r="B756" s="2" t="s">
        <v>2310</v>
      </c>
      <c r="C756" s="2" t="s">
        <v>874</v>
      </c>
      <c r="D756" s="2" t="s">
        <v>2311</v>
      </c>
      <c r="E756" s="2" t="s">
        <v>48</v>
      </c>
      <c r="F756" s="2" t="s">
        <v>183</v>
      </c>
      <c r="G756" s="2" t="s">
        <v>93</v>
      </c>
      <c r="H756" s="2" t="s">
        <v>1442</v>
      </c>
      <c r="I756" s="2" t="s">
        <v>153</v>
      </c>
      <c r="J756" s="2">
        <v>115</v>
      </c>
      <c r="K756" s="2">
        <v>756.02</v>
      </c>
      <c r="L756" s="2">
        <v>1080.17</v>
      </c>
      <c r="M756" s="2">
        <v>124219.55</v>
      </c>
      <c r="N756" s="2">
        <v>86942.3</v>
      </c>
      <c r="O756" s="2">
        <v>37277.25</v>
      </c>
      <c r="P756" s="2" t="s">
        <v>42</v>
      </c>
      <c r="Q756" s="2" t="s">
        <v>32</v>
      </c>
      <c r="R756" s="2">
        <v>8</v>
      </c>
      <c r="S756" s="2" t="s">
        <v>158</v>
      </c>
      <c r="T756" s="2">
        <v>3328</v>
      </c>
      <c r="U756" s="2">
        <v>1</v>
      </c>
      <c r="V756" s="2"/>
    </row>
    <row r="757" spans="1:22" x14ac:dyDescent="0.35">
      <c r="A757" s="3" t="s">
        <v>2312</v>
      </c>
      <c r="B757" s="3" t="s">
        <v>2313</v>
      </c>
      <c r="C757" s="3" t="s">
        <v>1304</v>
      </c>
      <c r="D757" s="3" t="s">
        <v>2314</v>
      </c>
      <c r="E757" s="3" t="s">
        <v>100</v>
      </c>
      <c r="F757" s="3" t="s">
        <v>538</v>
      </c>
      <c r="G757" s="3" t="s">
        <v>78</v>
      </c>
      <c r="H757" s="3" t="s">
        <v>79</v>
      </c>
      <c r="I757" s="3" t="s">
        <v>240</v>
      </c>
      <c r="J757" s="3">
        <v>-20</v>
      </c>
      <c r="K757" s="3">
        <v>30.67</v>
      </c>
      <c r="L757" s="3">
        <v>46.96</v>
      </c>
      <c r="M757" s="3">
        <v>4414.24</v>
      </c>
      <c r="N757" s="3">
        <v>2882.98</v>
      </c>
      <c r="O757" s="4"/>
      <c r="P757" s="3" t="s">
        <v>31</v>
      </c>
      <c r="Q757" s="3" t="s">
        <v>32</v>
      </c>
      <c r="R757" s="3">
        <v>8</v>
      </c>
      <c r="S757" s="3" t="s">
        <v>33</v>
      </c>
      <c r="T757" s="3">
        <v>4739</v>
      </c>
      <c r="U757" s="3">
        <v>4</v>
      </c>
      <c r="V757" s="3"/>
    </row>
    <row r="758" spans="1:22" x14ac:dyDescent="0.35">
      <c r="A758" s="2" t="s">
        <v>2315</v>
      </c>
      <c r="B758" s="2" t="s">
        <v>653</v>
      </c>
      <c r="C758" s="2" t="s">
        <v>35</v>
      </c>
      <c r="D758" s="2" t="s">
        <v>2316</v>
      </c>
      <c r="E758" s="2" t="s">
        <v>68</v>
      </c>
      <c r="F758" s="2" t="s">
        <v>146</v>
      </c>
      <c r="G758" s="2" t="s">
        <v>50</v>
      </c>
      <c r="H758" s="2" t="s">
        <v>51</v>
      </c>
      <c r="I758" s="2" t="s">
        <v>141</v>
      </c>
      <c r="J758" s="2">
        <v>308</v>
      </c>
      <c r="K758" s="2">
        <v>252.56</v>
      </c>
      <c r="L758" s="2">
        <v>376.67</v>
      </c>
      <c r="M758" s="2">
        <v>116014.36</v>
      </c>
      <c r="N758" s="2">
        <v>77788.479999999996</v>
      </c>
      <c r="O758" s="2">
        <v>38225.879999999997</v>
      </c>
      <c r="P758" s="2" t="s">
        <v>31</v>
      </c>
      <c r="Q758" s="2" t="s">
        <v>32</v>
      </c>
      <c r="R758" s="2">
        <v>13</v>
      </c>
      <c r="S758" s="2" t="s">
        <v>43</v>
      </c>
      <c r="T758" s="2">
        <v>2402</v>
      </c>
      <c r="U758" s="2">
        <v>12</v>
      </c>
      <c r="V758" s="2"/>
    </row>
    <row r="759" spans="1:22" x14ac:dyDescent="0.35">
      <c r="A759" s="3" t="s">
        <v>2317</v>
      </c>
      <c r="B759" s="3" t="s">
        <v>542</v>
      </c>
      <c r="C759" s="3" t="s">
        <v>210</v>
      </c>
      <c r="D759" s="3" t="s">
        <v>2318</v>
      </c>
      <c r="E759" s="3" t="s">
        <v>100</v>
      </c>
      <c r="F759" s="3" t="s">
        <v>1529</v>
      </c>
      <c r="G759" s="3" t="s">
        <v>39</v>
      </c>
      <c r="H759" s="3" t="s">
        <v>664</v>
      </c>
      <c r="I759" s="3" t="s">
        <v>240</v>
      </c>
      <c r="J759" s="3">
        <v>469</v>
      </c>
      <c r="K759" s="3">
        <v>1105.6099999999999</v>
      </c>
      <c r="L759" s="3">
        <v>1781.62</v>
      </c>
      <c r="M759" s="3">
        <v>835579.78</v>
      </c>
      <c r="N759" s="3">
        <v>518531.09</v>
      </c>
      <c r="O759" s="3">
        <v>317048.69</v>
      </c>
      <c r="P759" s="3" t="s">
        <v>42</v>
      </c>
      <c r="Q759" s="3" t="s">
        <v>32</v>
      </c>
      <c r="R759" s="3">
        <v>11</v>
      </c>
      <c r="S759" s="3" t="s">
        <v>86</v>
      </c>
      <c r="T759" s="3">
        <v>1982</v>
      </c>
      <c r="U759" s="3">
        <v>2</v>
      </c>
      <c r="V759" s="3"/>
    </row>
    <row r="760" spans="1:22" x14ac:dyDescent="0.35">
      <c r="A760" s="2" t="s">
        <v>2319</v>
      </c>
      <c r="B760" s="2" t="s">
        <v>2320</v>
      </c>
      <c r="C760" s="2" t="s">
        <v>1738</v>
      </c>
      <c r="D760" s="2" t="s">
        <v>2321</v>
      </c>
      <c r="E760" s="2" t="s">
        <v>26</v>
      </c>
      <c r="F760" s="2" t="s">
        <v>38</v>
      </c>
      <c r="G760" s="2" t="s">
        <v>28</v>
      </c>
      <c r="H760" s="2" t="s">
        <v>674</v>
      </c>
      <c r="I760" s="2" t="s">
        <v>72</v>
      </c>
      <c r="J760" s="2">
        <v>685</v>
      </c>
      <c r="K760" s="2">
        <v>612.42999999999995</v>
      </c>
      <c r="L760" s="2">
        <v>1000.26</v>
      </c>
      <c r="M760" s="2">
        <v>685178.1</v>
      </c>
      <c r="N760" s="2">
        <v>419514.55</v>
      </c>
      <c r="O760" s="2">
        <v>265663.55</v>
      </c>
      <c r="P760" s="2" t="s">
        <v>31</v>
      </c>
      <c r="Q760" s="2" t="s">
        <v>32</v>
      </c>
      <c r="R760" s="2">
        <v>11</v>
      </c>
      <c r="S760" s="2" t="s">
        <v>33</v>
      </c>
      <c r="T760" s="2">
        <v>1059</v>
      </c>
      <c r="U760" s="2">
        <v>14</v>
      </c>
      <c r="V760" s="2"/>
    </row>
    <row r="761" spans="1:22" x14ac:dyDescent="0.35">
      <c r="A761" s="3" t="s">
        <v>2322</v>
      </c>
      <c r="B761" s="3" t="s">
        <v>596</v>
      </c>
      <c r="C761" s="3" t="s">
        <v>262</v>
      </c>
      <c r="D761" s="3" t="s">
        <v>2323</v>
      </c>
      <c r="E761" s="3" t="s">
        <v>58</v>
      </c>
      <c r="F761" s="3" t="s">
        <v>59</v>
      </c>
      <c r="G761" s="3" t="s">
        <v>39</v>
      </c>
      <c r="H761" s="3" t="s">
        <v>412</v>
      </c>
      <c r="I761" s="3" t="s">
        <v>30</v>
      </c>
      <c r="J761" s="3">
        <v>713</v>
      </c>
      <c r="K761" s="3">
        <v>471.17</v>
      </c>
      <c r="L761" s="3">
        <v>691.65</v>
      </c>
      <c r="M761" s="3">
        <v>493146.45</v>
      </c>
      <c r="N761" s="3">
        <v>335944.21</v>
      </c>
      <c r="O761" s="3">
        <v>157202.23999999999</v>
      </c>
      <c r="P761" s="3" t="s">
        <v>31</v>
      </c>
      <c r="Q761" s="3" t="s">
        <v>63</v>
      </c>
      <c r="R761" s="3">
        <v>1</v>
      </c>
      <c r="S761" s="3" t="s">
        <v>86</v>
      </c>
      <c r="T761" s="3">
        <v>223</v>
      </c>
      <c r="U761" s="4" t="s">
        <v>2324</v>
      </c>
      <c r="V761" s="3"/>
    </row>
    <row r="762" spans="1:22" x14ac:dyDescent="0.35">
      <c r="A762" s="2" t="s">
        <v>2325</v>
      </c>
      <c r="B762" s="2" t="s">
        <v>2326</v>
      </c>
      <c r="C762" s="2" t="s">
        <v>2042</v>
      </c>
      <c r="D762" s="2" t="s">
        <v>2298</v>
      </c>
      <c r="E762" s="2" t="s">
        <v>68</v>
      </c>
      <c r="F762" s="2" t="s">
        <v>163</v>
      </c>
      <c r="G762" s="2" t="s">
        <v>39</v>
      </c>
      <c r="H762" s="2" t="s">
        <v>647</v>
      </c>
      <c r="I762" s="2" t="s">
        <v>72</v>
      </c>
      <c r="J762" s="2">
        <v>65</v>
      </c>
      <c r="K762" s="2">
        <v>129.9</v>
      </c>
      <c r="L762" s="2">
        <v>190.14</v>
      </c>
      <c r="M762" s="2">
        <v>12359.1</v>
      </c>
      <c r="N762" s="2">
        <v>8443.5</v>
      </c>
      <c r="O762" s="2">
        <v>3915.6</v>
      </c>
      <c r="P762" s="2" t="s">
        <v>31</v>
      </c>
      <c r="Q762" s="2" t="s">
        <v>32</v>
      </c>
      <c r="R762" s="2">
        <v>6</v>
      </c>
      <c r="S762" s="2" t="s">
        <v>112</v>
      </c>
      <c r="T762" s="2">
        <v>1410</v>
      </c>
      <c r="U762" s="2">
        <v>1</v>
      </c>
      <c r="V762" s="2"/>
    </row>
    <row r="763" spans="1:22" x14ac:dyDescent="0.35">
      <c r="A763" s="3" t="s">
        <v>2327</v>
      </c>
      <c r="B763" s="3" t="s">
        <v>155</v>
      </c>
      <c r="C763" s="3" t="s">
        <v>1581</v>
      </c>
      <c r="D763" s="3" t="s">
        <v>2328</v>
      </c>
      <c r="E763" s="3" t="s">
        <v>58</v>
      </c>
      <c r="F763" s="3" t="s">
        <v>59</v>
      </c>
      <c r="G763" s="3" t="s">
        <v>217</v>
      </c>
      <c r="H763" s="3" t="s">
        <v>725</v>
      </c>
      <c r="I763" s="3" t="s">
        <v>41</v>
      </c>
      <c r="J763" s="3">
        <v>202</v>
      </c>
      <c r="K763" s="3">
        <v>385.92</v>
      </c>
      <c r="L763" s="3">
        <v>468.71</v>
      </c>
      <c r="M763" s="3">
        <v>94679.42</v>
      </c>
      <c r="N763" s="3">
        <v>77955.839999999997</v>
      </c>
      <c r="O763" s="3">
        <v>16723.580000000002</v>
      </c>
      <c r="P763" s="3" t="s">
        <v>95</v>
      </c>
      <c r="Q763" s="3" t="s">
        <v>63</v>
      </c>
      <c r="R763" s="3">
        <v>1</v>
      </c>
      <c r="S763" s="3" t="s">
        <v>33</v>
      </c>
      <c r="T763" s="3">
        <v>3751</v>
      </c>
      <c r="U763" s="3">
        <v>10</v>
      </c>
      <c r="V763" s="3"/>
    </row>
    <row r="764" spans="1:22" x14ac:dyDescent="0.35">
      <c r="A764" s="2" t="s">
        <v>2329</v>
      </c>
      <c r="B764" s="2" t="s">
        <v>671</v>
      </c>
      <c r="C764" s="2" t="s">
        <v>1007</v>
      </c>
      <c r="D764" s="2" t="s">
        <v>2330</v>
      </c>
      <c r="E764" s="2" t="s">
        <v>68</v>
      </c>
      <c r="F764" s="2" t="s">
        <v>163</v>
      </c>
      <c r="G764" s="2" t="s">
        <v>129</v>
      </c>
      <c r="H764" s="2" t="s">
        <v>704</v>
      </c>
      <c r="I764" s="2" t="s">
        <v>85</v>
      </c>
      <c r="J764" s="2">
        <v>788</v>
      </c>
      <c r="K764" s="2">
        <v>302.16000000000003</v>
      </c>
      <c r="L764" s="2">
        <v>487.14</v>
      </c>
      <c r="M764" s="2">
        <v>383866.32</v>
      </c>
      <c r="N764" s="2">
        <v>238102.08</v>
      </c>
      <c r="O764" s="2">
        <v>145764.24</v>
      </c>
      <c r="P764" s="2" t="s">
        <v>31</v>
      </c>
      <c r="Q764" s="2" t="s">
        <v>32</v>
      </c>
      <c r="R764" s="2">
        <v>9</v>
      </c>
      <c r="S764" s="2" t="s">
        <v>53</v>
      </c>
      <c r="T764" s="2">
        <v>1731</v>
      </c>
      <c r="U764" s="2">
        <v>12</v>
      </c>
      <c r="V764" s="2"/>
    </row>
    <row r="765" spans="1:22" x14ac:dyDescent="0.35">
      <c r="A765" s="3" t="s">
        <v>2331</v>
      </c>
      <c r="B765" s="3" t="s">
        <v>1445</v>
      </c>
      <c r="C765" s="3" t="s">
        <v>1522</v>
      </c>
      <c r="D765" s="3" t="s">
        <v>2332</v>
      </c>
      <c r="E765" s="3" t="s">
        <v>100</v>
      </c>
      <c r="F765" s="3" t="s">
        <v>330</v>
      </c>
      <c r="G765" s="3" t="s">
        <v>129</v>
      </c>
      <c r="H765" s="3" t="s">
        <v>152</v>
      </c>
      <c r="I765" s="3" t="s">
        <v>30</v>
      </c>
      <c r="J765" s="3">
        <v>721</v>
      </c>
      <c r="K765" s="3">
        <v>652</v>
      </c>
      <c r="L765" s="3">
        <v>947.25</v>
      </c>
      <c r="M765" s="3">
        <v>682967.25</v>
      </c>
      <c r="N765" s="3">
        <v>470092</v>
      </c>
      <c r="O765" s="3">
        <v>212875.25</v>
      </c>
      <c r="P765" s="3" t="s">
        <v>95</v>
      </c>
      <c r="Q765" s="3" t="s">
        <v>32</v>
      </c>
      <c r="R765" s="3">
        <v>11</v>
      </c>
      <c r="S765" s="3" t="s">
        <v>158</v>
      </c>
      <c r="T765" s="3">
        <v>2439</v>
      </c>
      <c r="U765" s="3">
        <v>2</v>
      </c>
      <c r="V765" s="3"/>
    </row>
    <row r="766" spans="1:22" x14ac:dyDescent="0.35">
      <c r="A766" s="2" t="s">
        <v>2333</v>
      </c>
      <c r="B766" s="2" t="s">
        <v>919</v>
      </c>
      <c r="C766" s="2" t="s">
        <v>394</v>
      </c>
      <c r="D766" s="2" t="s">
        <v>2334</v>
      </c>
      <c r="E766" s="2" t="s">
        <v>48</v>
      </c>
      <c r="F766" s="2" t="s">
        <v>183</v>
      </c>
      <c r="G766" s="2" t="s">
        <v>129</v>
      </c>
      <c r="H766" s="2" t="s">
        <v>152</v>
      </c>
      <c r="I766" s="2" t="s">
        <v>118</v>
      </c>
      <c r="J766" s="2">
        <v>549</v>
      </c>
      <c r="K766" s="2">
        <v>575.02</v>
      </c>
      <c r="L766" s="2">
        <v>718.45</v>
      </c>
      <c r="M766" s="2">
        <v>394429.05</v>
      </c>
      <c r="N766" s="2">
        <v>315685.98</v>
      </c>
      <c r="O766" s="2">
        <v>78743.070000000007</v>
      </c>
      <c r="P766" s="2" t="s">
        <v>52</v>
      </c>
      <c r="Q766" s="2" t="s">
        <v>63</v>
      </c>
      <c r="R766" s="2">
        <v>2</v>
      </c>
      <c r="S766" s="2" t="s">
        <v>43</v>
      </c>
      <c r="T766" s="2">
        <v>4477</v>
      </c>
      <c r="U766" s="2">
        <v>10</v>
      </c>
      <c r="V766" s="2"/>
    </row>
    <row r="767" spans="1:22" x14ac:dyDescent="0.35">
      <c r="A767" s="3" t="s">
        <v>2335</v>
      </c>
      <c r="B767" s="3" t="s">
        <v>2336</v>
      </c>
      <c r="C767" s="3" t="s">
        <v>2337</v>
      </c>
      <c r="D767" s="3" t="s">
        <v>2338</v>
      </c>
      <c r="E767" s="3" t="s">
        <v>26</v>
      </c>
      <c r="F767" s="3" t="s">
        <v>38</v>
      </c>
      <c r="G767" s="3" t="s">
        <v>93</v>
      </c>
      <c r="H767" s="3" t="s">
        <v>321</v>
      </c>
      <c r="I767" s="3" t="s">
        <v>191</v>
      </c>
      <c r="J767" s="3">
        <v>534</v>
      </c>
      <c r="K767" s="3">
        <v>1174.3499999999999</v>
      </c>
      <c r="L767" s="3">
        <v>1926.45</v>
      </c>
      <c r="M767" s="3">
        <v>1028724.3</v>
      </c>
      <c r="N767" s="3">
        <v>627102.9</v>
      </c>
      <c r="O767" s="3">
        <v>401621.4</v>
      </c>
      <c r="P767" s="3" t="s">
        <v>52</v>
      </c>
      <c r="Q767" s="3" t="s">
        <v>32</v>
      </c>
      <c r="R767" s="3">
        <v>10</v>
      </c>
      <c r="S767" s="3" t="s">
        <v>86</v>
      </c>
      <c r="T767" s="3">
        <v>2964</v>
      </c>
      <c r="U767" s="3">
        <v>19</v>
      </c>
      <c r="V767" s="3"/>
    </row>
    <row r="768" spans="1:22" x14ac:dyDescent="0.35">
      <c r="A768" s="2" t="s">
        <v>2339</v>
      </c>
      <c r="B768" s="2" t="s">
        <v>1360</v>
      </c>
      <c r="C768" s="2" t="s">
        <v>1670</v>
      </c>
      <c r="D768" s="2" t="s">
        <v>2340</v>
      </c>
      <c r="E768" s="4"/>
      <c r="F768" s="2" t="s">
        <v>330</v>
      </c>
      <c r="G768" s="2" t="s">
        <v>93</v>
      </c>
      <c r="H768" s="2" t="s">
        <v>485</v>
      </c>
      <c r="I768" s="2" t="s">
        <v>41</v>
      </c>
      <c r="J768" s="2">
        <v>44</v>
      </c>
      <c r="K768" s="2">
        <v>696.25</v>
      </c>
      <c r="L768" s="2">
        <v>1071.3599999999999</v>
      </c>
      <c r="M768" s="2">
        <v>47139.839999999997</v>
      </c>
      <c r="N768" s="2">
        <v>30635</v>
      </c>
      <c r="O768" s="2">
        <v>16504.84</v>
      </c>
      <c r="P768" s="2" t="s">
        <v>95</v>
      </c>
      <c r="Q768" s="2" t="s">
        <v>63</v>
      </c>
      <c r="R768" s="2">
        <v>5</v>
      </c>
      <c r="S768" s="2" t="s">
        <v>43</v>
      </c>
      <c r="T768" s="2">
        <v>2131</v>
      </c>
      <c r="U768" s="2">
        <v>0</v>
      </c>
      <c r="V768" s="2"/>
    </row>
    <row r="769" spans="1:22" x14ac:dyDescent="0.35">
      <c r="A769" s="3" t="s">
        <v>2341</v>
      </c>
      <c r="B769" s="3" t="s">
        <v>394</v>
      </c>
      <c r="C769" s="3" t="s">
        <v>1385</v>
      </c>
      <c r="D769" s="3" t="s">
        <v>2342</v>
      </c>
      <c r="E769" s="3" t="s">
        <v>68</v>
      </c>
      <c r="F769" s="3" t="s">
        <v>276</v>
      </c>
      <c r="G769" s="3" t="s">
        <v>129</v>
      </c>
      <c r="H769" s="3" t="s">
        <v>130</v>
      </c>
      <c r="I769" s="3" t="s">
        <v>41</v>
      </c>
      <c r="J769" s="3">
        <v>8</v>
      </c>
      <c r="K769" s="3">
        <v>254.82</v>
      </c>
      <c r="L769" s="3">
        <v>306.14</v>
      </c>
      <c r="M769" s="3">
        <v>2449.12</v>
      </c>
      <c r="N769" s="3">
        <v>2038.56</v>
      </c>
      <c r="O769" s="3">
        <v>410.56</v>
      </c>
      <c r="P769" s="3" t="s">
        <v>42</v>
      </c>
      <c r="Q769" s="3" t="s">
        <v>32</v>
      </c>
      <c r="R769" s="3">
        <v>13</v>
      </c>
      <c r="S769" s="3" t="s">
        <v>158</v>
      </c>
      <c r="T769" s="3">
        <v>4584</v>
      </c>
      <c r="U769" s="3">
        <v>1</v>
      </c>
      <c r="V769" s="3"/>
    </row>
    <row r="770" spans="1:22" x14ac:dyDescent="0.35">
      <c r="A770" s="2" t="s">
        <v>2343</v>
      </c>
      <c r="B770" s="2" t="s">
        <v>742</v>
      </c>
      <c r="C770" s="2" t="s">
        <v>351</v>
      </c>
      <c r="D770" s="2" t="s">
        <v>2344</v>
      </c>
      <c r="E770" s="2" t="s">
        <v>26</v>
      </c>
      <c r="F770" s="2" t="s">
        <v>92</v>
      </c>
      <c r="G770" s="2" t="s">
        <v>50</v>
      </c>
      <c r="H770" s="2" t="s">
        <v>734</v>
      </c>
      <c r="I770" s="2" t="s">
        <v>124</v>
      </c>
      <c r="J770" s="2">
        <v>673</v>
      </c>
      <c r="K770" s="2">
        <v>97.36</v>
      </c>
      <c r="L770" s="2">
        <v>118.09</v>
      </c>
      <c r="M770" s="2">
        <v>79474.570000000007</v>
      </c>
      <c r="N770" s="2">
        <v>65523.28</v>
      </c>
      <c r="O770" s="2">
        <v>13951.29</v>
      </c>
      <c r="P770" s="2" t="s">
        <v>95</v>
      </c>
      <c r="Q770" s="2" t="s">
        <v>32</v>
      </c>
      <c r="R770" s="2">
        <v>10</v>
      </c>
      <c r="S770" s="2" t="s">
        <v>86</v>
      </c>
      <c r="T770" s="2">
        <v>1869</v>
      </c>
      <c r="U770" s="2">
        <v>25</v>
      </c>
      <c r="V770" s="2"/>
    </row>
    <row r="771" spans="1:22" x14ac:dyDescent="0.35">
      <c r="A771" s="3" t="s">
        <v>2345</v>
      </c>
      <c r="B771" s="3" t="s">
        <v>407</v>
      </c>
      <c r="C771" s="3" t="s">
        <v>1119</v>
      </c>
      <c r="D771" s="3" t="s">
        <v>2346</v>
      </c>
      <c r="E771" s="3" t="s">
        <v>100</v>
      </c>
      <c r="F771" s="3" t="s">
        <v>238</v>
      </c>
      <c r="G771" s="3" t="s">
        <v>28</v>
      </c>
      <c r="H771" s="3" t="s">
        <v>674</v>
      </c>
      <c r="I771" s="3" t="s">
        <v>240</v>
      </c>
      <c r="J771" s="3">
        <v>687</v>
      </c>
      <c r="K771" s="3">
        <v>587.15</v>
      </c>
      <c r="L771" s="3">
        <v>824.06</v>
      </c>
      <c r="M771" s="3">
        <v>566129.22</v>
      </c>
      <c r="N771" s="3">
        <v>403372.05</v>
      </c>
      <c r="O771" s="3">
        <v>162757.17000000001</v>
      </c>
      <c r="P771" s="3" t="s">
        <v>95</v>
      </c>
      <c r="Q771" s="3" t="s">
        <v>32</v>
      </c>
      <c r="R771" s="3">
        <v>11</v>
      </c>
      <c r="S771" s="3" t="s">
        <v>33</v>
      </c>
      <c r="T771" s="3">
        <v>1940</v>
      </c>
      <c r="U771" s="3">
        <v>31</v>
      </c>
      <c r="V771" s="3"/>
    </row>
    <row r="772" spans="1:22" x14ac:dyDescent="0.35">
      <c r="A772" s="2" t="s">
        <v>2347</v>
      </c>
      <c r="B772" s="2" t="s">
        <v>1641</v>
      </c>
      <c r="C772" s="2" t="s">
        <v>1146</v>
      </c>
      <c r="D772" s="2" t="s">
        <v>2348</v>
      </c>
      <c r="E772" s="2" t="s">
        <v>100</v>
      </c>
      <c r="F772" s="2" t="s">
        <v>538</v>
      </c>
      <c r="G772" s="2" t="s">
        <v>129</v>
      </c>
      <c r="H772" s="2" t="s">
        <v>704</v>
      </c>
      <c r="I772" s="2" t="s">
        <v>293</v>
      </c>
      <c r="J772" s="2">
        <v>18</v>
      </c>
      <c r="K772" s="2">
        <v>7.01</v>
      </c>
      <c r="L772" s="2">
        <v>9.86</v>
      </c>
      <c r="M772" s="2">
        <v>177.48</v>
      </c>
      <c r="N772" s="2">
        <v>126.18</v>
      </c>
      <c r="O772" s="2">
        <v>51.3</v>
      </c>
      <c r="P772" s="2" t="s">
        <v>42</v>
      </c>
      <c r="Q772" s="2" t="s">
        <v>32</v>
      </c>
      <c r="R772" s="2">
        <v>7</v>
      </c>
      <c r="S772" s="2" t="s">
        <v>112</v>
      </c>
      <c r="T772" s="2">
        <v>1331</v>
      </c>
      <c r="U772" s="2">
        <v>0</v>
      </c>
      <c r="V772" s="2"/>
    </row>
    <row r="773" spans="1:22" x14ac:dyDescent="0.35">
      <c r="A773" s="3" t="s">
        <v>2349</v>
      </c>
      <c r="B773" s="3" t="s">
        <v>712</v>
      </c>
      <c r="C773" s="3" t="s">
        <v>338</v>
      </c>
      <c r="D773" s="3" t="s">
        <v>2350</v>
      </c>
      <c r="E773" s="3" t="s">
        <v>48</v>
      </c>
      <c r="F773" s="3" t="s">
        <v>223</v>
      </c>
      <c r="G773" s="3" t="s">
        <v>93</v>
      </c>
      <c r="H773" s="3" t="s">
        <v>485</v>
      </c>
      <c r="I773" s="3" t="s">
        <v>72</v>
      </c>
      <c r="J773" s="3">
        <v>463</v>
      </c>
      <c r="K773" s="3">
        <v>611.48</v>
      </c>
      <c r="L773" s="3">
        <v>744.89</v>
      </c>
      <c r="M773" s="3">
        <v>344884.07</v>
      </c>
      <c r="N773" s="3">
        <v>283115.24</v>
      </c>
      <c r="O773" s="3">
        <v>61768.83</v>
      </c>
      <c r="P773" s="3" t="s">
        <v>42</v>
      </c>
      <c r="Q773" s="3" t="s">
        <v>32</v>
      </c>
      <c r="R773" s="3">
        <v>9</v>
      </c>
      <c r="S773" s="3" t="s">
        <v>53</v>
      </c>
      <c r="T773" s="3">
        <v>4931</v>
      </c>
      <c r="U773" s="3">
        <v>17</v>
      </c>
      <c r="V773" s="3"/>
    </row>
    <row r="774" spans="1:22" x14ac:dyDescent="0.35">
      <c r="A774" s="2" t="s">
        <v>2351</v>
      </c>
      <c r="B774" s="2" t="s">
        <v>24</v>
      </c>
      <c r="C774" s="2" t="s">
        <v>1216</v>
      </c>
      <c r="D774" s="2" t="s">
        <v>2352</v>
      </c>
      <c r="E774" s="2" t="s">
        <v>58</v>
      </c>
      <c r="F774" s="2" t="s">
        <v>122</v>
      </c>
      <c r="G774" s="2" t="s">
        <v>129</v>
      </c>
      <c r="H774" s="2" t="s">
        <v>152</v>
      </c>
      <c r="I774" s="2" t="s">
        <v>124</v>
      </c>
      <c r="J774" s="2">
        <v>251</v>
      </c>
      <c r="K774" s="2">
        <v>286.98</v>
      </c>
      <c r="L774" s="2">
        <v>413.24</v>
      </c>
      <c r="M774" s="2">
        <v>103723.24</v>
      </c>
      <c r="N774" s="2">
        <v>72031.98</v>
      </c>
      <c r="O774" s="2">
        <v>31691.26</v>
      </c>
      <c r="P774" s="2" t="s">
        <v>31</v>
      </c>
      <c r="Q774" s="2" t="s">
        <v>63</v>
      </c>
      <c r="R774" s="2">
        <v>4</v>
      </c>
      <c r="S774" s="2" t="s">
        <v>43</v>
      </c>
      <c r="T774" s="2">
        <v>810</v>
      </c>
      <c r="U774" s="2">
        <v>8</v>
      </c>
      <c r="V774" s="2"/>
    </row>
    <row r="775" spans="1:22" x14ac:dyDescent="0.35">
      <c r="A775" s="3" t="s">
        <v>2353</v>
      </c>
      <c r="B775" s="3" t="s">
        <v>2122</v>
      </c>
      <c r="C775" s="3" t="s">
        <v>1311</v>
      </c>
      <c r="D775" s="3" t="s">
        <v>2354</v>
      </c>
      <c r="E775" s="3" t="s">
        <v>100</v>
      </c>
      <c r="F775" s="3" t="s">
        <v>106</v>
      </c>
      <c r="G775" s="3" t="s">
        <v>217</v>
      </c>
      <c r="H775" s="3" t="s">
        <v>292</v>
      </c>
      <c r="I775" s="3" t="s">
        <v>72</v>
      </c>
      <c r="J775" s="3">
        <v>195</v>
      </c>
      <c r="K775" s="3">
        <v>1068.92</v>
      </c>
      <c r="L775" s="3">
        <v>1446.38</v>
      </c>
      <c r="M775" s="3">
        <v>282044.09999999998</v>
      </c>
      <c r="N775" s="3">
        <v>208439.4</v>
      </c>
      <c r="O775" s="3">
        <v>73604.7</v>
      </c>
      <c r="P775" s="3" t="s">
        <v>42</v>
      </c>
      <c r="Q775" s="3" t="s">
        <v>32</v>
      </c>
      <c r="R775" s="3">
        <v>11</v>
      </c>
      <c r="S775" s="3" t="s">
        <v>112</v>
      </c>
      <c r="T775" s="3">
        <v>1220</v>
      </c>
      <c r="U775" s="3">
        <v>6</v>
      </c>
      <c r="V775" s="3"/>
    </row>
    <row r="776" spans="1:22" x14ac:dyDescent="0.35">
      <c r="A776" s="2" t="s">
        <v>2355</v>
      </c>
      <c r="B776" s="2" t="s">
        <v>716</v>
      </c>
      <c r="C776" s="2" t="s">
        <v>653</v>
      </c>
      <c r="D776" s="2" t="s">
        <v>2356</v>
      </c>
      <c r="E776" s="2" t="s">
        <v>58</v>
      </c>
      <c r="F776" s="2" t="s">
        <v>259</v>
      </c>
      <c r="G776" s="2" t="s">
        <v>60</v>
      </c>
      <c r="H776" s="2" t="s">
        <v>265</v>
      </c>
      <c r="I776" s="2" t="s">
        <v>72</v>
      </c>
      <c r="J776" s="2">
        <v>480</v>
      </c>
      <c r="K776" s="2">
        <v>1150.74</v>
      </c>
      <c r="L776" s="2">
        <v>1613.57</v>
      </c>
      <c r="M776" s="2">
        <v>774513.6</v>
      </c>
      <c r="N776" s="2">
        <v>552355.19999999995</v>
      </c>
      <c r="O776" s="2">
        <v>222158.4</v>
      </c>
      <c r="P776" s="2" t="s">
        <v>42</v>
      </c>
      <c r="Q776" s="2" t="s">
        <v>32</v>
      </c>
      <c r="R776" s="2">
        <v>15</v>
      </c>
      <c r="S776" s="2" t="s">
        <v>43</v>
      </c>
      <c r="T776" s="2">
        <v>581</v>
      </c>
      <c r="U776" s="2">
        <v>19</v>
      </c>
      <c r="V776" s="2"/>
    </row>
    <row r="777" spans="1:22" x14ac:dyDescent="0.35">
      <c r="A777" s="3" t="s">
        <v>2357</v>
      </c>
      <c r="B777" s="3" t="s">
        <v>324</v>
      </c>
      <c r="C777" s="3" t="s">
        <v>1050</v>
      </c>
      <c r="D777" s="3" t="s">
        <v>2358</v>
      </c>
      <c r="E777" s="3" t="s">
        <v>100</v>
      </c>
      <c r="F777" s="3" t="s">
        <v>101</v>
      </c>
      <c r="G777" s="3" t="s">
        <v>28</v>
      </c>
      <c r="H777" s="3" t="s">
        <v>579</v>
      </c>
      <c r="I777" s="3" t="s">
        <v>153</v>
      </c>
      <c r="J777" s="3">
        <v>442</v>
      </c>
      <c r="K777" s="3">
        <v>962.54</v>
      </c>
      <c r="L777" s="3">
        <v>1098.5999999999999</v>
      </c>
      <c r="M777" s="3">
        <v>485581.2</v>
      </c>
      <c r="N777" s="3">
        <v>425442.68</v>
      </c>
      <c r="O777" s="3">
        <v>60138.52</v>
      </c>
      <c r="P777" s="3" t="s">
        <v>31</v>
      </c>
      <c r="Q777" s="3" t="s">
        <v>32</v>
      </c>
      <c r="R777" s="3">
        <v>10</v>
      </c>
      <c r="S777" s="3" t="s">
        <v>53</v>
      </c>
      <c r="T777" s="3">
        <v>2599</v>
      </c>
      <c r="U777" s="3">
        <v>10</v>
      </c>
      <c r="V777" s="3"/>
    </row>
    <row r="778" spans="1:22" x14ac:dyDescent="0.35">
      <c r="A778" s="2" t="s">
        <v>2359</v>
      </c>
      <c r="B778" s="2" t="s">
        <v>243</v>
      </c>
      <c r="C778" s="2" t="s">
        <v>1034</v>
      </c>
      <c r="D778" s="2" t="s">
        <v>2360</v>
      </c>
      <c r="E778" s="2" t="s">
        <v>26</v>
      </c>
      <c r="F778" s="2" t="s">
        <v>92</v>
      </c>
      <c r="G778" s="2" t="s">
        <v>50</v>
      </c>
      <c r="H778" s="2" t="s">
        <v>135</v>
      </c>
      <c r="I778" s="2" t="s">
        <v>293</v>
      </c>
      <c r="J778" s="2">
        <v>484</v>
      </c>
      <c r="K778" s="2">
        <v>688.96</v>
      </c>
      <c r="L778" s="2">
        <v>833.51</v>
      </c>
      <c r="M778" s="2">
        <v>403418.84</v>
      </c>
      <c r="N778" s="2">
        <v>333456.64000000001</v>
      </c>
      <c r="O778" s="2">
        <v>69962.2</v>
      </c>
      <c r="P778" s="2" t="s">
        <v>31</v>
      </c>
      <c r="Q778" s="2" t="s">
        <v>32</v>
      </c>
      <c r="R778" s="2">
        <v>11</v>
      </c>
      <c r="S778" s="2" t="s">
        <v>43</v>
      </c>
      <c r="T778" s="2">
        <v>1702</v>
      </c>
      <c r="U778" s="2">
        <v>8</v>
      </c>
      <c r="V778" s="2"/>
    </row>
    <row r="779" spans="1:22" x14ac:dyDescent="0.35">
      <c r="A779" s="3" t="s">
        <v>2361</v>
      </c>
      <c r="B779" s="3" t="s">
        <v>24</v>
      </c>
      <c r="C779" s="3" t="s">
        <v>150</v>
      </c>
      <c r="D779" s="3" t="s">
        <v>2362</v>
      </c>
      <c r="E779" s="3" t="s">
        <v>26</v>
      </c>
      <c r="F779" s="3" t="s">
        <v>38</v>
      </c>
      <c r="G779" s="3" t="s">
        <v>217</v>
      </c>
      <c r="H779" s="3" t="s">
        <v>335</v>
      </c>
      <c r="I779" s="3" t="s">
        <v>141</v>
      </c>
      <c r="J779" s="3">
        <v>490</v>
      </c>
      <c r="K779" s="3">
        <v>259.27</v>
      </c>
      <c r="L779" s="3">
        <v>381.06</v>
      </c>
      <c r="M779" s="3">
        <v>186719.4</v>
      </c>
      <c r="N779" s="3">
        <v>127042.3</v>
      </c>
      <c r="O779" s="3">
        <v>59677.1</v>
      </c>
      <c r="P779" s="3" t="s">
        <v>52</v>
      </c>
      <c r="Q779" s="3" t="s">
        <v>32</v>
      </c>
      <c r="R779" s="3">
        <v>13</v>
      </c>
      <c r="S779" s="3" t="s">
        <v>33</v>
      </c>
      <c r="T779" s="3">
        <v>1842</v>
      </c>
      <c r="U779" s="3">
        <v>7</v>
      </c>
      <c r="V779" s="3"/>
    </row>
    <row r="780" spans="1:22" x14ac:dyDescent="0.35">
      <c r="A780" s="2" t="s">
        <v>2363</v>
      </c>
      <c r="B780" s="2" t="s">
        <v>611</v>
      </c>
      <c r="C780" s="2" t="s">
        <v>2192</v>
      </c>
      <c r="D780" s="2" t="s">
        <v>2364</v>
      </c>
      <c r="E780" s="2" t="s">
        <v>26</v>
      </c>
      <c r="F780" s="2" t="s">
        <v>228</v>
      </c>
      <c r="G780" s="2" t="s">
        <v>70</v>
      </c>
      <c r="H780" s="2" t="s">
        <v>623</v>
      </c>
      <c r="I780" s="2" t="s">
        <v>30</v>
      </c>
      <c r="J780" s="2">
        <v>776</v>
      </c>
      <c r="K780" s="2">
        <v>178.86</v>
      </c>
      <c r="L780" s="2">
        <v>262.07</v>
      </c>
      <c r="M780" s="2">
        <v>203366.32</v>
      </c>
      <c r="N780" s="2">
        <v>138795.35999999999</v>
      </c>
      <c r="O780" s="2">
        <v>64570.96</v>
      </c>
      <c r="P780" s="2" t="s">
        <v>52</v>
      </c>
      <c r="Q780" s="2" t="s">
        <v>63</v>
      </c>
      <c r="R780" s="2">
        <v>2</v>
      </c>
      <c r="S780" s="2" t="s">
        <v>53</v>
      </c>
      <c r="T780" s="2">
        <v>4507</v>
      </c>
      <c r="U780" s="2">
        <v>23</v>
      </c>
      <c r="V780" s="2"/>
    </row>
    <row r="781" spans="1:22" x14ac:dyDescent="0.35">
      <c r="A781" s="3" t="s">
        <v>2365</v>
      </c>
      <c r="B781" s="3" t="s">
        <v>1114</v>
      </c>
      <c r="C781" s="3" t="s">
        <v>419</v>
      </c>
      <c r="D781" s="3" t="s">
        <v>2366</v>
      </c>
      <c r="E781" s="3" t="s">
        <v>26</v>
      </c>
      <c r="F781" s="3" t="s">
        <v>77</v>
      </c>
      <c r="G781" s="3" t="s">
        <v>78</v>
      </c>
      <c r="H781" s="3" t="s">
        <v>178</v>
      </c>
      <c r="I781" s="3" t="s">
        <v>191</v>
      </c>
      <c r="J781" s="3">
        <v>446</v>
      </c>
      <c r="K781" s="3">
        <v>290.33999999999997</v>
      </c>
      <c r="L781" s="3">
        <v>442.08</v>
      </c>
      <c r="M781" s="3">
        <v>197167.68</v>
      </c>
      <c r="N781" s="3">
        <v>129491.64</v>
      </c>
      <c r="O781" s="3">
        <v>67676.039999999994</v>
      </c>
      <c r="P781" s="3" t="s">
        <v>31</v>
      </c>
      <c r="Q781" s="3" t="s">
        <v>63</v>
      </c>
      <c r="R781" s="3">
        <v>2</v>
      </c>
      <c r="S781" s="3" t="s">
        <v>33</v>
      </c>
      <c r="T781" s="3">
        <v>1566</v>
      </c>
      <c r="U781" s="3">
        <v>18</v>
      </c>
      <c r="V781" s="3"/>
    </row>
    <row r="782" spans="1:22" x14ac:dyDescent="0.35">
      <c r="A782" s="2" t="s">
        <v>2367</v>
      </c>
      <c r="B782" s="2" t="s">
        <v>992</v>
      </c>
      <c r="C782" s="2" t="s">
        <v>596</v>
      </c>
      <c r="D782" s="2" t="s">
        <v>2348</v>
      </c>
      <c r="E782" s="2" t="s">
        <v>48</v>
      </c>
      <c r="F782" s="2" t="s">
        <v>49</v>
      </c>
      <c r="G782" s="2" t="s">
        <v>93</v>
      </c>
      <c r="H782" s="2" t="s">
        <v>184</v>
      </c>
      <c r="I782" s="2" t="s">
        <v>85</v>
      </c>
      <c r="J782" s="2">
        <v>767</v>
      </c>
      <c r="K782" s="2">
        <v>591.41</v>
      </c>
      <c r="L782" s="2">
        <v>920.06</v>
      </c>
      <c r="M782" s="2">
        <v>705686.02</v>
      </c>
      <c r="N782" s="2">
        <v>453611.47</v>
      </c>
      <c r="O782" s="2">
        <v>252074.55</v>
      </c>
      <c r="P782" s="2" t="s">
        <v>95</v>
      </c>
      <c r="Q782" s="2" t="s">
        <v>32</v>
      </c>
      <c r="R782" s="2">
        <v>7</v>
      </c>
      <c r="S782" s="2" t="s">
        <v>158</v>
      </c>
      <c r="T782" s="2">
        <v>2938</v>
      </c>
      <c r="U782" s="2">
        <v>5</v>
      </c>
      <c r="V782" s="2"/>
    </row>
    <row r="783" spans="1:22" x14ac:dyDescent="0.35">
      <c r="A783" s="3" t="s">
        <v>2368</v>
      </c>
      <c r="B783" s="3" t="s">
        <v>343</v>
      </c>
      <c r="C783" s="3" t="s">
        <v>608</v>
      </c>
      <c r="D783" s="3" t="s">
        <v>2369</v>
      </c>
      <c r="E783" s="3" t="s">
        <v>68</v>
      </c>
      <c r="F783" s="3" t="s">
        <v>163</v>
      </c>
      <c r="G783" s="3" t="s">
        <v>78</v>
      </c>
      <c r="H783" s="3" t="s">
        <v>840</v>
      </c>
      <c r="I783" s="3" t="s">
        <v>41</v>
      </c>
      <c r="J783" s="3">
        <v>228</v>
      </c>
      <c r="K783" s="3">
        <v>86.55</v>
      </c>
      <c r="L783" s="3">
        <v>136.13</v>
      </c>
      <c r="M783" s="3">
        <v>31037.64</v>
      </c>
      <c r="N783" s="3">
        <v>19733.400000000001</v>
      </c>
      <c r="O783" s="3">
        <v>11304.24</v>
      </c>
      <c r="P783" s="3" t="s">
        <v>31</v>
      </c>
      <c r="Q783" s="3" t="s">
        <v>63</v>
      </c>
      <c r="R783" s="3">
        <v>3</v>
      </c>
      <c r="S783" s="3" t="s">
        <v>158</v>
      </c>
      <c r="T783" s="3">
        <v>1368</v>
      </c>
      <c r="U783" s="3">
        <v>8</v>
      </c>
      <c r="V783" s="3"/>
    </row>
    <row r="784" spans="1:22" x14ac:dyDescent="0.35">
      <c r="A784" s="2" t="s">
        <v>2370</v>
      </c>
      <c r="B784" s="2" t="s">
        <v>137</v>
      </c>
      <c r="C784" s="2" t="s">
        <v>1688</v>
      </c>
      <c r="D784" s="2" t="s">
        <v>2371</v>
      </c>
      <c r="E784" s="2" t="s">
        <v>100</v>
      </c>
      <c r="F784" s="2" t="s">
        <v>106</v>
      </c>
      <c r="G784" s="2" t="s">
        <v>50</v>
      </c>
      <c r="H784" s="2" t="s">
        <v>51</v>
      </c>
      <c r="I784" s="2" t="s">
        <v>153</v>
      </c>
      <c r="J784" s="2">
        <v>652</v>
      </c>
      <c r="K784" s="2">
        <v>347.38</v>
      </c>
      <c r="L784" s="2">
        <v>492.49</v>
      </c>
      <c r="M784" s="2">
        <v>321103.48</v>
      </c>
      <c r="N784" s="2">
        <v>226491.76</v>
      </c>
      <c r="O784" s="2">
        <v>94611.72</v>
      </c>
      <c r="P784" s="2" t="s">
        <v>95</v>
      </c>
      <c r="Q784" s="2" t="s">
        <v>63</v>
      </c>
      <c r="R784" s="2">
        <v>4</v>
      </c>
      <c r="S784" s="2" t="s">
        <v>112</v>
      </c>
      <c r="T784" s="2">
        <v>3845</v>
      </c>
      <c r="U784" s="2">
        <v>11</v>
      </c>
      <c r="V784" s="2"/>
    </row>
    <row r="785" spans="1:22" x14ac:dyDescent="0.35">
      <c r="A785" s="3" t="s">
        <v>2372</v>
      </c>
      <c r="B785" s="3" t="s">
        <v>114</v>
      </c>
      <c r="C785" s="3" t="s">
        <v>1015</v>
      </c>
      <c r="D785" s="3" t="s">
        <v>760</v>
      </c>
      <c r="E785" s="3" t="s">
        <v>26</v>
      </c>
      <c r="F785" s="3" t="s">
        <v>77</v>
      </c>
      <c r="G785" s="3" t="s">
        <v>129</v>
      </c>
      <c r="H785" s="3" t="s">
        <v>345</v>
      </c>
      <c r="I785" s="3" t="s">
        <v>191</v>
      </c>
      <c r="J785" s="3">
        <v>113</v>
      </c>
      <c r="K785" s="3">
        <v>29.91</v>
      </c>
      <c r="L785" s="3">
        <v>34.54</v>
      </c>
      <c r="M785" s="3">
        <v>3903.02</v>
      </c>
      <c r="N785" s="3">
        <v>3379.83</v>
      </c>
      <c r="O785" s="3">
        <v>523.19000000000005</v>
      </c>
      <c r="P785" s="3" t="s">
        <v>31</v>
      </c>
      <c r="Q785" s="3" t="s">
        <v>32</v>
      </c>
      <c r="R785" s="3">
        <v>14</v>
      </c>
      <c r="S785" s="3" t="s">
        <v>33</v>
      </c>
      <c r="T785" s="3">
        <v>4533</v>
      </c>
      <c r="U785" s="3">
        <v>5</v>
      </c>
      <c r="V785" s="3"/>
    </row>
    <row r="786" spans="1:22" x14ac:dyDescent="0.35">
      <c r="A786" s="2" t="s">
        <v>2373</v>
      </c>
      <c r="B786" s="2" t="s">
        <v>1209</v>
      </c>
      <c r="C786" s="2" t="s">
        <v>161</v>
      </c>
      <c r="D786" s="2" t="s">
        <v>2374</v>
      </c>
      <c r="E786" s="2" t="s">
        <v>58</v>
      </c>
      <c r="F786" s="4"/>
      <c r="G786" s="2" t="s">
        <v>78</v>
      </c>
      <c r="H786" s="2" t="s">
        <v>628</v>
      </c>
      <c r="I786" s="2" t="s">
        <v>191</v>
      </c>
      <c r="J786" s="2">
        <v>177</v>
      </c>
      <c r="K786" s="2">
        <v>1101.67</v>
      </c>
      <c r="L786" s="2">
        <v>1387.14</v>
      </c>
      <c r="M786" s="2">
        <v>245523.78</v>
      </c>
      <c r="N786" s="2">
        <v>194995.59</v>
      </c>
      <c r="O786" s="2">
        <v>50528.19</v>
      </c>
      <c r="P786" s="2" t="s">
        <v>52</v>
      </c>
      <c r="Q786" s="2" t="s">
        <v>63</v>
      </c>
      <c r="R786" s="2">
        <v>1</v>
      </c>
      <c r="S786" s="2" t="s">
        <v>33</v>
      </c>
      <c r="T786" s="2">
        <v>90</v>
      </c>
      <c r="U786" s="2">
        <v>7</v>
      </c>
      <c r="V786" s="2"/>
    </row>
    <row r="787" spans="1:22" x14ac:dyDescent="0.35">
      <c r="A787" s="3" t="s">
        <v>2375</v>
      </c>
      <c r="B787" s="3" t="s">
        <v>2015</v>
      </c>
      <c r="C787" s="3" t="s">
        <v>712</v>
      </c>
      <c r="D787" s="3" t="s">
        <v>2376</v>
      </c>
      <c r="E787" s="3" t="s">
        <v>68</v>
      </c>
      <c r="F787" s="3" t="s">
        <v>163</v>
      </c>
      <c r="G787" s="3" t="s">
        <v>78</v>
      </c>
      <c r="H787" s="3" t="s">
        <v>123</v>
      </c>
      <c r="I787" s="3" t="s">
        <v>30</v>
      </c>
      <c r="J787" s="3">
        <v>481</v>
      </c>
      <c r="K787" s="3">
        <v>348.37</v>
      </c>
      <c r="L787" s="3">
        <v>571.11</v>
      </c>
      <c r="M787" s="3">
        <v>274703.90999999997</v>
      </c>
      <c r="N787" s="3">
        <v>167565.97</v>
      </c>
      <c r="O787" s="3">
        <v>107137.94</v>
      </c>
      <c r="P787" s="3" t="s">
        <v>52</v>
      </c>
      <c r="Q787" s="3" t="s">
        <v>32</v>
      </c>
      <c r="R787" s="3">
        <v>13</v>
      </c>
      <c r="S787" s="3" t="s">
        <v>112</v>
      </c>
      <c r="T787" s="3">
        <v>1131</v>
      </c>
      <c r="U787" s="3">
        <v>17</v>
      </c>
      <c r="V787" s="3"/>
    </row>
    <row r="788" spans="1:22" x14ac:dyDescent="0.35">
      <c r="A788" s="2" t="s">
        <v>2377</v>
      </c>
      <c r="B788" s="2" t="s">
        <v>819</v>
      </c>
      <c r="C788" s="2" t="s">
        <v>193</v>
      </c>
      <c r="D788" s="2" t="s">
        <v>2378</v>
      </c>
      <c r="E788" s="2" t="s">
        <v>68</v>
      </c>
      <c r="F788" s="2" t="s">
        <v>69</v>
      </c>
      <c r="G788" s="2" t="s">
        <v>70</v>
      </c>
      <c r="H788" s="2" t="s">
        <v>446</v>
      </c>
      <c r="I788" s="2" t="s">
        <v>118</v>
      </c>
      <c r="J788" s="2">
        <v>161</v>
      </c>
      <c r="K788" s="2">
        <v>746.45</v>
      </c>
      <c r="L788" s="2">
        <v>874.41</v>
      </c>
      <c r="M788" s="2">
        <v>140780.01</v>
      </c>
      <c r="N788" s="2">
        <v>120178.45</v>
      </c>
      <c r="O788" s="2">
        <v>20601.560000000001</v>
      </c>
      <c r="P788" s="2" t="s">
        <v>42</v>
      </c>
      <c r="Q788" s="2" t="s">
        <v>63</v>
      </c>
      <c r="R788" s="2">
        <v>4</v>
      </c>
      <c r="S788" s="2" t="s">
        <v>86</v>
      </c>
      <c r="T788" s="2">
        <v>2062</v>
      </c>
      <c r="U788" s="2">
        <v>8</v>
      </c>
      <c r="V788" s="2"/>
    </row>
    <row r="789" spans="1:22" x14ac:dyDescent="0.35">
      <c r="A789" s="3" t="s">
        <v>2379</v>
      </c>
      <c r="B789" s="3" t="s">
        <v>1873</v>
      </c>
      <c r="C789" s="3" t="s">
        <v>56</v>
      </c>
      <c r="D789" s="3" t="s">
        <v>2380</v>
      </c>
      <c r="E789" s="3" t="s">
        <v>100</v>
      </c>
      <c r="F789" s="3" t="s">
        <v>330</v>
      </c>
      <c r="G789" s="3" t="s">
        <v>39</v>
      </c>
      <c r="H789" s="3" t="s">
        <v>147</v>
      </c>
      <c r="I789" s="3" t="s">
        <v>191</v>
      </c>
      <c r="J789" s="3">
        <v>197</v>
      </c>
      <c r="K789" s="3">
        <v>127.03</v>
      </c>
      <c r="L789" s="3">
        <v>146.1</v>
      </c>
      <c r="M789" s="3">
        <v>28781.7</v>
      </c>
      <c r="N789" s="3">
        <v>25024.91</v>
      </c>
      <c r="O789" s="3">
        <v>3756.79</v>
      </c>
      <c r="P789" s="3" t="s">
        <v>42</v>
      </c>
      <c r="Q789" s="3" t="s">
        <v>32</v>
      </c>
      <c r="R789" s="3">
        <v>15</v>
      </c>
      <c r="S789" s="3" t="s">
        <v>53</v>
      </c>
      <c r="T789" s="3">
        <v>1092</v>
      </c>
      <c r="U789" s="3">
        <v>2</v>
      </c>
      <c r="V789" s="3"/>
    </row>
    <row r="790" spans="1:22" x14ac:dyDescent="0.35">
      <c r="A790" s="2" t="s">
        <v>2381</v>
      </c>
      <c r="B790" s="2" t="s">
        <v>193</v>
      </c>
      <c r="C790" s="2" t="s">
        <v>633</v>
      </c>
      <c r="D790" s="2" t="s">
        <v>2382</v>
      </c>
      <c r="E790" s="2" t="s">
        <v>48</v>
      </c>
      <c r="F790" s="2" t="s">
        <v>281</v>
      </c>
      <c r="G790" s="2" t="s">
        <v>189</v>
      </c>
      <c r="H790" s="2" t="s">
        <v>360</v>
      </c>
      <c r="I790" s="2" t="s">
        <v>41</v>
      </c>
      <c r="J790" s="2">
        <v>-5</v>
      </c>
      <c r="K790" s="2">
        <v>250.42</v>
      </c>
      <c r="L790" s="2">
        <v>397.16</v>
      </c>
      <c r="M790" s="2">
        <v>299458.64</v>
      </c>
      <c r="N790" s="2">
        <v>188816.68</v>
      </c>
      <c r="O790" s="2">
        <v>110641.96</v>
      </c>
      <c r="P790" s="2" t="s">
        <v>95</v>
      </c>
      <c r="Q790" s="2" t="s">
        <v>63</v>
      </c>
      <c r="R790" s="2">
        <v>1</v>
      </c>
      <c r="S790" s="2" t="s">
        <v>53</v>
      </c>
      <c r="T790" s="2">
        <v>1978</v>
      </c>
      <c r="U790" s="2">
        <v>6</v>
      </c>
      <c r="V790" s="2"/>
    </row>
    <row r="791" spans="1:22" x14ac:dyDescent="0.35">
      <c r="A791" s="3" t="s">
        <v>2383</v>
      </c>
      <c r="B791" s="3" t="s">
        <v>166</v>
      </c>
      <c r="C791" s="3" t="s">
        <v>581</v>
      </c>
      <c r="D791" s="3" t="s">
        <v>2384</v>
      </c>
      <c r="E791" s="3" t="s">
        <v>58</v>
      </c>
      <c r="F791" s="3" t="s">
        <v>417</v>
      </c>
      <c r="G791" s="3" t="s">
        <v>70</v>
      </c>
      <c r="H791" s="3" t="s">
        <v>822</v>
      </c>
      <c r="I791" s="3" t="s">
        <v>41</v>
      </c>
      <c r="J791" s="3">
        <v>247</v>
      </c>
      <c r="K791" s="3">
        <v>713.55</v>
      </c>
      <c r="L791" s="3">
        <v>1027.75</v>
      </c>
      <c r="M791" s="3">
        <v>253854.25</v>
      </c>
      <c r="N791" s="3">
        <v>176246.85</v>
      </c>
      <c r="O791" s="3">
        <v>77607.399999999994</v>
      </c>
      <c r="P791" s="3" t="s">
        <v>42</v>
      </c>
      <c r="Q791" s="3" t="s">
        <v>32</v>
      </c>
      <c r="R791" s="3">
        <v>15</v>
      </c>
      <c r="S791" s="3" t="s">
        <v>43</v>
      </c>
      <c r="T791" s="3">
        <v>3340</v>
      </c>
      <c r="U791" s="3">
        <v>2</v>
      </c>
      <c r="V791" s="3"/>
    </row>
    <row r="792" spans="1:22" x14ac:dyDescent="0.35">
      <c r="A792" s="2" t="s">
        <v>2385</v>
      </c>
      <c r="B792" s="2" t="s">
        <v>884</v>
      </c>
      <c r="C792" s="2" t="s">
        <v>625</v>
      </c>
      <c r="D792" s="2" t="s">
        <v>2386</v>
      </c>
      <c r="E792" s="2" t="s">
        <v>26</v>
      </c>
      <c r="F792" s="2" t="s">
        <v>38</v>
      </c>
      <c r="G792" s="2" t="s">
        <v>60</v>
      </c>
      <c r="H792" s="2" t="s">
        <v>400</v>
      </c>
      <c r="I792" s="2" t="s">
        <v>62</v>
      </c>
      <c r="J792" s="2">
        <v>187</v>
      </c>
      <c r="K792" s="2">
        <v>721.91</v>
      </c>
      <c r="L792" s="2">
        <v>851.35</v>
      </c>
      <c r="M792" s="2">
        <v>159202.45000000001</v>
      </c>
      <c r="N792" s="2">
        <v>134997.17000000001</v>
      </c>
      <c r="O792" s="2">
        <v>24205.279999999999</v>
      </c>
      <c r="P792" s="2" t="s">
        <v>31</v>
      </c>
      <c r="Q792" s="2" t="s">
        <v>32</v>
      </c>
      <c r="R792" s="2">
        <v>11</v>
      </c>
      <c r="S792" s="2" t="s">
        <v>112</v>
      </c>
      <c r="T792" s="2">
        <v>4364</v>
      </c>
      <c r="U792" s="2">
        <v>9</v>
      </c>
      <c r="V792" s="2"/>
    </row>
    <row r="793" spans="1:22" x14ac:dyDescent="0.35">
      <c r="A793" s="3" t="s">
        <v>2387</v>
      </c>
      <c r="B793" s="3" t="s">
        <v>706</v>
      </c>
      <c r="C793" s="3" t="s">
        <v>1536</v>
      </c>
      <c r="D793" s="3" t="s">
        <v>2388</v>
      </c>
      <c r="E793" s="3" t="s">
        <v>26</v>
      </c>
      <c r="F793" s="3" t="s">
        <v>228</v>
      </c>
      <c r="G793" s="3" t="s">
        <v>50</v>
      </c>
      <c r="H793" s="3" t="s">
        <v>260</v>
      </c>
      <c r="I793" s="3" t="s">
        <v>118</v>
      </c>
      <c r="J793" s="3">
        <v>278</v>
      </c>
      <c r="K793" s="3">
        <v>1051.07</v>
      </c>
      <c r="L793" s="3">
        <v>1338.14</v>
      </c>
      <c r="M793" s="3">
        <v>372002.92</v>
      </c>
      <c r="N793" s="3">
        <v>292197.46000000002</v>
      </c>
      <c r="O793" s="3">
        <v>79805.460000000006</v>
      </c>
      <c r="P793" s="3" t="s">
        <v>95</v>
      </c>
      <c r="Q793" s="3" t="s">
        <v>32</v>
      </c>
      <c r="R793" s="3">
        <v>12</v>
      </c>
      <c r="S793" s="3" t="s">
        <v>43</v>
      </c>
      <c r="T793" s="3">
        <v>4148</v>
      </c>
      <c r="U793" s="3">
        <v>8</v>
      </c>
      <c r="V793" s="3"/>
    </row>
    <row r="794" spans="1:22" x14ac:dyDescent="0.35">
      <c r="A794" s="2" t="s">
        <v>2389</v>
      </c>
      <c r="B794" s="2" t="s">
        <v>89</v>
      </c>
      <c r="C794" s="2" t="s">
        <v>1955</v>
      </c>
      <c r="D794" s="2" t="s">
        <v>2390</v>
      </c>
      <c r="E794" s="2" t="s">
        <v>58</v>
      </c>
      <c r="F794" s="2" t="s">
        <v>116</v>
      </c>
      <c r="G794" s="2" t="s">
        <v>93</v>
      </c>
      <c r="H794" s="2" t="s">
        <v>643</v>
      </c>
      <c r="I794" s="2" t="s">
        <v>293</v>
      </c>
      <c r="J794" s="2">
        <v>704</v>
      </c>
      <c r="K794" s="2">
        <v>30.06</v>
      </c>
      <c r="L794" s="2">
        <v>35.81</v>
      </c>
      <c r="M794" s="2">
        <v>25210.240000000002</v>
      </c>
      <c r="N794" s="2">
        <v>21162.240000000002</v>
      </c>
      <c r="O794" s="2">
        <v>4048</v>
      </c>
      <c r="P794" s="2" t="s">
        <v>42</v>
      </c>
      <c r="Q794" s="2" t="s">
        <v>32</v>
      </c>
      <c r="R794" s="2">
        <v>13</v>
      </c>
      <c r="S794" s="2" t="s">
        <v>112</v>
      </c>
      <c r="T794" s="2">
        <v>253</v>
      </c>
      <c r="U794" s="2">
        <v>25</v>
      </c>
      <c r="V794" s="2"/>
    </row>
    <row r="795" spans="1:22" x14ac:dyDescent="0.35">
      <c r="A795" s="3" t="s">
        <v>2391</v>
      </c>
      <c r="B795" s="3" t="s">
        <v>1107</v>
      </c>
      <c r="C795" s="3" t="s">
        <v>332</v>
      </c>
      <c r="D795" s="3" t="s">
        <v>2392</v>
      </c>
      <c r="E795" s="3" t="s">
        <v>68</v>
      </c>
      <c r="F795" s="3" t="s">
        <v>249</v>
      </c>
      <c r="G795" s="3" t="s">
        <v>93</v>
      </c>
      <c r="H795" s="3" t="s">
        <v>643</v>
      </c>
      <c r="I795" s="3" t="s">
        <v>30</v>
      </c>
      <c r="J795" s="3">
        <v>-20</v>
      </c>
      <c r="K795" s="3">
        <v>190.65</v>
      </c>
      <c r="L795" s="3">
        <v>265.39</v>
      </c>
      <c r="M795" s="3">
        <v>135083.51</v>
      </c>
      <c r="N795" s="3">
        <v>97040.85</v>
      </c>
      <c r="O795" s="3">
        <v>38042.660000000003</v>
      </c>
      <c r="P795" s="3" t="s">
        <v>42</v>
      </c>
      <c r="Q795" s="3" t="s">
        <v>32</v>
      </c>
      <c r="R795" s="3">
        <v>15</v>
      </c>
      <c r="S795" s="3" t="s">
        <v>53</v>
      </c>
      <c r="T795" s="3">
        <v>957</v>
      </c>
      <c r="U795" s="3">
        <v>21</v>
      </c>
      <c r="V795" s="3"/>
    </row>
    <row r="796" spans="1:22" x14ac:dyDescent="0.35">
      <c r="A796" s="2" t="s">
        <v>2393</v>
      </c>
      <c r="B796" s="2" t="s">
        <v>475</v>
      </c>
      <c r="C796" s="2" t="s">
        <v>395</v>
      </c>
      <c r="D796" s="2" t="s">
        <v>2394</v>
      </c>
      <c r="E796" s="2" t="s">
        <v>48</v>
      </c>
      <c r="F796" s="2" t="s">
        <v>281</v>
      </c>
      <c r="G796" s="2" t="s">
        <v>28</v>
      </c>
      <c r="H796" s="2" t="s">
        <v>714</v>
      </c>
      <c r="I796" s="2" t="s">
        <v>124</v>
      </c>
      <c r="J796" s="2">
        <v>12</v>
      </c>
      <c r="K796" s="2">
        <v>410.17</v>
      </c>
      <c r="L796" s="2">
        <v>478.57</v>
      </c>
      <c r="M796" s="2">
        <v>5742.84</v>
      </c>
      <c r="N796" s="2">
        <v>4922.04</v>
      </c>
      <c r="O796" s="2">
        <v>820.8</v>
      </c>
      <c r="P796" s="2" t="s">
        <v>52</v>
      </c>
      <c r="Q796" s="2" t="s">
        <v>63</v>
      </c>
      <c r="R796" s="2">
        <v>1</v>
      </c>
      <c r="S796" s="2" t="s">
        <v>158</v>
      </c>
      <c r="T796" s="2">
        <v>3285</v>
      </c>
      <c r="U796" s="2">
        <v>0</v>
      </c>
      <c r="V796" s="2"/>
    </row>
    <row r="797" spans="1:22" x14ac:dyDescent="0.35">
      <c r="A797" s="3" t="s">
        <v>2395</v>
      </c>
      <c r="B797" s="3" t="s">
        <v>1049</v>
      </c>
      <c r="C797" s="3" t="s">
        <v>1192</v>
      </c>
      <c r="D797" s="3" t="s">
        <v>2396</v>
      </c>
      <c r="E797" s="3" t="s">
        <v>48</v>
      </c>
      <c r="F797" s="3" t="s">
        <v>223</v>
      </c>
      <c r="G797" s="3" t="s">
        <v>60</v>
      </c>
      <c r="H797" s="3" t="s">
        <v>229</v>
      </c>
      <c r="I797" s="3" t="s">
        <v>62</v>
      </c>
      <c r="J797" s="3">
        <v>153</v>
      </c>
      <c r="K797" s="3">
        <v>640.85</v>
      </c>
      <c r="L797" s="3">
        <v>732.27</v>
      </c>
      <c r="M797" s="3">
        <v>112037.31</v>
      </c>
      <c r="N797" s="3">
        <v>98050.05</v>
      </c>
      <c r="O797" s="3">
        <v>13987.26</v>
      </c>
      <c r="P797" s="3" t="s">
        <v>52</v>
      </c>
      <c r="Q797" s="3" t="s">
        <v>32</v>
      </c>
      <c r="R797" s="3">
        <v>14</v>
      </c>
      <c r="S797" s="3" t="s">
        <v>112</v>
      </c>
      <c r="T797" s="3">
        <v>1691</v>
      </c>
      <c r="U797" s="3">
        <v>0</v>
      </c>
      <c r="V797" s="3"/>
    </row>
    <row r="798" spans="1:22" x14ac:dyDescent="0.35">
      <c r="A798" s="2" t="s">
        <v>2397</v>
      </c>
      <c r="B798" s="2" t="s">
        <v>274</v>
      </c>
      <c r="C798" s="2" t="s">
        <v>407</v>
      </c>
      <c r="D798" s="2" t="s">
        <v>2398</v>
      </c>
      <c r="E798" s="2" t="s">
        <v>26</v>
      </c>
      <c r="F798" s="2" t="s">
        <v>92</v>
      </c>
      <c r="G798" s="2" t="s">
        <v>70</v>
      </c>
      <c r="H798" s="2" t="s">
        <v>623</v>
      </c>
      <c r="I798" s="2" t="s">
        <v>30</v>
      </c>
      <c r="J798" s="2">
        <v>104</v>
      </c>
      <c r="K798" s="2">
        <v>1048.31</v>
      </c>
      <c r="L798" s="2">
        <v>1585.72</v>
      </c>
      <c r="M798" s="2">
        <v>164914.88</v>
      </c>
      <c r="N798" s="2">
        <v>109024.24</v>
      </c>
      <c r="O798" s="2">
        <v>55890.64</v>
      </c>
      <c r="P798" s="2" t="s">
        <v>95</v>
      </c>
      <c r="Q798" s="2" t="s">
        <v>32</v>
      </c>
      <c r="R798" s="2">
        <v>15</v>
      </c>
      <c r="S798" s="2" t="s">
        <v>112</v>
      </c>
      <c r="T798" s="2">
        <v>3964</v>
      </c>
      <c r="U798" s="2">
        <v>3</v>
      </c>
      <c r="V798" s="2"/>
    </row>
    <row r="799" spans="1:22" x14ac:dyDescent="0.35">
      <c r="A799" s="3" t="s">
        <v>2399</v>
      </c>
      <c r="B799" s="3" t="s">
        <v>1622</v>
      </c>
      <c r="C799" s="3" t="s">
        <v>919</v>
      </c>
      <c r="D799" s="3" t="s">
        <v>2400</v>
      </c>
      <c r="E799" s="3" t="s">
        <v>68</v>
      </c>
      <c r="F799" s="3" t="s">
        <v>276</v>
      </c>
      <c r="G799" s="3" t="s">
        <v>189</v>
      </c>
      <c r="H799" s="3" t="s">
        <v>190</v>
      </c>
      <c r="I799" s="3" t="s">
        <v>41</v>
      </c>
      <c r="J799" s="3">
        <v>277</v>
      </c>
      <c r="K799" s="3">
        <v>1096.2</v>
      </c>
      <c r="L799" s="3">
        <v>1686.75</v>
      </c>
      <c r="M799" s="3">
        <v>467229.75</v>
      </c>
      <c r="N799" s="3">
        <v>303647.40000000002</v>
      </c>
      <c r="O799" s="3">
        <v>163582.35</v>
      </c>
      <c r="P799" s="3" t="s">
        <v>95</v>
      </c>
      <c r="Q799" s="3" t="s">
        <v>63</v>
      </c>
      <c r="R799" s="3">
        <v>5</v>
      </c>
      <c r="S799" s="3" t="s">
        <v>112</v>
      </c>
      <c r="T799" s="3">
        <v>3439</v>
      </c>
      <c r="U799" s="3">
        <v>9</v>
      </c>
      <c r="V799" s="3"/>
    </row>
    <row r="800" spans="1:22" x14ac:dyDescent="0.35">
      <c r="A800" s="2" t="s">
        <v>2401</v>
      </c>
      <c r="B800" s="2" t="s">
        <v>1217</v>
      </c>
      <c r="C800" s="2" t="s">
        <v>488</v>
      </c>
      <c r="D800" s="2" t="s">
        <v>1888</v>
      </c>
      <c r="E800" s="2" t="s">
        <v>58</v>
      </c>
      <c r="F800" s="2" t="s">
        <v>259</v>
      </c>
      <c r="G800" s="2" t="s">
        <v>129</v>
      </c>
      <c r="H800" s="2" t="s">
        <v>316</v>
      </c>
      <c r="I800" s="2" t="s">
        <v>72</v>
      </c>
      <c r="J800" s="2">
        <v>578</v>
      </c>
      <c r="K800" s="2">
        <v>511.61</v>
      </c>
      <c r="L800" s="2">
        <v>585.59</v>
      </c>
      <c r="M800" s="2">
        <v>338471.02</v>
      </c>
      <c r="N800" s="2">
        <v>295710.58</v>
      </c>
      <c r="O800" s="2">
        <v>42760.44</v>
      </c>
      <c r="P800" s="2" t="s">
        <v>52</v>
      </c>
      <c r="Q800" s="2" t="s">
        <v>32</v>
      </c>
      <c r="R800" s="2">
        <v>8</v>
      </c>
      <c r="S800" s="2" t="s">
        <v>112</v>
      </c>
      <c r="T800" s="2">
        <v>4315</v>
      </c>
      <c r="U800" s="2">
        <v>1</v>
      </c>
      <c r="V800" s="2"/>
    </row>
    <row r="801" spans="1:22" x14ac:dyDescent="0.35">
      <c r="A801" s="3" t="s">
        <v>2402</v>
      </c>
      <c r="B801" s="3" t="s">
        <v>263</v>
      </c>
      <c r="C801" s="3" t="s">
        <v>352</v>
      </c>
      <c r="D801" s="3" t="s">
        <v>2403</v>
      </c>
      <c r="E801" s="3" t="s">
        <v>48</v>
      </c>
      <c r="F801" s="3" t="s">
        <v>49</v>
      </c>
      <c r="G801" s="3" t="s">
        <v>129</v>
      </c>
      <c r="H801" s="3" t="s">
        <v>168</v>
      </c>
      <c r="I801" s="3" t="s">
        <v>293</v>
      </c>
      <c r="J801" s="3">
        <v>242</v>
      </c>
      <c r="K801" s="3">
        <v>106.64</v>
      </c>
      <c r="L801" s="3">
        <v>138.74</v>
      </c>
      <c r="M801" s="3">
        <v>33575.08</v>
      </c>
      <c r="N801" s="3">
        <v>25806.880000000001</v>
      </c>
      <c r="O801" s="3">
        <v>7768.2</v>
      </c>
      <c r="P801" s="3" t="s">
        <v>95</v>
      </c>
      <c r="Q801" s="3" t="s">
        <v>32</v>
      </c>
      <c r="R801" s="3">
        <v>15</v>
      </c>
      <c r="S801" s="3" t="s">
        <v>53</v>
      </c>
      <c r="T801" s="3">
        <v>2338</v>
      </c>
      <c r="U801" s="3">
        <v>8</v>
      </c>
      <c r="V801" s="3"/>
    </row>
    <row r="802" spans="1:22" x14ac:dyDescent="0.35">
      <c r="A802" s="2" t="s">
        <v>2404</v>
      </c>
      <c r="B802" s="2" t="s">
        <v>2405</v>
      </c>
      <c r="C802" s="2" t="s">
        <v>736</v>
      </c>
      <c r="D802" s="2" t="s">
        <v>2406</v>
      </c>
      <c r="E802" s="2" t="s">
        <v>48</v>
      </c>
      <c r="F802" s="2" t="s">
        <v>223</v>
      </c>
      <c r="G802" s="2" t="s">
        <v>50</v>
      </c>
      <c r="H802" s="2" t="s">
        <v>260</v>
      </c>
      <c r="I802" s="2" t="s">
        <v>124</v>
      </c>
      <c r="J802" s="2">
        <v>703</v>
      </c>
      <c r="K802" s="2">
        <v>691.89</v>
      </c>
      <c r="L802" s="2">
        <v>992.99</v>
      </c>
      <c r="M802" s="2">
        <v>698071.97</v>
      </c>
      <c r="N802" s="2">
        <v>486398.67</v>
      </c>
      <c r="O802" s="2">
        <v>211673.3</v>
      </c>
      <c r="P802" s="2" t="s">
        <v>31</v>
      </c>
      <c r="Q802" s="2" t="s">
        <v>32</v>
      </c>
      <c r="R802" s="2">
        <v>6</v>
      </c>
      <c r="S802" s="2" t="s">
        <v>112</v>
      </c>
      <c r="T802" s="2">
        <v>1335</v>
      </c>
      <c r="U802" s="2">
        <v>30</v>
      </c>
      <c r="V802" s="2"/>
    </row>
    <row r="803" spans="1:22" x14ac:dyDescent="0.35">
      <c r="A803" s="3" t="s">
        <v>2407</v>
      </c>
      <c r="B803" s="3" t="s">
        <v>1180</v>
      </c>
      <c r="C803" s="3" t="s">
        <v>1513</v>
      </c>
      <c r="D803" s="3" t="s">
        <v>2408</v>
      </c>
      <c r="E803" s="3" t="s">
        <v>100</v>
      </c>
      <c r="F803" s="3" t="s">
        <v>101</v>
      </c>
      <c r="G803" s="3" t="s">
        <v>60</v>
      </c>
      <c r="H803" s="3" t="s">
        <v>61</v>
      </c>
      <c r="I803" s="3" t="s">
        <v>2409</v>
      </c>
      <c r="J803" s="3">
        <v>401</v>
      </c>
      <c r="K803" s="3">
        <v>947.36</v>
      </c>
      <c r="L803" s="3">
        <v>1212.77</v>
      </c>
      <c r="M803" s="3">
        <v>486320.77</v>
      </c>
      <c r="N803" s="3">
        <v>379891.36</v>
      </c>
      <c r="O803" s="3">
        <v>106429.41</v>
      </c>
      <c r="P803" s="3" t="s">
        <v>31</v>
      </c>
      <c r="Q803" s="3" t="s">
        <v>63</v>
      </c>
      <c r="R803" s="3">
        <v>4</v>
      </c>
      <c r="S803" s="3" t="s">
        <v>53</v>
      </c>
      <c r="T803" s="3">
        <v>746</v>
      </c>
      <c r="U803" s="3">
        <v>11</v>
      </c>
      <c r="V803" s="3"/>
    </row>
    <row r="804" spans="1:22" x14ac:dyDescent="0.35">
      <c r="A804" s="2" t="s">
        <v>2410</v>
      </c>
      <c r="B804" s="2" t="s">
        <v>35</v>
      </c>
      <c r="C804" s="2" t="s">
        <v>487</v>
      </c>
      <c r="D804" s="2" t="s">
        <v>2411</v>
      </c>
      <c r="E804" s="2" t="s">
        <v>2412</v>
      </c>
      <c r="F804" s="2" t="s">
        <v>116</v>
      </c>
      <c r="G804" s="2" t="s">
        <v>70</v>
      </c>
      <c r="H804" s="2" t="s">
        <v>71</v>
      </c>
      <c r="I804" s="2" t="s">
        <v>118</v>
      </c>
      <c r="J804" s="2">
        <v>531</v>
      </c>
      <c r="K804" s="2">
        <v>1167.71</v>
      </c>
      <c r="L804" s="2">
        <v>1538.18</v>
      </c>
      <c r="M804" s="2">
        <v>816773.58</v>
      </c>
      <c r="N804" s="2">
        <v>620054.01</v>
      </c>
      <c r="O804" s="2">
        <v>196719.57</v>
      </c>
      <c r="P804" s="2" t="s">
        <v>42</v>
      </c>
      <c r="Q804" s="2" t="s">
        <v>63</v>
      </c>
      <c r="R804" s="2">
        <v>4</v>
      </c>
      <c r="S804" s="2" t="s">
        <v>53</v>
      </c>
      <c r="T804" s="2">
        <v>655</v>
      </c>
      <c r="U804" s="2">
        <v>17</v>
      </c>
      <c r="V804" s="2"/>
    </row>
    <row r="805" spans="1:22" x14ac:dyDescent="0.35">
      <c r="A805" s="3" t="s">
        <v>2413</v>
      </c>
      <c r="B805" s="3" t="s">
        <v>2011</v>
      </c>
      <c r="C805" s="3" t="s">
        <v>1288</v>
      </c>
      <c r="D805" s="3" t="s">
        <v>2414</v>
      </c>
      <c r="E805" s="3" t="s">
        <v>48</v>
      </c>
      <c r="F805" s="3" t="s">
        <v>281</v>
      </c>
      <c r="G805" s="3" t="s">
        <v>50</v>
      </c>
      <c r="H805" s="3" t="s">
        <v>260</v>
      </c>
      <c r="I805" s="3" t="s">
        <v>41</v>
      </c>
      <c r="J805" s="3">
        <v>74</v>
      </c>
      <c r="K805" s="3">
        <v>1024.6400000000001</v>
      </c>
      <c r="L805" s="3">
        <v>1265.04</v>
      </c>
      <c r="M805" s="3">
        <v>93612.96</v>
      </c>
      <c r="N805" s="3">
        <v>75823.360000000001</v>
      </c>
      <c r="O805" s="3">
        <v>17789.599999999999</v>
      </c>
      <c r="P805" s="3" t="s">
        <v>95</v>
      </c>
      <c r="Q805" s="3" t="s">
        <v>32</v>
      </c>
      <c r="R805" s="3">
        <v>10</v>
      </c>
      <c r="S805" s="3" t="s">
        <v>33</v>
      </c>
      <c r="T805" s="3">
        <v>3792</v>
      </c>
      <c r="U805" s="3">
        <v>2</v>
      </c>
      <c r="V805" s="3"/>
    </row>
    <row r="806" spans="1:22" x14ac:dyDescent="0.35">
      <c r="A806" s="2" t="s">
        <v>2415</v>
      </c>
      <c r="B806" s="2" t="s">
        <v>2416</v>
      </c>
      <c r="C806" s="2" t="s">
        <v>2417</v>
      </c>
      <c r="D806" s="2" t="s">
        <v>514</v>
      </c>
      <c r="E806" s="2" t="s">
        <v>68</v>
      </c>
      <c r="F806" s="2" t="s">
        <v>146</v>
      </c>
      <c r="G806" s="2" t="s">
        <v>217</v>
      </c>
      <c r="H806" s="2" t="s">
        <v>218</v>
      </c>
      <c r="I806" s="2" t="s">
        <v>30</v>
      </c>
      <c r="J806" s="2">
        <v>691</v>
      </c>
      <c r="K806" s="2">
        <v>201.13</v>
      </c>
      <c r="L806" s="2">
        <v>302.54000000000002</v>
      </c>
      <c r="M806" s="2">
        <v>209055.14</v>
      </c>
      <c r="N806" s="2">
        <v>138980.82999999999</v>
      </c>
      <c r="O806" s="2">
        <v>70074.31</v>
      </c>
      <c r="P806" s="2" t="s">
        <v>42</v>
      </c>
      <c r="Q806" s="2" t="s">
        <v>63</v>
      </c>
      <c r="R806" s="2">
        <v>1</v>
      </c>
      <c r="S806" s="2" t="s">
        <v>53</v>
      </c>
      <c r="T806" s="2">
        <v>318</v>
      </c>
      <c r="U806" s="2">
        <v>31</v>
      </c>
      <c r="V806" s="2"/>
    </row>
    <row r="807" spans="1:22" x14ac:dyDescent="0.35">
      <c r="A807" s="3" t="s">
        <v>2418</v>
      </c>
      <c r="B807" s="3" t="s">
        <v>419</v>
      </c>
      <c r="C807" s="3" t="s">
        <v>278</v>
      </c>
      <c r="D807" s="3" t="s">
        <v>2419</v>
      </c>
      <c r="E807" s="3" t="s">
        <v>100</v>
      </c>
      <c r="F807" s="3" t="s">
        <v>538</v>
      </c>
      <c r="G807" s="3" t="s">
        <v>129</v>
      </c>
      <c r="H807" s="3" t="s">
        <v>345</v>
      </c>
      <c r="I807" s="3" t="s">
        <v>191</v>
      </c>
      <c r="J807" s="3">
        <v>375</v>
      </c>
      <c r="K807" s="3">
        <v>1163.03</v>
      </c>
      <c r="L807" s="3">
        <v>1771.73</v>
      </c>
      <c r="M807" s="3">
        <v>664398.75</v>
      </c>
      <c r="N807" s="3">
        <v>436136.25</v>
      </c>
      <c r="O807" s="3">
        <v>228262.5</v>
      </c>
      <c r="P807" s="3" t="s">
        <v>52</v>
      </c>
      <c r="Q807" s="3" t="s">
        <v>32</v>
      </c>
      <c r="R807" s="3">
        <v>12</v>
      </c>
      <c r="S807" s="3" t="s">
        <v>43</v>
      </c>
      <c r="T807" s="3">
        <v>42</v>
      </c>
      <c r="U807" s="3">
        <v>18</v>
      </c>
      <c r="V807" s="3"/>
    </row>
    <row r="808" spans="1:22" x14ac:dyDescent="0.35">
      <c r="A808" s="2" t="s">
        <v>2420</v>
      </c>
      <c r="B808" s="2" t="s">
        <v>2289</v>
      </c>
      <c r="C808" s="2" t="s">
        <v>1514</v>
      </c>
      <c r="D808" s="2" t="s">
        <v>2421</v>
      </c>
      <c r="E808" s="2" t="s">
        <v>68</v>
      </c>
      <c r="F808" s="2" t="s">
        <v>249</v>
      </c>
      <c r="G808" s="2" t="s">
        <v>70</v>
      </c>
      <c r="H808" s="2" t="s">
        <v>239</v>
      </c>
      <c r="I808" s="2" t="s">
        <v>191</v>
      </c>
      <c r="J808" s="2">
        <v>236</v>
      </c>
      <c r="K808" s="2">
        <v>1130.1199999999999</v>
      </c>
      <c r="L808" s="2">
        <v>1431.65</v>
      </c>
      <c r="M808" s="2">
        <v>337869.4</v>
      </c>
      <c r="N808" s="2">
        <v>266708.32</v>
      </c>
      <c r="O808" s="2">
        <v>71161.08</v>
      </c>
      <c r="P808" s="2" t="s">
        <v>42</v>
      </c>
      <c r="Q808" s="2" t="s">
        <v>63</v>
      </c>
      <c r="R808" s="2">
        <v>2</v>
      </c>
      <c r="S808" s="2" t="s">
        <v>86</v>
      </c>
      <c r="T808" s="2">
        <v>1035</v>
      </c>
      <c r="U808" s="2">
        <v>7</v>
      </c>
      <c r="V808" s="2"/>
    </row>
    <row r="809" spans="1:22" x14ac:dyDescent="0.35">
      <c r="A809" s="3" t="s">
        <v>2422</v>
      </c>
      <c r="B809" s="3" t="s">
        <v>1474</v>
      </c>
      <c r="C809" s="3" t="s">
        <v>45</v>
      </c>
      <c r="D809" s="3" t="s">
        <v>2423</v>
      </c>
      <c r="E809" s="3" t="s">
        <v>58</v>
      </c>
      <c r="F809" s="3" t="s">
        <v>59</v>
      </c>
      <c r="G809" s="3" t="s">
        <v>39</v>
      </c>
      <c r="H809" s="3" t="s">
        <v>147</v>
      </c>
      <c r="I809" s="3" t="s">
        <v>124</v>
      </c>
      <c r="J809" s="3">
        <v>100</v>
      </c>
      <c r="K809" s="3">
        <v>1105.28</v>
      </c>
      <c r="L809" s="3">
        <v>1641.1</v>
      </c>
      <c r="M809" s="3">
        <v>164110</v>
      </c>
      <c r="N809" s="3">
        <v>110528</v>
      </c>
      <c r="O809" s="3">
        <v>53582</v>
      </c>
      <c r="P809" s="3" t="s">
        <v>31</v>
      </c>
      <c r="Q809" s="3" t="s">
        <v>32</v>
      </c>
      <c r="R809" s="3">
        <v>13</v>
      </c>
      <c r="S809" s="3" t="s">
        <v>86</v>
      </c>
      <c r="T809" s="3">
        <v>2987</v>
      </c>
      <c r="U809" s="3">
        <v>2</v>
      </c>
      <c r="V809" s="3"/>
    </row>
    <row r="810" spans="1:22" x14ac:dyDescent="0.35">
      <c r="A810" s="2" t="s">
        <v>2424</v>
      </c>
      <c r="B810" s="2" t="s">
        <v>2425</v>
      </c>
      <c r="C810" s="2" t="s">
        <v>794</v>
      </c>
      <c r="D810" s="2" t="s">
        <v>2426</v>
      </c>
      <c r="E810" s="2" t="s">
        <v>68</v>
      </c>
      <c r="F810" s="2" t="s">
        <v>69</v>
      </c>
      <c r="G810" s="2" t="s">
        <v>189</v>
      </c>
      <c r="H810" s="2" t="s">
        <v>561</v>
      </c>
      <c r="I810" s="2" t="s">
        <v>293</v>
      </c>
      <c r="J810" s="2">
        <v>788</v>
      </c>
      <c r="K810" s="2">
        <v>3.45</v>
      </c>
      <c r="L810" s="2">
        <v>4.5999999999999996</v>
      </c>
      <c r="M810" s="2">
        <v>3624.8</v>
      </c>
      <c r="N810" s="2">
        <v>2718.6</v>
      </c>
      <c r="O810" s="2">
        <v>906.2</v>
      </c>
      <c r="P810" s="2" t="s">
        <v>52</v>
      </c>
      <c r="Q810" s="2" t="s">
        <v>32</v>
      </c>
      <c r="R810" s="2">
        <v>11</v>
      </c>
      <c r="S810" s="2" t="s">
        <v>112</v>
      </c>
      <c r="T810" s="2">
        <v>1062</v>
      </c>
      <c r="U810" s="2">
        <v>17</v>
      </c>
      <c r="V810" s="2"/>
    </row>
    <row r="811" spans="1:22" x14ac:dyDescent="0.35">
      <c r="A811" s="3" t="s">
        <v>2427</v>
      </c>
      <c r="B811" s="3" t="s">
        <v>1612</v>
      </c>
      <c r="C811" s="3" t="s">
        <v>2428</v>
      </c>
      <c r="D811" s="3" t="s">
        <v>2429</v>
      </c>
      <c r="E811" s="3" t="s">
        <v>26</v>
      </c>
      <c r="F811" s="3" t="s">
        <v>77</v>
      </c>
      <c r="G811" s="3" t="s">
        <v>78</v>
      </c>
      <c r="H811" s="3" t="s">
        <v>840</v>
      </c>
      <c r="I811" s="3" t="s">
        <v>191</v>
      </c>
      <c r="J811" s="3">
        <v>337</v>
      </c>
      <c r="K811" s="3">
        <v>743.73</v>
      </c>
      <c r="L811" s="3">
        <v>1107.53</v>
      </c>
      <c r="M811" s="3">
        <v>373237.61</v>
      </c>
      <c r="N811" s="3">
        <v>250637.01</v>
      </c>
      <c r="O811" s="3">
        <v>122600.6</v>
      </c>
      <c r="P811" s="3" t="s">
        <v>95</v>
      </c>
      <c r="Q811" s="3" t="s">
        <v>63</v>
      </c>
      <c r="R811" s="3">
        <v>3</v>
      </c>
      <c r="S811" s="3" t="s">
        <v>43</v>
      </c>
      <c r="T811" s="3">
        <v>2446</v>
      </c>
      <c r="U811" s="3">
        <v>4</v>
      </c>
      <c r="V811" s="3"/>
    </row>
    <row r="812" spans="1:22" x14ac:dyDescent="0.35">
      <c r="A812" s="2" t="s">
        <v>2430</v>
      </c>
      <c r="B812" s="2" t="s">
        <v>529</v>
      </c>
      <c r="C812" s="2" t="s">
        <v>137</v>
      </c>
      <c r="D812" s="2" t="s">
        <v>2431</v>
      </c>
      <c r="E812" s="2" t="s">
        <v>48</v>
      </c>
      <c r="F812" s="2" t="s">
        <v>49</v>
      </c>
      <c r="G812" s="2" t="s">
        <v>39</v>
      </c>
      <c r="H812" s="2" t="s">
        <v>354</v>
      </c>
      <c r="I812" s="2" t="s">
        <v>41</v>
      </c>
      <c r="J812" s="2">
        <v>322</v>
      </c>
      <c r="K812" s="2">
        <v>614.16999999999996</v>
      </c>
      <c r="L812" s="2">
        <v>836.04</v>
      </c>
      <c r="M812" s="2">
        <v>269204.88</v>
      </c>
      <c r="N812" s="2">
        <v>197762.74</v>
      </c>
      <c r="O812" s="2">
        <v>71442.14</v>
      </c>
      <c r="P812" s="2" t="s">
        <v>42</v>
      </c>
      <c r="Q812" s="2" t="s">
        <v>32</v>
      </c>
      <c r="R812" s="2">
        <v>6</v>
      </c>
      <c r="S812" s="2" t="s">
        <v>33</v>
      </c>
      <c r="T812" s="2">
        <v>3372</v>
      </c>
      <c r="U812" s="2">
        <v>4</v>
      </c>
      <c r="V812" s="2"/>
    </row>
    <row r="813" spans="1:22" x14ac:dyDescent="0.35">
      <c r="A813" s="3" t="s">
        <v>2432</v>
      </c>
      <c r="B813" s="3" t="s">
        <v>2268</v>
      </c>
      <c r="C813" s="3" t="s">
        <v>1177</v>
      </c>
      <c r="D813" s="3" t="s">
        <v>2433</v>
      </c>
      <c r="E813" s="3" t="s">
        <v>48</v>
      </c>
      <c r="F813" s="3" t="s">
        <v>49</v>
      </c>
      <c r="G813" s="3" t="s">
        <v>93</v>
      </c>
      <c r="H813" s="3" t="s">
        <v>2434</v>
      </c>
      <c r="I813" s="3" t="s">
        <v>153</v>
      </c>
      <c r="J813" s="3">
        <v>681</v>
      </c>
      <c r="K813" s="3">
        <v>386.37</v>
      </c>
      <c r="L813" s="3">
        <v>607.21</v>
      </c>
      <c r="M813" s="3">
        <v>413510.01</v>
      </c>
      <c r="N813" s="3">
        <v>263117.96999999997</v>
      </c>
      <c r="O813" s="3">
        <v>150392.04</v>
      </c>
      <c r="P813" s="3" t="s">
        <v>2435</v>
      </c>
      <c r="Q813" s="3" t="s">
        <v>32</v>
      </c>
      <c r="R813" s="3">
        <v>8</v>
      </c>
      <c r="S813" s="3" t="s">
        <v>86</v>
      </c>
      <c r="T813" s="4"/>
      <c r="U813" s="3">
        <v>4</v>
      </c>
      <c r="V813" s="3"/>
    </row>
    <row r="814" spans="1:22" x14ac:dyDescent="0.35">
      <c r="A814" s="2" t="s">
        <v>2436</v>
      </c>
      <c r="B814" s="2" t="s">
        <v>398</v>
      </c>
      <c r="C814" s="2" t="s">
        <v>439</v>
      </c>
      <c r="D814" s="2" t="s">
        <v>2437</v>
      </c>
      <c r="E814" s="2" t="s">
        <v>26</v>
      </c>
      <c r="F814" s="2" t="s">
        <v>92</v>
      </c>
      <c r="G814" s="2" t="s">
        <v>129</v>
      </c>
      <c r="H814" s="2" t="s">
        <v>152</v>
      </c>
      <c r="I814" s="2" t="s">
        <v>124</v>
      </c>
      <c r="J814" s="2">
        <v>396</v>
      </c>
      <c r="K814" s="2">
        <v>286.44</v>
      </c>
      <c r="L814" s="2">
        <v>326.47000000000003</v>
      </c>
      <c r="M814" s="2">
        <v>129282.12</v>
      </c>
      <c r="N814" s="2">
        <v>113430.24</v>
      </c>
      <c r="O814" s="2">
        <v>15851.88</v>
      </c>
      <c r="P814" s="2" t="s">
        <v>95</v>
      </c>
      <c r="Q814" s="2" t="s">
        <v>32</v>
      </c>
      <c r="R814" s="2">
        <v>-3</v>
      </c>
      <c r="S814" s="2" t="s">
        <v>43</v>
      </c>
      <c r="T814" s="2">
        <v>2950</v>
      </c>
      <c r="U814" s="2">
        <v>8</v>
      </c>
      <c r="V814" s="2"/>
    </row>
    <row r="815" spans="1:22" x14ac:dyDescent="0.35">
      <c r="A815" s="3" t="s">
        <v>2438</v>
      </c>
      <c r="B815" s="3" t="s">
        <v>423</v>
      </c>
      <c r="C815" s="3" t="s">
        <v>479</v>
      </c>
      <c r="D815" s="3" t="s">
        <v>1691</v>
      </c>
      <c r="E815" s="3" t="s">
        <v>26</v>
      </c>
      <c r="F815" s="3" t="s">
        <v>77</v>
      </c>
      <c r="G815" s="3" t="s">
        <v>70</v>
      </c>
      <c r="H815" s="3" t="s">
        <v>446</v>
      </c>
      <c r="I815" s="3" t="s">
        <v>85</v>
      </c>
      <c r="J815" s="3">
        <v>797</v>
      </c>
      <c r="K815" s="3">
        <v>1183.1199999999999</v>
      </c>
      <c r="L815" s="3">
        <v>1796.83</v>
      </c>
      <c r="M815" s="3">
        <v>1432073.51</v>
      </c>
      <c r="N815" s="3">
        <v>942946.64</v>
      </c>
      <c r="O815" s="3">
        <v>489126.87</v>
      </c>
      <c r="P815" s="3" t="s">
        <v>31</v>
      </c>
      <c r="Q815" s="3" t="s">
        <v>32</v>
      </c>
      <c r="R815" s="3">
        <v>10</v>
      </c>
      <c r="S815" s="3" t="s">
        <v>33</v>
      </c>
      <c r="T815" s="3">
        <v>2457</v>
      </c>
      <c r="U815" s="3">
        <v>26</v>
      </c>
      <c r="V815" s="3"/>
    </row>
    <row r="816" spans="1:22" x14ac:dyDescent="0.35">
      <c r="A816" s="2" t="s">
        <v>2439</v>
      </c>
      <c r="B816" s="2" t="s">
        <v>1198</v>
      </c>
      <c r="C816" s="2" t="s">
        <v>2301</v>
      </c>
      <c r="D816" s="2" t="s">
        <v>2440</v>
      </c>
      <c r="E816" s="2" t="s">
        <v>68</v>
      </c>
      <c r="F816" s="2" t="s">
        <v>69</v>
      </c>
      <c r="G816" s="2" t="s">
        <v>60</v>
      </c>
      <c r="H816" s="2" t="s">
        <v>61</v>
      </c>
      <c r="I816" s="2" t="s">
        <v>124</v>
      </c>
      <c r="J816" s="2">
        <v>631</v>
      </c>
      <c r="K816" s="2">
        <v>383.74</v>
      </c>
      <c r="L816" s="2">
        <v>520.99</v>
      </c>
      <c r="M816" s="2">
        <v>328744.69</v>
      </c>
      <c r="N816" s="2">
        <v>242139.94</v>
      </c>
      <c r="O816" s="2">
        <v>86604.75</v>
      </c>
      <c r="P816" s="2" t="s">
        <v>42</v>
      </c>
      <c r="Q816" s="2" t="s">
        <v>32</v>
      </c>
      <c r="R816" s="2">
        <v>7</v>
      </c>
      <c r="S816" s="2" t="s">
        <v>86</v>
      </c>
      <c r="T816" s="2">
        <v>4950</v>
      </c>
      <c r="U816" s="2">
        <v>16</v>
      </c>
      <c r="V816" s="2"/>
    </row>
    <row r="817" spans="1:22" x14ac:dyDescent="0.35">
      <c r="A817" s="3" t="s">
        <v>2441</v>
      </c>
      <c r="B817" s="3" t="s">
        <v>1174</v>
      </c>
      <c r="C817" s="3" t="s">
        <v>232</v>
      </c>
      <c r="D817" s="3" t="s">
        <v>2442</v>
      </c>
      <c r="E817" s="3" t="s">
        <v>68</v>
      </c>
      <c r="F817" s="3" t="s">
        <v>249</v>
      </c>
      <c r="G817" s="3" t="s">
        <v>39</v>
      </c>
      <c r="H817" s="3" t="s">
        <v>527</v>
      </c>
      <c r="I817" s="3" t="s">
        <v>240</v>
      </c>
      <c r="J817" s="3">
        <v>68</v>
      </c>
      <c r="K817" s="3">
        <v>297.77</v>
      </c>
      <c r="L817" s="3">
        <v>442.13</v>
      </c>
      <c r="M817" s="3">
        <v>30064.84</v>
      </c>
      <c r="N817" s="3">
        <v>20248.36</v>
      </c>
      <c r="O817" s="3">
        <v>9816.48</v>
      </c>
      <c r="P817" s="3" t="s">
        <v>95</v>
      </c>
      <c r="Q817" s="3" t="s">
        <v>32</v>
      </c>
      <c r="R817" s="3">
        <v>8</v>
      </c>
      <c r="S817" s="3" t="s">
        <v>43</v>
      </c>
      <c r="T817" s="3">
        <v>3198</v>
      </c>
      <c r="U817" s="3">
        <v>1</v>
      </c>
      <c r="V817" s="3"/>
    </row>
    <row r="818" spans="1:22" x14ac:dyDescent="0.35">
      <c r="A818" s="2" t="s">
        <v>2443</v>
      </c>
      <c r="B818" s="2" t="s">
        <v>595</v>
      </c>
      <c r="C818" s="2" t="s">
        <v>332</v>
      </c>
      <c r="D818" s="2" t="s">
        <v>2444</v>
      </c>
      <c r="E818" s="2" t="s">
        <v>58</v>
      </c>
      <c r="F818" s="2" t="s">
        <v>116</v>
      </c>
      <c r="G818" s="2" t="s">
        <v>189</v>
      </c>
      <c r="H818" s="2" t="s">
        <v>437</v>
      </c>
      <c r="I818" s="2" t="s">
        <v>72</v>
      </c>
      <c r="J818" s="2">
        <v>614</v>
      </c>
      <c r="K818" s="2">
        <v>406.54</v>
      </c>
      <c r="L818" s="2">
        <v>456.14</v>
      </c>
      <c r="M818" s="2">
        <v>280069.96000000002</v>
      </c>
      <c r="N818" s="2">
        <v>249615.56</v>
      </c>
      <c r="O818" s="2">
        <v>30454.400000000001</v>
      </c>
      <c r="P818" s="2" t="s">
        <v>42</v>
      </c>
      <c r="Q818" s="2" t="s">
        <v>63</v>
      </c>
      <c r="R818" s="2">
        <v>1</v>
      </c>
      <c r="S818" s="2" t="s">
        <v>158</v>
      </c>
      <c r="T818" s="2">
        <v>1869</v>
      </c>
      <c r="U818" s="2">
        <v>13</v>
      </c>
      <c r="V818" s="2"/>
    </row>
    <row r="819" spans="1:22" x14ac:dyDescent="0.35">
      <c r="A819" s="3" t="s">
        <v>2445</v>
      </c>
      <c r="B819" s="3" t="s">
        <v>517</v>
      </c>
      <c r="C819" s="3" t="s">
        <v>193</v>
      </c>
      <c r="D819" s="3" t="s">
        <v>2446</v>
      </c>
      <c r="E819" s="3" t="s">
        <v>26</v>
      </c>
      <c r="F819" s="3" t="s">
        <v>92</v>
      </c>
      <c r="G819" s="3" t="s">
        <v>78</v>
      </c>
      <c r="H819" s="3" t="s">
        <v>481</v>
      </c>
      <c r="I819" s="3" t="s">
        <v>30</v>
      </c>
      <c r="J819" s="3">
        <v>600</v>
      </c>
      <c r="K819" s="3">
        <v>1014.52</v>
      </c>
      <c r="L819" s="3">
        <v>1521.21</v>
      </c>
      <c r="M819" s="3">
        <v>912726</v>
      </c>
      <c r="N819" s="3">
        <v>608712</v>
      </c>
      <c r="O819" s="3">
        <v>304014</v>
      </c>
      <c r="P819" s="3" t="s">
        <v>95</v>
      </c>
      <c r="Q819" s="3" t="s">
        <v>32</v>
      </c>
      <c r="R819" s="3">
        <v>11</v>
      </c>
      <c r="S819" s="3" t="s">
        <v>33</v>
      </c>
      <c r="T819" s="3">
        <v>1015</v>
      </c>
      <c r="U819" s="3">
        <v>1</v>
      </c>
      <c r="V819" s="3"/>
    </row>
    <row r="820" spans="1:22" x14ac:dyDescent="0.35">
      <c r="A820" s="2" t="s">
        <v>2447</v>
      </c>
      <c r="B820" s="2" t="s">
        <v>1186</v>
      </c>
      <c r="C820" s="2" t="s">
        <v>391</v>
      </c>
      <c r="D820" s="2" t="s">
        <v>2448</v>
      </c>
      <c r="E820" s="2" t="s">
        <v>100</v>
      </c>
      <c r="F820" s="2" t="s">
        <v>101</v>
      </c>
      <c r="G820" s="2" t="s">
        <v>78</v>
      </c>
      <c r="H820" s="2" t="s">
        <v>628</v>
      </c>
      <c r="I820" s="2" t="s">
        <v>124</v>
      </c>
      <c r="J820" s="2">
        <v>75</v>
      </c>
      <c r="K820" s="2">
        <v>797.04</v>
      </c>
      <c r="L820" s="2">
        <v>996.12</v>
      </c>
      <c r="M820" s="2">
        <v>74709</v>
      </c>
      <c r="N820" s="2">
        <v>59778</v>
      </c>
      <c r="O820" s="2">
        <v>14931</v>
      </c>
      <c r="P820" s="2" t="s">
        <v>52</v>
      </c>
      <c r="Q820" s="2" t="s">
        <v>32</v>
      </c>
      <c r="R820" s="2">
        <v>15</v>
      </c>
      <c r="S820" s="2" t="s">
        <v>53</v>
      </c>
      <c r="T820" s="2">
        <v>186</v>
      </c>
      <c r="U820" s="2">
        <v>0</v>
      </c>
      <c r="V820" s="2"/>
    </row>
    <row r="821" spans="1:22" x14ac:dyDescent="0.35">
      <c r="A821" s="3" t="s">
        <v>2449</v>
      </c>
      <c r="B821" s="3" t="s">
        <v>1536</v>
      </c>
      <c r="C821" s="3" t="s">
        <v>439</v>
      </c>
      <c r="D821" s="3" t="s">
        <v>2450</v>
      </c>
      <c r="E821" s="3" t="s">
        <v>100</v>
      </c>
      <c r="F821" s="3" t="s">
        <v>330</v>
      </c>
      <c r="G821" s="3" t="s">
        <v>93</v>
      </c>
      <c r="H821" s="3" t="s">
        <v>321</v>
      </c>
      <c r="I821" s="3" t="s">
        <v>191</v>
      </c>
      <c r="J821" s="3">
        <v>255</v>
      </c>
      <c r="K821" s="3">
        <v>779.92</v>
      </c>
      <c r="L821" s="3">
        <v>1004.28</v>
      </c>
      <c r="M821" s="3">
        <v>256091.4</v>
      </c>
      <c r="N821" s="3">
        <v>198879.6</v>
      </c>
      <c r="O821" s="3">
        <v>57211.8</v>
      </c>
      <c r="P821" s="3" t="s">
        <v>31</v>
      </c>
      <c r="Q821" s="3" t="s">
        <v>32</v>
      </c>
      <c r="R821" s="3">
        <v>7</v>
      </c>
      <c r="S821" s="3" t="s">
        <v>43</v>
      </c>
      <c r="T821" s="3">
        <v>3678</v>
      </c>
      <c r="U821" s="3">
        <v>3</v>
      </c>
      <c r="V821" s="3"/>
    </row>
    <row r="822" spans="1:22" x14ac:dyDescent="0.35">
      <c r="A822" s="2" t="s">
        <v>2451</v>
      </c>
      <c r="B822" s="2" t="s">
        <v>279</v>
      </c>
      <c r="C822" s="2" t="s">
        <v>1007</v>
      </c>
      <c r="D822" s="2" t="s">
        <v>2452</v>
      </c>
      <c r="E822" s="2" t="s">
        <v>58</v>
      </c>
      <c r="F822" s="2" t="s">
        <v>259</v>
      </c>
      <c r="G822" s="2" t="s">
        <v>189</v>
      </c>
      <c r="H822" s="2" t="s">
        <v>369</v>
      </c>
      <c r="I822" s="2" t="s">
        <v>30</v>
      </c>
      <c r="J822" s="2">
        <v>221</v>
      </c>
      <c r="K822" s="2">
        <v>249.66</v>
      </c>
      <c r="L822" s="2">
        <v>381.2</v>
      </c>
      <c r="M822" s="2">
        <v>84245.2</v>
      </c>
      <c r="N822" s="2">
        <v>55174.86</v>
      </c>
      <c r="O822" s="2">
        <v>29070.34</v>
      </c>
      <c r="P822" s="2" t="s">
        <v>31</v>
      </c>
      <c r="Q822" s="2" t="s">
        <v>32</v>
      </c>
      <c r="R822" s="2">
        <v>6</v>
      </c>
      <c r="S822" s="2" t="s">
        <v>43</v>
      </c>
      <c r="T822" s="2">
        <v>290</v>
      </c>
      <c r="U822" s="2">
        <v>9</v>
      </c>
      <c r="V822" s="2"/>
    </row>
    <row r="823" spans="1:22" x14ac:dyDescent="0.35">
      <c r="A823" s="3" t="s">
        <v>2453</v>
      </c>
      <c r="B823" s="3" t="s">
        <v>630</v>
      </c>
      <c r="C823" s="3" t="s">
        <v>1216</v>
      </c>
      <c r="D823" s="3" t="s">
        <v>2454</v>
      </c>
      <c r="E823" s="3" t="s">
        <v>100</v>
      </c>
      <c r="F823" s="3" t="s">
        <v>330</v>
      </c>
      <c r="G823" s="3" t="s">
        <v>217</v>
      </c>
      <c r="H823" s="3" t="s">
        <v>335</v>
      </c>
      <c r="I823" s="3" t="s">
        <v>85</v>
      </c>
      <c r="J823" s="3">
        <v>554</v>
      </c>
      <c r="K823" s="3">
        <v>949.86</v>
      </c>
      <c r="L823" s="3">
        <v>1347.56</v>
      </c>
      <c r="M823" s="3">
        <v>746548.24</v>
      </c>
      <c r="N823" s="3">
        <v>526222.43999999994</v>
      </c>
      <c r="O823" s="3">
        <v>220325.8</v>
      </c>
      <c r="P823" s="3" t="s">
        <v>31</v>
      </c>
      <c r="Q823" s="3" t="s">
        <v>63</v>
      </c>
      <c r="R823" s="3">
        <v>5</v>
      </c>
      <c r="S823" s="3" t="s">
        <v>43</v>
      </c>
      <c r="T823" s="3">
        <v>1328</v>
      </c>
      <c r="U823" s="3">
        <v>8</v>
      </c>
      <c r="V823" s="3"/>
    </row>
    <row r="824" spans="1:22" x14ac:dyDescent="0.35">
      <c r="A824" s="2" t="s">
        <v>2455</v>
      </c>
      <c r="B824" s="2" t="s">
        <v>1246</v>
      </c>
      <c r="C824" s="2" t="s">
        <v>2456</v>
      </c>
      <c r="D824" s="2" t="s">
        <v>2457</v>
      </c>
      <c r="E824" s="2" t="s">
        <v>100</v>
      </c>
      <c r="F824" s="2" t="s">
        <v>538</v>
      </c>
      <c r="G824" s="2" t="s">
        <v>70</v>
      </c>
      <c r="H824" s="2" t="s">
        <v>384</v>
      </c>
      <c r="I824" s="2" t="s">
        <v>62</v>
      </c>
      <c r="J824" s="2">
        <v>623</v>
      </c>
      <c r="K824" s="2">
        <v>419.02</v>
      </c>
      <c r="L824" s="2">
        <v>508.53</v>
      </c>
      <c r="M824" s="2">
        <v>316814.19</v>
      </c>
      <c r="N824" s="2">
        <v>261049.46</v>
      </c>
      <c r="O824" s="2">
        <v>55764.73</v>
      </c>
      <c r="P824" s="2" t="s">
        <v>42</v>
      </c>
      <c r="Q824" s="2" t="s">
        <v>63</v>
      </c>
      <c r="R824" s="2">
        <v>1</v>
      </c>
      <c r="S824" s="2" t="s">
        <v>158</v>
      </c>
      <c r="T824" s="2">
        <v>4963</v>
      </c>
      <c r="U824" s="2">
        <v>22</v>
      </c>
      <c r="V824" s="2"/>
    </row>
    <row r="825" spans="1:22" x14ac:dyDescent="0.35">
      <c r="A825" s="3" t="s">
        <v>2458</v>
      </c>
      <c r="B825" s="3" t="s">
        <v>1776</v>
      </c>
      <c r="C825" s="3" t="s">
        <v>242</v>
      </c>
      <c r="D825" s="3" t="s">
        <v>2459</v>
      </c>
      <c r="E825" s="3" t="s">
        <v>58</v>
      </c>
      <c r="F825" s="3" t="s">
        <v>417</v>
      </c>
      <c r="G825" s="3" t="s">
        <v>78</v>
      </c>
      <c r="H825" s="3" t="s">
        <v>628</v>
      </c>
      <c r="I825" s="3" t="s">
        <v>72</v>
      </c>
      <c r="J825" s="3">
        <v>656</v>
      </c>
      <c r="K825" s="3">
        <v>506.19</v>
      </c>
      <c r="L825" s="3">
        <v>658.64</v>
      </c>
      <c r="M825" s="3">
        <v>432067.84000000003</v>
      </c>
      <c r="N825" s="3">
        <v>332060.64</v>
      </c>
      <c r="O825" s="3">
        <v>100007.2</v>
      </c>
      <c r="P825" s="3" t="s">
        <v>42</v>
      </c>
      <c r="Q825" s="3" t="s">
        <v>63</v>
      </c>
      <c r="R825" s="3">
        <v>5</v>
      </c>
      <c r="S825" s="3" t="s">
        <v>33</v>
      </c>
      <c r="T825" s="3">
        <v>315</v>
      </c>
      <c r="U825" s="3">
        <v>26</v>
      </c>
      <c r="V825" s="3"/>
    </row>
    <row r="826" spans="1:22" x14ac:dyDescent="0.35">
      <c r="A826" s="2" t="s">
        <v>2460</v>
      </c>
      <c r="B826" s="2" t="s">
        <v>1517</v>
      </c>
      <c r="C826" s="2" t="s">
        <v>2461</v>
      </c>
      <c r="D826" s="2" t="s">
        <v>2462</v>
      </c>
      <c r="E826" s="2" t="s">
        <v>48</v>
      </c>
      <c r="F826" s="2" t="s">
        <v>223</v>
      </c>
      <c r="G826" s="2" t="s">
        <v>28</v>
      </c>
      <c r="H826" s="2" t="s">
        <v>111</v>
      </c>
      <c r="I826" s="2" t="s">
        <v>62</v>
      </c>
      <c r="J826" s="2">
        <v>710</v>
      </c>
      <c r="K826" s="2">
        <v>1052.95</v>
      </c>
      <c r="L826" s="2">
        <v>1620.29</v>
      </c>
      <c r="M826" s="2">
        <v>1150405.8999999999</v>
      </c>
      <c r="N826" s="2">
        <v>747594.5</v>
      </c>
      <c r="O826" s="2">
        <v>402811.4</v>
      </c>
      <c r="P826" s="2" t="s">
        <v>31</v>
      </c>
      <c r="Q826" s="2" t="s">
        <v>63</v>
      </c>
      <c r="R826" s="2">
        <v>5</v>
      </c>
      <c r="S826" s="2" t="s">
        <v>53</v>
      </c>
      <c r="T826" s="2">
        <v>4850</v>
      </c>
      <c r="U826" s="2">
        <v>7</v>
      </c>
      <c r="V826" s="2"/>
    </row>
    <row r="827" spans="1:22" x14ac:dyDescent="0.35">
      <c r="A827" s="3" t="s">
        <v>2463</v>
      </c>
      <c r="B827" s="3" t="s">
        <v>210</v>
      </c>
      <c r="C827" s="3" t="s">
        <v>1322</v>
      </c>
      <c r="D827" s="3" t="s">
        <v>2464</v>
      </c>
      <c r="E827" s="3" t="s">
        <v>58</v>
      </c>
      <c r="F827" s="3" t="s">
        <v>116</v>
      </c>
      <c r="G827" s="3" t="s">
        <v>70</v>
      </c>
      <c r="H827" s="3" t="s">
        <v>384</v>
      </c>
      <c r="I827" s="3" t="s">
        <v>124</v>
      </c>
      <c r="J827" s="3">
        <v>522</v>
      </c>
      <c r="K827" s="3">
        <v>967.87</v>
      </c>
      <c r="L827" s="3">
        <v>1230.3800000000001</v>
      </c>
      <c r="M827" s="3">
        <v>642258.36</v>
      </c>
      <c r="N827" s="3">
        <v>505228.14</v>
      </c>
      <c r="O827" s="3">
        <v>137030.22</v>
      </c>
      <c r="P827" s="3" t="s">
        <v>42</v>
      </c>
      <c r="Q827" s="3" t="s">
        <v>32</v>
      </c>
      <c r="R827" s="3">
        <v>7</v>
      </c>
      <c r="S827" s="3" t="s">
        <v>86</v>
      </c>
      <c r="T827" s="3">
        <v>4477</v>
      </c>
      <c r="U827" s="3">
        <v>10</v>
      </c>
      <c r="V827" s="3"/>
    </row>
    <row r="828" spans="1:22" x14ac:dyDescent="0.35">
      <c r="A828" s="2" t="s">
        <v>2465</v>
      </c>
      <c r="B828" s="2" t="s">
        <v>348</v>
      </c>
      <c r="C828" s="2" t="s">
        <v>712</v>
      </c>
      <c r="D828" s="2" t="s">
        <v>1247</v>
      </c>
      <c r="E828" s="2" t="s">
        <v>48</v>
      </c>
      <c r="F828" s="2" t="s">
        <v>49</v>
      </c>
      <c r="G828" s="2" t="s">
        <v>39</v>
      </c>
      <c r="H828" s="2" t="s">
        <v>527</v>
      </c>
      <c r="I828" s="2" t="s">
        <v>2466</v>
      </c>
      <c r="J828" s="2">
        <v>471</v>
      </c>
      <c r="K828" s="2">
        <v>177.47</v>
      </c>
      <c r="L828" s="2">
        <v>262.95999999999998</v>
      </c>
      <c r="M828" s="2">
        <v>123854.16</v>
      </c>
      <c r="N828" s="2">
        <v>83588.37</v>
      </c>
      <c r="O828" s="2">
        <v>40265.79</v>
      </c>
      <c r="P828" s="2" t="s">
        <v>52</v>
      </c>
      <c r="Q828" s="2" t="s">
        <v>32</v>
      </c>
      <c r="R828" s="2">
        <v>6</v>
      </c>
      <c r="S828" s="2" t="s">
        <v>112</v>
      </c>
      <c r="T828" s="2">
        <v>1767</v>
      </c>
      <c r="U828" s="2">
        <v>2</v>
      </c>
      <c r="V828" s="2"/>
    </row>
    <row r="829" spans="1:22" x14ac:dyDescent="0.35">
      <c r="A829" s="3" t="s">
        <v>2467</v>
      </c>
      <c r="B829" s="3" t="s">
        <v>406</v>
      </c>
      <c r="C829" s="3" t="s">
        <v>348</v>
      </c>
      <c r="D829" s="3" t="s">
        <v>2468</v>
      </c>
      <c r="E829" s="3" t="s">
        <v>48</v>
      </c>
      <c r="F829" s="3" t="s">
        <v>183</v>
      </c>
      <c r="G829" s="3" t="s">
        <v>60</v>
      </c>
      <c r="H829" s="3" t="s">
        <v>229</v>
      </c>
      <c r="I829" s="3" t="s">
        <v>118</v>
      </c>
      <c r="J829" s="3">
        <v>794</v>
      </c>
      <c r="K829" s="3">
        <v>200.08</v>
      </c>
      <c r="L829" s="3">
        <v>312.02</v>
      </c>
      <c r="M829" s="3">
        <v>247743.88</v>
      </c>
      <c r="N829" s="3">
        <v>158863.51999999999</v>
      </c>
      <c r="O829" s="3">
        <v>88880.36</v>
      </c>
      <c r="P829" s="3" t="s">
        <v>52</v>
      </c>
      <c r="Q829" s="3" t="s">
        <v>32</v>
      </c>
      <c r="R829" s="3">
        <v>8</v>
      </c>
      <c r="S829" s="3" t="s">
        <v>53</v>
      </c>
      <c r="T829" s="3">
        <v>2177</v>
      </c>
      <c r="U829" s="3">
        <v>28</v>
      </c>
      <c r="V829" s="3"/>
    </row>
    <row r="830" spans="1:22" x14ac:dyDescent="0.35">
      <c r="A830" s="2" t="s">
        <v>2469</v>
      </c>
      <c r="B830" s="2" t="s">
        <v>2470</v>
      </c>
      <c r="C830" s="2" t="s">
        <v>2471</v>
      </c>
      <c r="D830" s="2" t="s">
        <v>2472</v>
      </c>
      <c r="E830" s="2" t="s">
        <v>100</v>
      </c>
      <c r="F830" s="2" t="s">
        <v>238</v>
      </c>
      <c r="G830" s="2" t="s">
        <v>78</v>
      </c>
      <c r="H830" s="2" t="s">
        <v>572</v>
      </c>
      <c r="I830" s="2" t="s">
        <v>191</v>
      </c>
      <c r="J830" s="2">
        <v>510</v>
      </c>
      <c r="K830" s="2">
        <v>840.08</v>
      </c>
      <c r="L830" s="2">
        <v>1155.6400000000001</v>
      </c>
      <c r="M830" s="2">
        <v>589376.4</v>
      </c>
      <c r="N830" s="2">
        <v>428440.8</v>
      </c>
      <c r="O830" s="2">
        <v>160935.6</v>
      </c>
      <c r="P830" s="2" t="s">
        <v>42</v>
      </c>
      <c r="Q830" s="2" t="s">
        <v>32</v>
      </c>
      <c r="R830" s="2">
        <v>9</v>
      </c>
      <c r="S830" s="2" t="s">
        <v>86</v>
      </c>
      <c r="T830" s="2">
        <v>3259</v>
      </c>
      <c r="U830" s="2">
        <v>14</v>
      </c>
      <c r="V830" s="2"/>
    </row>
    <row r="831" spans="1:22" x14ac:dyDescent="0.35">
      <c r="A831" s="3" t="s">
        <v>2473</v>
      </c>
      <c r="B831" s="3" t="s">
        <v>1483</v>
      </c>
      <c r="C831" s="3" t="s">
        <v>1049</v>
      </c>
      <c r="D831" s="3" t="s">
        <v>2474</v>
      </c>
      <c r="E831" s="3" t="s">
        <v>100</v>
      </c>
      <c r="F831" s="3" t="s">
        <v>538</v>
      </c>
      <c r="G831" s="3" t="s">
        <v>189</v>
      </c>
      <c r="H831" s="3" t="s">
        <v>369</v>
      </c>
      <c r="I831" s="3" t="s">
        <v>62</v>
      </c>
      <c r="J831" s="3">
        <v>71</v>
      </c>
      <c r="K831" s="3">
        <v>749.92</v>
      </c>
      <c r="L831" s="3">
        <v>1071.78</v>
      </c>
      <c r="M831" s="3">
        <v>76096.38</v>
      </c>
      <c r="N831" s="3">
        <v>53244.32</v>
      </c>
      <c r="O831" s="3">
        <v>22852.06</v>
      </c>
      <c r="P831" s="3" t="s">
        <v>31</v>
      </c>
      <c r="Q831" s="3" t="s">
        <v>32</v>
      </c>
      <c r="R831" s="3">
        <v>8</v>
      </c>
      <c r="S831" s="3" t="s">
        <v>158</v>
      </c>
      <c r="T831" s="3">
        <v>2251</v>
      </c>
      <c r="U831" s="3">
        <v>0</v>
      </c>
      <c r="V831" s="3"/>
    </row>
    <row r="832" spans="1:22" x14ac:dyDescent="0.35">
      <c r="A832" s="2" t="s">
        <v>2475</v>
      </c>
      <c r="B832" s="2" t="s">
        <v>510</v>
      </c>
      <c r="C832" s="2" t="s">
        <v>662</v>
      </c>
      <c r="D832" s="2" t="s">
        <v>2476</v>
      </c>
      <c r="E832" s="2" t="s">
        <v>2477</v>
      </c>
      <c r="F832" s="2" t="s">
        <v>270</v>
      </c>
      <c r="G832" s="2" t="s">
        <v>28</v>
      </c>
      <c r="H832" s="2" t="s">
        <v>579</v>
      </c>
      <c r="I832" s="2" t="s">
        <v>293</v>
      </c>
      <c r="J832" s="2">
        <v>354</v>
      </c>
      <c r="K832" s="2">
        <v>1122.6400000000001</v>
      </c>
      <c r="L832" s="2">
        <v>1557.72</v>
      </c>
      <c r="M832" s="2">
        <v>551432.88</v>
      </c>
      <c r="N832" s="2">
        <v>397414.56</v>
      </c>
      <c r="O832" s="2">
        <v>154018.32</v>
      </c>
      <c r="P832" s="2" t="s">
        <v>31</v>
      </c>
      <c r="Q832" s="2" t="s">
        <v>63</v>
      </c>
      <c r="R832" s="2">
        <v>4</v>
      </c>
      <c r="S832" s="2" t="s">
        <v>112</v>
      </c>
      <c r="T832" s="2">
        <v>374</v>
      </c>
      <c r="U832" s="2">
        <v>13</v>
      </c>
      <c r="V832" s="2"/>
    </row>
    <row r="833" spans="1:22" x14ac:dyDescent="0.35">
      <c r="A833" s="3" t="s">
        <v>2478</v>
      </c>
      <c r="B833" s="3" t="s">
        <v>1189</v>
      </c>
      <c r="C833" s="3" t="s">
        <v>324</v>
      </c>
      <c r="D833" s="3" t="s">
        <v>2479</v>
      </c>
      <c r="E833" s="3" t="s">
        <v>26</v>
      </c>
      <c r="F833" s="3" t="s">
        <v>38</v>
      </c>
      <c r="G833" s="3" t="s">
        <v>78</v>
      </c>
      <c r="H833" s="3" t="s">
        <v>178</v>
      </c>
      <c r="I833" s="3" t="s">
        <v>240</v>
      </c>
      <c r="J833" s="3">
        <v>750</v>
      </c>
      <c r="K833" s="3">
        <v>589.04999999999995</v>
      </c>
      <c r="L833" s="3">
        <v>712.96</v>
      </c>
      <c r="M833" s="3">
        <v>534720</v>
      </c>
      <c r="N833" s="3">
        <v>441787.5</v>
      </c>
      <c r="O833" s="3">
        <v>92932.5</v>
      </c>
      <c r="P833" s="3" t="s">
        <v>42</v>
      </c>
      <c r="Q833" s="3" t="s">
        <v>32</v>
      </c>
      <c r="R833" s="3">
        <v>10</v>
      </c>
      <c r="S833" s="3" t="s">
        <v>53</v>
      </c>
      <c r="T833" s="3">
        <v>2171</v>
      </c>
      <c r="U833" s="3">
        <v>7</v>
      </c>
      <c r="V833" s="3"/>
    </row>
    <row r="834" spans="1:22" x14ac:dyDescent="0.35">
      <c r="A834" s="2" t="s">
        <v>2480</v>
      </c>
      <c r="B834" s="2" t="s">
        <v>536</v>
      </c>
      <c r="C834" s="2" t="s">
        <v>691</v>
      </c>
      <c r="D834" s="2" t="s">
        <v>2481</v>
      </c>
      <c r="E834" s="2" t="s">
        <v>58</v>
      </c>
      <c r="F834" s="2" t="s">
        <v>417</v>
      </c>
      <c r="G834" s="2" t="s">
        <v>70</v>
      </c>
      <c r="H834" s="2" t="s">
        <v>384</v>
      </c>
      <c r="I834" s="2" t="s">
        <v>62</v>
      </c>
      <c r="J834" s="2">
        <v>556</v>
      </c>
      <c r="K834" s="2">
        <v>1130.8</v>
      </c>
      <c r="L834" s="2">
        <v>1485.36</v>
      </c>
      <c r="M834" s="2">
        <v>825860.16</v>
      </c>
      <c r="N834" s="2">
        <v>628724.80000000005</v>
      </c>
      <c r="O834" s="2">
        <v>197135.35999999999</v>
      </c>
      <c r="P834" s="2" t="s">
        <v>31</v>
      </c>
      <c r="Q834" s="2" t="s">
        <v>32</v>
      </c>
      <c r="R834" s="2">
        <v>12</v>
      </c>
      <c r="S834" s="2" t="s">
        <v>158</v>
      </c>
      <c r="T834" s="2">
        <v>1216</v>
      </c>
      <c r="U834" s="2">
        <v>1</v>
      </c>
      <c r="V834" s="2"/>
    </row>
    <row r="835" spans="1:22" x14ac:dyDescent="0.35">
      <c r="A835" s="3" t="s">
        <v>2482</v>
      </c>
      <c r="B835" s="3" t="s">
        <v>585</v>
      </c>
      <c r="C835" s="3" t="s">
        <v>1444</v>
      </c>
      <c r="D835" s="3" t="s">
        <v>2483</v>
      </c>
      <c r="E835" s="3" t="s">
        <v>26</v>
      </c>
      <c r="F835" s="3" t="s">
        <v>38</v>
      </c>
      <c r="G835" s="3" t="s">
        <v>70</v>
      </c>
      <c r="H835" s="3" t="s">
        <v>384</v>
      </c>
      <c r="I835" s="3" t="s">
        <v>240</v>
      </c>
      <c r="J835" s="3">
        <v>130</v>
      </c>
      <c r="K835" s="3">
        <v>230.85</v>
      </c>
      <c r="L835" s="3">
        <v>316.98</v>
      </c>
      <c r="M835" s="3">
        <v>41207.4</v>
      </c>
      <c r="N835" s="3">
        <v>30010.5</v>
      </c>
      <c r="O835" s="3">
        <v>11196.9</v>
      </c>
      <c r="P835" s="3" t="s">
        <v>31</v>
      </c>
      <c r="Q835" s="3" t="s">
        <v>32</v>
      </c>
      <c r="R835" s="3">
        <v>8</v>
      </c>
      <c r="S835" s="3" t="s">
        <v>33</v>
      </c>
      <c r="T835" s="3">
        <v>4031</v>
      </c>
      <c r="U835" s="3">
        <v>5</v>
      </c>
      <c r="V835" s="3"/>
    </row>
    <row r="836" spans="1:22" x14ac:dyDescent="0.35">
      <c r="A836" s="2" t="s">
        <v>2484</v>
      </c>
      <c r="B836" s="2" t="s">
        <v>1445</v>
      </c>
      <c r="C836" s="2" t="s">
        <v>375</v>
      </c>
      <c r="D836" s="2" t="s">
        <v>2485</v>
      </c>
      <c r="E836" s="2" t="s">
        <v>58</v>
      </c>
      <c r="F836" s="2" t="s">
        <v>116</v>
      </c>
      <c r="G836" s="2" t="s">
        <v>28</v>
      </c>
      <c r="H836" s="2" t="s">
        <v>212</v>
      </c>
      <c r="I836" s="2" t="s">
        <v>72</v>
      </c>
      <c r="J836" s="2">
        <v>12</v>
      </c>
      <c r="K836" s="2">
        <v>270.64999999999998</v>
      </c>
      <c r="L836" s="2">
        <v>428.27</v>
      </c>
      <c r="M836" s="2">
        <v>5139.24</v>
      </c>
      <c r="N836" s="2">
        <v>3247.8</v>
      </c>
      <c r="O836" s="2">
        <v>1891.44</v>
      </c>
      <c r="P836" s="2" t="s">
        <v>31</v>
      </c>
      <c r="Q836" s="2" t="s">
        <v>32</v>
      </c>
      <c r="R836" s="2">
        <v>13</v>
      </c>
      <c r="S836" s="2" t="s">
        <v>158</v>
      </c>
      <c r="T836" s="2">
        <v>870</v>
      </c>
      <c r="U836" s="2">
        <v>1</v>
      </c>
      <c r="V836" s="2"/>
    </row>
    <row r="837" spans="1:22" x14ac:dyDescent="0.35">
      <c r="A837" s="3" t="s">
        <v>2486</v>
      </c>
      <c r="B837" s="3" t="s">
        <v>98</v>
      </c>
      <c r="C837" s="3" t="s">
        <v>342</v>
      </c>
      <c r="D837" s="3" t="s">
        <v>1518</v>
      </c>
      <c r="E837" s="3" t="s">
        <v>48</v>
      </c>
      <c r="F837" s="3" t="s">
        <v>223</v>
      </c>
      <c r="G837" s="3" t="s">
        <v>28</v>
      </c>
      <c r="H837" s="3" t="s">
        <v>254</v>
      </c>
      <c r="I837" s="3" t="s">
        <v>191</v>
      </c>
      <c r="J837" s="3">
        <v>207</v>
      </c>
      <c r="K837" s="3">
        <v>1009.75</v>
      </c>
      <c r="L837" s="3">
        <v>1358.1</v>
      </c>
      <c r="M837" s="3">
        <v>281126.7</v>
      </c>
      <c r="N837" s="3">
        <v>209018.25</v>
      </c>
      <c r="O837" s="3">
        <v>72108.45</v>
      </c>
      <c r="P837" s="3" t="s">
        <v>42</v>
      </c>
      <c r="Q837" s="3" t="s">
        <v>63</v>
      </c>
      <c r="R837" s="3">
        <v>5</v>
      </c>
      <c r="S837" s="3" t="s">
        <v>112</v>
      </c>
      <c r="T837" s="3">
        <v>162</v>
      </c>
      <c r="U837" s="3">
        <v>9</v>
      </c>
      <c r="V837" s="3"/>
    </row>
    <row r="838" spans="1:22" x14ac:dyDescent="0.35">
      <c r="A838" s="2" t="s">
        <v>2487</v>
      </c>
      <c r="B838" s="2" t="s">
        <v>978</v>
      </c>
      <c r="C838" s="2" t="s">
        <v>133</v>
      </c>
      <c r="D838" s="2" t="s">
        <v>2488</v>
      </c>
      <c r="E838" s="2" t="s">
        <v>58</v>
      </c>
      <c r="F838" s="2" t="s">
        <v>259</v>
      </c>
      <c r="G838" s="2" t="s">
        <v>78</v>
      </c>
      <c r="H838" s="2" t="s">
        <v>79</v>
      </c>
      <c r="I838" s="4"/>
      <c r="J838" s="2">
        <v>327</v>
      </c>
      <c r="K838" s="2">
        <v>591.47</v>
      </c>
      <c r="L838" s="2">
        <v>681.77</v>
      </c>
      <c r="M838" s="2">
        <v>222938.79</v>
      </c>
      <c r="N838" s="2">
        <v>193410.69</v>
      </c>
      <c r="O838" s="2">
        <v>29528.1</v>
      </c>
      <c r="P838" s="2" t="s">
        <v>31</v>
      </c>
      <c r="Q838" s="2" t="s">
        <v>32</v>
      </c>
      <c r="R838" s="2">
        <v>13</v>
      </c>
      <c r="S838" s="2" t="s">
        <v>53</v>
      </c>
      <c r="T838" s="2">
        <v>27</v>
      </c>
      <c r="U838" s="2">
        <v>12</v>
      </c>
      <c r="V838" s="2"/>
    </row>
    <row r="839" spans="1:22" x14ac:dyDescent="0.35">
      <c r="A839" s="3" t="s">
        <v>2489</v>
      </c>
      <c r="B839" s="3" t="s">
        <v>1053</v>
      </c>
      <c r="C839" s="3" t="s">
        <v>1873</v>
      </c>
      <c r="D839" s="3" t="s">
        <v>2490</v>
      </c>
      <c r="E839" s="3" t="s">
        <v>68</v>
      </c>
      <c r="F839" s="3" t="s">
        <v>163</v>
      </c>
      <c r="G839" s="3" t="s">
        <v>50</v>
      </c>
      <c r="H839" s="3" t="s">
        <v>173</v>
      </c>
      <c r="I839" s="3" t="s">
        <v>41</v>
      </c>
      <c r="J839" s="3">
        <v>467</v>
      </c>
      <c r="K839" s="3">
        <v>450.09</v>
      </c>
      <c r="L839" s="3">
        <v>529.82000000000005</v>
      </c>
      <c r="M839" s="3">
        <v>247425.94</v>
      </c>
      <c r="N839" s="3">
        <v>210192.03</v>
      </c>
      <c r="O839" s="3">
        <v>37233.910000000003</v>
      </c>
      <c r="P839" s="3" t="s">
        <v>42</v>
      </c>
      <c r="Q839" s="3" t="s">
        <v>32</v>
      </c>
      <c r="R839" s="3">
        <v>8</v>
      </c>
      <c r="S839" s="3" t="s">
        <v>112</v>
      </c>
      <c r="T839" s="3">
        <v>3783</v>
      </c>
      <c r="U839" s="3">
        <v>9</v>
      </c>
      <c r="V839" s="3"/>
    </row>
    <row r="840" spans="1:22" x14ac:dyDescent="0.35">
      <c r="A840" s="2" t="s">
        <v>2491</v>
      </c>
      <c r="B840" s="2" t="s">
        <v>2492</v>
      </c>
      <c r="C840" s="2" t="s">
        <v>790</v>
      </c>
      <c r="D840" s="2" t="s">
        <v>2493</v>
      </c>
      <c r="E840" s="4"/>
      <c r="F840" s="2" t="s">
        <v>101</v>
      </c>
      <c r="G840" s="2" t="s">
        <v>129</v>
      </c>
      <c r="H840" s="2" t="s">
        <v>152</v>
      </c>
      <c r="I840" s="2" t="s">
        <v>30</v>
      </c>
      <c r="J840" s="2">
        <v>45</v>
      </c>
      <c r="K840" s="2">
        <v>1087.43</v>
      </c>
      <c r="L840" s="2">
        <v>1413.56</v>
      </c>
      <c r="M840" s="2">
        <v>63610.2</v>
      </c>
      <c r="N840" s="2">
        <v>48934.35</v>
      </c>
      <c r="O840" s="2">
        <v>14675.85</v>
      </c>
      <c r="P840" s="2" t="s">
        <v>42</v>
      </c>
      <c r="Q840" s="2" t="s">
        <v>32</v>
      </c>
      <c r="R840" s="2">
        <v>13</v>
      </c>
      <c r="S840" s="2" t="s">
        <v>158</v>
      </c>
      <c r="T840" s="2">
        <v>3728</v>
      </c>
      <c r="U840" s="2">
        <v>2</v>
      </c>
      <c r="V840" s="2"/>
    </row>
    <row r="841" spans="1:22" x14ac:dyDescent="0.35">
      <c r="A841" s="3" t="s">
        <v>2494</v>
      </c>
      <c r="B841" s="3" t="s">
        <v>820</v>
      </c>
      <c r="C841" s="3" t="s">
        <v>1776</v>
      </c>
      <c r="D841" s="3" t="s">
        <v>1116</v>
      </c>
      <c r="E841" s="3" t="s">
        <v>48</v>
      </c>
      <c r="F841" s="3" t="s">
        <v>49</v>
      </c>
      <c r="G841" s="3" t="s">
        <v>189</v>
      </c>
      <c r="H841" s="3" t="s">
        <v>190</v>
      </c>
      <c r="I841" s="3" t="s">
        <v>85</v>
      </c>
      <c r="J841" s="3">
        <v>693</v>
      </c>
      <c r="K841" s="3">
        <v>914.01</v>
      </c>
      <c r="L841" s="3">
        <v>1112.32</v>
      </c>
      <c r="M841" s="3">
        <v>770837.76</v>
      </c>
      <c r="N841" s="3">
        <v>633408.93000000005</v>
      </c>
      <c r="O841" s="3">
        <v>137428.82999999999</v>
      </c>
      <c r="P841" s="3" t="s">
        <v>42</v>
      </c>
      <c r="Q841" s="3" t="s">
        <v>32</v>
      </c>
      <c r="R841" s="3">
        <v>8</v>
      </c>
      <c r="S841" s="3" t="s">
        <v>112</v>
      </c>
      <c r="T841" s="3">
        <v>2537</v>
      </c>
      <c r="U841" s="3">
        <v>1</v>
      </c>
      <c r="V841" s="3"/>
    </row>
    <row r="842" spans="1:22" x14ac:dyDescent="0.35">
      <c r="A842" s="2" t="s">
        <v>2495</v>
      </c>
      <c r="B842" s="2" t="s">
        <v>56</v>
      </c>
      <c r="C842" s="2" t="s">
        <v>2496</v>
      </c>
      <c r="D842" s="2" t="s">
        <v>2497</v>
      </c>
      <c r="E842" s="2" t="s">
        <v>100</v>
      </c>
      <c r="F842" s="2" t="s">
        <v>538</v>
      </c>
      <c r="G842" s="2" t="s">
        <v>78</v>
      </c>
      <c r="H842" s="2" t="s">
        <v>572</v>
      </c>
      <c r="I842" s="2" t="s">
        <v>240</v>
      </c>
      <c r="J842" s="2">
        <v>433</v>
      </c>
      <c r="K842" s="2">
        <v>986.5</v>
      </c>
      <c r="L842" s="2">
        <v>1558.3</v>
      </c>
      <c r="M842" s="2">
        <v>674743.9</v>
      </c>
      <c r="N842" s="2">
        <v>427154.5</v>
      </c>
      <c r="O842" s="2">
        <v>247589.4</v>
      </c>
      <c r="P842" s="2" t="s">
        <v>31</v>
      </c>
      <c r="Q842" s="4"/>
      <c r="R842" s="2">
        <v>9</v>
      </c>
      <c r="S842" s="2" t="s">
        <v>43</v>
      </c>
      <c r="T842" s="2">
        <v>2083</v>
      </c>
      <c r="U842" s="2">
        <v>3</v>
      </c>
      <c r="V842" s="2"/>
    </row>
    <row r="843" spans="1:22" x14ac:dyDescent="0.35">
      <c r="A843" s="3" t="s">
        <v>2498</v>
      </c>
      <c r="B843" s="3" t="s">
        <v>138</v>
      </c>
      <c r="C843" s="3" t="s">
        <v>1307</v>
      </c>
      <c r="D843" s="3" t="s">
        <v>961</v>
      </c>
      <c r="E843" s="3" t="s">
        <v>58</v>
      </c>
      <c r="F843" s="3" t="s">
        <v>259</v>
      </c>
      <c r="G843" s="3" t="s">
        <v>189</v>
      </c>
      <c r="H843" s="3" t="s">
        <v>360</v>
      </c>
      <c r="I843" s="3" t="s">
        <v>153</v>
      </c>
      <c r="J843" s="3">
        <v>563</v>
      </c>
      <c r="K843" s="3">
        <v>184.52</v>
      </c>
      <c r="L843" s="3">
        <v>270.52</v>
      </c>
      <c r="M843" s="3">
        <v>152302.76</v>
      </c>
      <c r="N843" s="3">
        <v>103884.76</v>
      </c>
      <c r="O843" s="3">
        <v>48418</v>
      </c>
      <c r="P843" s="3" t="s">
        <v>42</v>
      </c>
      <c r="Q843" s="3" t="s">
        <v>32</v>
      </c>
      <c r="R843" s="3">
        <v>11</v>
      </c>
      <c r="S843" s="3" t="s">
        <v>86</v>
      </c>
      <c r="T843" s="3">
        <v>4946</v>
      </c>
      <c r="U843" s="3">
        <v>7</v>
      </c>
      <c r="V843" s="3"/>
    </row>
    <row r="844" spans="1:22" x14ac:dyDescent="0.35">
      <c r="A844" s="2" t="s">
        <v>2499</v>
      </c>
      <c r="B844" s="2" t="s">
        <v>2500</v>
      </c>
      <c r="C844" s="2" t="s">
        <v>978</v>
      </c>
      <c r="D844" s="2" t="s">
        <v>2501</v>
      </c>
      <c r="E844" s="2" t="s">
        <v>100</v>
      </c>
      <c r="F844" s="2" t="s">
        <v>538</v>
      </c>
      <c r="G844" s="2" t="s">
        <v>39</v>
      </c>
      <c r="H844" s="2" t="s">
        <v>412</v>
      </c>
      <c r="I844" s="2" t="s">
        <v>72</v>
      </c>
      <c r="J844" s="2">
        <v>301</v>
      </c>
      <c r="K844" s="2">
        <v>243.33</v>
      </c>
      <c r="L844" s="2">
        <v>355.36</v>
      </c>
      <c r="M844" s="2">
        <v>106963.36</v>
      </c>
      <c r="N844" s="2">
        <v>73242.33</v>
      </c>
      <c r="O844" s="2">
        <v>33721.03</v>
      </c>
      <c r="P844" s="2" t="s">
        <v>31</v>
      </c>
      <c r="Q844" s="2" t="s">
        <v>32</v>
      </c>
      <c r="R844" s="2">
        <v>6</v>
      </c>
      <c r="S844" s="2" t="s">
        <v>158</v>
      </c>
      <c r="T844" s="2">
        <v>4328</v>
      </c>
      <c r="U844" s="2">
        <v>5</v>
      </c>
      <c r="V844" s="2"/>
    </row>
    <row r="845" spans="1:22" x14ac:dyDescent="0.35">
      <c r="A845" s="3" t="s">
        <v>2502</v>
      </c>
      <c r="B845" s="3" t="s">
        <v>950</v>
      </c>
      <c r="C845" s="3" t="s">
        <v>1114</v>
      </c>
      <c r="D845" s="3" t="s">
        <v>2503</v>
      </c>
      <c r="E845" s="3" t="s">
        <v>68</v>
      </c>
      <c r="F845" s="3" t="s">
        <v>276</v>
      </c>
      <c r="G845" s="3" t="s">
        <v>189</v>
      </c>
      <c r="H845" s="3" t="s">
        <v>365</v>
      </c>
      <c r="I845" s="3" t="s">
        <v>293</v>
      </c>
      <c r="J845" s="3">
        <v>787</v>
      </c>
      <c r="K845" s="3">
        <v>762.03</v>
      </c>
      <c r="L845" s="3">
        <v>1015.78</v>
      </c>
      <c r="M845" s="3">
        <v>799418.86</v>
      </c>
      <c r="N845" s="3">
        <v>599717.61</v>
      </c>
      <c r="O845" s="3">
        <v>199701.25</v>
      </c>
      <c r="P845" s="3" t="s">
        <v>42</v>
      </c>
      <c r="Q845" s="3" t="s">
        <v>63</v>
      </c>
      <c r="R845" s="3">
        <v>3</v>
      </c>
      <c r="S845" s="3" t="s">
        <v>53</v>
      </c>
      <c r="T845" s="3">
        <v>2</v>
      </c>
      <c r="U845" s="3">
        <v>38</v>
      </c>
      <c r="V845" s="3"/>
    </row>
    <row r="846" spans="1:22" x14ac:dyDescent="0.35">
      <c r="A846" s="2" t="s">
        <v>2504</v>
      </c>
      <c r="B846" s="2" t="s">
        <v>2192</v>
      </c>
      <c r="C846" s="2" t="s">
        <v>1093</v>
      </c>
      <c r="D846" s="2" t="s">
        <v>2505</v>
      </c>
      <c r="E846" s="2" t="s">
        <v>68</v>
      </c>
      <c r="F846" s="2" t="s">
        <v>276</v>
      </c>
      <c r="G846" s="2" t="s">
        <v>189</v>
      </c>
      <c r="H846" s="2" t="s">
        <v>190</v>
      </c>
      <c r="I846" s="2" t="s">
        <v>153</v>
      </c>
      <c r="J846" s="2">
        <v>439</v>
      </c>
      <c r="K846" s="2">
        <v>786.89</v>
      </c>
      <c r="L846" s="2">
        <v>1166.3800000000001</v>
      </c>
      <c r="M846" s="2">
        <v>512040.82</v>
      </c>
      <c r="N846" s="2">
        <v>345444.71</v>
      </c>
      <c r="O846" s="2">
        <v>166596.10999999999</v>
      </c>
      <c r="P846" s="2" t="s">
        <v>52</v>
      </c>
      <c r="Q846" s="2" t="s">
        <v>63</v>
      </c>
      <c r="R846" s="2">
        <v>1</v>
      </c>
      <c r="S846" s="2" t="s">
        <v>53</v>
      </c>
      <c r="T846" s="2">
        <v>1766</v>
      </c>
      <c r="U846" s="2">
        <v>18</v>
      </c>
      <c r="V846" s="2"/>
    </row>
    <row r="847" spans="1:22" x14ac:dyDescent="0.35">
      <c r="A847" s="3" t="s">
        <v>2506</v>
      </c>
      <c r="B847" s="3" t="s">
        <v>2507</v>
      </c>
      <c r="C847" s="3" t="s">
        <v>2508</v>
      </c>
      <c r="D847" s="4"/>
      <c r="E847" s="3" t="s">
        <v>68</v>
      </c>
      <c r="F847" s="3" t="s">
        <v>276</v>
      </c>
      <c r="G847" s="3" t="s">
        <v>60</v>
      </c>
      <c r="H847" s="3" t="s">
        <v>539</v>
      </c>
      <c r="I847" s="3" t="s">
        <v>1335</v>
      </c>
      <c r="J847" s="3">
        <v>285</v>
      </c>
      <c r="K847" s="3">
        <v>647.54999999999995</v>
      </c>
      <c r="L847" s="3">
        <v>1049.96</v>
      </c>
      <c r="M847" s="3">
        <v>299238.59999999998</v>
      </c>
      <c r="N847" s="3">
        <v>184551.75</v>
      </c>
      <c r="O847" s="3">
        <v>114686.85</v>
      </c>
      <c r="P847" s="3" t="s">
        <v>31</v>
      </c>
      <c r="Q847" s="3" t="s">
        <v>63</v>
      </c>
      <c r="R847" s="3">
        <v>5</v>
      </c>
      <c r="S847" s="3" t="s">
        <v>158</v>
      </c>
      <c r="T847" s="3">
        <v>191</v>
      </c>
      <c r="U847" s="3">
        <v>8</v>
      </c>
      <c r="V847" s="3"/>
    </row>
    <row r="848" spans="1:22" x14ac:dyDescent="0.35">
      <c r="A848" s="2" t="s">
        <v>2509</v>
      </c>
      <c r="B848" s="2" t="s">
        <v>2087</v>
      </c>
      <c r="C848" s="2" t="s">
        <v>887</v>
      </c>
      <c r="D848" s="2" t="s">
        <v>2510</v>
      </c>
      <c r="E848" s="2" t="s">
        <v>26</v>
      </c>
      <c r="F848" s="2" t="s">
        <v>77</v>
      </c>
      <c r="G848" s="2" t="s">
        <v>70</v>
      </c>
      <c r="H848" s="2" t="s">
        <v>384</v>
      </c>
      <c r="I848" s="2" t="s">
        <v>41</v>
      </c>
      <c r="J848" s="2">
        <v>735</v>
      </c>
      <c r="K848" s="2">
        <v>1188.27</v>
      </c>
      <c r="L848" s="2">
        <v>1928.6</v>
      </c>
      <c r="M848" s="2">
        <v>1417521</v>
      </c>
      <c r="N848" s="2">
        <v>873378.45</v>
      </c>
      <c r="O848" s="2">
        <v>544142.55000000005</v>
      </c>
      <c r="P848" s="2" t="s">
        <v>42</v>
      </c>
      <c r="Q848" s="2" t="s">
        <v>63</v>
      </c>
      <c r="R848" s="2">
        <v>4</v>
      </c>
      <c r="S848" s="2" t="s">
        <v>43</v>
      </c>
      <c r="T848" s="2">
        <v>474</v>
      </c>
      <c r="U848" s="2">
        <v>25</v>
      </c>
      <c r="V848" s="2"/>
    </row>
    <row r="849" spans="1:22" x14ac:dyDescent="0.35">
      <c r="A849" s="3" t="s">
        <v>2511</v>
      </c>
      <c r="B849" s="3" t="s">
        <v>1192</v>
      </c>
      <c r="C849" s="3" t="s">
        <v>656</v>
      </c>
      <c r="D849" s="3" t="s">
        <v>2512</v>
      </c>
      <c r="E849" s="3" t="s">
        <v>68</v>
      </c>
      <c r="F849" s="3" t="s">
        <v>163</v>
      </c>
      <c r="G849" s="3" t="s">
        <v>39</v>
      </c>
      <c r="H849" s="3" t="s">
        <v>147</v>
      </c>
      <c r="I849" s="3" t="s">
        <v>141</v>
      </c>
      <c r="J849" s="3">
        <v>530</v>
      </c>
      <c r="K849" s="3">
        <v>13.08</v>
      </c>
      <c r="L849" s="3">
        <v>18.260000000000002</v>
      </c>
      <c r="M849" s="3">
        <v>9677.7999999999993</v>
      </c>
      <c r="N849" s="3">
        <v>6932.4</v>
      </c>
      <c r="O849" s="3">
        <v>2745.4</v>
      </c>
      <c r="P849" s="3" t="s">
        <v>2513</v>
      </c>
      <c r="Q849" s="3" t="s">
        <v>32</v>
      </c>
      <c r="R849" s="3">
        <v>12</v>
      </c>
      <c r="S849" s="3" t="s">
        <v>43</v>
      </c>
      <c r="T849" s="3">
        <v>1878</v>
      </c>
      <c r="U849" s="3">
        <v>24</v>
      </c>
      <c r="V849" s="3"/>
    </row>
    <row r="850" spans="1:22" x14ac:dyDescent="0.35">
      <c r="A850" s="2" t="s">
        <v>2514</v>
      </c>
      <c r="B850" s="2" t="s">
        <v>2247</v>
      </c>
      <c r="C850" s="2" t="s">
        <v>820</v>
      </c>
      <c r="D850" s="2" t="s">
        <v>2515</v>
      </c>
      <c r="E850" s="2" t="s">
        <v>68</v>
      </c>
      <c r="F850" s="2" t="s">
        <v>276</v>
      </c>
      <c r="G850" s="2" t="s">
        <v>39</v>
      </c>
      <c r="H850" s="2" t="s">
        <v>40</v>
      </c>
      <c r="I850" s="2" t="s">
        <v>124</v>
      </c>
      <c r="J850" s="2">
        <v>102</v>
      </c>
      <c r="K850" s="2">
        <v>804.92</v>
      </c>
      <c r="L850" s="2">
        <v>1018.03</v>
      </c>
      <c r="M850" s="2">
        <v>103839.06</v>
      </c>
      <c r="N850" s="2">
        <v>82101.84</v>
      </c>
      <c r="O850" s="2">
        <v>21737.22</v>
      </c>
      <c r="P850" s="2" t="s">
        <v>42</v>
      </c>
      <c r="Q850" s="2" t="s">
        <v>32</v>
      </c>
      <c r="R850" s="2">
        <v>8</v>
      </c>
      <c r="S850" s="2" t="s">
        <v>86</v>
      </c>
      <c r="T850" s="2">
        <v>3864</v>
      </c>
      <c r="U850" s="2">
        <v>2</v>
      </c>
      <c r="V850" s="2"/>
    </row>
    <row r="851" spans="1:22" x14ac:dyDescent="0.35">
      <c r="A851" s="3" t="s">
        <v>2516</v>
      </c>
      <c r="B851" s="3" t="s">
        <v>2517</v>
      </c>
      <c r="C851" s="3" t="s">
        <v>605</v>
      </c>
      <c r="D851" s="3" t="s">
        <v>2518</v>
      </c>
      <c r="E851" s="3" t="s">
        <v>58</v>
      </c>
      <c r="F851" s="3" t="s">
        <v>417</v>
      </c>
      <c r="G851" s="3" t="s">
        <v>217</v>
      </c>
      <c r="H851" s="3" t="s">
        <v>684</v>
      </c>
      <c r="I851" s="3" t="s">
        <v>141</v>
      </c>
      <c r="J851" s="3">
        <v>475</v>
      </c>
      <c r="K851" s="3">
        <v>254.14</v>
      </c>
      <c r="L851" s="3">
        <v>341.31</v>
      </c>
      <c r="M851" s="3">
        <v>162122.25</v>
      </c>
      <c r="N851" s="3">
        <v>120716.5</v>
      </c>
      <c r="O851" s="3">
        <v>41405.75</v>
      </c>
      <c r="P851" s="3" t="s">
        <v>95</v>
      </c>
      <c r="Q851" s="3" t="s">
        <v>63</v>
      </c>
      <c r="R851" s="3">
        <v>3</v>
      </c>
      <c r="S851" s="3" t="s">
        <v>43</v>
      </c>
      <c r="T851" s="3">
        <v>3054</v>
      </c>
      <c r="U851" s="3">
        <v>19</v>
      </c>
      <c r="V851" s="3"/>
    </row>
    <row r="852" spans="1:22" x14ac:dyDescent="0.35">
      <c r="A852" s="2" t="s">
        <v>2519</v>
      </c>
      <c r="B852" s="2" t="s">
        <v>2520</v>
      </c>
      <c r="C852" s="2" t="s">
        <v>1298</v>
      </c>
      <c r="D852" s="2" t="s">
        <v>2521</v>
      </c>
      <c r="E852" s="2" t="s">
        <v>48</v>
      </c>
      <c r="F852" s="2" t="s">
        <v>270</v>
      </c>
      <c r="G852" s="2" t="s">
        <v>189</v>
      </c>
      <c r="H852" s="2" t="s">
        <v>369</v>
      </c>
      <c r="I852" s="2" t="s">
        <v>1712</v>
      </c>
      <c r="J852" s="2">
        <v>380</v>
      </c>
      <c r="K852" s="2">
        <v>896.11</v>
      </c>
      <c r="L852" s="2">
        <v>1025.3</v>
      </c>
      <c r="M852" s="2">
        <v>389614</v>
      </c>
      <c r="N852" s="2">
        <v>340521.8</v>
      </c>
      <c r="O852" s="2">
        <v>49092.2</v>
      </c>
      <c r="P852" s="2" t="s">
        <v>31</v>
      </c>
      <c r="Q852" s="2" t="s">
        <v>32</v>
      </c>
      <c r="R852" s="2">
        <v>8</v>
      </c>
      <c r="S852" s="2" t="s">
        <v>112</v>
      </c>
      <c r="T852" s="2">
        <v>1964</v>
      </c>
      <c r="U852" s="2">
        <v>17</v>
      </c>
      <c r="V852" s="2"/>
    </row>
    <row r="853" spans="1:22" x14ac:dyDescent="0.35">
      <c r="A853" s="3" t="s">
        <v>2522</v>
      </c>
      <c r="B853" s="3" t="s">
        <v>892</v>
      </c>
      <c r="C853" s="3" t="s">
        <v>1093</v>
      </c>
      <c r="D853" s="3" t="s">
        <v>2523</v>
      </c>
      <c r="E853" s="3" t="s">
        <v>58</v>
      </c>
      <c r="F853" s="3" t="s">
        <v>417</v>
      </c>
      <c r="G853" s="3" t="s">
        <v>129</v>
      </c>
      <c r="H853" s="3" t="s">
        <v>704</v>
      </c>
      <c r="I853" s="3" t="s">
        <v>293</v>
      </c>
      <c r="J853" s="3">
        <v>708</v>
      </c>
      <c r="K853" s="3">
        <v>508</v>
      </c>
      <c r="L853" s="3">
        <v>732.51</v>
      </c>
      <c r="M853" s="3">
        <v>518617.08</v>
      </c>
      <c r="N853" s="3">
        <v>359664</v>
      </c>
      <c r="O853" s="3">
        <v>158953.07999999999</v>
      </c>
      <c r="P853" s="3" t="s">
        <v>52</v>
      </c>
      <c r="Q853" s="3" t="s">
        <v>63</v>
      </c>
      <c r="R853" s="3">
        <v>5</v>
      </c>
      <c r="S853" s="3" t="s">
        <v>53</v>
      </c>
      <c r="T853" s="3">
        <v>1787</v>
      </c>
      <c r="U853" s="3">
        <v>5</v>
      </c>
      <c r="V853" s="3"/>
    </row>
    <row r="854" spans="1:22" x14ac:dyDescent="0.35">
      <c r="A854" s="2" t="s">
        <v>2524</v>
      </c>
      <c r="B854" s="2" t="s">
        <v>513</v>
      </c>
      <c r="C854" s="2" t="s">
        <v>719</v>
      </c>
      <c r="D854" s="2" t="s">
        <v>2525</v>
      </c>
      <c r="E854" s="2" t="s">
        <v>100</v>
      </c>
      <c r="F854" s="2" t="s">
        <v>238</v>
      </c>
      <c r="G854" s="2" t="s">
        <v>78</v>
      </c>
      <c r="H854" s="2" t="s">
        <v>79</v>
      </c>
      <c r="I854" s="2" t="s">
        <v>293</v>
      </c>
      <c r="J854" s="2">
        <v>146</v>
      </c>
      <c r="K854" s="2">
        <v>387.99</v>
      </c>
      <c r="L854" s="2">
        <v>512.42999999999995</v>
      </c>
      <c r="M854" s="2">
        <v>74814.78</v>
      </c>
      <c r="N854" s="2">
        <v>56646.54</v>
      </c>
      <c r="O854" s="2">
        <v>18168.240000000002</v>
      </c>
      <c r="P854" s="2" t="s">
        <v>42</v>
      </c>
      <c r="Q854" s="2" t="s">
        <v>32</v>
      </c>
      <c r="R854" s="2">
        <v>13</v>
      </c>
      <c r="S854" s="2" t="s">
        <v>33</v>
      </c>
      <c r="T854" s="2">
        <v>1322</v>
      </c>
      <c r="U854" s="2">
        <v>3</v>
      </c>
      <c r="V854" s="2"/>
    </row>
    <row r="855" spans="1:22" x14ac:dyDescent="0.35">
      <c r="A855" s="3" t="s">
        <v>2526</v>
      </c>
      <c r="B855" s="3" t="s">
        <v>103</v>
      </c>
      <c r="C855" s="3" t="s">
        <v>723</v>
      </c>
      <c r="D855" s="3" t="s">
        <v>2527</v>
      </c>
      <c r="E855" s="3" t="s">
        <v>2528</v>
      </c>
      <c r="F855" s="3" t="s">
        <v>101</v>
      </c>
      <c r="G855" s="3" t="s">
        <v>70</v>
      </c>
      <c r="H855" s="3" t="s">
        <v>822</v>
      </c>
      <c r="I855" s="3" t="s">
        <v>153</v>
      </c>
      <c r="J855" s="3">
        <v>198</v>
      </c>
      <c r="K855" s="3">
        <v>409.43</v>
      </c>
      <c r="L855" s="3">
        <v>498.02</v>
      </c>
      <c r="M855" s="3">
        <v>98607.96</v>
      </c>
      <c r="N855" s="3">
        <v>81067.14</v>
      </c>
      <c r="O855" s="3">
        <v>17540.82</v>
      </c>
      <c r="P855" s="3" t="s">
        <v>42</v>
      </c>
      <c r="Q855" s="3" t="s">
        <v>63</v>
      </c>
      <c r="R855" s="3">
        <v>4</v>
      </c>
      <c r="S855" s="3" t="s">
        <v>86</v>
      </c>
      <c r="T855" s="3">
        <v>3903</v>
      </c>
      <c r="U855" s="3">
        <v>3</v>
      </c>
      <c r="V855" s="3"/>
    </row>
    <row r="856" spans="1:22" x14ac:dyDescent="0.35">
      <c r="A856" s="2" t="s">
        <v>2529</v>
      </c>
      <c r="B856" s="2" t="s">
        <v>1097</v>
      </c>
      <c r="C856" s="2" t="s">
        <v>198</v>
      </c>
      <c r="D856" s="2" t="s">
        <v>2530</v>
      </c>
      <c r="E856" s="2" t="s">
        <v>26</v>
      </c>
      <c r="F856" s="2" t="s">
        <v>228</v>
      </c>
      <c r="G856" s="2" t="s">
        <v>129</v>
      </c>
      <c r="H856" s="2" t="s">
        <v>811</v>
      </c>
      <c r="I856" s="2" t="s">
        <v>191</v>
      </c>
      <c r="J856" s="2">
        <v>562</v>
      </c>
      <c r="K856" s="2">
        <v>1004.92</v>
      </c>
      <c r="L856" s="2">
        <v>1249.82</v>
      </c>
      <c r="M856" s="2">
        <v>702398.84</v>
      </c>
      <c r="N856" s="2">
        <v>564765.04</v>
      </c>
      <c r="O856" s="2">
        <v>137633.79999999999</v>
      </c>
      <c r="P856" s="2" t="s">
        <v>31</v>
      </c>
      <c r="Q856" s="2" t="s">
        <v>32</v>
      </c>
      <c r="R856" s="2">
        <v>14</v>
      </c>
      <c r="S856" s="2" t="s">
        <v>86</v>
      </c>
      <c r="T856" s="2">
        <v>1587</v>
      </c>
      <c r="U856" s="2">
        <v>3</v>
      </c>
      <c r="V856" s="2"/>
    </row>
    <row r="857" spans="1:22" x14ac:dyDescent="0.35">
      <c r="A857" s="3" t="s">
        <v>2531</v>
      </c>
      <c r="B857" s="3" t="s">
        <v>1034</v>
      </c>
      <c r="C857" s="3" t="s">
        <v>581</v>
      </c>
      <c r="D857" s="3" t="s">
        <v>2532</v>
      </c>
      <c r="E857" s="3" t="s">
        <v>100</v>
      </c>
      <c r="F857" s="3" t="s">
        <v>330</v>
      </c>
      <c r="G857" s="3" t="s">
        <v>60</v>
      </c>
      <c r="H857" s="3" t="s">
        <v>780</v>
      </c>
      <c r="I857" s="3" t="s">
        <v>191</v>
      </c>
      <c r="J857" s="3">
        <v>365</v>
      </c>
      <c r="K857" s="3">
        <v>1174.1600000000001</v>
      </c>
      <c r="L857" s="3">
        <v>1850.33</v>
      </c>
      <c r="M857" s="3">
        <v>675370.45</v>
      </c>
      <c r="N857" s="3">
        <v>428568.4</v>
      </c>
      <c r="O857" s="3">
        <v>246802.05</v>
      </c>
      <c r="P857" s="3" t="s">
        <v>52</v>
      </c>
      <c r="Q857" s="3" t="s">
        <v>32</v>
      </c>
      <c r="R857" s="3">
        <v>15</v>
      </c>
      <c r="S857" s="3" t="s">
        <v>158</v>
      </c>
      <c r="T857" s="3">
        <v>3081</v>
      </c>
      <c r="U857" s="3">
        <v>8</v>
      </c>
      <c r="V857" s="3"/>
    </row>
    <row r="858" spans="1:22" x14ac:dyDescent="0.35">
      <c r="A858" s="2" t="s">
        <v>2533</v>
      </c>
      <c r="B858" s="2" t="s">
        <v>406</v>
      </c>
      <c r="C858" s="2" t="s">
        <v>1967</v>
      </c>
      <c r="D858" s="2" t="s">
        <v>2534</v>
      </c>
      <c r="E858" s="2" t="s">
        <v>26</v>
      </c>
      <c r="F858" s="2" t="s">
        <v>92</v>
      </c>
      <c r="G858" s="2" t="s">
        <v>129</v>
      </c>
      <c r="H858" s="2" t="s">
        <v>345</v>
      </c>
      <c r="I858" s="2" t="s">
        <v>240</v>
      </c>
      <c r="J858" s="2">
        <v>-20</v>
      </c>
      <c r="K858" s="2">
        <v>342.14</v>
      </c>
      <c r="L858" s="2">
        <v>494.89</v>
      </c>
      <c r="M858" s="2">
        <v>382055.08</v>
      </c>
      <c r="N858" s="2">
        <v>264132.08</v>
      </c>
      <c r="O858" s="2">
        <v>117923</v>
      </c>
      <c r="P858" s="2" t="s">
        <v>95</v>
      </c>
      <c r="Q858" s="2" t="s">
        <v>32</v>
      </c>
      <c r="R858" s="2">
        <v>6</v>
      </c>
      <c r="S858" s="2" t="s">
        <v>86</v>
      </c>
      <c r="T858" s="2">
        <v>1372</v>
      </c>
      <c r="U858" s="2">
        <v>9</v>
      </c>
      <c r="V858" s="2"/>
    </row>
    <row r="859" spans="1:22" x14ac:dyDescent="0.35">
      <c r="A859" s="3" t="s">
        <v>2212</v>
      </c>
      <c r="B859" s="3" t="s">
        <v>614</v>
      </c>
      <c r="C859" s="3" t="s">
        <v>1046</v>
      </c>
      <c r="D859" s="3" t="s">
        <v>2535</v>
      </c>
      <c r="E859" s="3" t="s">
        <v>100</v>
      </c>
      <c r="F859" s="3" t="s">
        <v>538</v>
      </c>
      <c r="G859" s="3" t="s">
        <v>28</v>
      </c>
      <c r="H859" s="3" t="s">
        <v>29</v>
      </c>
      <c r="I859" s="3" t="s">
        <v>62</v>
      </c>
      <c r="J859" s="3">
        <v>756</v>
      </c>
      <c r="K859" s="3">
        <v>108.87</v>
      </c>
      <c r="L859" s="3">
        <v>146.69999999999999</v>
      </c>
      <c r="M859" s="3">
        <v>110905.2</v>
      </c>
      <c r="N859" s="3">
        <v>82305.72</v>
      </c>
      <c r="O859" s="3">
        <v>28599.48</v>
      </c>
      <c r="P859" s="3" t="s">
        <v>31</v>
      </c>
      <c r="Q859" s="3" t="s">
        <v>63</v>
      </c>
      <c r="R859" s="3">
        <v>-1</v>
      </c>
      <c r="S859" s="3" t="s">
        <v>86</v>
      </c>
      <c r="T859" s="3">
        <v>503</v>
      </c>
      <c r="U859" s="4"/>
      <c r="V859" s="3"/>
    </row>
    <row r="860" spans="1:22" x14ac:dyDescent="0.35">
      <c r="A860" s="2" t="s">
        <v>2536</v>
      </c>
      <c r="B860" s="2" t="s">
        <v>313</v>
      </c>
      <c r="C860" s="2" t="s">
        <v>1186</v>
      </c>
      <c r="D860" s="2" t="s">
        <v>2537</v>
      </c>
      <c r="E860" s="2" t="s">
        <v>58</v>
      </c>
      <c r="F860" s="2" t="s">
        <v>122</v>
      </c>
      <c r="G860" s="2" t="s">
        <v>217</v>
      </c>
      <c r="H860" s="2" t="s">
        <v>524</v>
      </c>
      <c r="I860" s="2" t="s">
        <v>124</v>
      </c>
      <c r="J860" s="2">
        <v>212</v>
      </c>
      <c r="K860" s="4"/>
      <c r="L860" s="2">
        <v>1211.4100000000001</v>
      </c>
      <c r="M860" s="2">
        <v>256818.92</v>
      </c>
      <c r="N860" s="2">
        <v>162951.67999999999</v>
      </c>
      <c r="O860" s="2">
        <v>93867.24</v>
      </c>
      <c r="P860" s="2" t="s">
        <v>42</v>
      </c>
      <c r="Q860" s="2" t="s">
        <v>32</v>
      </c>
      <c r="R860" s="2">
        <v>6</v>
      </c>
      <c r="S860" s="2" t="s">
        <v>53</v>
      </c>
      <c r="T860" s="2">
        <v>3310</v>
      </c>
      <c r="U860" s="2">
        <v>1</v>
      </c>
      <c r="V860" s="2"/>
    </row>
    <row r="861" spans="1:22" x14ac:dyDescent="0.35">
      <c r="A861" s="3" t="s">
        <v>2538</v>
      </c>
      <c r="B861" s="3" t="s">
        <v>741</v>
      </c>
      <c r="C861" s="3" t="s">
        <v>2539</v>
      </c>
      <c r="D861" s="3" t="s">
        <v>2540</v>
      </c>
      <c r="E861" s="3" t="s">
        <v>48</v>
      </c>
      <c r="F861" s="3" t="s">
        <v>270</v>
      </c>
      <c r="G861" s="3" t="s">
        <v>50</v>
      </c>
      <c r="H861" s="3" t="s">
        <v>135</v>
      </c>
      <c r="I861" s="3" t="s">
        <v>191</v>
      </c>
      <c r="J861" s="3">
        <v>749</v>
      </c>
      <c r="K861" s="3">
        <v>509.88</v>
      </c>
      <c r="L861" s="3">
        <v>735.05</v>
      </c>
      <c r="M861" s="3">
        <v>550552.44999999995</v>
      </c>
      <c r="N861" s="3">
        <v>381900.12</v>
      </c>
      <c r="O861" s="3">
        <v>168652.33</v>
      </c>
      <c r="P861" s="3" t="s">
        <v>52</v>
      </c>
      <c r="Q861" s="3" t="s">
        <v>32</v>
      </c>
      <c r="R861" s="3">
        <v>9</v>
      </c>
      <c r="S861" s="3" t="s">
        <v>158</v>
      </c>
      <c r="T861" s="3">
        <v>1099</v>
      </c>
      <c r="U861" s="3">
        <v>35</v>
      </c>
      <c r="V861" s="3"/>
    </row>
    <row r="862" spans="1:22" x14ac:dyDescent="0.35">
      <c r="A862" s="2" t="s">
        <v>2541</v>
      </c>
      <c r="B862" s="2" t="s">
        <v>657</v>
      </c>
      <c r="C862" s="2" t="s">
        <v>712</v>
      </c>
      <c r="D862" s="2" t="s">
        <v>2542</v>
      </c>
      <c r="E862" s="2" t="s">
        <v>48</v>
      </c>
      <c r="F862" s="2" t="s">
        <v>49</v>
      </c>
      <c r="G862" s="2" t="s">
        <v>39</v>
      </c>
      <c r="H862" s="2" t="s">
        <v>412</v>
      </c>
      <c r="I862" s="2" t="s">
        <v>141</v>
      </c>
      <c r="J862" s="2">
        <v>104</v>
      </c>
      <c r="K862" s="2">
        <v>50.94</v>
      </c>
      <c r="L862" s="2">
        <v>66.03</v>
      </c>
      <c r="M862" s="2">
        <v>6867.12</v>
      </c>
      <c r="N862" s="2">
        <v>5297.76</v>
      </c>
      <c r="O862" s="2">
        <v>1569.36</v>
      </c>
      <c r="P862" s="2" t="s">
        <v>31</v>
      </c>
      <c r="Q862" s="2" t="s">
        <v>32</v>
      </c>
      <c r="R862" s="2">
        <v>14</v>
      </c>
      <c r="S862" s="2" t="s">
        <v>43</v>
      </c>
      <c r="T862" s="2">
        <v>412</v>
      </c>
      <c r="U862" s="2">
        <v>1</v>
      </c>
      <c r="V862" s="2"/>
    </row>
    <row r="863" spans="1:22" x14ac:dyDescent="0.35">
      <c r="A863" s="3" t="s">
        <v>2543</v>
      </c>
      <c r="B863" s="3" t="s">
        <v>1438</v>
      </c>
      <c r="C863" s="3" t="s">
        <v>1253</v>
      </c>
      <c r="D863" s="3" t="s">
        <v>2544</v>
      </c>
      <c r="E863" s="3" t="s">
        <v>58</v>
      </c>
      <c r="F863" s="3" t="s">
        <v>259</v>
      </c>
      <c r="G863" s="3" t="s">
        <v>70</v>
      </c>
      <c r="H863" s="3" t="s">
        <v>71</v>
      </c>
      <c r="I863" s="3" t="s">
        <v>124</v>
      </c>
      <c r="J863" s="3">
        <v>707</v>
      </c>
      <c r="K863" s="3">
        <v>37.42</v>
      </c>
      <c r="L863" s="3">
        <v>51.08</v>
      </c>
      <c r="M863" s="3">
        <v>36113.56</v>
      </c>
      <c r="N863" s="3">
        <v>26455.94</v>
      </c>
      <c r="O863" s="3">
        <v>9657.6200000000008</v>
      </c>
      <c r="P863" s="3" t="s">
        <v>31</v>
      </c>
      <c r="Q863" s="3" t="s">
        <v>63</v>
      </c>
      <c r="R863" s="3">
        <v>3</v>
      </c>
      <c r="S863" s="3" t="s">
        <v>158</v>
      </c>
      <c r="T863" s="3">
        <v>2096</v>
      </c>
      <c r="U863" s="3">
        <v>5</v>
      </c>
      <c r="V863" s="3"/>
    </row>
    <row r="864" spans="1:22" x14ac:dyDescent="0.35">
      <c r="A864" s="2" t="s">
        <v>2545</v>
      </c>
      <c r="B864" s="2" t="s">
        <v>35</v>
      </c>
      <c r="C864" s="2" t="s">
        <v>536</v>
      </c>
      <c r="D864" s="2" t="s">
        <v>2546</v>
      </c>
      <c r="E864" s="2" t="s">
        <v>100</v>
      </c>
      <c r="F864" s="2" t="s">
        <v>106</v>
      </c>
      <c r="G864" s="2" t="s">
        <v>28</v>
      </c>
      <c r="H864" s="2" t="s">
        <v>579</v>
      </c>
      <c r="I864" s="2" t="s">
        <v>240</v>
      </c>
      <c r="J864" s="2">
        <v>363</v>
      </c>
      <c r="K864" s="2">
        <v>820.57</v>
      </c>
      <c r="L864" s="2">
        <v>1127.28</v>
      </c>
      <c r="M864" s="2">
        <v>409202.64</v>
      </c>
      <c r="N864" s="2">
        <v>297866.90999999997</v>
      </c>
      <c r="O864" s="2">
        <v>111335.73</v>
      </c>
      <c r="P864" s="2" t="s">
        <v>42</v>
      </c>
      <c r="Q864" s="2" t="s">
        <v>32</v>
      </c>
      <c r="R864" s="2">
        <v>15</v>
      </c>
      <c r="S864" s="2" t="s">
        <v>33</v>
      </c>
      <c r="T864" s="2">
        <v>36</v>
      </c>
      <c r="U864" s="2">
        <v>6</v>
      </c>
      <c r="V864" s="2"/>
    </row>
    <row r="865" spans="1:22" x14ac:dyDescent="0.35">
      <c r="A865" s="2" t="s">
        <v>2547</v>
      </c>
      <c r="B865" s="2" t="s">
        <v>243</v>
      </c>
      <c r="C865" s="2" t="s">
        <v>314</v>
      </c>
      <c r="D865" s="2" t="s">
        <v>2548</v>
      </c>
      <c r="E865" s="2" t="s">
        <v>58</v>
      </c>
      <c r="F865" s="2" t="s">
        <v>59</v>
      </c>
      <c r="G865" s="2" t="s">
        <v>60</v>
      </c>
      <c r="H865" s="2" t="s">
        <v>400</v>
      </c>
      <c r="I865" s="2" t="s">
        <v>191</v>
      </c>
      <c r="J865" s="2">
        <v>224</v>
      </c>
      <c r="K865" s="2">
        <v>13.75</v>
      </c>
      <c r="L865" s="2">
        <v>15.87</v>
      </c>
      <c r="M865" s="2">
        <v>3554.88</v>
      </c>
      <c r="N865" s="2">
        <v>3080</v>
      </c>
      <c r="O865" s="2">
        <v>474.88</v>
      </c>
      <c r="P865" s="2" t="s">
        <v>52</v>
      </c>
      <c r="Q865" s="2" t="s">
        <v>32</v>
      </c>
      <c r="R865" s="2">
        <v>11</v>
      </c>
      <c r="S865" s="2" t="s">
        <v>86</v>
      </c>
      <c r="T865" s="2">
        <v>1358</v>
      </c>
      <c r="U865" s="2">
        <v>1</v>
      </c>
      <c r="V865" s="2"/>
    </row>
    <row r="866" spans="1:22" x14ac:dyDescent="0.35">
      <c r="A866" s="3" t="s">
        <v>2549</v>
      </c>
      <c r="B866" s="3" t="s">
        <v>1698</v>
      </c>
      <c r="C866" s="3" t="s">
        <v>2130</v>
      </c>
      <c r="D866" s="3" t="s">
        <v>2550</v>
      </c>
      <c r="E866" s="3" t="s">
        <v>26</v>
      </c>
      <c r="F866" s="3" t="s">
        <v>1576</v>
      </c>
      <c r="G866" s="3" t="s">
        <v>39</v>
      </c>
      <c r="H866" s="3" t="s">
        <v>477</v>
      </c>
      <c r="I866" s="3" t="s">
        <v>30</v>
      </c>
      <c r="J866" s="3">
        <v>375</v>
      </c>
      <c r="K866" s="3">
        <v>613.09</v>
      </c>
      <c r="L866" s="3">
        <v>900.05</v>
      </c>
      <c r="M866" s="3">
        <v>337518.75</v>
      </c>
      <c r="N866" s="3">
        <v>229908.75</v>
      </c>
      <c r="O866" s="3">
        <v>107610</v>
      </c>
      <c r="P866" s="3" t="s">
        <v>31</v>
      </c>
      <c r="Q866" s="3" t="s">
        <v>63</v>
      </c>
      <c r="R866" s="3">
        <v>1</v>
      </c>
      <c r="S866" s="3" t="s">
        <v>86</v>
      </c>
      <c r="T866" s="3">
        <v>1054</v>
      </c>
      <c r="U866" s="3">
        <v>2</v>
      </c>
      <c r="V866" s="3"/>
    </row>
    <row r="867" spans="1:22" x14ac:dyDescent="0.35">
      <c r="A867" s="2" t="s">
        <v>2551</v>
      </c>
      <c r="B867" s="2" t="s">
        <v>712</v>
      </c>
      <c r="C867" s="2" t="s">
        <v>764</v>
      </c>
      <c r="D867" s="2" t="s">
        <v>2552</v>
      </c>
      <c r="E867" s="2" t="s">
        <v>26</v>
      </c>
      <c r="F867" s="2" t="s">
        <v>27</v>
      </c>
      <c r="G867" s="2" t="s">
        <v>189</v>
      </c>
      <c r="H867" s="2" t="s">
        <v>190</v>
      </c>
      <c r="I867" s="2" t="s">
        <v>293</v>
      </c>
      <c r="J867" s="2">
        <v>252</v>
      </c>
      <c r="K867" s="2">
        <v>610.70000000000005</v>
      </c>
      <c r="L867" s="2">
        <v>756.4</v>
      </c>
      <c r="M867" s="2">
        <v>190612.8</v>
      </c>
      <c r="N867" s="2">
        <v>153896.4</v>
      </c>
      <c r="O867" s="2">
        <v>36716.400000000001</v>
      </c>
      <c r="P867" s="2" t="s">
        <v>52</v>
      </c>
      <c r="Q867" s="2" t="s">
        <v>32</v>
      </c>
      <c r="R867" s="2">
        <v>9</v>
      </c>
      <c r="S867" s="2" t="s">
        <v>33</v>
      </c>
      <c r="T867" s="2">
        <v>4497</v>
      </c>
      <c r="U867" s="2">
        <v>4</v>
      </c>
      <c r="V867" s="2"/>
    </row>
    <row r="868" spans="1:22" x14ac:dyDescent="0.35">
      <c r="A868" s="3" t="s">
        <v>2553</v>
      </c>
      <c r="B868" s="3" t="s">
        <v>2122</v>
      </c>
      <c r="C868" s="3" t="s">
        <v>2554</v>
      </c>
      <c r="D868" s="3" t="s">
        <v>2555</v>
      </c>
      <c r="E868" s="3" t="s">
        <v>58</v>
      </c>
      <c r="F868" s="3" t="s">
        <v>59</v>
      </c>
      <c r="G868" s="3" t="s">
        <v>28</v>
      </c>
      <c r="H868" s="3" t="s">
        <v>507</v>
      </c>
      <c r="I868" s="3" t="s">
        <v>293</v>
      </c>
      <c r="J868" s="3">
        <v>715</v>
      </c>
      <c r="K868" s="3">
        <v>1196.1500000000001</v>
      </c>
      <c r="L868" s="3">
        <v>1770.26</v>
      </c>
      <c r="M868" s="3">
        <v>1265735.8999999999</v>
      </c>
      <c r="N868" s="3">
        <v>855247.25</v>
      </c>
      <c r="O868" s="3">
        <v>410488.65</v>
      </c>
      <c r="P868" s="3" t="s">
        <v>52</v>
      </c>
      <c r="Q868" s="3" t="s">
        <v>32</v>
      </c>
      <c r="R868" s="3">
        <v>15</v>
      </c>
      <c r="S868" s="3" t="s">
        <v>53</v>
      </c>
      <c r="T868" s="3">
        <v>1782</v>
      </c>
      <c r="U868" s="3">
        <v>28</v>
      </c>
      <c r="V868" s="3"/>
    </row>
    <row r="869" spans="1:22" x14ac:dyDescent="0.35">
      <c r="A869" s="2" t="s">
        <v>2556</v>
      </c>
      <c r="B869" s="2" t="s">
        <v>407</v>
      </c>
      <c r="C869" s="2" t="s">
        <v>1249</v>
      </c>
      <c r="D869" s="2" t="s">
        <v>2557</v>
      </c>
      <c r="E869" s="2" t="s">
        <v>100</v>
      </c>
      <c r="F869" s="2" t="s">
        <v>101</v>
      </c>
      <c r="G869" s="2" t="s">
        <v>70</v>
      </c>
      <c r="H869" s="2" t="s">
        <v>822</v>
      </c>
      <c r="I869" s="2" t="s">
        <v>85</v>
      </c>
      <c r="J869" s="2">
        <v>425</v>
      </c>
      <c r="K869" s="2">
        <v>1010.96</v>
      </c>
      <c r="L869" s="2">
        <v>1200.78</v>
      </c>
      <c r="M869" s="2">
        <v>510331.5</v>
      </c>
      <c r="N869" s="2">
        <v>429658</v>
      </c>
      <c r="O869" s="2">
        <v>80673.5</v>
      </c>
      <c r="P869" s="2" t="s">
        <v>42</v>
      </c>
      <c r="Q869" s="2" t="s">
        <v>32</v>
      </c>
      <c r="R869" s="2">
        <v>13</v>
      </c>
      <c r="S869" s="2" t="s">
        <v>158</v>
      </c>
      <c r="T869" s="2">
        <v>2310</v>
      </c>
      <c r="U869" s="2">
        <v>16</v>
      </c>
      <c r="V869" s="2"/>
    </row>
    <row r="870" spans="1:22" x14ac:dyDescent="0.35">
      <c r="A870" s="3" t="s">
        <v>2558</v>
      </c>
      <c r="B870" s="3" t="s">
        <v>748</v>
      </c>
      <c r="C870" s="3" t="s">
        <v>926</v>
      </c>
      <c r="D870" s="3" t="s">
        <v>2559</v>
      </c>
      <c r="E870" s="3" t="s">
        <v>48</v>
      </c>
      <c r="F870" s="3" t="s">
        <v>49</v>
      </c>
      <c r="G870" s="3" t="s">
        <v>39</v>
      </c>
      <c r="H870" s="3" t="s">
        <v>412</v>
      </c>
      <c r="I870" s="3" t="s">
        <v>118</v>
      </c>
      <c r="J870" s="3">
        <v>448</v>
      </c>
      <c r="K870" s="3">
        <v>437.69</v>
      </c>
      <c r="L870" s="3">
        <v>712.94</v>
      </c>
      <c r="M870" s="3">
        <v>319397.12</v>
      </c>
      <c r="N870" s="3">
        <v>196085.12</v>
      </c>
      <c r="O870" s="3">
        <v>123312</v>
      </c>
      <c r="P870" s="3" t="s">
        <v>52</v>
      </c>
      <c r="Q870" s="3" t="s">
        <v>32</v>
      </c>
      <c r="R870" s="3">
        <v>10</v>
      </c>
      <c r="S870" s="3" t="s">
        <v>158</v>
      </c>
      <c r="T870" s="3">
        <v>4611</v>
      </c>
      <c r="U870" s="3">
        <v>16</v>
      </c>
      <c r="V870" s="3"/>
    </row>
    <row r="871" spans="1:22" x14ac:dyDescent="0.35">
      <c r="A871" s="2" t="s">
        <v>2560</v>
      </c>
      <c r="B871" s="2" t="s">
        <v>1152</v>
      </c>
      <c r="C871" s="2" t="s">
        <v>2130</v>
      </c>
      <c r="D871" s="2" t="s">
        <v>2561</v>
      </c>
      <c r="E871" s="2" t="s">
        <v>26</v>
      </c>
      <c r="F871" s="2" t="s">
        <v>77</v>
      </c>
      <c r="G871" s="2" t="s">
        <v>78</v>
      </c>
      <c r="H871" s="2" t="s">
        <v>178</v>
      </c>
      <c r="I871" s="2" t="s">
        <v>124</v>
      </c>
      <c r="J871" s="2">
        <v>131</v>
      </c>
      <c r="K871" s="2">
        <v>177.13</v>
      </c>
      <c r="L871" s="2">
        <v>259.97000000000003</v>
      </c>
      <c r="M871" s="2">
        <v>34056.07</v>
      </c>
      <c r="N871" s="2">
        <v>23204.03</v>
      </c>
      <c r="O871" s="2">
        <v>10852.04</v>
      </c>
      <c r="P871" s="2" t="s">
        <v>31</v>
      </c>
      <c r="Q871" s="2" t="s">
        <v>63</v>
      </c>
      <c r="R871" s="2">
        <v>2</v>
      </c>
      <c r="S871" s="2" t="s">
        <v>53</v>
      </c>
      <c r="T871" s="2">
        <v>1792</v>
      </c>
      <c r="U871" s="2">
        <v>6</v>
      </c>
      <c r="V871" s="2"/>
    </row>
    <row r="872" spans="1:22" x14ac:dyDescent="0.35">
      <c r="A872" s="3" t="s">
        <v>2562</v>
      </c>
      <c r="B872" s="3" t="s">
        <v>1698</v>
      </c>
      <c r="C872" s="3" t="s">
        <v>166</v>
      </c>
      <c r="D872" s="3" t="s">
        <v>2563</v>
      </c>
      <c r="E872" s="3" t="s">
        <v>100</v>
      </c>
      <c r="F872" s="3" t="s">
        <v>238</v>
      </c>
      <c r="G872" s="3" t="s">
        <v>60</v>
      </c>
      <c r="H872" s="3" t="s">
        <v>400</v>
      </c>
      <c r="I872" s="3" t="s">
        <v>118</v>
      </c>
      <c r="J872" s="3">
        <v>50</v>
      </c>
      <c r="K872" s="3">
        <v>131.57</v>
      </c>
      <c r="L872" s="3">
        <v>165.55</v>
      </c>
      <c r="M872" s="3">
        <v>8277.5</v>
      </c>
      <c r="N872" s="3">
        <v>6578.5</v>
      </c>
      <c r="O872" s="3">
        <v>1699</v>
      </c>
      <c r="P872" s="3" t="s">
        <v>95</v>
      </c>
      <c r="Q872" s="3" t="s">
        <v>63</v>
      </c>
      <c r="R872" s="3">
        <v>5</v>
      </c>
      <c r="S872" s="3" t="s">
        <v>86</v>
      </c>
      <c r="T872" s="3">
        <v>2923</v>
      </c>
      <c r="U872" s="3">
        <v>0</v>
      </c>
      <c r="V872" s="3"/>
    </row>
    <row r="873" spans="1:22" x14ac:dyDescent="0.35">
      <c r="A873" s="2" t="s">
        <v>2564</v>
      </c>
      <c r="B873" s="2" t="s">
        <v>1737</v>
      </c>
      <c r="C873" s="2" t="s">
        <v>2416</v>
      </c>
      <c r="D873" s="2" t="s">
        <v>2565</v>
      </c>
      <c r="E873" s="2" t="s">
        <v>26</v>
      </c>
      <c r="F873" s="2" t="s">
        <v>77</v>
      </c>
      <c r="G873" s="2" t="s">
        <v>189</v>
      </c>
      <c r="H873" s="2" t="s">
        <v>437</v>
      </c>
      <c r="I873" s="2" t="s">
        <v>72</v>
      </c>
      <c r="J873" s="2">
        <v>39</v>
      </c>
      <c r="K873" s="2">
        <v>77.34</v>
      </c>
      <c r="L873" s="2">
        <v>87.1</v>
      </c>
      <c r="M873" s="2">
        <v>3396.9</v>
      </c>
      <c r="N873" s="2">
        <v>3016.26</v>
      </c>
      <c r="O873" s="2">
        <v>380.64</v>
      </c>
      <c r="P873" s="2" t="s">
        <v>95</v>
      </c>
      <c r="Q873" s="2" t="s">
        <v>63</v>
      </c>
      <c r="R873" s="2">
        <v>1</v>
      </c>
      <c r="S873" s="2" t="s">
        <v>86</v>
      </c>
      <c r="T873" s="2">
        <v>2808</v>
      </c>
      <c r="U873" s="2">
        <v>1</v>
      </c>
      <c r="V873" s="2"/>
    </row>
    <row r="874" spans="1:22" x14ac:dyDescent="0.35">
      <c r="A874" s="3" t="s">
        <v>2566</v>
      </c>
      <c r="B874" s="3" t="s">
        <v>1007</v>
      </c>
      <c r="C874" s="3" t="s">
        <v>1133</v>
      </c>
      <c r="D874" s="3" t="s">
        <v>2567</v>
      </c>
      <c r="E874" s="3" t="s">
        <v>100</v>
      </c>
      <c r="F874" s="3" t="s">
        <v>101</v>
      </c>
      <c r="G874" s="3" t="s">
        <v>39</v>
      </c>
      <c r="H874" s="3" t="s">
        <v>664</v>
      </c>
      <c r="I874" s="3" t="s">
        <v>191</v>
      </c>
      <c r="J874" s="3">
        <v>304</v>
      </c>
      <c r="K874" s="3">
        <v>1108.08</v>
      </c>
      <c r="L874" s="3">
        <v>1597.99</v>
      </c>
      <c r="M874" s="3">
        <v>485788.96</v>
      </c>
      <c r="N874" s="3">
        <v>336856.32000000001</v>
      </c>
      <c r="O874" s="3">
        <v>148932.64000000001</v>
      </c>
      <c r="P874" s="3" t="s">
        <v>95</v>
      </c>
      <c r="Q874" s="3" t="s">
        <v>32</v>
      </c>
      <c r="R874" s="3">
        <v>13</v>
      </c>
      <c r="S874" s="3" t="s">
        <v>33</v>
      </c>
      <c r="T874" s="3">
        <v>397</v>
      </c>
      <c r="U874" s="3">
        <v>12</v>
      </c>
      <c r="V874" s="3"/>
    </row>
    <row r="875" spans="1:22" x14ac:dyDescent="0.35">
      <c r="A875" s="2" t="s">
        <v>2568</v>
      </c>
      <c r="B875" s="2" t="s">
        <v>650</v>
      </c>
      <c r="C875" s="2" t="s">
        <v>2569</v>
      </c>
      <c r="D875" s="2" t="s">
        <v>2570</v>
      </c>
      <c r="E875" s="2" t="s">
        <v>58</v>
      </c>
      <c r="F875" s="2" t="s">
        <v>59</v>
      </c>
      <c r="G875" s="2" t="s">
        <v>39</v>
      </c>
      <c r="H875" s="2" t="s">
        <v>354</v>
      </c>
      <c r="I875" s="2" t="s">
        <v>240</v>
      </c>
      <c r="J875" s="2">
        <v>754</v>
      </c>
      <c r="K875" s="2">
        <v>799.87</v>
      </c>
      <c r="L875" s="2">
        <v>1140.33</v>
      </c>
      <c r="M875" s="2">
        <v>859808.82</v>
      </c>
      <c r="N875" s="2">
        <v>603101.98</v>
      </c>
      <c r="O875" s="2">
        <v>256706.84</v>
      </c>
      <c r="P875" s="2" t="s">
        <v>1025</v>
      </c>
      <c r="Q875" s="2" t="s">
        <v>63</v>
      </c>
      <c r="R875" s="2">
        <v>5</v>
      </c>
      <c r="S875" s="2" t="s">
        <v>53</v>
      </c>
      <c r="T875" s="2">
        <v>3862</v>
      </c>
      <c r="U875" s="2">
        <v>5</v>
      </c>
      <c r="V875" s="2"/>
    </row>
    <row r="876" spans="1:22" x14ac:dyDescent="0.35">
      <c r="A876" s="3" t="s">
        <v>2571</v>
      </c>
      <c r="B876" s="3" t="s">
        <v>2500</v>
      </c>
      <c r="C876" s="3" t="s">
        <v>1360</v>
      </c>
      <c r="D876" s="3" t="s">
        <v>2572</v>
      </c>
      <c r="E876" s="3" t="s">
        <v>100</v>
      </c>
      <c r="F876" s="3" t="s">
        <v>538</v>
      </c>
      <c r="G876" s="3" t="s">
        <v>129</v>
      </c>
      <c r="H876" s="3" t="s">
        <v>704</v>
      </c>
      <c r="I876" s="3" t="s">
        <v>293</v>
      </c>
      <c r="J876" s="3">
        <v>644</v>
      </c>
      <c r="K876" s="3">
        <v>840.65</v>
      </c>
      <c r="L876" s="3">
        <v>1054.1500000000001</v>
      </c>
      <c r="M876" s="3">
        <v>678872.6</v>
      </c>
      <c r="N876" s="3">
        <v>541378.6</v>
      </c>
      <c r="O876" s="3">
        <v>137494</v>
      </c>
      <c r="P876" s="3" t="s">
        <v>31</v>
      </c>
      <c r="Q876" s="3" t="s">
        <v>32</v>
      </c>
      <c r="R876" s="3">
        <v>11</v>
      </c>
      <c r="S876" s="3" t="s">
        <v>33</v>
      </c>
      <c r="T876" s="3">
        <v>3582</v>
      </c>
      <c r="U876" s="3">
        <v>32</v>
      </c>
      <c r="V876" s="3"/>
    </row>
    <row r="877" spans="1:22" x14ac:dyDescent="0.35">
      <c r="A877" s="2" t="s">
        <v>2573</v>
      </c>
      <c r="B877" s="2" t="s">
        <v>2041</v>
      </c>
      <c r="C877" s="2" t="s">
        <v>2496</v>
      </c>
      <c r="D877" s="2" t="s">
        <v>2574</v>
      </c>
      <c r="E877" s="2" t="s">
        <v>26</v>
      </c>
      <c r="F877" s="2" t="s">
        <v>77</v>
      </c>
      <c r="G877" s="2" t="s">
        <v>217</v>
      </c>
      <c r="H877" s="2" t="s">
        <v>218</v>
      </c>
      <c r="I877" s="2" t="s">
        <v>153</v>
      </c>
      <c r="J877" s="2">
        <v>158</v>
      </c>
      <c r="K877" s="2">
        <v>410.04</v>
      </c>
      <c r="L877" s="2">
        <v>572.54</v>
      </c>
      <c r="M877" s="2">
        <v>90461.32</v>
      </c>
      <c r="N877" s="2">
        <v>64786.32</v>
      </c>
      <c r="O877" s="2">
        <v>25675</v>
      </c>
      <c r="P877" s="2" t="s">
        <v>52</v>
      </c>
      <c r="Q877" s="2" t="s">
        <v>32</v>
      </c>
      <c r="R877" s="2">
        <v>10</v>
      </c>
      <c r="S877" s="2" t="s">
        <v>158</v>
      </c>
      <c r="T877" s="2">
        <v>3398</v>
      </c>
      <c r="U877" s="2">
        <v>6</v>
      </c>
      <c r="V877" s="2"/>
    </row>
    <row r="878" spans="1:22" x14ac:dyDescent="0.35">
      <c r="A878" s="3" t="s">
        <v>2575</v>
      </c>
      <c r="B878" s="3" t="s">
        <v>716</v>
      </c>
      <c r="C878" s="3" t="s">
        <v>435</v>
      </c>
      <c r="D878" s="3" t="s">
        <v>2576</v>
      </c>
      <c r="E878" s="3" t="s">
        <v>100</v>
      </c>
      <c r="F878" s="3" t="s">
        <v>106</v>
      </c>
      <c r="G878" s="3" t="s">
        <v>93</v>
      </c>
      <c r="H878" s="3" t="s">
        <v>321</v>
      </c>
      <c r="I878" s="3" t="s">
        <v>124</v>
      </c>
      <c r="J878" s="3">
        <v>320</v>
      </c>
      <c r="K878" s="3">
        <v>1108.71</v>
      </c>
      <c r="L878" s="3">
        <v>1581.19</v>
      </c>
      <c r="M878" s="3">
        <v>505980.8</v>
      </c>
      <c r="N878" s="3">
        <v>354787.2</v>
      </c>
      <c r="O878" s="3">
        <v>151193.60000000001</v>
      </c>
      <c r="P878" s="3" t="s">
        <v>52</v>
      </c>
      <c r="Q878" s="3" t="s">
        <v>32</v>
      </c>
      <c r="R878" s="3">
        <v>10</v>
      </c>
      <c r="S878" s="3" t="s">
        <v>112</v>
      </c>
      <c r="T878" s="3">
        <v>3514</v>
      </c>
      <c r="U878" s="4"/>
      <c r="V878" s="3"/>
    </row>
    <row r="879" spans="1:22" x14ac:dyDescent="0.35">
      <c r="A879" s="2" t="s">
        <v>2577</v>
      </c>
      <c r="B879" s="2" t="s">
        <v>2578</v>
      </c>
      <c r="C879" s="2" t="s">
        <v>2579</v>
      </c>
      <c r="D879" s="2" t="s">
        <v>2580</v>
      </c>
      <c r="E879" s="2" t="s">
        <v>58</v>
      </c>
      <c r="F879" s="2" t="s">
        <v>116</v>
      </c>
      <c r="G879" s="2" t="s">
        <v>70</v>
      </c>
      <c r="H879" s="2" t="s">
        <v>623</v>
      </c>
      <c r="I879" s="2" t="s">
        <v>240</v>
      </c>
      <c r="J879" s="2">
        <v>586</v>
      </c>
      <c r="K879" s="2">
        <v>1197.69</v>
      </c>
      <c r="L879" s="2">
        <v>1553.55</v>
      </c>
      <c r="M879" s="2">
        <v>910380.3</v>
      </c>
      <c r="N879" s="2">
        <v>701846.34</v>
      </c>
      <c r="O879" s="2">
        <v>208533.96</v>
      </c>
      <c r="P879" s="2" t="s">
        <v>2581</v>
      </c>
      <c r="Q879" s="2" t="s">
        <v>32</v>
      </c>
      <c r="R879" s="2">
        <v>12</v>
      </c>
      <c r="S879" s="2" t="s">
        <v>33</v>
      </c>
      <c r="T879" s="2">
        <v>2602</v>
      </c>
      <c r="U879" s="2">
        <v>2</v>
      </c>
      <c r="V879" s="2"/>
    </row>
    <row r="880" spans="1:22" x14ac:dyDescent="0.35">
      <c r="A880" s="3" t="s">
        <v>2582</v>
      </c>
      <c r="B880" s="3" t="s">
        <v>2583</v>
      </c>
      <c r="C880" s="3" t="s">
        <v>2584</v>
      </c>
      <c r="D880" s="3" t="s">
        <v>2585</v>
      </c>
      <c r="E880" s="3" t="s">
        <v>100</v>
      </c>
      <c r="F880" s="3" t="s">
        <v>538</v>
      </c>
      <c r="G880" s="3" t="s">
        <v>129</v>
      </c>
      <c r="H880" s="3" t="s">
        <v>811</v>
      </c>
      <c r="I880" s="3" t="s">
        <v>41</v>
      </c>
      <c r="J880" s="3">
        <v>285</v>
      </c>
      <c r="K880" s="3">
        <v>360.2</v>
      </c>
      <c r="L880" s="3">
        <v>512.04999999999995</v>
      </c>
      <c r="M880" s="3">
        <v>145934.25</v>
      </c>
      <c r="N880" s="3">
        <v>102657</v>
      </c>
      <c r="O880" s="3">
        <v>43277.25</v>
      </c>
      <c r="P880" s="3" t="s">
        <v>95</v>
      </c>
      <c r="Q880" s="3" t="s">
        <v>63</v>
      </c>
      <c r="R880" s="3">
        <v>4</v>
      </c>
      <c r="S880" s="3" t="s">
        <v>43</v>
      </c>
      <c r="T880" s="3">
        <v>4588</v>
      </c>
      <c r="U880" s="3">
        <v>8</v>
      </c>
      <c r="V880" s="3"/>
    </row>
    <row r="881" spans="1:22" x14ac:dyDescent="0.35">
      <c r="A881" s="2" t="s">
        <v>2586</v>
      </c>
      <c r="B881" s="2" t="s">
        <v>716</v>
      </c>
      <c r="C881" s="2" t="s">
        <v>395</v>
      </c>
      <c r="D881" s="2" t="s">
        <v>2587</v>
      </c>
      <c r="E881" s="2" t="s">
        <v>100</v>
      </c>
      <c r="F881" s="2" t="s">
        <v>538</v>
      </c>
      <c r="G881" s="2" t="s">
        <v>78</v>
      </c>
      <c r="H881" s="2" t="s">
        <v>79</v>
      </c>
      <c r="I881" s="2" t="s">
        <v>293</v>
      </c>
      <c r="J881" s="2">
        <v>769</v>
      </c>
      <c r="K881" s="2">
        <v>358.87</v>
      </c>
      <c r="L881" s="2">
        <v>406.27</v>
      </c>
      <c r="M881" s="2">
        <v>312421.63</v>
      </c>
      <c r="N881" s="2">
        <v>275971.03000000003</v>
      </c>
      <c r="O881" s="2">
        <v>36450.6</v>
      </c>
      <c r="P881" s="2" t="s">
        <v>42</v>
      </c>
      <c r="Q881" s="2" t="s">
        <v>32</v>
      </c>
      <c r="R881" s="2">
        <v>9</v>
      </c>
      <c r="S881" s="2" t="s">
        <v>86</v>
      </c>
      <c r="T881" s="2">
        <v>1395</v>
      </c>
      <c r="U881" s="2">
        <v>36</v>
      </c>
      <c r="V881" s="2"/>
    </row>
    <row r="882" spans="1:22" x14ac:dyDescent="0.35">
      <c r="A882" s="3" t="s">
        <v>2588</v>
      </c>
      <c r="B882" s="3" t="s">
        <v>386</v>
      </c>
      <c r="C882" s="3" t="s">
        <v>2589</v>
      </c>
      <c r="D882" s="3" t="s">
        <v>2590</v>
      </c>
      <c r="E882" s="3" t="s">
        <v>68</v>
      </c>
      <c r="F882" s="3" t="s">
        <v>163</v>
      </c>
      <c r="G882" s="3" t="s">
        <v>189</v>
      </c>
      <c r="H882" s="3" t="s">
        <v>271</v>
      </c>
      <c r="I882" s="3" t="s">
        <v>118</v>
      </c>
      <c r="J882" s="3">
        <v>455</v>
      </c>
      <c r="K882" s="3">
        <v>1038.26</v>
      </c>
      <c r="L882" s="3">
        <v>1588.06</v>
      </c>
      <c r="M882" s="3">
        <v>722567.3</v>
      </c>
      <c r="N882" s="3">
        <v>472408.3</v>
      </c>
      <c r="O882" s="3">
        <v>250159</v>
      </c>
      <c r="P882" s="3" t="s">
        <v>52</v>
      </c>
      <c r="Q882" s="3" t="s">
        <v>32</v>
      </c>
      <c r="R882" s="3">
        <v>13</v>
      </c>
      <c r="S882" s="3" t="s">
        <v>33</v>
      </c>
      <c r="T882" s="3">
        <v>909</v>
      </c>
      <c r="U882" s="3">
        <v>16</v>
      </c>
      <c r="V882" s="3"/>
    </row>
    <row r="883" spans="1:22" x14ac:dyDescent="0.35">
      <c r="A883" s="2" t="s">
        <v>2591</v>
      </c>
      <c r="B883" s="2" t="s">
        <v>1499</v>
      </c>
      <c r="C883" s="2" t="s">
        <v>1152</v>
      </c>
      <c r="D883" s="2" t="s">
        <v>2592</v>
      </c>
      <c r="E883" s="2" t="s">
        <v>58</v>
      </c>
      <c r="F883" s="2" t="s">
        <v>259</v>
      </c>
      <c r="G883" s="2" t="s">
        <v>50</v>
      </c>
      <c r="H883" s="2" t="s">
        <v>51</v>
      </c>
      <c r="I883" s="2" t="s">
        <v>1686</v>
      </c>
      <c r="J883" s="2">
        <v>70</v>
      </c>
      <c r="K883" s="2">
        <v>500.81</v>
      </c>
      <c r="L883" s="2">
        <v>703.45</v>
      </c>
      <c r="M883" s="2">
        <v>49241.5</v>
      </c>
      <c r="N883" s="2">
        <v>35056.699999999997</v>
      </c>
      <c r="O883" s="2">
        <v>14184.8</v>
      </c>
      <c r="P883" s="2" t="s">
        <v>42</v>
      </c>
      <c r="Q883" s="2" t="s">
        <v>32</v>
      </c>
      <c r="R883" s="2">
        <v>12</v>
      </c>
      <c r="S883" s="2" t="s">
        <v>86</v>
      </c>
      <c r="T883" s="2">
        <v>1815</v>
      </c>
      <c r="U883" s="2">
        <v>2</v>
      </c>
      <c r="V883" s="2"/>
    </row>
    <row r="884" spans="1:22" x14ac:dyDescent="0.35">
      <c r="A884" s="3" t="s">
        <v>2593</v>
      </c>
      <c r="B884" s="3" t="s">
        <v>564</v>
      </c>
      <c r="C884" s="3" t="s">
        <v>176</v>
      </c>
      <c r="D884" s="3" t="s">
        <v>2594</v>
      </c>
      <c r="E884" s="3" t="s">
        <v>26</v>
      </c>
      <c r="F884" s="3" t="s">
        <v>228</v>
      </c>
      <c r="G884" s="3" t="s">
        <v>70</v>
      </c>
      <c r="H884" s="3" t="s">
        <v>84</v>
      </c>
      <c r="I884" s="3" t="s">
        <v>118</v>
      </c>
      <c r="J884" s="3">
        <v>761</v>
      </c>
      <c r="K884" s="3">
        <v>95.07</v>
      </c>
      <c r="L884" s="3">
        <v>121.04</v>
      </c>
      <c r="M884" s="3">
        <v>92111.44</v>
      </c>
      <c r="N884" s="3">
        <v>72348.27</v>
      </c>
      <c r="O884" s="3">
        <v>19763.169999999998</v>
      </c>
      <c r="P884" s="3" t="s">
        <v>42</v>
      </c>
      <c r="Q884" s="3" t="s">
        <v>32</v>
      </c>
      <c r="R884" s="3">
        <v>9</v>
      </c>
      <c r="S884" s="3" t="s">
        <v>112</v>
      </c>
      <c r="T884" s="3">
        <v>424</v>
      </c>
      <c r="U884" s="3">
        <v>25</v>
      </c>
      <c r="V884" s="3"/>
    </row>
    <row r="885" spans="1:22" x14ac:dyDescent="0.35">
      <c r="A885" s="2" t="s">
        <v>2595</v>
      </c>
      <c r="B885" s="2" t="s">
        <v>599</v>
      </c>
      <c r="C885" s="2" t="s">
        <v>379</v>
      </c>
      <c r="D885" s="2" t="s">
        <v>2596</v>
      </c>
      <c r="E885" s="2" t="s">
        <v>26</v>
      </c>
      <c r="F885" s="2" t="s">
        <v>228</v>
      </c>
      <c r="G885" s="2" t="s">
        <v>28</v>
      </c>
      <c r="H885" s="2" t="s">
        <v>714</v>
      </c>
      <c r="I885" s="2" t="s">
        <v>118</v>
      </c>
      <c r="J885" s="2">
        <v>95</v>
      </c>
      <c r="K885" s="2">
        <v>771.97</v>
      </c>
      <c r="L885" s="2">
        <v>1193.8</v>
      </c>
      <c r="M885" s="2">
        <v>113411</v>
      </c>
      <c r="N885" s="2">
        <v>73337.149999999994</v>
      </c>
      <c r="O885" s="2">
        <v>40073.85</v>
      </c>
      <c r="P885" s="2" t="s">
        <v>95</v>
      </c>
      <c r="Q885" s="2" t="s">
        <v>63</v>
      </c>
      <c r="R885" s="2">
        <v>4</v>
      </c>
      <c r="S885" s="2" t="s">
        <v>112</v>
      </c>
      <c r="T885" s="2">
        <v>2452</v>
      </c>
      <c r="U885" s="2">
        <v>1</v>
      </c>
      <c r="V885" s="2"/>
    </row>
    <row r="886" spans="1:22" x14ac:dyDescent="0.35">
      <c r="A886" s="3" t="s">
        <v>2597</v>
      </c>
      <c r="B886" s="3" t="s">
        <v>342</v>
      </c>
      <c r="C886" s="3" t="s">
        <v>133</v>
      </c>
      <c r="D886" s="3" t="s">
        <v>2598</v>
      </c>
      <c r="E886" s="3" t="s">
        <v>2599</v>
      </c>
      <c r="F886" s="3" t="s">
        <v>106</v>
      </c>
      <c r="G886" s="3" t="s">
        <v>78</v>
      </c>
      <c r="H886" s="3" t="s">
        <v>79</v>
      </c>
      <c r="I886" s="3" t="s">
        <v>118</v>
      </c>
      <c r="J886" s="3">
        <v>583</v>
      </c>
      <c r="K886" s="3">
        <v>448.28</v>
      </c>
      <c r="L886" s="3">
        <v>610.13</v>
      </c>
      <c r="M886" s="3">
        <v>355705.79</v>
      </c>
      <c r="N886" s="3">
        <v>261347.24</v>
      </c>
      <c r="O886" s="3">
        <v>94358.55</v>
      </c>
      <c r="P886" s="3" t="s">
        <v>95</v>
      </c>
      <c r="Q886" s="3" t="s">
        <v>32</v>
      </c>
      <c r="R886" s="3">
        <v>14</v>
      </c>
      <c r="S886" s="3" t="s">
        <v>33</v>
      </c>
      <c r="T886" s="3">
        <v>2692</v>
      </c>
      <c r="U886" s="3">
        <v>10</v>
      </c>
      <c r="V886" s="3"/>
    </row>
    <row r="887" spans="1:22" x14ac:dyDescent="0.35">
      <c r="A887" s="2" t="s">
        <v>2600</v>
      </c>
      <c r="B887" s="2" t="s">
        <v>2041</v>
      </c>
      <c r="C887" s="2" t="s">
        <v>529</v>
      </c>
      <c r="D887" s="2" t="s">
        <v>2601</v>
      </c>
      <c r="E887" s="2" t="s">
        <v>68</v>
      </c>
      <c r="F887" s="2" t="s">
        <v>276</v>
      </c>
      <c r="G887" s="2" t="s">
        <v>189</v>
      </c>
      <c r="H887" s="2" t="s">
        <v>437</v>
      </c>
      <c r="I887" s="2" t="s">
        <v>153</v>
      </c>
      <c r="J887" s="2">
        <v>187</v>
      </c>
      <c r="K887" s="2">
        <v>814.14</v>
      </c>
      <c r="L887" s="2">
        <v>957.87</v>
      </c>
      <c r="M887" s="2">
        <v>179121.69</v>
      </c>
      <c r="N887" s="2">
        <v>152244.18</v>
      </c>
      <c r="O887" s="2">
        <v>26877.51</v>
      </c>
      <c r="P887" s="2" t="s">
        <v>42</v>
      </c>
      <c r="Q887" s="2" t="s">
        <v>32</v>
      </c>
      <c r="R887" s="2">
        <v>8</v>
      </c>
      <c r="S887" s="2" t="s">
        <v>112</v>
      </c>
      <c r="T887" s="2">
        <v>4478</v>
      </c>
      <c r="U887" s="4" t="s">
        <v>2324</v>
      </c>
      <c r="V887" s="2"/>
    </row>
    <row r="888" spans="1:22" x14ac:dyDescent="0.35">
      <c r="A888" s="3" t="s">
        <v>2602</v>
      </c>
      <c r="B888" s="3" t="s">
        <v>2603</v>
      </c>
      <c r="C888" s="3" t="s">
        <v>2604</v>
      </c>
      <c r="D888" s="3" t="s">
        <v>2605</v>
      </c>
      <c r="E888" s="3" t="s">
        <v>26</v>
      </c>
      <c r="F888" s="3" t="s">
        <v>77</v>
      </c>
      <c r="G888" s="3" t="s">
        <v>129</v>
      </c>
      <c r="H888" s="3" t="s">
        <v>168</v>
      </c>
      <c r="I888" s="3" t="s">
        <v>191</v>
      </c>
      <c r="J888" s="3">
        <v>286</v>
      </c>
      <c r="K888" s="3">
        <v>415.28</v>
      </c>
      <c r="L888" s="3">
        <v>577.37</v>
      </c>
      <c r="M888" s="3">
        <v>165127.82</v>
      </c>
      <c r="N888" s="3">
        <v>118770.08</v>
      </c>
      <c r="O888" s="3">
        <v>46357.74</v>
      </c>
      <c r="P888" s="3" t="s">
        <v>42</v>
      </c>
      <c r="Q888" s="3" t="s">
        <v>32</v>
      </c>
      <c r="R888" s="3">
        <v>6</v>
      </c>
      <c r="S888" s="3" t="s">
        <v>33</v>
      </c>
      <c r="T888" s="3">
        <v>1404</v>
      </c>
      <c r="U888" s="3">
        <v>5</v>
      </c>
      <c r="V888" s="3"/>
    </row>
    <row r="889" spans="1:22" x14ac:dyDescent="0.35">
      <c r="A889" s="2" t="s">
        <v>2606</v>
      </c>
      <c r="B889" s="2" t="s">
        <v>256</v>
      </c>
      <c r="C889" s="2" t="s">
        <v>809</v>
      </c>
      <c r="D889" s="2" t="s">
        <v>2607</v>
      </c>
      <c r="E889" s="2" t="s">
        <v>68</v>
      </c>
      <c r="F889" s="2" t="s">
        <v>69</v>
      </c>
      <c r="G889" s="2" t="s">
        <v>70</v>
      </c>
      <c r="H889" s="2" t="s">
        <v>239</v>
      </c>
      <c r="I889" s="2" t="s">
        <v>141</v>
      </c>
      <c r="J889" s="2">
        <v>-12</v>
      </c>
      <c r="K889" s="2">
        <v>458.06</v>
      </c>
      <c r="L889" s="2">
        <v>548.6</v>
      </c>
      <c r="M889" s="2">
        <v>307216</v>
      </c>
      <c r="N889" s="2">
        <v>256513.6</v>
      </c>
      <c r="O889" s="2">
        <v>50702.400000000001</v>
      </c>
      <c r="P889" s="2" t="s">
        <v>52</v>
      </c>
      <c r="Q889" s="2" t="s">
        <v>32</v>
      </c>
      <c r="R889" s="2">
        <v>11</v>
      </c>
      <c r="S889" s="2" t="s">
        <v>43</v>
      </c>
      <c r="T889" s="2">
        <v>4343</v>
      </c>
      <c r="U889" s="2">
        <v>7</v>
      </c>
      <c r="V889" s="2"/>
    </row>
    <row r="890" spans="1:22" x14ac:dyDescent="0.35">
      <c r="A890" s="3" t="s">
        <v>2608</v>
      </c>
      <c r="B890" s="3" t="s">
        <v>2609</v>
      </c>
      <c r="C890" s="3" t="s">
        <v>731</v>
      </c>
      <c r="D890" s="3" t="s">
        <v>2610</v>
      </c>
      <c r="E890" s="3" t="s">
        <v>48</v>
      </c>
      <c r="F890" s="3" t="s">
        <v>281</v>
      </c>
      <c r="G890" s="3" t="s">
        <v>78</v>
      </c>
      <c r="H890" s="4"/>
      <c r="I890" s="3" t="s">
        <v>62</v>
      </c>
      <c r="J890" s="3">
        <v>553</v>
      </c>
      <c r="K890" s="3">
        <v>184.72</v>
      </c>
      <c r="L890" s="3">
        <v>208.11</v>
      </c>
      <c r="M890" s="3">
        <v>115084.83</v>
      </c>
      <c r="N890" s="3">
        <v>102150.16</v>
      </c>
      <c r="O890" s="3">
        <v>12934.67</v>
      </c>
      <c r="P890" s="3" t="s">
        <v>95</v>
      </c>
      <c r="Q890" s="3" t="s">
        <v>32</v>
      </c>
      <c r="R890" s="3">
        <v>15</v>
      </c>
      <c r="S890" s="3" t="s">
        <v>53</v>
      </c>
      <c r="T890" s="3">
        <v>2144</v>
      </c>
      <c r="U890" s="3">
        <v>19</v>
      </c>
      <c r="V890" s="3"/>
    </row>
    <row r="891" spans="1:22" x14ac:dyDescent="0.35">
      <c r="A891" s="2" t="s">
        <v>2611</v>
      </c>
      <c r="B891" s="2" t="s">
        <v>1890</v>
      </c>
      <c r="C891" s="2" t="s">
        <v>2612</v>
      </c>
      <c r="D891" s="2" t="s">
        <v>2613</v>
      </c>
      <c r="E891" s="2" t="s">
        <v>58</v>
      </c>
      <c r="F891" s="2" t="s">
        <v>417</v>
      </c>
      <c r="G891" s="2" t="s">
        <v>50</v>
      </c>
      <c r="H891" s="2" t="s">
        <v>260</v>
      </c>
      <c r="I891" s="2" t="s">
        <v>72</v>
      </c>
      <c r="J891" s="2">
        <v>477</v>
      </c>
      <c r="K891" s="2">
        <v>1076.6199999999999</v>
      </c>
      <c r="L891" s="2">
        <v>1722.35</v>
      </c>
      <c r="M891" s="2">
        <v>821560.95</v>
      </c>
      <c r="N891" s="2">
        <v>513547.74</v>
      </c>
      <c r="O891" s="2">
        <v>308013.21000000002</v>
      </c>
      <c r="P891" s="2" t="s">
        <v>95</v>
      </c>
      <c r="Q891" s="2" t="s">
        <v>1585</v>
      </c>
      <c r="R891" s="2">
        <v>10</v>
      </c>
      <c r="S891" s="2" t="s">
        <v>158</v>
      </c>
      <c r="T891" s="2">
        <v>772</v>
      </c>
      <c r="U891" s="2">
        <v>17</v>
      </c>
      <c r="V891" s="2"/>
    </row>
    <row r="892" spans="1:22" x14ac:dyDescent="0.35">
      <c r="A892" s="3" t="s">
        <v>2614</v>
      </c>
      <c r="B892" s="3" t="s">
        <v>198</v>
      </c>
      <c r="C892" s="3" t="s">
        <v>1710</v>
      </c>
      <c r="D892" s="3" t="s">
        <v>2615</v>
      </c>
      <c r="E892" s="3" t="s">
        <v>48</v>
      </c>
      <c r="F892" s="3" t="s">
        <v>223</v>
      </c>
      <c r="G892" s="3" t="s">
        <v>93</v>
      </c>
      <c r="H892" s="4"/>
      <c r="I892" s="3" t="s">
        <v>1853</v>
      </c>
      <c r="J892" s="3">
        <v>313</v>
      </c>
      <c r="K892" s="3">
        <v>313.02999999999997</v>
      </c>
      <c r="L892" s="3">
        <v>450.56</v>
      </c>
      <c r="M892" s="3">
        <v>141025.28</v>
      </c>
      <c r="N892" s="3">
        <v>97978.39</v>
      </c>
      <c r="O892" s="3">
        <v>43046.89</v>
      </c>
      <c r="P892" s="3" t="s">
        <v>95</v>
      </c>
      <c r="Q892" s="3" t="s">
        <v>63</v>
      </c>
      <c r="R892" s="3">
        <v>4</v>
      </c>
      <c r="S892" s="3" t="s">
        <v>112</v>
      </c>
      <c r="T892" s="3">
        <v>1600</v>
      </c>
      <c r="U892" s="3">
        <v>5</v>
      </c>
      <c r="V892" s="3"/>
    </row>
    <row r="893" spans="1:22" x14ac:dyDescent="0.35">
      <c r="A893" s="2" t="s">
        <v>1774</v>
      </c>
      <c r="B893" s="2" t="s">
        <v>2616</v>
      </c>
      <c r="C893" s="2" t="s">
        <v>1776</v>
      </c>
      <c r="D893" s="2" t="s">
        <v>1777</v>
      </c>
      <c r="E893" s="2" t="s">
        <v>100</v>
      </c>
      <c r="F893" s="2" t="s">
        <v>330</v>
      </c>
      <c r="G893" s="2" t="s">
        <v>78</v>
      </c>
      <c r="H893" s="2" t="s">
        <v>572</v>
      </c>
      <c r="I893" s="2" t="s">
        <v>141</v>
      </c>
      <c r="J893" s="2">
        <v>46</v>
      </c>
      <c r="K893" s="2">
        <v>790.79</v>
      </c>
      <c r="L893" s="2">
        <v>1285.17</v>
      </c>
      <c r="M893" s="2">
        <v>59117.82</v>
      </c>
      <c r="N893" s="2">
        <v>36376.339999999997</v>
      </c>
      <c r="O893" s="2">
        <v>22741.48</v>
      </c>
      <c r="P893" s="2" t="s">
        <v>52</v>
      </c>
      <c r="Q893" s="2" t="s">
        <v>2144</v>
      </c>
      <c r="R893" s="2">
        <v>3</v>
      </c>
      <c r="S893" s="2" t="s">
        <v>43</v>
      </c>
      <c r="T893" s="2">
        <v>2289</v>
      </c>
      <c r="U893" s="2">
        <v>2</v>
      </c>
      <c r="V893" s="2"/>
    </row>
    <row r="894" spans="1:22" x14ac:dyDescent="0.35">
      <c r="A894" s="3" t="s">
        <v>2617</v>
      </c>
      <c r="B894" s="3" t="s">
        <v>181</v>
      </c>
      <c r="C894" s="3" t="s">
        <v>288</v>
      </c>
      <c r="D894" s="3" t="s">
        <v>2618</v>
      </c>
      <c r="E894" s="3" t="s">
        <v>68</v>
      </c>
      <c r="F894" s="3" t="s">
        <v>276</v>
      </c>
      <c r="G894" s="3" t="s">
        <v>50</v>
      </c>
      <c r="H894" s="3" t="s">
        <v>51</v>
      </c>
      <c r="I894" s="3" t="s">
        <v>41</v>
      </c>
      <c r="J894" s="3">
        <v>258</v>
      </c>
      <c r="K894" s="3">
        <v>161.68</v>
      </c>
      <c r="L894" s="3">
        <v>182.61</v>
      </c>
      <c r="M894" s="3">
        <v>47113.38</v>
      </c>
      <c r="N894" s="3">
        <v>41713.440000000002</v>
      </c>
      <c r="O894" s="3">
        <v>5399.94</v>
      </c>
      <c r="P894" s="3" t="s">
        <v>52</v>
      </c>
      <c r="Q894" s="3" t="s">
        <v>32</v>
      </c>
      <c r="R894" s="3">
        <v>6</v>
      </c>
      <c r="S894" s="3" t="s">
        <v>53</v>
      </c>
      <c r="T894" s="3">
        <v>1967</v>
      </c>
      <c r="U894" s="3">
        <v>6</v>
      </c>
      <c r="V894" s="3"/>
    </row>
    <row r="895" spans="1:22" x14ac:dyDescent="0.35">
      <c r="A895" s="2" t="s">
        <v>2619</v>
      </c>
      <c r="B895" s="2" t="s">
        <v>2620</v>
      </c>
      <c r="C895" s="2" t="s">
        <v>231</v>
      </c>
      <c r="D895" s="2" t="s">
        <v>2621</v>
      </c>
      <c r="E895" s="2" t="s">
        <v>68</v>
      </c>
      <c r="F895" s="2" t="s">
        <v>249</v>
      </c>
      <c r="G895" s="2" t="s">
        <v>129</v>
      </c>
      <c r="H895" s="2" t="s">
        <v>811</v>
      </c>
      <c r="I895" s="2" t="s">
        <v>240</v>
      </c>
      <c r="J895" s="2">
        <v>736</v>
      </c>
      <c r="K895" s="2">
        <v>230.3</v>
      </c>
      <c r="L895" s="2">
        <v>354.13</v>
      </c>
      <c r="M895" s="2">
        <v>260639.68</v>
      </c>
      <c r="N895" s="2">
        <v>169500.79999999999</v>
      </c>
      <c r="O895" s="2">
        <v>91138.880000000005</v>
      </c>
      <c r="P895" s="2" t="s">
        <v>95</v>
      </c>
      <c r="Q895" s="2" t="s">
        <v>32</v>
      </c>
      <c r="R895" s="2">
        <v>15</v>
      </c>
      <c r="S895" s="2" t="s">
        <v>43</v>
      </c>
      <c r="T895" s="2">
        <v>2604</v>
      </c>
      <c r="U895" s="2">
        <v>11</v>
      </c>
      <c r="V895" s="2"/>
    </row>
    <row r="896" spans="1:22" x14ac:dyDescent="0.35">
      <c r="A896" s="3" t="s">
        <v>2622</v>
      </c>
      <c r="B896" s="3" t="s">
        <v>668</v>
      </c>
      <c r="C896" s="3" t="s">
        <v>1322</v>
      </c>
      <c r="D896" s="3" t="s">
        <v>2623</v>
      </c>
      <c r="E896" s="3" t="s">
        <v>26</v>
      </c>
      <c r="F896" s="3" t="s">
        <v>27</v>
      </c>
      <c r="G896" s="3" t="s">
        <v>60</v>
      </c>
      <c r="H896" s="3" t="s">
        <v>229</v>
      </c>
      <c r="I896" s="3" t="s">
        <v>85</v>
      </c>
      <c r="J896" s="3">
        <v>329</v>
      </c>
      <c r="K896" s="3">
        <v>770.12</v>
      </c>
      <c r="L896" s="3">
        <v>971.48</v>
      </c>
      <c r="M896" s="3">
        <v>319616.92</v>
      </c>
      <c r="N896" s="3">
        <v>253369.48</v>
      </c>
      <c r="O896" s="3">
        <v>66247.44</v>
      </c>
      <c r="P896" s="3" t="s">
        <v>95</v>
      </c>
      <c r="Q896" s="3" t="s">
        <v>63</v>
      </c>
      <c r="R896" s="3">
        <v>4</v>
      </c>
      <c r="S896" s="3" t="s">
        <v>86</v>
      </c>
      <c r="T896" s="3">
        <v>2533</v>
      </c>
      <c r="U896" s="3">
        <v>14</v>
      </c>
      <c r="V896" s="3"/>
    </row>
    <row r="897" spans="1:22" x14ac:dyDescent="0.35">
      <c r="A897" s="2" t="s">
        <v>2624</v>
      </c>
      <c r="B897" s="2" t="s">
        <v>422</v>
      </c>
      <c r="C897" s="2" t="s">
        <v>637</v>
      </c>
      <c r="D897" s="2" t="s">
        <v>2625</v>
      </c>
      <c r="E897" s="2" t="s">
        <v>291</v>
      </c>
      <c r="F897" s="2" t="s">
        <v>106</v>
      </c>
      <c r="G897" s="2" t="s">
        <v>28</v>
      </c>
      <c r="H897" s="2" t="s">
        <v>212</v>
      </c>
      <c r="I897" s="2" t="s">
        <v>191</v>
      </c>
      <c r="J897" s="2">
        <v>310</v>
      </c>
      <c r="K897" s="2">
        <v>262.91000000000003</v>
      </c>
      <c r="L897" s="2">
        <v>348.87</v>
      </c>
      <c r="M897" s="2">
        <v>108149.7</v>
      </c>
      <c r="N897" s="2">
        <v>81502.100000000006</v>
      </c>
      <c r="O897" s="2">
        <v>26647.599999999999</v>
      </c>
      <c r="P897" s="2" t="s">
        <v>42</v>
      </c>
      <c r="Q897" s="2" t="s">
        <v>32</v>
      </c>
      <c r="R897" s="2">
        <v>14</v>
      </c>
      <c r="S897" s="2" t="s">
        <v>112</v>
      </c>
      <c r="T897" s="2">
        <v>4099</v>
      </c>
      <c r="U897" s="2">
        <v>8</v>
      </c>
      <c r="V897" s="2"/>
    </row>
    <row r="898" spans="1:22" x14ac:dyDescent="0.35">
      <c r="A898" s="3" t="s">
        <v>2626</v>
      </c>
      <c r="B898" s="3" t="s">
        <v>273</v>
      </c>
      <c r="C898" s="3" t="s">
        <v>1192</v>
      </c>
      <c r="D898" s="3" t="s">
        <v>2627</v>
      </c>
      <c r="E898" s="3" t="s">
        <v>100</v>
      </c>
      <c r="F898" s="3" t="s">
        <v>101</v>
      </c>
      <c r="G898" s="3" t="s">
        <v>50</v>
      </c>
      <c r="H898" s="3" t="s">
        <v>734</v>
      </c>
      <c r="I898" s="3" t="s">
        <v>124</v>
      </c>
      <c r="J898" s="3">
        <v>264</v>
      </c>
      <c r="K898" s="3">
        <v>536.12</v>
      </c>
      <c r="L898" s="3">
        <v>630.57000000000005</v>
      </c>
      <c r="M898" s="3">
        <v>166470.48000000001</v>
      </c>
      <c r="N898" s="3">
        <v>141535.67999999999</v>
      </c>
      <c r="O898" s="3">
        <v>24934.799999999999</v>
      </c>
      <c r="P898" s="3" t="s">
        <v>95</v>
      </c>
      <c r="Q898" s="3" t="s">
        <v>63</v>
      </c>
      <c r="R898" s="3">
        <v>4</v>
      </c>
      <c r="S898" s="3" t="s">
        <v>158</v>
      </c>
      <c r="T898" s="3">
        <v>1410</v>
      </c>
      <c r="U898" s="3">
        <v>4</v>
      </c>
      <c r="V898" s="3"/>
    </row>
    <row r="899" spans="1:22" x14ac:dyDescent="0.35">
      <c r="A899" s="2" t="s">
        <v>355</v>
      </c>
      <c r="B899" s="2" t="s">
        <v>356</v>
      </c>
      <c r="C899" s="2" t="s">
        <v>357</v>
      </c>
      <c r="D899" s="2" t="s">
        <v>358</v>
      </c>
      <c r="E899" s="2" t="s">
        <v>26</v>
      </c>
      <c r="F899" s="2" t="s">
        <v>77</v>
      </c>
      <c r="G899" s="2" t="s">
        <v>189</v>
      </c>
      <c r="H899" s="2" t="s">
        <v>360</v>
      </c>
      <c r="I899" s="2" t="s">
        <v>72</v>
      </c>
      <c r="J899" s="2">
        <v>530</v>
      </c>
      <c r="K899" s="2">
        <v>326.08</v>
      </c>
      <c r="L899" s="2">
        <v>417.91</v>
      </c>
      <c r="M899" s="2">
        <v>221492.3</v>
      </c>
      <c r="N899" s="2">
        <v>172822.39999999999</v>
      </c>
      <c r="O899" s="2">
        <v>48669.9</v>
      </c>
      <c r="P899" s="2" t="s">
        <v>31</v>
      </c>
      <c r="Q899" s="2" t="s">
        <v>32</v>
      </c>
      <c r="R899" s="2">
        <v>14</v>
      </c>
      <c r="S899" s="2" t="s">
        <v>43</v>
      </c>
      <c r="T899" s="2">
        <v>821</v>
      </c>
      <c r="U899" s="2">
        <v>0</v>
      </c>
      <c r="V899" s="2"/>
    </row>
    <row r="900" spans="1:22" x14ac:dyDescent="0.35">
      <c r="A900" s="3" t="s">
        <v>2628</v>
      </c>
      <c r="B900" s="3" t="s">
        <v>193</v>
      </c>
      <c r="C900" s="3" t="s">
        <v>82</v>
      </c>
      <c r="D900" s="3" t="s">
        <v>2629</v>
      </c>
      <c r="E900" s="3" t="s">
        <v>48</v>
      </c>
      <c r="F900" s="3" t="s">
        <v>183</v>
      </c>
      <c r="G900" s="3" t="s">
        <v>39</v>
      </c>
      <c r="H900" s="3" t="s">
        <v>527</v>
      </c>
      <c r="I900" s="3" t="s">
        <v>124</v>
      </c>
      <c r="J900" s="3">
        <v>433</v>
      </c>
      <c r="K900" s="3">
        <v>35.950000000000003</v>
      </c>
      <c r="L900" s="3">
        <v>49.72</v>
      </c>
      <c r="M900" s="3">
        <v>21528.76</v>
      </c>
      <c r="N900" s="3">
        <v>15566.35</v>
      </c>
      <c r="O900" s="3">
        <v>5962.41</v>
      </c>
      <c r="P900" s="3" t="s">
        <v>95</v>
      </c>
      <c r="Q900" s="3" t="s">
        <v>32</v>
      </c>
      <c r="R900" s="3">
        <v>6</v>
      </c>
      <c r="S900" s="3" t="s">
        <v>86</v>
      </c>
      <c r="T900" s="4"/>
      <c r="U900" s="3">
        <v>14</v>
      </c>
      <c r="V900" s="3"/>
    </row>
    <row r="901" spans="1:22" x14ac:dyDescent="0.35">
      <c r="A901" s="2" t="s">
        <v>2630</v>
      </c>
      <c r="B901" s="2" t="s">
        <v>941</v>
      </c>
      <c r="C901" s="2" t="s">
        <v>592</v>
      </c>
      <c r="D901" s="2" t="s">
        <v>2631</v>
      </c>
      <c r="E901" s="2" t="s">
        <v>100</v>
      </c>
      <c r="F901" s="2" t="s">
        <v>101</v>
      </c>
      <c r="G901" s="2" t="s">
        <v>70</v>
      </c>
      <c r="H901" s="2" t="s">
        <v>446</v>
      </c>
      <c r="I901" s="2" t="s">
        <v>118</v>
      </c>
      <c r="J901" s="2">
        <v>771</v>
      </c>
      <c r="K901" s="2">
        <v>1152.3599999999999</v>
      </c>
      <c r="L901" s="2">
        <v>1863.91</v>
      </c>
      <c r="M901" s="2">
        <v>1437074.61</v>
      </c>
      <c r="N901" s="2">
        <v>888469.56</v>
      </c>
      <c r="O901" s="2">
        <v>548605.05000000005</v>
      </c>
      <c r="P901" s="2" t="s">
        <v>42</v>
      </c>
      <c r="Q901" s="2" t="s">
        <v>63</v>
      </c>
      <c r="R901" s="2">
        <v>1</v>
      </c>
      <c r="S901" s="2" t="s">
        <v>33</v>
      </c>
      <c r="T901" s="2">
        <v>3923</v>
      </c>
      <c r="U901" s="2">
        <v>20</v>
      </c>
      <c r="V901" s="2"/>
    </row>
    <row r="902" spans="1:22" x14ac:dyDescent="0.35">
      <c r="A902" s="3" t="s">
        <v>2632</v>
      </c>
      <c r="B902" s="3" t="s">
        <v>656</v>
      </c>
      <c r="C902" s="3" t="s">
        <v>56</v>
      </c>
      <c r="D902" s="3" t="s">
        <v>2633</v>
      </c>
      <c r="E902" s="3" t="s">
        <v>68</v>
      </c>
      <c r="F902" s="3" t="s">
        <v>146</v>
      </c>
      <c r="G902" s="3" t="s">
        <v>60</v>
      </c>
      <c r="H902" s="3" t="s">
        <v>164</v>
      </c>
      <c r="I902" s="3" t="s">
        <v>124</v>
      </c>
      <c r="J902" s="3">
        <v>194</v>
      </c>
      <c r="K902" s="4" t="s">
        <v>2634</v>
      </c>
      <c r="L902" s="3">
        <v>532.86</v>
      </c>
      <c r="M902" s="3">
        <v>103374.84</v>
      </c>
      <c r="N902" s="3">
        <v>72301.86</v>
      </c>
      <c r="O902" s="3">
        <v>31072.98</v>
      </c>
      <c r="P902" s="3" t="s">
        <v>52</v>
      </c>
      <c r="Q902" s="3" t="s">
        <v>32</v>
      </c>
      <c r="R902" s="3">
        <v>15</v>
      </c>
      <c r="S902" s="3" t="s">
        <v>158</v>
      </c>
      <c r="T902" s="3">
        <v>3598</v>
      </c>
      <c r="U902" s="3">
        <v>0</v>
      </c>
      <c r="V902" s="3"/>
    </row>
    <row r="903" spans="1:22" x14ac:dyDescent="0.35">
      <c r="A903" s="2" t="s">
        <v>2635</v>
      </c>
      <c r="B903" s="2" t="s">
        <v>504</v>
      </c>
      <c r="C903" s="2" t="s">
        <v>2636</v>
      </c>
      <c r="D903" s="2" t="s">
        <v>2637</v>
      </c>
      <c r="E903" s="2" t="s">
        <v>68</v>
      </c>
      <c r="F903" s="2" t="s">
        <v>276</v>
      </c>
      <c r="G903" s="2" t="s">
        <v>129</v>
      </c>
      <c r="H903" s="2" t="s">
        <v>520</v>
      </c>
      <c r="I903" s="2" t="s">
        <v>30</v>
      </c>
      <c r="J903" s="2">
        <v>682</v>
      </c>
      <c r="K903" s="2">
        <v>765.83</v>
      </c>
      <c r="L903" s="2">
        <v>1045.27</v>
      </c>
      <c r="M903" s="2">
        <v>712874.14</v>
      </c>
      <c r="N903" s="2">
        <v>522296.06</v>
      </c>
      <c r="O903" s="2">
        <v>190578.08</v>
      </c>
      <c r="P903" s="2" t="s">
        <v>95</v>
      </c>
      <c r="Q903" s="2" t="s">
        <v>32</v>
      </c>
      <c r="R903" s="2">
        <v>10</v>
      </c>
      <c r="S903" s="2" t="s">
        <v>53</v>
      </c>
      <c r="T903" s="2">
        <v>2302</v>
      </c>
      <c r="U903" s="2">
        <v>28</v>
      </c>
      <c r="V903" s="2"/>
    </row>
    <row r="904" spans="1:22" x14ac:dyDescent="0.35">
      <c r="A904" s="3" t="s">
        <v>2638</v>
      </c>
      <c r="B904" s="3" t="s">
        <v>2639</v>
      </c>
      <c r="C904" s="3" t="s">
        <v>716</v>
      </c>
      <c r="D904" s="3" t="s">
        <v>2640</v>
      </c>
      <c r="E904" s="3" t="s">
        <v>68</v>
      </c>
      <c r="F904" s="3" t="s">
        <v>276</v>
      </c>
      <c r="G904" s="3" t="s">
        <v>78</v>
      </c>
      <c r="H904" s="3" t="s">
        <v>572</v>
      </c>
      <c r="I904" s="3" t="s">
        <v>124</v>
      </c>
      <c r="J904" s="3">
        <v>35</v>
      </c>
      <c r="K904" s="3">
        <v>196.95</v>
      </c>
      <c r="L904" s="3">
        <v>304.06</v>
      </c>
      <c r="M904" s="3">
        <v>10642.1</v>
      </c>
      <c r="N904" s="3">
        <v>6893.25</v>
      </c>
      <c r="O904" s="3">
        <v>3748.85</v>
      </c>
      <c r="P904" s="3" t="s">
        <v>42</v>
      </c>
      <c r="Q904" s="3" t="s">
        <v>32</v>
      </c>
      <c r="R904" s="3">
        <v>14</v>
      </c>
      <c r="S904" s="3" t="s">
        <v>33</v>
      </c>
      <c r="T904" s="3">
        <v>4806</v>
      </c>
      <c r="U904" s="3">
        <v>1</v>
      </c>
      <c r="V904" s="3"/>
    </row>
    <row r="905" spans="1:22" x14ac:dyDescent="0.35">
      <c r="A905" s="2" t="s">
        <v>2641</v>
      </c>
      <c r="B905" s="2" t="s">
        <v>313</v>
      </c>
      <c r="C905" s="2" t="s">
        <v>653</v>
      </c>
      <c r="D905" s="2" t="s">
        <v>2642</v>
      </c>
      <c r="E905" s="2" t="s">
        <v>100</v>
      </c>
      <c r="F905" s="2" t="s">
        <v>101</v>
      </c>
      <c r="G905" s="2" t="s">
        <v>28</v>
      </c>
      <c r="H905" s="2" t="s">
        <v>507</v>
      </c>
      <c r="I905" s="2" t="s">
        <v>30</v>
      </c>
      <c r="J905" s="2">
        <v>769</v>
      </c>
      <c r="K905" s="2">
        <v>226.5</v>
      </c>
      <c r="L905" s="2">
        <v>279.38</v>
      </c>
      <c r="M905" s="2">
        <v>214843.22</v>
      </c>
      <c r="N905" s="2">
        <v>174178.5</v>
      </c>
      <c r="O905" s="2">
        <v>40664.720000000001</v>
      </c>
      <c r="P905" s="2" t="s">
        <v>42</v>
      </c>
      <c r="Q905" s="2" t="s">
        <v>32</v>
      </c>
      <c r="R905" s="2">
        <v>11</v>
      </c>
      <c r="S905" s="2" t="s">
        <v>158</v>
      </c>
      <c r="T905" s="2">
        <v>4171</v>
      </c>
      <c r="U905" s="2">
        <v>16</v>
      </c>
      <c r="V905" s="2"/>
    </row>
    <row r="906" spans="1:22" x14ac:dyDescent="0.35">
      <c r="A906" s="3" t="s">
        <v>2643</v>
      </c>
      <c r="B906" s="3" t="s">
        <v>251</v>
      </c>
      <c r="C906" s="3" t="s">
        <v>1632</v>
      </c>
      <c r="D906" s="3" t="s">
        <v>2644</v>
      </c>
      <c r="E906" s="3" t="s">
        <v>68</v>
      </c>
      <c r="F906" s="3" t="s">
        <v>276</v>
      </c>
      <c r="G906" s="3" t="s">
        <v>217</v>
      </c>
      <c r="H906" s="3" t="s">
        <v>494</v>
      </c>
      <c r="I906" s="3" t="s">
        <v>191</v>
      </c>
      <c r="J906" s="3">
        <v>598</v>
      </c>
      <c r="K906" s="3">
        <v>714.03</v>
      </c>
      <c r="L906" s="3">
        <v>1136.6600000000001</v>
      </c>
      <c r="M906" s="3">
        <v>679722.68</v>
      </c>
      <c r="N906" s="3">
        <v>426989.94</v>
      </c>
      <c r="O906" s="3">
        <v>252732.74</v>
      </c>
      <c r="P906" s="3" t="s">
        <v>31</v>
      </c>
      <c r="Q906" s="3" t="s">
        <v>63</v>
      </c>
      <c r="R906" s="3">
        <v>4</v>
      </c>
      <c r="S906" s="3" t="s">
        <v>158</v>
      </c>
      <c r="T906" s="3">
        <v>1594</v>
      </c>
      <c r="U906" s="3">
        <v>18</v>
      </c>
      <c r="V906" s="3"/>
    </row>
    <row r="907" spans="1:22" x14ac:dyDescent="0.35">
      <c r="A907" s="2" t="s">
        <v>2645</v>
      </c>
      <c r="B907" s="2" t="s">
        <v>1353</v>
      </c>
      <c r="C907" s="2" t="s">
        <v>2646</v>
      </c>
      <c r="D907" s="2" t="s">
        <v>2647</v>
      </c>
      <c r="E907" s="2" t="s">
        <v>26</v>
      </c>
      <c r="F907" s="2" t="s">
        <v>253</v>
      </c>
      <c r="G907" s="2" t="s">
        <v>189</v>
      </c>
      <c r="H907" s="2" t="s">
        <v>561</v>
      </c>
      <c r="I907" s="4"/>
      <c r="J907" s="2">
        <v>710</v>
      </c>
      <c r="K907" s="2">
        <v>49.28</v>
      </c>
      <c r="L907" s="2">
        <v>68.77</v>
      </c>
      <c r="M907" s="2">
        <v>48826.7</v>
      </c>
      <c r="N907" s="2">
        <v>34988.800000000003</v>
      </c>
      <c r="O907" s="2">
        <v>13837.9</v>
      </c>
      <c r="P907" s="2" t="s">
        <v>31</v>
      </c>
      <c r="Q907" s="2" t="s">
        <v>32</v>
      </c>
      <c r="R907" s="2">
        <v>8</v>
      </c>
      <c r="S907" s="2" t="s">
        <v>158</v>
      </c>
      <c r="T907" s="2">
        <v>3273</v>
      </c>
      <c r="U907" s="2">
        <v>10</v>
      </c>
      <c r="V907" s="2"/>
    </row>
    <row r="908" spans="1:22" x14ac:dyDescent="0.35">
      <c r="A908" s="3" t="s">
        <v>2648</v>
      </c>
      <c r="B908" s="3" t="s">
        <v>1617</v>
      </c>
      <c r="C908" s="3" t="s">
        <v>2649</v>
      </c>
      <c r="D908" s="3" t="s">
        <v>2650</v>
      </c>
      <c r="E908" s="3" t="s">
        <v>58</v>
      </c>
      <c r="F908" s="3" t="s">
        <v>417</v>
      </c>
      <c r="G908" s="3" t="s">
        <v>93</v>
      </c>
      <c r="H908" s="3" t="s">
        <v>184</v>
      </c>
      <c r="I908" s="3" t="s">
        <v>240</v>
      </c>
      <c r="J908" s="3">
        <v>696</v>
      </c>
      <c r="K908" s="3">
        <v>902.33</v>
      </c>
      <c r="L908" s="3">
        <v>1238.1500000000001</v>
      </c>
      <c r="M908" s="3">
        <v>861752.4</v>
      </c>
      <c r="N908" s="3">
        <v>628021.68000000005</v>
      </c>
      <c r="O908" s="3">
        <v>233730.72</v>
      </c>
      <c r="P908" s="3" t="s">
        <v>95</v>
      </c>
      <c r="Q908" s="3" t="s">
        <v>63</v>
      </c>
      <c r="R908" s="3">
        <v>5</v>
      </c>
      <c r="S908" s="3" t="s">
        <v>43</v>
      </c>
      <c r="T908" s="3">
        <v>348</v>
      </c>
      <c r="U908" s="3">
        <v>31</v>
      </c>
      <c r="V908" s="3"/>
    </row>
    <row r="909" spans="1:22" x14ac:dyDescent="0.35">
      <c r="A909" s="2" t="s">
        <v>2651</v>
      </c>
      <c r="B909" s="2" t="s">
        <v>592</v>
      </c>
      <c r="C909" s="2" t="s">
        <v>46</v>
      </c>
      <c r="D909" s="2" t="s">
        <v>2652</v>
      </c>
      <c r="E909" s="2" t="s">
        <v>26</v>
      </c>
      <c r="F909" s="2" t="s">
        <v>38</v>
      </c>
      <c r="G909" s="2" t="s">
        <v>217</v>
      </c>
      <c r="H909" s="2" t="s">
        <v>684</v>
      </c>
      <c r="I909" s="2" t="s">
        <v>41</v>
      </c>
      <c r="J909" s="2">
        <v>63</v>
      </c>
      <c r="K909" s="2">
        <v>255.2</v>
      </c>
      <c r="L909" s="2">
        <v>331.11</v>
      </c>
      <c r="M909" s="2">
        <v>20859.93</v>
      </c>
      <c r="N909" s="2">
        <v>16077.6</v>
      </c>
      <c r="O909" s="2">
        <v>4782.33</v>
      </c>
      <c r="P909" s="2" t="s">
        <v>95</v>
      </c>
      <c r="Q909" s="2" t="s">
        <v>63</v>
      </c>
      <c r="R909" s="2">
        <v>3</v>
      </c>
      <c r="S909" s="2" t="s">
        <v>53</v>
      </c>
      <c r="T909" s="2">
        <v>3991</v>
      </c>
      <c r="U909" s="2">
        <v>1</v>
      </c>
      <c r="V909" s="2"/>
    </row>
    <row r="910" spans="1:22" x14ac:dyDescent="0.35">
      <c r="A910" s="3" t="s">
        <v>2653</v>
      </c>
      <c r="B910" s="3" t="s">
        <v>114</v>
      </c>
      <c r="C910" s="3" t="s">
        <v>1217</v>
      </c>
      <c r="D910" s="4"/>
      <c r="E910" s="3" t="s">
        <v>2654</v>
      </c>
      <c r="F910" s="3" t="s">
        <v>538</v>
      </c>
      <c r="G910" s="3" t="s">
        <v>78</v>
      </c>
      <c r="H910" s="3" t="s">
        <v>628</v>
      </c>
      <c r="I910" s="3" t="s">
        <v>293</v>
      </c>
      <c r="J910" s="3">
        <v>673</v>
      </c>
      <c r="K910" s="3">
        <v>999.22</v>
      </c>
      <c r="L910" s="3">
        <v>1232.78</v>
      </c>
      <c r="M910" s="3">
        <v>829660.94</v>
      </c>
      <c r="N910" s="3">
        <v>672475.06</v>
      </c>
      <c r="O910" s="3">
        <v>157185.88</v>
      </c>
      <c r="P910" s="3" t="s">
        <v>95</v>
      </c>
      <c r="Q910" s="3" t="s">
        <v>32</v>
      </c>
      <c r="R910" s="3">
        <v>10</v>
      </c>
      <c r="S910" s="3" t="s">
        <v>53</v>
      </c>
      <c r="T910" s="3">
        <v>1885</v>
      </c>
      <c r="U910" s="3">
        <v>16</v>
      </c>
      <c r="V910" s="3"/>
    </row>
    <row r="911" spans="1:22" x14ac:dyDescent="0.35">
      <c r="A911" s="2" t="s">
        <v>2655</v>
      </c>
      <c r="B911" s="2" t="s">
        <v>509</v>
      </c>
      <c r="C911" s="2" t="s">
        <v>1295</v>
      </c>
      <c r="D911" s="2" t="s">
        <v>2656</v>
      </c>
      <c r="E911" s="2" t="s">
        <v>100</v>
      </c>
      <c r="F911" s="2" t="s">
        <v>238</v>
      </c>
      <c r="G911" s="2" t="s">
        <v>129</v>
      </c>
      <c r="H911" s="2" t="s">
        <v>345</v>
      </c>
      <c r="I911" s="2" t="s">
        <v>118</v>
      </c>
      <c r="J911" s="2">
        <v>5</v>
      </c>
      <c r="K911" s="2">
        <v>152.25</v>
      </c>
      <c r="L911" s="2">
        <v>205.78</v>
      </c>
      <c r="M911" s="2">
        <v>1028.9000000000001</v>
      </c>
      <c r="N911" s="2">
        <v>761.25</v>
      </c>
      <c r="O911" s="2">
        <v>267.64999999999998</v>
      </c>
      <c r="P911" s="2" t="s">
        <v>31</v>
      </c>
      <c r="Q911" s="2" t="s">
        <v>63</v>
      </c>
      <c r="R911" s="2">
        <v>1</v>
      </c>
      <c r="S911" s="2" t="s">
        <v>158</v>
      </c>
      <c r="T911" s="2">
        <v>3545</v>
      </c>
      <c r="U911" s="2">
        <v>1</v>
      </c>
      <c r="V911" s="2"/>
    </row>
    <row r="912" spans="1:22" x14ac:dyDescent="0.35">
      <c r="A912" s="3" t="s">
        <v>2657</v>
      </c>
      <c r="B912" s="3" t="s">
        <v>2658</v>
      </c>
      <c r="C912" s="3" t="s">
        <v>2166</v>
      </c>
      <c r="D912" s="3" t="s">
        <v>2659</v>
      </c>
      <c r="E912" s="3" t="s">
        <v>100</v>
      </c>
      <c r="F912" s="3" t="s">
        <v>101</v>
      </c>
      <c r="G912" s="3" t="s">
        <v>70</v>
      </c>
      <c r="H912" s="3" t="s">
        <v>623</v>
      </c>
      <c r="I912" s="3" t="s">
        <v>41</v>
      </c>
      <c r="J912" s="3">
        <v>626</v>
      </c>
      <c r="K912" s="3">
        <v>465</v>
      </c>
      <c r="L912" s="3">
        <v>551.62</v>
      </c>
      <c r="M912" s="3">
        <v>345314.12</v>
      </c>
      <c r="N912" s="3">
        <v>291090</v>
      </c>
      <c r="O912" s="3">
        <v>54224.12</v>
      </c>
      <c r="P912" s="3" t="s">
        <v>31</v>
      </c>
      <c r="Q912" s="3" t="s">
        <v>32</v>
      </c>
      <c r="R912" s="3">
        <v>9</v>
      </c>
      <c r="S912" s="3" t="s">
        <v>43</v>
      </c>
      <c r="T912" s="3">
        <v>3810</v>
      </c>
      <c r="U912" s="3">
        <v>7</v>
      </c>
      <c r="V912" s="3"/>
    </row>
    <row r="913" spans="1:22" x14ac:dyDescent="0.35">
      <c r="A913" s="2" t="s">
        <v>64</v>
      </c>
      <c r="B913" s="2" t="s">
        <v>65</v>
      </c>
      <c r="C913" s="2" t="s">
        <v>533</v>
      </c>
      <c r="D913" s="2" t="s">
        <v>67</v>
      </c>
      <c r="E913" s="2" t="s">
        <v>68</v>
      </c>
      <c r="F913" s="2" t="s">
        <v>69</v>
      </c>
      <c r="G913" s="2" t="s">
        <v>70</v>
      </c>
      <c r="H913" s="2" t="s">
        <v>71</v>
      </c>
      <c r="I913" s="2" t="s">
        <v>72</v>
      </c>
      <c r="J913" s="2">
        <v>202</v>
      </c>
      <c r="K913" s="2">
        <v>288.91000000000003</v>
      </c>
      <c r="L913" s="2">
        <v>371.69</v>
      </c>
      <c r="M913" s="2">
        <v>75081.38</v>
      </c>
      <c r="N913" s="2">
        <v>58359.82</v>
      </c>
      <c r="O913" s="2">
        <v>16721.560000000001</v>
      </c>
      <c r="P913" s="2" t="s">
        <v>31</v>
      </c>
      <c r="Q913" s="2" t="s">
        <v>63</v>
      </c>
      <c r="R913" s="2">
        <v>3</v>
      </c>
      <c r="S913" s="2" t="s">
        <v>33</v>
      </c>
      <c r="T913" s="2">
        <v>102</v>
      </c>
      <c r="U913" s="2">
        <v>7</v>
      </c>
      <c r="V913" s="2"/>
    </row>
    <row r="914" spans="1:22" x14ac:dyDescent="0.35">
      <c r="A914" s="3" t="s">
        <v>2660</v>
      </c>
      <c r="B914" s="3" t="s">
        <v>488</v>
      </c>
      <c r="C914" s="3" t="s">
        <v>1566</v>
      </c>
      <c r="D914" s="3" t="s">
        <v>2661</v>
      </c>
      <c r="E914" s="3" t="s">
        <v>100</v>
      </c>
      <c r="F914" s="3" t="s">
        <v>101</v>
      </c>
      <c r="G914" s="3" t="s">
        <v>78</v>
      </c>
      <c r="H914" s="3" t="s">
        <v>628</v>
      </c>
      <c r="I914" s="3" t="s">
        <v>41</v>
      </c>
      <c r="J914" s="3">
        <v>385</v>
      </c>
      <c r="K914" s="3">
        <v>513.28</v>
      </c>
      <c r="L914" s="3">
        <v>843.46</v>
      </c>
      <c r="M914" s="3">
        <v>324732.09999999998</v>
      </c>
      <c r="N914" s="3">
        <v>197612.79999999999</v>
      </c>
      <c r="O914" s="3">
        <v>127119.3</v>
      </c>
      <c r="P914" s="3" t="s">
        <v>42</v>
      </c>
      <c r="Q914" s="3" t="s">
        <v>63</v>
      </c>
      <c r="R914" s="3">
        <v>2</v>
      </c>
      <c r="S914" s="3" t="s">
        <v>112</v>
      </c>
      <c r="T914" s="3">
        <v>3614</v>
      </c>
      <c r="U914" s="3">
        <v>10</v>
      </c>
      <c r="V914" s="3"/>
    </row>
    <row r="915" spans="1:22" x14ac:dyDescent="0.35">
      <c r="A915" s="2" t="s">
        <v>2662</v>
      </c>
      <c r="B915" s="2" t="s">
        <v>448</v>
      </c>
      <c r="C915" s="2" t="s">
        <v>324</v>
      </c>
      <c r="D915" s="2" t="s">
        <v>2663</v>
      </c>
      <c r="E915" s="2" t="s">
        <v>68</v>
      </c>
      <c r="F915" s="2" t="s">
        <v>163</v>
      </c>
      <c r="G915" s="2" t="s">
        <v>129</v>
      </c>
      <c r="H915" s="2" t="s">
        <v>704</v>
      </c>
      <c r="I915" s="2" t="s">
        <v>118</v>
      </c>
      <c r="J915" s="2">
        <v>12</v>
      </c>
      <c r="K915" s="2">
        <v>623.85</v>
      </c>
      <c r="L915" s="4"/>
      <c r="M915" s="2">
        <v>9819</v>
      </c>
      <c r="N915" s="2">
        <v>7486.2</v>
      </c>
      <c r="O915" s="2">
        <v>2332.8000000000002</v>
      </c>
      <c r="P915" s="2" t="s">
        <v>95</v>
      </c>
      <c r="Q915" s="2" t="s">
        <v>32</v>
      </c>
      <c r="R915" s="2">
        <v>14</v>
      </c>
      <c r="S915" s="2" t="s">
        <v>158</v>
      </c>
      <c r="T915" s="2">
        <v>2108</v>
      </c>
      <c r="U915" s="2">
        <v>0</v>
      </c>
      <c r="V915" s="2"/>
    </row>
    <row r="916" spans="1:22" x14ac:dyDescent="0.35">
      <c r="A916" s="3" t="s">
        <v>2664</v>
      </c>
      <c r="B916" s="3" t="s">
        <v>2665</v>
      </c>
      <c r="C916" s="3" t="s">
        <v>1107</v>
      </c>
      <c r="D916" s="3" t="s">
        <v>2666</v>
      </c>
      <c r="E916" s="3" t="s">
        <v>58</v>
      </c>
      <c r="F916" s="3" t="s">
        <v>116</v>
      </c>
      <c r="G916" s="3" t="s">
        <v>93</v>
      </c>
      <c r="H916" s="3" t="s">
        <v>302</v>
      </c>
      <c r="I916" s="3" t="s">
        <v>30</v>
      </c>
      <c r="J916" s="3">
        <v>766</v>
      </c>
      <c r="K916" s="3">
        <v>717.78</v>
      </c>
      <c r="L916" s="3">
        <v>1103.99</v>
      </c>
      <c r="M916" s="3">
        <v>845656.34</v>
      </c>
      <c r="N916" s="3">
        <v>549819.48</v>
      </c>
      <c r="O916" s="3">
        <v>295836.86</v>
      </c>
      <c r="P916" s="3" t="s">
        <v>42</v>
      </c>
      <c r="Q916" s="3" t="s">
        <v>32</v>
      </c>
      <c r="R916" s="3">
        <v>10</v>
      </c>
      <c r="S916" s="3" t="s">
        <v>33</v>
      </c>
      <c r="T916" s="3">
        <v>3309</v>
      </c>
      <c r="U916" s="3">
        <v>16</v>
      </c>
      <c r="V916" s="3"/>
    </row>
    <row r="917" spans="1:22" x14ac:dyDescent="0.35">
      <c r="A917" s="2" t="s">
        <v>2667</v>
      </c>
      <c r="B917" s="2" t="s">
        <v>634</v>
      </c>
      <c r="C917" s="2" t="s">
        <v>1750</v>
      </c>
      <c r="D917" s="2" t="s">
        <v>2668</v>
      </c>
      <c r="E917" s="2" t="s">
        <v>68</v>
      </c>
      <c r="F917" s="2" t="s">
        <v>249</v>
      </c>
      <c r="G917" s="2" t="s">
        <v>39</v>
      </c>
      <c r="H917" s="2" t="s">
        <v>147</v>
      </c>
      <c r="I917" s="2" t="s">
        <v>240</v>
      </c>
      <c r="J917" s="2">
        <v>677</v>
      </c>
      <c r="K917" s="2">
        <v>385.79</v>
      </c>
      <c r="L917" s="2">
        <v>504.75</v>
      </c>
      <c r="M917" s="2">
        <v>341715.75</v>
      </c>
      <c r="N917" s="2">
        <v>261179.83</v>
      </c>
      <c r="O917" s="2">
        <v>80535.92</v>
      </c>
      <c r="P917" s="2" t="s">
        <v>52</v>
      </c>
      <c r="Q917" s="2" t="s">
        <v>63</v>
      </c>
      <c r="R917" s="2">
        <v>1</v>
      </c>
      <c r="S917" s="2" t="s">
        <v>158</v>
      </c>
      <c r="T917" s="2">
        <v>770</v>
      </c>
      <c r="U917" s="2">
        <v>28</v>
      </c>
      <c r="V917" s="2"/>
    </row>
    <row r="918" spans="1:22" x14ac:dyDescent="0.35">
      <c r="A918" s="3" t="s">
        <v>2669</v>
      </c>
      <c r="B918" s="3" t="s">
        <v>1341</v>
      </c>
      <c r="C918" s="3" t="s">
        <v>2670</v>
      </c>
      <c r="D918" s="3" t="s">
        <v>2671</v>
      </c>
      <c r="E918" s="3" t="s">
        <v>58</v>
      </c>
      <c r="F918" s="3" t="s">
        <v>122</v>
      </c>
      <c r="G918" s="3" t="s">
        <v>39</v>
      </c>
      <c r="H918" s="3" t="s">
        <v>40</v>
      </c>
      <c r="I918" s="3" t="s">
        <v>62</v>
      </c>
      <c r="J918" s="3">
        <v>785</v>
      </c>
      <c r="K918" s="3">
        <v>854.57</v>
      </c>
      <c r="L918" s="3">
        <v>974.6</v>
      </c>
      <c r="M918" s="3">
        <v>765061</v>
      </c>
      <c r="N918" s="3">
        <v>670837.44999999995</v>
      </c>
      <c r="O918" s="3">
        <v>94223.55</v>
      </c>
      <c r="P918" s="3" t="s">
        <v>52</v>
      </c>
      <c r="Q918" s="3" t="s">
        <v>63</v>
      </c>
      <c r="R918" s="3">
        <v>1</v>
      </c>
      <c r="S918" s="3" t="s">
        <v>43</v>
      </c>
      <c r="T918" s="3">
        <v>3256</v>
      </c>
      <c r="U918" s="3">
        <v>37</v>
      </c>
      <c r="V918" s="3"/>
    </row>
    <row r="919" spans="1:22" x14ac:dyDescent="0.35">
      <c r="A919" s="2" t="s">
        <v>2672</v>
      </c>
      <c r="B919" s="2" t="s">
        <v>510</v>
      </c>
      <c r="C919" s="2" t="s">
        <v>694</v>
      </c>
      <c r="D919" s="2" t="s">
        <v>2673</v>
      </c>
      <c r="E919" s="2" t="s">
        <v>68</v>
      </c>
      <c r="F919" s="2" t="s">
        <v>249</v>
      </c>
      <c r="G919" s="2" t="s">
        <v>129</v>
      </c>
      <c r="H919" s="2" t="s">
        <v>520</v>
      </c>
      <c r="I919" s="2" t="s">
        <v>62</v>
      </c>
      <c r="J919" s="2">
        <v>112</v>
      </c>
      <c r="K919" s="2">
        <v>132.36000000000001</v>
      </c>
      <c r="L919" s="2">
        <v>215.4</v>
      </c>
      <c r="M919" s="2">
        <v>24124.799999999999</v>
      </c>
      <c r="N919" s="2">
        <v>14824.32</v>
      </c>
      <c r="O919" s="2">
        <v>9300.48</v>
      </c>
      <c r="P919" s="2" t="s">
        <v>42</v>
      </c>
      <c r="Q919" s="2" t="s">
        <v>32</v>
      </c>
      <c r="R919" s="2">
        <v>10</v>
      </c>
      <c r="S919" s="2" t="s">
        <v>86</v>
      </c>
      <c r="T919" s="2">
        <v>4727</v>
      </c>
      <c r="U919" s="2">
        <v>1</v>
      </c>
      <c r="V919" s="2"/>
    </row>
    <row r="920" spans="1:22" x14ac:dyDescent="0.35">
      <c r="A920" s="3" t="s">
        <v>2674</v>
      </c>
      <c r="B920" s="3" t="s">
        <v>98</v>
      </c>
      <c r="C920" s="3" t="s">
        <v>262</v>
      </c>
      <c r="D920" s="3" t="s">
        <v>2675</v>
      </c>
      <c r="E920" s="3" t="s">
        <v>58</v>
      </c>
      <c r="F920" s="3" t="s">
        <v>116</v>
      </c>
      <c r="G920" s="3" t="s">
        <v>28</v>
      </c>
      <c r="H920" s="3" t="s">
        <v>254</v>
      </c>
      <c r="I920" s="3" t="s">
        <v>293</v>
      </c>
      <c r="J920" s="3">
        <v>139</v>
      </c>
      <c r="K920" s="3">
        <v>919.29</v>
      </c>
      <c r="L920" s="3">
        <v>1050.43</v>
      </c>
      <c r="M920" s="3">
        <v>146009.76999999999</v>
      </c>
      <c r="N920" s="3">
        <v>127781.31</v>
      </c>
      <c r="O920" s="3">
        <v>18228.46</v>
      </c>
      <c r="P920" s="3" t="s">
        <v>52</v>
      </c>
      <c r="Q920" s="3" t="s">
        <v>32</v>
      </c>
      <c r="R920" s="3">
        <v>12</v>
      </c>
      <c r="S920" s="3" t="s">
        <v>33</v>
      </c>
      <c r="T920" s="3">
        <v>1955</v>
      </c>
      <c r="U920" s="3">
        <v>1</v>
      </c>
      <c r="V920" s="3"/>
    </row>
    <row r="921" spans="1:22" x14ac:dyDescent="0.35">
      <c r="A921" s="2" t="s">
        <v>2676</v>
      </c>
      <c r="B921" s="2" t="s">
        <v>2677</v>
      </c>
      <c r="C921" s="2" t="s">
        <v>2496</v>
      </c>
      <c r="D921" s="2" t="s">
        <v>2678</v>
      </c>
      <c r="E921" s="2" t="s">
        <v>48</v>
      </c>
      <c r="F921" s="2" t="s">
        <v>281</v>
      </c>
      <c r="G921" s="2" t="s">
        <v>129</v>
      </c>
      <c r="H921" s="2" t="s">
        <v>152</v>
      </c>
      <c r="I921" s="2" t="s">
        <v>293</v>
      </c>
      <c r="J921" s="2">
        <v>417</v>
      </c>
      <c r="K921" s="2">
        <v>881.7</v>
      </c>
      <c r="L921" s="2">
        <v>1303.3499999999999</v>
      </c>
      <c r="M921" s="2">
        <v>543496.94999999995</v>
      </c>
      <c r="N921" s="2">
        <v>367668.9</v>
      </c>
      <c r="O921" s="2">
        <v>175828.05</v>
      </c>
      <c r="P921" s="2" t="s">
        <v>42</v>
      </c>
      <c r="Q921" s="2" t="s">
        <v>32</v>
      </c>
      <c r="R921" s="2">
        <v>8</v>
      </c>
      <c r="S921" s="2" t="s">
        <v>86</v>
      </c>
      <c r="T921" s="2">
        <v>2032</v>
      </c>
      <c r="U921" s="2">
        <v>20</v>
      </c>
      <c r="V921" s="2"/>
    </row>
    <row r="922" spans="1:22" x14ac:dyDescent="0.35">
      <c r="A922" s="3" t="s">
        <v>2679</v>
      </c>
      <c r="B922" s="3" t="s">
        <v>1080</v>
      </c>
      <c r="C922" s="3" t="s">
        <v>599</v>
      </c>
      <c r="D922" s="3" t="s">
        <v>2680</v>
      </c>
      <c r="E922" s="3" t="s">
        <v>48</v>
      </c>
      <c r="F922" s="3" t="s">
        <v>49</v>
      </c>
      <c r="G922" s="3" t="s">
        <v>28</v>
      </c>
      <c r="H922" s="3" t="s">
        <v>111</v>
      </c>
      <c r="I922" s="3" t="s">
        <v>85</v>
      </c>
      <c r="J922" s="3">
        <v>398</v>
      </c>
      <c r="K922" s="3">
        <v>637.14</v>
      </c>
      <c r="L922" s="3">
        <v>821.65</v>
      </c>
      <c r="M922" s="3">
        <v>327016.7</v>
      </c>
      <c r="N922" s="3">
        <v>253581.72</v>
      </c>
      <c r="O922" s="3">
        <v>73434.98</v>
      </c>
      <c r="P922" s="3" t="s">
        <v>52</v>
      </c>
      <c r="Q922" s="3" t="s">
        <v>63</v>
      </c>
      <c r="R922" s="3">
        <v>5</v>
      </c>
      <c r="S922" s="3" t="s">
        <v>33</v>
      </c>
      <c r="T922" s="3">
        <v>695</v>
      </c>
      <c r="U922" s="3">
        <v>10</v>
      </c>
      <c r="V922" s="3"/>
    </row>
    <row r="923" spans="1:22" x14ac:dyDescent="0.35">
      <c r="A923" s="2" t="s">
        <v>2681</v>
      </c>
      <c r="B923" s="2" t="s">
        <v>2428</v>
      </c>
      <c r="C923" s="2" t="s">
        <v>919</v>
      </c>
      <c r="D923" s="2" t="s">
        <v>2682</v>
      </c>
      <c r="E923" s="2" t="s">
        <v>100</v>
      </c>
      <c r="F923" s="2" t="s">
        <v>538</v>
      </c>
      <c r="G923" s="2" t="s">
        <v>2683</v>
      </c>
      <c r="H923" s="2" t="s">
        <v>190</v>
      </c>
      <c r="I923" s="2" t="s">
        <v>72</v>
      </c>
      <c r="J923" s="2">
        <v>614</v>
      </c>
      <c r="K923" s="2">
        <v>907.71</v>
      </c>
      <c r="L923" s="2">
        <v>1497.18</v>
      </c>
      <c r="M923" s="2">
        <v>919268.52</v>
      </c>
      <c r="N923" s="2">
        <v>557333.93999999994</v>
      </c>
      <c r="O923" s="2">
        <v>361934.58</v>
      </c>
      <c r="P923" s="2" t="s">
        <v>42</v>
      </c>
      <c r="Q923" s="2" t="s">
        <v>32</v>
      </c>
      <c r="R923" s="2">
        <v>0</v>
      </c>
      <c r="S923" s="2" t="s">
        <v>158</v>
      </c>
      <c r="T923" s="2">
        <v>4272</v>
      </c>
      <c r="U923" s="2">
        <v>20</v>
      </c>
      <c r="V923" s="2"/>
    </row>
    <row r="924" spans="1:22" x14ac:dyDescent="0.35">
      <c r="A924" s="3" t="s">
        <v>2684</v>
      </c>
      <c r="B924" s="3" t="s">
        <v>458</v>
      </c>
      <c r="C924" s="3" t="s">
        <v>1542</v>
      </c>
      <c r="D924" s="3" t="s">
        <v>2685</v>
      </c>
      <c r="E924" s="3" t="s">
        <v>48</v>
      </c>
      <c r="F924" s="3" t="s">
        <v>223</v>
      </c>
      <c r="G924" s="3" t="s">
        <v>189</v>
      </c>
      <c r="H924" s="3" t="s">
        <v>271</v>
      </c>
      <c r="I924" s="3" t="s">
        <v>141</v>
      </c>
      <c r="J924" s="3">
        <v>240</v>
      </c>
      <c r="K924" s="3">
        <v>928.36</v>
      </c>
      <c r="L924" s="3">
        <v>1323.58</v>
      </c>
      <c r="M924" s="3">
        <v>317659.2</v>
      </c>
      <c r="N924" s="3">
        <v>222806.39999999999</v>
      </c>
      <c r="O924" s="3">
        <v>94852.800000000003</v>
      </c>
      <c r="P924" s="3" t="s">
        <v>31</v>
      </c>
      <c r="Q924" s="3" t="s">
        <v>32</v>
      </c>
      <c r="R924" s="3">
        <v>12</v>
      </c>
      <c r="S924" s="3" t="s">
        <v>43</v>
      </c>
      <c r="T924" s="3">
        <v>2360</v>
      </c>
      <c r="U924" s="3">
        <v>11</v>
      </c>
      <c r="V924" s="3"/>
    </row>
    <row r="925" spans="1:22" x14ac:dyDescent="0.35">
      <c r="A925" s="2" t="s">
        <v>2686</v>
      </c>
      <c r="B925" s="2" t="s">
        <v>205</v>
      </c>
      <c r="C925" s="2" t="s">
        <v>2687</v>
      </c>
      <c r="D925" s="2" t="s">
        <v>2688</v>
      </c>
      <c r="E925" s="2" t="s">
        <v>58</v>
      </c>
      <c r="F925" s="2" t="s">
        <v>417</v>
      </c>
      <c r="G925" s="2" t="s">
        <v>50</v>
      </c>
      <c r="H925" s="2" t="s">
        <v>260</v>
      </c>
      <c r="I925" s="2" t="s">
        <v>41</v>
      </c>
      <c r="J925" s="2">
        <v>661</v>
      </c>
      <c r="K925" s="2">
        <v>722.37</v>
      </c>
      <c r="L925" s="2">
        <v>1135.3499999999999</v>
      </c>
      <c r="M925" s="2">
        <v>750466.35</v>
      </c>
      <c r="N925" s="2">
        <v>477486.57</v>
      </c>
      <c r="O925" s="2">
        <v>272979.78000000003</v>
      </c>
      <c r="P925" s="2" t="s">
        <v>95</v>
      </c>
      <c r="Q925" s="2" t="s">
        <v>63</v>
      </c>
      <c r="R925" s="2">
        <v>4</v>
      </c>
      <c r="S925" s="2" t="s">
        <v>33</v>
      </c>
      <c r="T925" s="2">
        <v>1414</v>
      </c>
      <c r="U925" s="2">
        <v>18</v>
      </c>
      <c r="V925" s="2"/>
    </row>
    <row r="926" spans="1:22" x14ac:dyDescent="0.35">
      <c r="A926" s="3" t="s">
        <v>2689</v>
      </c>
      <c r="B926" s="3" t="s">
        <v>379</v>
      </c>
      <c r="C926" s="3" t="s">
        <v>1003</v>
      </c>
      <c r="D926" s="3" t="s">
        <v>2690</v>
      </c>
      <c r="E926" s="3" t="s">
        <v>48</v>
      </c>
      <c r="F926" s="3" t="s">
        <v>223</v>
      </c>
      <c r="G926" s="3" t="s">
        <v>50</v>
      </c>
      <c r="H926" s="3" t="s">
        <v>734</v>
      </c>
      <c r="I926" s="3" t="s">
        <v>293</v>
      </c>
      <c r="J926" s="3">
        <v>84</v>
      </c>
      <c r="K926" s="3">
        <v>1187.1300000000001</v>
      </c>
      <c r="L926" s="3">
        <v>1635.02</v>
      </c>
      <c r="M926" s="3">
        <v>137341.68</v>
      </c>
      <c r="N926" s="3">
        <v>99718.92</v>
      </c>
      <c r="O926" s="3">
        <v>37622.76</v>
      </c>
      <c r="P926" s="3" t="s">
        <v>42</v>
      </c>
      <c r="Q926" s="3" t="s">
        <v>32</v>
      </c>
      <c r="R926" s="3">
        <v>10</v>
      </c>
      <c r="S926" s="3" t="s">
        <v>158</v>
      </c>
      <c r="T926" s="3">
        <v>4892</v>
      </c>
      <c r="U926" s="3">
        <v>0</v>
      </c>
      <c r="V926" s="3"/>
    </row>
    <row r="927" spans="1:22" x14ac:dyDescent="0.35">
      <c r="A927" s="2" t="s">
        <v>2691</v>
      </c>
      <c r="B927" s="2" t="s">
        <v>1347</v>
      </c>
      <c r="C927" s="2" t="s">
        <v>2636</v>
      </c>
      <c r="D927" s="2" t="s">
        <v>2692</v>
      </c>
      <c r="E927" s="2" t="s">
        <v>26</v>
      </c>
      <c r="F927" s="2" t="s">
        <v>92</v>
      </c>
      <c r="G927" s="2" t="s">
        <v>217</v>
      </c>
      <c r="H927" s="2" t="s">
        <v>340</v>
      </c>
      <c r="I927" s="2" t="s">
        <v>293</v>
      </c>
      <c r="J927" s="2">
        <v>714</v>
      </c>
      <c r="K927" s="2">
        <v>1092.1500000000001</v>
      </c>
      <c r="L927" s="2">
        <v>1510.94</v>
      </c>
      <c r="M927" s="2">
        <v>1078811.1599999999</v>
      </c>
      <c r="N927" s="2">
        <v>779795.1</v>
      </c>
      <c r="O927" s="2">
        <v>299016.06</v>
      </c>
      <c r="P927" s="2" t="s">
        <v>95</v>
      </c>
      <c r="Q927" s="2" t="s">
        <v>32</v>
      </c>
      <c r="R927" s="2">
        <v>12</v>
      </c>
      <c r="S927" s="2" t="s">
        <v>33</v>
      </c>
      <c r="T927" s="2">
        <v>4444</v>
      </c>
      <c r="U927" s="2">
        <v>1</v>
      </c>
      <c r="V927" s="2"/>
    </row>
    <row r="928" spans="1:22" x14ac:dyDescent="0.35">
      <c r="A928" s="3" t="s">
        <v>2693</v>
      </c>
      <c r="B928" s="3" t="s">
        <v>2507</v>
      </c>
      <c r="C928" s="3" t="s">
        <v>2694</v>
      </c>
      <c r="D928" s="3" t="s">
        <v>2695</v>
      </c>
      <c r="E928" s="3" t="s">
        <v>48</v>
      </c>
      <c r="F928" s="3" t="s">
        <v>49</v>
      </c>
      <c r="G928" s="3" t="s">
        <v>60</v>
      </c>
      <c r="H928" s="3" t="s">
        <v>834</v>
      </c>
      <c r="I928" s="3" t="s">
        <v>124</v>
      </c>
      <c r="J928" s="3">
        <v>457</v>
      </c>
      <c r="K928" s="3">
        <v>446.01</v>
      </c>
      <c r="L928" s="3">
        <v>594.33000000000004</v>
      </c>
      <c r="M928" s="3">
        <v>271608.81</v>
      </c>
      <c r="N928" s="3">
        <v>203826.57</v>
      </c>
      <c r="O928" s="3">
        <v>67782.240000000005</v>
      </c>
      <c r="P928" s="3" t="s">
        <v>52</v>
      </c>
      <c r="Q928" s="3" t="s">
        <v>63</v>
      </c>
      <c r="R928" s="3">
        <v>5</v>
      </c>
      <c r="S928" s="3" t="s">
        <v>158</v>
      </c>
      <c r="T928" s="3">
        <v>392</v>
      </c>
      <c r="U928" s="3">
        <v>12</v>
      </c>
      <c r="V928" s="3"/>
    </row>
    <row r="929" spans="1:22" x14ac:dyDescent="0.35">
      <c r="A929" s="2" t="s">
        <v>2696</v>
      </c>
      <c r="B929" s="2" t="s">
        <v>1380</v>
      </c>
      <c r="C929" s="2" t="s">
        <v>97</v>
      </c>
      <c r="D929" s="2" t="s">
        <v>2697</v>
      </c>
      <c r="E929" s="2" t="s">
        <v>48</v>
      </c>
      <c r="F929" s="2" t="s">
        <v>49</v>
      </c>
      <c r="G929" s="2" t="s">
        <v>70</v>
      </c>
      <c r="H929" s="2" t="s">
        <v>623</v>
      </c>
      <c r="I929" s="2" t="s">
        <v>293</v>
      </c>
      <c r="J929" s="2">
        <v>296</v>
      </c>
      <c r="K929" s="2">
        <v>424.38</v>
      </c>
      <c r="L929" s="2">
        <v>508.28</v>
      </c>
      <c r="M929" s="2">
        <v>150450.88</v>
      </c>
      <c r="N929" s="2">
        <v>125616.48</v>
      </c>
      <c r="O929" s="2">
        <v>24834.400000000001</v>
      </c>
      <c r="P929" s="2" t="s">
        <v>31</v>
      </c>
      <c r="Q929" s="2" t="s">
        <v>32</v>
      </c>
      <c r="R929" s="2">
        <v>7</v>
      </c>
      <c r="S929" s="2" t="s">
        <v>158</v>
      </c>
      <c r="T929" s="2">
        <v>4870</v>
      </c>
      <c r="U929" s="2">
        <v>12</v>
      </c>
      <c r="V929" s="2"/>
    </row>
    <row r="930" spans="1:22" x14ac:dyDescent="0.35">
      <c r="A930" s="3" t="s">
        <v>2698</v>
      </c>
      <c r="B930" s="3" t="s">
        <v>379</v>
      </c>
      <c r="C930" s="3" t="s">
        <v>701</v>
      </c>
      <c r="D930" s="3" t="s">
        <v>2699</v>
      </c>
      <c r="E930" s="3" t="s">
        <v>100</v>
      </c>
      <c r="F930" s="3" t="s">
        <v>538</v>
      </c>
      <c r="G930" s="3" t="s">
        <v>60</v>
      </c>
      <c r="H930" s="3" t="s">
        <v>834</v>
      </c>
      <c r="I930" s="3" t="s">
        <v>62</v>
      </c>
      <c r="J930" s="3">
        <v>48</v>
      </c>
      <c r="K930" s="3">
        <v>127.98</v>
      </c>
      <c r="L930" s="3">
        <v>156.5</v>
      </c>
      <c r="M930" s="3">
        <v>7512</v>
      </c>
      <c r="N930" s="3">
        <v>6143.04</v>
      </c>
      <c r="O930" s="3">
        <v>1368.96</v>
      </c>
      <c r="P930" s="3" t="s">
        <v>52</v>
      </c>
      <c r="Q930" s="3" t="s">
        <v>63</v>
      </c>
      <c r="R930" s="3">
        <v>4</v>
      </c>
      <c r="S930" s="3" t="s">
        <v>53</v>
      </c>
      <c r="T930" s="3">
        <v>3098</v>
      </c>
      <c r="U930" s="3">
        <v>2</v>
      </c>
      <c r="V930" s="3"/>
    </row>
    <row r="931" spans="1:22" x14ac:dyDescent="0.35">
      <c r="A931" s="2" t="s">
        <v>2700</v>
      </c>
      <c r="B931" s="2" t="s">
        <v>2416</v>
      </c>
      <c r="C931" s="2" t="s">
        <v>2087</v>
      </c>
      <c r="D931" s="2" t="s">
        <v>2701</v>
      </c>
      <c r="E931" s="2" t="s">
        <v>26</v>
      </c>
      <c r="F931" s="2" t="s">
        <v>228</v>
      </c>
      <c r="G931" s="2" t="s">
        <v>28</v>
      </c>
      <c r="H931" s="2" t="s">
        <v>29</v>
      </c>
      <c r="I931" s="2" t="s">
        <v>153</v>
      </c>
      <c r="J931" s="2">
        <v>73</v>
      </c>
      <c r="K931" s="2">
        <v>175.56</v>
      </c>
      <c r="L931" s="2">
        <v>205.26</v>
      </c>
      <c r="M931" s="2">
        <v>14983.98</v>
      </c>
      <c r="N931" s="2">
        <v>12815.88</v>
      </c>
      <c r="O931" s="2">
        <v>2168.1</v>
      </c>
      <c r="P931" s="2" t="s">
        <v>31</v>
      </c>
      <c r="Q931" s="2" t="s">
        <v>32</v>
      </c>
      <c r="R931" s="2">
        <v>14</v>
      </c>
      <c r="S931" s="2" t="s">
        <v>43</v>
      </c>
      <c r="T931" s="2">
        <v>4270</v>
      </c>
      <c r="U931" s="2">
        <v>2</v>
      </c>
      <c r="V931" s="2"/>
    </row>
    <row r="932" spans="1:22" x14ac:dyDescent="0.35">
      <c r="A932" s="3" t="s">
        <v>2702</v>
      </c>
      <c r="B932" s="3" t="s">
        <v>1632</v>
      </c>
      <c r="C932" s="3" t="s">
        <v>932</v>
      </c>
      <c r="D932" s="3" t="s">
        <v>2703</v>
      </c>
      <c r="E932" s="3" t="s">
        <v>26</v>
      </c>
      <c r="F932" s="3" t="s">
        <v>77</v>
      </c>
      <c r="G932" s="3" t="s">
        <v>60</v>
      </c>
      <c r="H932" s="3" t="s">
        <v>2704</v>
      </c>
      <c r="I932" s="3" t="s">
        <v>62</v>
      </c>
      <c r="J932" s="3">
        <v>328</v>
      </c>
      <c r="K932" s="3">
        <v>580.91999999999996</v>
      </c>
      <c r="L932" s="3">
        <v>697.26</v>
      </c>
      <c r="M932" s="3">
        <v>228701.28</v>
      </c>
      <c r="N932" s="3">
        <v>190541.76</v>
      </c>
      <c r="O932" s="3">
        <v>38159.519999999997</v>
      </c>
      <c r="P932" s="3" t="s">
        <v>52</v>
      </c>
      <c r="Q932" s="3" t="s">
        <v>32</v>
      </c>
      <c r="R932" s="3">
        <v>8</v>
      </c>
      <c r="S932" s="3" t="s">
        <v>86</v>
      </c>
      <c r="T932" s="4" t="s">
        <v>1893</v>
      </c>
      <c r="U932" s="3">
        <v>7</v>
      </c>
      <c r="V932" s="3"/>
    </row>
    <row r="933" spans="1:22" x14ac:dyDescent="0.35">
      <c r="A933" s="2" t="s">
        <v>2705</v>
      </c>
      <c r="B933" s="2" t="s">
        <v>2706</v>
      </c>
      <c r="C933" s="2" t="s">
        <v>338</v>
      </c>
      <c r="D933" s="2" t="s">
        <v>2707</v>
      </c>
      <c r="E933" s="2" t="s">
        <v>26</v>
      </c>
      <c r="F933" s="2" t="s">
        <v>228</v>
      </c>
      <c r="G933" s="2" t="s">
        <v>50</v>
      </c>
      <c r="H933" s="2" t="s">
        <v>117</v>
      </c>
      <c r="I933" s="2" t="s">
        <v>30</v>
      </c>
      <c r="J933" s="2">
        <v>358</v>
      </c>
      <c r="K933" s="2">
        <v>182.77</v>
      </c>
      <c r="L933" s="2">
        <v>222.67</v>
      </c>
      <c r="M933" s="2">
        <v>79715.86</v>
      </c>
      <c r="N933" s="2">
        <v>65431.66</v>
      </c>
      <c r="O933" s="2">
        <v>14284.2</v>
      </c>
      <c r="P933" s="2" t="s">
        <v>95</v>
      </c>
      <c r="Q933" s="2" t="s">
        <v>867</v>
      </c>
      <c r="R933" s="2">
        <v>6</v>
      </c>
      <c r="S933" s="2" t="s">
        <v>43</v>
      </c>
      <c r="T933" s="2">
        <v>2173</v>
      </c>
      <c r="U933" s="2">
        <v>3</v>
      </c>
      <c r="V933" s="2"/>
    </row>
    <row r="934" spans="1:22" x14ac:dyDescent="0.35">
      <c r="A934" s="3" t="s">
        <v>2708</v>
      </c>
      <c r="B934" s="3" t="s">
        <v>545</v>
      </c>
      <c r="C934" s="3" t="s">
        <v>2031</v>
      </c>
      <c r="D934" s="3" t="s">
        <v>2709</v>
      </c>
      <c r="E934" s="3" t="s">
        <v>58</v>
      </c>
      <c r="F934" s="3" t="s">
        <v>59</v>
      </c>
      <c r="G934" s="3" t="s">
        <v>60</v>
      </c>
      <c r="H934" s="3" t="s">
        <v>400</v>
      </c>
      <c r="I934" s="3" t="s">
        <v>191</v>
      </c>
      <c r="J934" s="3">
        <v>388</v>
      </c>
      <c r="K934" s="3">
        <v>842.67</v>
      </c>
      <c r="L934" s="4"/>
      <c r="M934" s="3">
        <v>496709.84</v>
      </c>
      <c r="N934" s="3">
        <v>326955.96000000002</v>
      </c>
      <c r="O934" s="3">
        <v>169753.88</v>
      </c>
      <c r="P934" s="3" t="s">
        <v>42</v>
      </c>
      <c r="Q934" s="3" t="s">
        <v>32</v>
      </c>
      <c r="R934" s="3">
        <v>6</v>
      </c>
      <c r="S934" s="3" t="s">
        <v>112</v>
      </c>
      <c r="T934" s="3">
        <v>4929</v>
      </c>
      <c r="U934" s="3">
        <v>6</v>
      </c>
      <c r="V934" s="3"/>
    </row>
    <row r="935" spans="1:22" x14ac:dyDescent="0.35">
      <c r="A935" s="2" t="s">
        <v>2710</v>
      </c>
      <c r="B935" s="2" t="s">
        <v>55</v>
      </c>
      <c r="C935" s="2" t="s">
        <v>912</v>
      </c>
      <c r="D935" s="2" t="s">
        <v>2711</v>
      </c>
      <c r="E935" s="2" t="s">
        <v>58</v>
      </c>
      <c r="F935" s="2" t="s">
        <v>122</v>
      </c>
      <c r="G935" s="2" t="s">
        <v>217</v>
      </c>
      <c r="H935" s="2" t="s">
        <v>292</v>
      </c>
      <c r="I935" s="2" t="s">
        <v>30</v>
      </c>
      <c r="J935" s="2">
        <v>716</v>
      </c>
      <c r="K935" s="2">
        <v>527.15</v>
      </c>
      <c r="L935" s="2">
        <v>807.89</v>
      </c>
      <c r="M935" s="2">
        <v>578449.24</v>
      </c>
      <c r="N935" s="2">
        <v>377439.4</v>
      </c>
      <c r="O935" s="2">
        <v>201009.84</v>
      </c>
      <c r="P935" s="2" t="s">
        <v>31</v>
      </c>
      <c r="Q935" s="2" t="s">
        <v>32</v>
      </c>
      <c r="R935" s="2">
        <v>10</v>
      </c>
      <c r="S935" s="2" t="s">
        <v>33</v>
      </c>
      <c r="T935" s="2">
        <v>2717</v>
      </c>
      <c r="U935" s="2">
        <v>27</v>
      </c>
      <c r="V935" s="2"/>
    </row>
    <row r="936" spans="1:22" x14ac:dyDescent="0.35">
      <c r="A936" s="3" t="s">
        <v>2712</v>
      </c>
      <c r="B936" s="3" t="s">
        <v>1445</v>
      </c>
      <c r="C936" s="3" t="s">
        <v>1213</v>
      </c>
      <c r="D936" s="3" t="s">
        <v>1094</v>
      </c>
      <c r="E936" s="3" t="s">
        <v>26</v>
      </c>
      <c r="F936" s="3" t="s">
        <v>92</v>
      </c>
      <c r="G936" s="3" t="s">
        <v>93</v>
      </c>
      <c r="H936" s="3" t="s">
        <v>302</v>
      </c>
      <c r="I936" s="3" t="s">
        <v>153</v>
      </c>
      <c r="J936" s="3">
        <v>513</v>
      </c>
      <c r="K936" s="3">
        <v>615.82000000000005</v>
      </c>
      <c r="L936" s="3">
        <v>788.53</v>
      </c>
      <c r="M936" s="3">
        <v>404515.89</v>
      </c>
      <c r="N936" s="3">
        <v>315915.65999999997</v>
      </c>
      <c r="O936" s="3">
        <v>88600.23</v>
      </c>
      <c r="P936" s="3" t="s">
        <v>52</v>
      </c>
      <c r="Q936" s="3" t="s">
        <v>63</v>
      </c>
      <c r="R936" s="3">
        <v>5</v>
      </c>
      <c r="S936" s="3" t="s">
        <v>86</v>
      </c>
      <c r="T936" s="3">
        <v>2778</v>
      </c>
      <c r="U936" s="3">
        <v>15</v>
      </c>
      <c r="V936" s="3"/>
    </row>
    <row r="937" spans="1:22" x14ac:dyDescent="0.35">
      <c r="A937" s="2" t="s">
        <v>2713</v>
      </c>
      <c r="B937" s="2" t="s">
        <v>950</v>
      </c>
      <c r="C937" s="2" t="s">
        <v>448</v>
      </c>
      <c r="D937" s="2" t="s">
        <v>2714</v>
      </c>
      <c r="E937" s="2" t="s">
        <v>58</v>
      </c>
      <c r="F937" s="2" t="s">
        <v>417</v>
      </c>
      <c r="G937" s="2" t="s">
        <v>50</v>
      </c>
      <c r="H937" s="2" t="s">
        <v>107</v>
      </c>
      <c r="I937" s="2" t="s">
        <v>191</v>
      </c>
      <c r="J937" s="2">
        <v>290</v>
      </c>
      <c r="K937" s="2">
        <v>391.73</v>
      </c>
      <c r="L937" s="2">
        <v>442.39</v>
      </c>
      <c r="M937" s="2">
        <v>128293.1</v>
      </c>
      <c r="N937" s="2">
        <v>113601.7</v>
      </c>
      <c r="O937" s="2">
        <v>14691.4</v>
      </c>
      <c r="P937" s="2" t="s">
        <v>52</v>
      </c>
      <c r="Q937" s="2" t="s">
        <v>32</v>
      </c>
      <c r="R937" s="2">
        <v>10</v>
      </c>
      <c r="S937" s="2" t="s">
        <v>33</v>
      </c>
      <c r="T937" s="2">
        <v>4642</v>
      </c>
      <c r="U937" s="2">
        <v>13</v>
      </c>
      <c r="V937" s="2"/>
    </row>
    <row r="938" spans="1:22" x14ac:dyDescent="0.35">
      <c r="A938" s="3" t="s">
        <v>2715</v>
      </c>
      <c r="B938" s="3" t="s">
        <v>1111</v>
      </c>
      <c r="C938" s="3" t="s">
        <v>1348</v>
      </c>
      <c r="D938" s="3" t="s">
        <v>2716</v>
      </c>
      <c r="E938" s="3" t="s">
        <v>26</v>
      </c>
      <c r="F938" s="3" t="s">
        <v>38</v>
      </c>
      <c r="G938" s="3" t="s">
        <v>39</v>
      </c>
      <c r="H938" s="3" t="s">
        <v>477</v>
      </c>
      <c r="I938" s="3" t="s">
        <v>62</v>
      </c>
      <c r="J938" s="3">
        <v>664</v>
      </c>
      <c r="K938" s="3">
        <v>852.85</v>
      </c>
      <c r="L938" s="3">
        <v>1260.6099999999999</v>
      </c>
      <c r="M938" s="3">
        <v>837045.04</v>
      </c>
      <c r="N938" s="3">
        <v>566292.4</v>
      </c>
      <c r="O938" s="3">
        <v>270752.64000000001</v>
      </c>
      <c r="P938" s="3" t="s">
        <v>95</v>
      </c>
      <c r="Q938" s="3" t="s">
        <v>32</v>
      </c>
      <c r="R938" s="3">
        <v>11</v>
      </c>
      <c r="S938" s="3" t="s">
        <v>86</v>
      </c>
      <c r="T938" s="3">
        <v>2190</v>
      </c>
      <c r="U938" s="3">
        <v>30</v>
      </c>
      <c r="V938" s="3"/>
    </row>
    <row r="939" spans="1:22" x14ac:dyDescent="0.35">
      <c r="A939" s="2" t="s">
        <v>2717</v>
      </c>
      <c r="B939" s="2" t="s">
        <v>242</v>
      </c>
      <c r="C939" s="2" t="s">
        <v>2569</v>
      </c>
      <c r="D939" s="2" t="s">
        <v>2718</v>
      </c>
      <c r="E939" s="2" t="s">
        <v>68</v>
      </c>
      <c r="F939" s="2" t="s">
        <v>276</v>
      </c>
      <c r="G939" s="2" t="s">
        <v>28</v>
      </c>
      <c r="H939" s="2" t="s">
        <v>507</v>
      </c>
      <c r="I939" s="2" t="s">
        <v>191</v>
      </c>
      <c r="J939" s="2">
        <v>218</v>
      </c>
      <c r="K939" s="2">
        <v>784.81</v>
      </c>
      <c r="L939" s="2">
        <v>984</v>
      </c>
      <c r="M939" s="2">
        <v>214512</v>
      </c>
      <c r="N939" s="2">
        <v>171088.58</v>
      </c>
      <c r="O939" s="2">
        <v>43423.42</v>
      </c>
      <c r="P939" s="2" t="s">
        <v>95</v>
      </c>
      <c r="Q939" s="2" t="s">
        <v>32</v>
      </c>
      <c r="R939" s="2">
        <v>15</v>
      </c>
      <c r="S939" s="2" t="s">
        <v>112</v>
      </c>
      <c r="T939" s="2">
        <v>2353</v>
      </c>
      <c r="U939" s="2">
        <v>8</v>
      </c>
      <c r="V939" s="2"/>
    </row>
    <row r="940" spans="1:22" x14ac:dyDescent="0.35">
      <c r="A940" s="3" t="s">
        <v>2719</v>
      </c>
      <c r="B940" s="3" t="s">
        <v>1509</v>
      </c>
      <c r="C940" s="3" t="s">
        <v>1065</v>
      </c>
      <c r="D940" s="3" t="s">
        <v>2720</v>
      </c>
      <c r="E940" s="3" t="s">
        <v>100</v>
      </c>
      <c r="F940" s="3" t="s">
        <v>101</v>
      </c>
      <c r="G940" s="3" t="s">
        <v>39</v>
      </c>
      <c r="H940" s="3" t="s">
        <v>664</v>
      </c>
      <c r="I940" s="3" t="s">
        <v>41</v>
      </c>
      <c r="J940" s="3">
        <v>563</v>
      </c>
      <c r="K940" s="3">
        <v>1005.93</v>
      </c>
      <c r="L940" s="3">
        <v>1232.22</v>
      </c>
      <c r="M940" s="3">
        <v>693739.86</v>
      </c>
      <c r="N940" s="3">
        <v>566338.59</v>
      </c>
      <c r="O940" s="3">
        <v>127401.27</v>
      </c>
      <c r="P940" s="3" t="s">
        <v>95</v>
      </c>
      <c r="Q940" s="3" t="s">
        <v>32</v>
      </c>
      <c r="R940" s="3">
        <v>14</v>
      </c>
      <c r="S940" s="3" t="s">
        <v>33</v>
      </c>
      <c r="T940" s="3">
        <v>4654</v>
      </c>
      <c r="U940" s="3">
        <v>18</v>
      </c>
      <c r="V940" s="3"/>
    </row>
    <row r="941" spans="1:22" x14ac:dyDescent="0.35">
      <c r="A941" s="2" t="s">
        <v>2721</v>
      </c>
      <c r="B941" s="2" t="s">
        <v>1328</v>
      </c>
      <c r="C941" s="2" t="s">
        <v>656</v>
      </c>
      <c r="D941" s="2" t="s">
        <v>2722</v>
      </c>
      <c r="E941" s="2" t="s">
        <v>100</v>
      </c>
      <c r="F941" s="2" t="s">
        <v>101</v>
      </c>
      <c r="G941" s="2" t="s">
        <v>39</v>
      </c>
      <c r="H941" s="2" t="s">
        <v>647</v>
      </c>
      <c r="I941" s="2" t="s">
        <v>62</v>
      </c>
      <c r="J941" s="2">
        <v>720</v>
      </c>
      <c r="K941" s="2">
        <v>808.23</v>
      </c>
      <c r="L941" s="2">
        <v>1116.22</v>
      </c>
      <c r="M941" s="2">
        <v>803678.4</v>
      </c>
      <c r="N941" s="2">
        <v>581925.6</v>
      </c>
      <c r="O941" s="2">
        <v>221752.8</v>
      </c>
      <c r="P941" s="2" t="s">
        <v>52</v>
      </c>
      <c r="Q941" s="2" t="s">
        <v>32</v>
      </c>
      <c r="R941" s="2">
        <v>11</v>
      </c>
      <c r="S941" s="2" t="s">
        <v>112</v>
      </c>
      <c r="T941" s="2">
        <v>1980</v>
      </c>
      <c r="U941" s="2">
        <v>16</v>
      </c>
      <c r="V941" s="2"/>
    </row>
    <row r="942" spans="1:22" x14ac:dyDescent="0.35">
      <c r="A942" s="3" t="s">
        <v>2723</v>
      </c>
      <c r="B942" s="3" t="s">
        <v>1152</v>
      </c>
      <c r="C942" s="3" t="s">
        <v>363</v>
      </c>
      <c r="D942" s="3" t="s">
        <v>2724</v>
      </c>
      <c r="E942" s="3" t="s">
        <v>26</v>
      </c>
      <c r="F942" s="3" t="s">
        <v>27</v>
      </c>
      <c r="G942" s="3" t="s">
        <v>70</v>
      </c>
      <c r="H942" s="3" t="s">
        <v>384</v>
      </c>
      <c r="I942" s="3" t="s">
        <v>1704</v>
      </c>
      <c r="J942" s="3">
        <v>72</v>
      </c>
      <c r="K942" s="3">
        <v>480.79</v>
      </c>
      <c r="L942" s="3">
        <v>660.96</v>
      </c>
      <c r="M942" s="3">
        <v>47589.120000000003</v>
      </c>
      <c r="N942" s="3">
        <v>34616.879999999997</v>
      </c>
      <c r="O942" s="3">
        <v>12972.24</v>
      </c>
      <c r="P942" s="3" t="s">
        <v>52</v>
      </c>
      <c r="Q942" s="3" t="s">
        <v>32</v>
      </c>
      <c r="R942" s="3">
        <v>6</v>
      </c>
      <c r="S942" s="3" t="s">
        <v>86</v>
      </c>
      <c r="T942" s="3">
        <v>4992</v>
      </c>
      <c r="U942" s="3">
        <v>3</v>
      </c>
      <c r="V942" s="3"/>
    </row>
    <row r="943" spans="1:22" x14ac:dyDescent="0.35">
      <c r="A943" s="2" t="s">
        <v>2725</v>
      </c>
      <c r="B943" s="2" t="s">
        <v>2726</v>
      </c>
      <c r="C943" s="2" t="s">
        <v>499</v>
      </c>
      <c r="D943" s="2" t="s">
        <v>2727</v>
      </c>
      <c r="E943" s="2" t="s">
        <v>48</v>
      </c>
      <c r="F943" s="2" t="s">
        <v>49</v>
      </c>
      <c r="G943" s="2" t="s">
        <v>39</v>
      </c>
      <c r="H943" s="2" t="s">
        <v>354</v>
      </c>
      <c r="I943" s="2" t="s">
        <v>30</v>
      </c>
      <c r="J943" s="2">
        <v>416</v>
      </c>
      <c r="K943" s="2">
        <v>941.63</v>
      </c>
      <c r="L943" s="2">
        <v>1240.58</v>
      </c>
      <c r="M943" s="2">
        <v>516081.28</v>
      </c>
      <c r="N943" s="2">
        <v>391718.08</v>
      </c>
      <c r="O943" s="2">
        <v>124363.2</v>
      </c>
      <c r="P943" s="2" t="s">
        <v>42</v>
      </c>
      <c r="Q943" s="2" t="s">
        <v>32</v>
      </c>
      <c r="R943" s="2">
        <v>11</v>
      </c>
      <c r="S943" s="2" t="s">
        <v>33</v>
      </c>
      <c r="T943" s="2">
        <v>3085</v>
      </c>
      <c r="U943" s="2">
        <v>8</v>
      </c>
      <c r="V943" s="2"/>
    </row>
    <row r="944" spans="1:22" x14ac:dyDescent="0.35">
      <c r="A944" s="3" t="s">
        <v>2728</v>
      </c>
      <c r="B944" s="3" t="s">
        <v>1291</v>
      </c>
      <c r="C944" s="3" t="s">
        <v>394</v>
      </c>
      <c r="D944" s="3" t="s">
        <v>2729</v>
      </c>
      <c r="E944" s="3" t="s">
        <v>48</v>
      </c>
      <c r="F944" s="3" t="s">
        <v>183</v>
      </c>
      <c r="G944" s="3" t="s">
        <v>189</v>
      </c>
      <c r="H944" s="3" t="s">
        <v>311</v>
      </c>
      <c r="I944" s="3" t="s">
        <v>118</v>
      </c>
      <c r="J944" s="3">
        <v>365</v>
      </c>
      <c r="K944" s="3">
        <v>888.59</v>
      </c>
      <c r="L944" s="3">
        <v>1167.56</v>
      </c>
      <c r="M944" s="3">
        <v>426159.4</v>
      </c>
      <c r="N944" s="3">
        <v>324335.34999999998</v>
      </c>
      <c r="O944" s="3">
        <v>101824.05</v>
      </c>
      <c r="P944" s="3" t="s">
        <v>31</v>
      </c>
      <c r="Q944" s="3" t="s">
        <v>32</v>
      </c>
      <c r="R944" s="3">
        <v>10</v>
      </c>
      <c r="S944" s="3" t="s">
        <v>43</v>
      </c>
      <c r="T944" s="3">
        <v>4320</v>
      </c>
      <c r="U944" s="3">
        <v>5</v>
      </c>
      <c r="V944" s="3"/>
    </row>
    <row r="945" spans="1:22" x14ac:dyDescent="0.35">
      <c r="A945" s="2" t="s">
        <v>2730</v>
      </c>
      <c r="B945" s="2" t="s">
        <v>712</v>
      </c>
      <c r="C945" s="2" t="s">
        <v>488</v>
      </c>
      <c r="D945" s="2" t="s">
        <v>2731</v>
      </c>
      <c r="E945" s="2" t="s">
        <v>100</v>
      </c>
      <c r="F945" s="2" t="s">
        <v>106</v>
      </c>
      <c r="G945" s="2" t="s">
        <v>78</v>
      </c>
      <c r="H945" s="2" t="s">
        <v>79</v>
      </c>
      <c r="I945" s="2" t="s">
        <v>41</v>
      </c>
      <c r="J945" s="2">
        <v>285</v>
      </c>
      <c r="K945" s="2">
        <v>450.93</v>
      </c>
      <c r="L945" s="2">
        <v>514.49</v>
      </c>
      <c r="M945" s="2">
        <v>146629.65</v>
      </c>
      <c r="N945" s="2">
        <v>128515.05</v>
      </c>
      <c r="O945" s="2">
        <v>18114.599999999999</v>
      </c>
      <c r="P945" s="2" t="s">
        <v>95</v>
      </c>
      <c r="Q945" s="2" t="s">
        <v>32</v>
      </c>
      <c r="R945" s="2">
        <v>10</v>
      </c>
      <c r="S945" s="2" t="s">
        <v>86</v>
      </c>
      <c r="T945" s="4" t="s">
        <v>1893</v>
      </c>
      <c r="U945" s="2">
        <v>2</v>
      </c>
      <c r="V945" s="2"/>
    </row>
    <row r="946" spans="1:22" x14ac:dyDescent="0.35">
      <c r="A946" s="3" t="s">
        <v>2732</v>
      </c>
      <c r="B946" s="3" t="s">
        <v>2733</v>
      </c>
      <c r="C946" s="3" t="s">
        <v>2734</v>
      </c>
      <c r="D946" s="3" t="s">
        <v>2735</v>
      </c>
      <c r="E946" s="3" t="s">
        <v>26</v>
      </c>
      <c r="F946" s="3" t="s">
        <v>92</v>
      </c>
      <c r="G946" s="3" t="s">
        <v>50</v>
      </c>
      <c r="H946" s="3" t="s">
        <v>734</v>
      </c>
      <c r="I946" s="3" t="s">
        <v>124</v>
      </c>
      <c r="J946" s="3">
        <v>140</v>
      </c>
      <c r="K946" s="3">
        <v>974.13</v>
      </c>
      <c r="L946" s="3">
        <v>1532.09</v>
      </c>
      <c r="M946" s="3">
        <v>214492.6</v>
      </c>
      <c r="N946" s="3">
        <v>136378.20000000001</v>
      </c>
      <c r="O946" s="3">
        <v>78114.399999999994</v>
      </c>
      <c r="P946" s="3" t="s">
        <v>42</v>
      </c>
      <c r="Q946" s="3" t="s">
        <v>63</v>
      </c>
      <c r="R946" s="3">
        <v>3</v>
      </c>
      <c r="S946" s="3" t="s">
        <v>112</v>
      </c>
      <c r="T946" s="3">
        <v>2546</v>
      </c>
      <c r="U946" s="3">
        <v>7</v>
      </c>
      <c r="V946" s="3"/>
    </row>
    <row r="947" spans="1:22" x14ac:dyDescent="0.35">
      <c r="A947" s="2" t="s">
        <v>2736</v>
      </c>
      <c r="B947" s="2" t="s">
        <v>741</v>
      </c>
      <c r="C947" s="2" t="s">
        <v>656</v>
      </c>
      <c r="D947" s="2" t="s">
        <v>2737</v>
      </c>
      <c r="E947" s="2" t="s">
        <v>2477</v>
      </c>
      <c r="F947" s="2" t="s">
        <v>49</v>
      </c>
      <c r="G947" s="2" t="s">
        <v>60</v>
      </c>
      <c r="H947" s="2" t="s">
        <v>61</v>
      </c>
      <c r="I947" s="2" t="s">
        <v>124</v>
      </c>
      <c r="J947" s="2">
        <v>484</v>
      </c>
      <c r="K947" s="2">
        <v>631.37</v>
      </c>
      <c r="L947" s="2">
        <v>830.35</v>
      </c>
      <c r="M947" s="2">
        <v>401889.4</v>
      </c>
      <c r="N947" s="2">
        <v>305583.08</v>
      </c>
      <c r="O947" s="2">
        <v>96306.32</v>
      </c>
      <c r="P947" s="2" t="s">
        <v>95</v>
      </c>
      <c r="Q947" s="2" t="s">
        <v>32</v>
      </c>
      <c r="R947" s="2">
        <v>8</v>
      </c>
      <c r="S947" s="2" t="s">
        <v>53</v>
      </c>
      <c r="T947" s="2">
        <v>4064</v>
      </c>
      <c r="U947" s="2">
        <v>22</v>
      </c>
      <c r="V947" s="2"/>
    </row>
    <row r="948" spans="1:22" x14ac:dyDescent="0.35">
      <c r="A948" s="3" t="s">
        <v>957</v>
      </c>
      <c r="B948" s="3" t="s">
        <v>774</v>
      </c>
      <c r="C948" s="3" t="s">
        <v>137</v>
      </c>
      <c r="D948" s="3" t="s">
        <v>958</v>
      </c>
      <c r="E948" s="3" t="s">
        <v>68</v>
      </c>
      <c r="F948" s="3" t="s">
        <v>276</v>
      </c>
      <c r="G948" s="3" t="s">
        <v>78</v>
      </c>
      <c r="H948" s="3" t="s">
        <v>572</v>
      </c>
      <c r="I948" s="3" t="s">
        <v>124</v>
      </c>
      <c r="J948" s="3">
        <v>371</v>
      </c>
      <c r="K948" s="3">
        <v>1150.4000000000001</v>
      </c>
      <c r="L948" s="3">
        <v>1572.88</v>
      </c>
      <c r="M948" s="3">
        <v>583538.48</v>
      </c>
      <c r="N948" s="3">
        <v>426798.4</v>
      </c>
      <c r="O948" s="3">
        <v>156740.07999999999</v>
      </c>
      <c r="P948" s="3" t="s">
        <v>42</v>
      </c>
      <c r="Q948" s="3" t="s">
        <v>32</v>
      </c>
      <c r="R948" s="3">
        <v>14</v>
      </c>
      <c r="S948" s="3" t="s">
        <v>86</v>
      </c>
      <c r="T948" s="3">
        <v>384</v>
      </c>
      <c r="U948" s="3">
        <v>17</v>
      </c>
      <c r="V948" s="3"/>
    </row>
    <row r="949" spans="1:22" x14ac:dyDescent="0.35">
      <c r="A949" s="2" t="s">
        <v>2738</v>
      </c>
      <c r="B949" s="2" t="s">
        <v>742</v>
      </c>
      <c r="C949" s="2" t="s">
        <v>2301</v>
      </c>
      <c r="D949" s="2" t="s">
        <v>2739</v>
      </c>
      <c r="E949" s="2" t="s">
        <v>26</v>
      </c>
      <c r="F949" s="2" t="s">
        <v>38</v>
      </c>
      <c r="G949" s="2" t="s">
        <v>60</v>
      </c>
      <c r="H949" s="2" t="s">
        <v>834</v>
      </c>
      <c r="I949" s="2" t="s">
        <v>124</v>
      </c>
      <c r="J949" s="2">
        <v>378</v>
      </c>
      <c r="K949" s="2">
        <v>42.11</v>
      </c>
      <c r="L949" s="2">
        <v>56.53</v>
      </c>
      <c r="M949" s="2">
        <v>21368.34</v>
      </c>
      <c r="N949" s="2">
        <v>15917.58</v>
      </c>
      <c r="O949" s="2">
        <v>5450.76</v>
      </c>
      <c r="P949" s="2" t="s">
        <v>31</v>
      </c>
      <c r="Q949" s="2" t="s">
        <v>32</v>
      </c>
      <c r="R949" s="2">
        <v>6</v>
      </c>
      <c r="S949" s="2" t="s">
        <v>33</v>
      </c>
      <c r="T949" s="2">
        <v>4483</v>
      </c>
      <c r="U949" s="2">
        <v>3</v>
      </c>
      <c r="V949" s="2"/>
    </row>
    <row r="950" spans="1:22" x14ac:dyDescent="0.35">
      <c r="A950" s="3" t="s">
        <v>2740</v>
      </c>
      <c r="B950" s="3" t="s">
        <v>1130</v>
      </c>
      <c r="C950" s="3" t="s">
        <v>274</v>
      </c>
      <c r="D950" s="3" t="s">
        <v>2741</v>
      </c>
      <c r="E950" s="3" t="s">
        <v>26</v>
      </c>
      <c r="F950" s="3" t="s">
        <v>38</v>
      </c>
      <c r="G950" s="3" t="s">
        <v>50</v>
      </c>
      <c r="H950" s="3" t="s">
        <v>51</v>
      </c>
      <c r="I950" s="3" t="s">
        <v>124</v>
      </c>
      <c r="J950" s="3">
        <v>146</v>
      </c>
      <c r="K950" s="3">
        <v>731.26</v>
      </c>
      <c r="L950" s="4"/>
      <c r="M950" s="3">
        <v>171266.76</v>
      </c>
      <c r="N950" s="3">
        <v>106763.96</v>
      </c>
      <c r="O950" s="3">
        <v>64502.8</v>
      </c>
      <c r="P950" s="3" t="s">
        <v>2742</v>
      </c>
      <c r="Q950" s="3" t="s">
        <v>32</v>
      </c>
      <c r="R950" s="3">
        <v>8</v>
      </c>
      <c r="S950" s="3" t="s">
        <v>53</v>
      </c>
      <c r="T950" s="3">
        <v>1262</v>
      </c>
      <c r="U950" s="3">
        <v>5</v>
      </c>
      <c r="V950" s="3"/>
    </row>
    <row r="951" spans="1:22" x14ac:dyDescent="0.35">
      <c r="A951" s="2" t="s">
        <v>2743</v>
      </c>
      <c r="B951" s="2" t="s">
        <v>1022</v>
      </c>
      <c r="C951" s="2" t="s">
        <v>633</v>
      </c>
      <c r="D951" s="2" t="s">
        <v>2744</v>
      </c>
      <c r="E951" s="2" t="s">
        <v>2745</v>
      </c>
      <c r="F951" s="2" t="s">
        <v>92</v>
      </c>
      <c r="G951" s="2" t="s">
        <v>93</v>
      </c>
      <c r="H951" s="2" t="s">
        <v>184</v>
      </c>
      <c r="I951" s="2" t="s">
        <v>85</v>
      </c>
      <c r="J951" s="2">
        <v>352</v>
      </c>
      <c r="K951" s="2">
        <v>563.16</v>
      </c>
      <c r="L951" s="2">
        <v>908.16</v>
      </c>
      <c r="M951" s="2">
        <v>319672.32000000001</v>
      </c>
      <c r="N951" s="2">
        <v>198232.32000000001</v>
      </c>
      <c r="O951" s="2">
        <v>121440</v>
      </c>
      <c r="P951" s="2" t="s">
        <v>42</v>
      </c>
      <c r="Q951" s="2" t="s">
        <v>32</v>
      </c>
      <c r="R951" s="2">
        <v>6</v>
      </c>
      <c r="S951" s="2" t="s">
        <v>43</v>
      </c>
      <c r="T951" s="2">
        <v>3968</v>
      </c>
      <c r="U951" s="2">
        <v>2</v>
      </c>
      <c r="V951" s="2"/>
    </row>
    <row r="952" spans="1:22" x14ac:dyDescent="0.35">
      <c r="A952" s="3" t="s">
        <v>2746</v>
      </c>
      <c r="B952" s="3" t="s">
        <v>574</v>
      </c>
      <c r="C952" s="3" t="s">
        <v>23</v>
      </c>
      <c r="D952" s="3" t="s">
        <v>2747</v>
      </c>
      <c r="E952" s="3" t="s">
        <v>68</v>
      </c>
      <c r="F952" s="3" t="s">
        <v>146</v>
      </c>
      <c r="G952" s="3" t="s">
        <v>50</v>
      </c>
      <c r="H952" s="3" t="s">
        <v>173</v>
      </c>
      <c r="I952" s="3" t="s">
        <v>540</v>
      </c>
      <c r="J952" s="3">
        <v>615</v>
      </c>
      <c r="K952" s="3">
        <v>649.41</v>
      </c>
      <c r="L952" s="3">
        <v>978.91</v>
      </c>
      <c r="M952" s="3">
        <v>602029.65</v>
      </c>
      <c r="N952" s="3">
        <v>399387.15</v>
      </c>
      <c r="O952" s="3">
        <v>202642.5</v>
      </c>
      <c r="P952" s="3" t="s">
        <v>95</v>
      </c>
      <c r="Q952" s="3" t="s">
        <v>32</v>
      </c>
      <c r="R952" s="3">
        <v>12</v>
      </c>
      <c r="S952" s="3" t="s">
        <v>43</v>
      </c>
      <c r="T952" s="3">
        <v>1051</v>
      </c>
      <c r="U952" s="3">
        <v>12</v>
      </c>
      <c r="V952" s="3"/>
    </row>
    <row r="953" spans="1:22" x14ac:dyDescent="0.35">
      <c r="A953" s="2" t="s">
        <v>2748</v>
      </c>
      <c r="B953" s="2" t="s">
        <v>549</v>
      </c>
      <c r="C953" s="2" t="s">
        <v>2749</v>
      </c>
      <c r="D953" s="2" t="s">
        <v>2750</v>
      </c>
      <c r="E953" s="2" t="s">
        <v>48</v>
      </c>
      <c r="F953" s="2" t="s">
        <v>49</v>
      </c>
      <c r="G953" s="2" t="s">
        <v>50</v>
      </c>
      <c r="H953" s="2" t="s">
        <v>51</v>
      </c>
      <c r="I953" s="2" t="s">
        <v>118</v>
      </c>
      <c r="J953" s="2">
        <v>278</v>
      </c>
      <c r="K953" s="2">
        <v>1167.79</v>
      </c>
      <c r="L953" s="2">
        <v>1711.89</v>
      </c>
      <c r="M953" s="2">
        <v>475905.42</v>
      </c>
      <c r="N953" s="2">
        <v>324645.62</v>
      </c>
      <c r="O953" s="2">
        <v>151259.79999999999</v>
      </c>
      <c r="P953" s="2" t="s">
        <v>95</v>
      </c>
      <c r="Q953" s="2" t="s">
        <v>32</v>
      </c>
      <c r="R953" s="2">
        <v>11</v>
      </c>
      <c r="S953" s="2" t="s">
        <v>43</v>
      </c>
      <c r="T953" s="2">
        <v>1262</v>
      </c>
      <c r="U953" s="2">
        <v>3</v>
      </c>
      <c r="V953" s="2"/>
    </row>
    <row r="954" spans="1:22" x14ac:dyDescent="0.35">
      <c r="A954" s="3" t="s">
        <v>2751</v>
      </c>
      <c r="B954" s="3" t="s">
        <v>777</v>
      </c>
      <c r="C954" s="3" t="s">
        <v>556</v>
      </c>
      <c r="D954" s="3" t="s">
        <v>2752</v>
      </c>
      <c r="E954" s="3" t="s">
        <v>100</v>
      </c>
      <c r="F954" s="4"/>
      <c r="G954" s="3" t="s">
        <v>78</v>
      </c>
      <c r="H954" s="3" t="s">
        <v>425</v>
      </c>
      <c r="I954" s="3" t="s">
        <v>118</v>
      </c>
      <c r="J954" s="3">
        <v>416</v>
      </c>
      <c r="K954" s="3">
        <v>809.65</v>
      </c>
      <c r="L954" s="3">
        <v>1280.45</v>
      </c>
      <c r="M954" s="3">
        <v>532667.19999999995</v>
      </c>
      <c r="N954" s="3">
        <v>336814.4</v>
      </c>
      <c r="O954" s="3">
        <v>195852.79999999999</v>
      </c>
      <c r="P954" s="3" t="s">
        <v>1781</v>
      </c>
      <c r="Q954" s="3" t="s">
        <v>63</v>
      </c>
      <c r="R954" s="3">
        <v>5</v>
      </c>
      <c r="S954" s="3" t="s">
        <v>43</v>
      </c>
      <c r="T954" s="3">
        <v>2095</v>
      </c>
      <c r="U954" s="3">
        <v>7</v>
      </c>
      <c r="V954" s="3"/>
    </row>
    <row r="955" spans="1:22" x14ac:dyDescent="0.35">
      <c r="A955" s="2" t="s">
        <v>2753</v>
      </c>
      <c r="B955" s="2" t="s">
        <v>736</v>
      </c>
      <c r="C955" s="2" t="s">
        <v>1246</v>
      </c>
      <c r="D955" s="2" t="s">
        <v>2754</v>
      </c>
      <c r="E955" s="2" t="s">
        <v>58</v>
      </c>
      <c r="F955" s="2" t="s">
        <v>116</v>
      </c>
      <c r="G955" s="2" t="s">
        <v>129</v>
      </c>
      <c r="H955" s="2" t="s">
        <v>168</v>
      </c>
      <c r="I955" s="2" t="s">
        <v>124</v>
      </c>
      <c r="J955" s="2">
        <v>582</v>
      </c>
      <c r="K955" s="2">
        <v>31.26</v>
      </c>
      <c r="L955" s="2">
        <v>36.49</v>
      </c>
      <c r="M955" s="2">
        <v>21237.18</v>
      </c>
      <c r="N955" s="2">
        <v>18193.32</v>
      </c>
      <c r="O955" s="2">
        <v>3043.86</v>
      </c>
      <c r="P955" s="2" t="s">
        <v>52</v>
      </c>
      <c r="Q955" s="2" t="s">
        <v>63</v>
      </c>
      <c r="R955" s="2">
        <v>1</v>
      </c>
      <c r="S955" s="2" t="s">
        <v>158</v>
      </c>
      <c r="T955" s="2">
        <v>822</v>
      </c>
      <c r="U955" s="2">
        <v>1</v>
      </c>
      <c r="V955" s="2"/>
    </row>
    <row r="956" spans="1:22" x14ac:dyDescent="0.35">
      <c r="A956" s="3" t="s">
        <v>2755</v>
      </c>
      <c r="B956" s="3" t="s">
        <v>630</v>
      </c>
      <c r="C956" s="3" t="s">
        <v>736</v>
      </c>
      <c r="D956" s="3" t="s">
        <v>2756</v>
      </c>
      <c r="E956" s="3" t="s">
        <v>48</v>
      </c>
      <c r="F956" s="3" t="s">
        <v>183</v>
      </c>
      <c r="G956" s="3" t="s">
        <v>78</v>
      </c>
      <c r="H956" s="3" t="s">
        <v>79</v>
      </c>
      <c r="I956" s="3" t="s">
        <v>85</v>
      </c>
      <c r="J956" s="3">
        <v>-5</v>
      </c>
      <c r="K956" s="3">
        <v>1035.8399999999999</v>
      </c>
      <c r="L956" s="3">
        <v>1326.58</v>
      </c>
      <c r="M956" s="3">
        <v>761456.92</v>
      </c>
      <c r="N956" s="3">
        <v>594572.16</v>
      </c>
      <c r="O956" s="3">
        <v>166884.76</v>
      </c>
      <c r="P956" s="3" t="s">
        <v>95</v>
      </c>
      <c r="Q956" s="3" t="s">
        <v>32</v>
      </c>
      <c r="R956" s="3">
        <v>15</v>
      </c>
      <c r="S956" s="3" t="s">
        <v>33</v>
      </c>
      <c r="T956" s="3">
        <v>2086</v>
      </c>
      <c r="U956" s="3">
        <v>0</v>
      </c>
      <c r="V956" s="3"/>
    </row>
    <row r="957" spans="1:22" x14ac:dyDescent="0.35">
      <c r="A957" s="2" t="s">
        <v>2757</v>
      </c>
      <c r="B957" s="2" t="s">
        <v>794</v>
      </c>
      <c r="C957" s="2" t="s">
        <v>1216</v>
      </c>
      <c r="D957" s="2" t="s">
        <v>2758</v>
      </c>
      <c r="E957" s="2" t="s">
        <v>100</v>
      </c>
      <c r="F957" s="2" t="s">
        <v>106</v>
      </c>
      <c r="G957" s="2" t="s">
        <v>93</v>
      </c>
      <c r="H957" s="2" t="s">
        <v>643</v>
      </c>
      <c r="I957" s="2" t="s">
        <v>124</v>
      </c>
      <c r="J957" s="2">
        <v>636</v>
      </c>
      <c r="K957" s="2">
        <v>291.33999999999997</v>
      </c>
      <c r="L957" s="2">
        <v>446.19</v>
      </c>
      <c r="M957" s="2">
        <v>283776.84000000003</v>
      </c>
      <c r="N957" s="2">
        <v>185292.24</v>
      </c>
      <c r="O957" s="2">
        <v>98484.6</v>
      </c>
      <c r="P957" s="2" t="s">
        <v>31</v>
      </c>
      <c r="Q957" s="2" t="s">
        <v>63</v>
      </c>
      <c r="R957" s="2">
        <v>2</v>
      </c>
      <c r="S957" s="2" t="s">
        <v>33</v>
      </c>
      <c r="T957" s="2">
        <v>1556</v>
      </c>
      <c r="U957" s="2">
        <v>3</v>
      </c>
      <c r="V957" s="2"/>
    </row>
    <row r="958" spans="1:22" x14ac:dyDescent="0.35">
      <c r="A958" s="3" t="s">
        <v>2759</v>
      </c>
      <c r="B958" s="3" t="s">
        <v>2041</v>
      </c>
      <c r="C958" s="3" t="s">
        <v>149</v>
      </c>
      <c r="D958" s="3" t="s">
        <v>2760</v>
      </c>
      <c r="E958" s="3" t="s">
        <v>68</v>
      </c>
      <c r="F958" s="3" t="s">
        <v>276</v>
      </c>
      <c r="G958" s="3" t="s">
        <v>39</v>
      </c>
      <c r="H958" s="3" t="s">
        <v>147</v>
      </c>
      <c r="I958" s="3" t="s">
        <v>191</v>
      </c>
      <c r="J958" s="3">
        <v>574</v>
      </c>
      <c r="K958" s="3">
        <v>1191.02</v>
      </c>
      <c r="L958" s="3">
        <v>1604.53</v>
      </c>
      <c r="M958" s="3">
        <v>921000.22</v>
      </c>
      <c r="N958" s="3">
        <v>683645.48</v>
      </c>
      <c r="O958" s="3">
        <v>237354.74</v>
      </c>
      <c r="P958" s="3" t="s">
        <v>52</v>
      </c>
      <c r="Q958" s="3" t="s">
        <v>32</v>
      </c>
      <c r="R958" s="3">
        <v>6</v>
      </c>
      <c r="S958" s="3" t="s">
        <v>43</v>
      </c>
      <c r="T958" s="3">
        <v>1381</v>
      </c>
      <c r="U958" s="3">
        <v>19</v>
      </c>
      <c r="V958" s="3"/>
    </row>
    <row r="959" spans="1:22" x14ac:dyDescent="0.35">
      <c r="A959" s="2" t="s">
        <v>2761</v>
      </c>
      <c r="B959" s="2" t="s">
        <v>2762</v>
      </c>
      <c r="C959" s="2" t="s">
        <v>671</v>
      </c>
      <c r="D959" s="2" t="s">
        <v>2763</v>
      </c>
      <c r="E959" s="2" t="s">
        <v>26</v>
      </c>
      <c r="F959" s="2" t="s">
        <v>38</v>
      </c>
      <c r="G959" s="2" t="s">
        <v>50</v>
      </c>
      <c r="H959" s="2" t="s">
        <v>117</v>
      </c>
      <c r="I959" s="2" t="s">
        <v>30</v>
      </c>
      <c r="J959" s="2">
        <v>778</v>
      </c>
      <c r="K959" s="2">
        <v>909.09</v>
      </c>
      <c r="L959" s="2">
        <v>1270.5999999999999</v>
      </c>
      <c r="M959" s="2">
        <v>988526.8</v>
      </c>
      <c r="N959" s="2">
        <v>707272.02</v>
      </c>
      <c r="O959" s="2">
        <v>281254.78000000003</v>
      </c>
      <c r="P959" s="2" t="s">
        <v>52</v>
      </c>
      <c r="Q959" s="2" t="s">
        <v>32</v>
      </c>
      <c r="R959" s="2">
        <v>11</v>
      </c>
      <c r="S959" s="2" t="s">
        <v>33</v>
      </c>
      <c r="T959" s="2">
        <v>2392</v>
      </c>
      <c r="U959" s="2">
        <v>28</v>
      </c>
      <c r="V959" s="2"/>
    </row>
    <row r="960" spans="1:22" x14ac:dyDescent="0.35">
      <c r="A960" s="3" t="s">
        <v>2764</v>
      </c>
      <c r="B960" s="3" t="s">
        <v>36</v>
      </c>
      <c r="C960" s="3" t="s">
        <v>1125</v>
      </c>
      <c r="D960" s="3" t="s">
        <v>2765</v>
      </c>
      <c r="E960" s="3" t="s">
        <v>58</v>
      </c>
      <c r="F960" s="3" t="s">
        <v>116</v>
      </c>
      <c r="G960" s="3" t="s">
        <v>39</v>
      </c>
      <c r="H960" s="3" t="s">
        <v>664</v>
      </c>
      <c r="I960" s="3" t="s">
        <v>41</v>
      </c>
      <c r="J960" s="3">
        <v>78</v>
      </c>
      <c r="K960" s="3">
        <v>87.27</v>
      </c>
      <c r="L960" s="3">
        <v>108.72</v>
      </c>
      <c r="M960" s="3">
        <v>8480.16</v>
      </c>
      <c r="N960" s="3">
        <v>6807.06</v>
      </c>
      <c r="O960" s="3">
        <v>1673.1</v>
      </c>
      <c r="P960" s="3" t="s">
        <v>52</v>
      </c>
      <c r="Q960" s="3" t="s">
        <v>32</v>
      </c>
      <c r="R960" s="3">
        <v>11</v>
      </c>
      <c r="S960" s="3" t="s">
        <v>33</v>
      </c>
      <c r="T960" s="3">
        <v>4998</v>
      </c>
      <c r="U960" s="3">
        <v>1</v>
      </c>
      <c r="V960" s="3"/>
    </row>
    <row r="961" spans="1:22" x14ac:dyDescent="0.35">
      <c r="A961" s="2" t="s">
        <v>2766</v>
      </c>
      <c r="B961" s="2" t="s">
        <v>1165</v>
      </c>
      <c r="C961" s="2" t="s">
        <v>1912</v>
      </c>
      <c r="D961" s="2" t="s">
        <v>2767</v>
      </c>
      <c r="E961" s="2" t="s">
        <v>58</v>
      </c>
      <c r="F961" s="2" t="s">
        <v>259</v>
      </c>
      <c r="G961" s="2" t="s">
        <v>39</v>
      </c>
      <c r="H961" s="2" t="s">
        <v>647</v>
      </c>
      <c r="I961" s="2" t="s">
        <v>118</v>
      </c>
      <c r="J961" s="2">
        <v>139</v>
      </c>
      <c r="K961" s="2">
        <v>1080.98</v>
      </c>
      <c r="L961" s="2">
        <v>1313.68</v>
      </c>
      <c r="M961" s="2">
        <v>182601.52</v>
      </c>
      <c r="N961" s="2">
        <v>150256.22</v>
      </c>
      <c r="O961" s="2">
        <v>32345.3</v>
      </c>
      <c r="P961" s="2" t="s">
        <v>42</v>
      </c>
      <c r="Q961" s="2" t="s">
        <v>63</v>
      </c>
      <c r="R961" s="2">
        <v>1</v>
      </c>
      <c r="S961" s="2" t="s">
        <v>43</v>
      </c>
      <c r="T961" s="2">
        <v>1501</v>
      </c>
      <c r="U961" s="2">
        <v>4</v>
      </c>
      <c r="V961" s="2"/>
    </row>
    <row r="962" spans="1:22" x14ac:dyDescent="0.35">
      <c r="A962" s="3" t="s">
        <v>2768</v>
      </c>
      <c r="B962" s="3" t="s">
        <v>97</v>
      </c>
      <c r="C962" s="3" t="s">
        <v>582</v>
      </c>
      <c r="D962" s="3" t="s">
        <v>2769</v>
      </c>
      <c r="E962" s="3" t="s">
        <v>48</v>
      </c>
      <c r="F962" s="3" t="s">
        <v>281</v>
      </c>
      <c r="G962" s="3" t="s">
        <v>39</v>
      </c>
      <c r="H962" s="3" t="s">
        <v>40</v>
      </c>
      <c r="I962" s="3" t="s">
        <v>124</v>
      </c>
      <c r="J962" s="3">
        <v>719</v>
      </c>
      <c r="K962" s="3">
        <v>796.64</v>
      </c>
      <c r="L962" s="3">
        <v>1038.26</v>
      </c>
      <c r="M962" s="3">
        <v>746508.94</v>
      </c>
      <c r="N962" s="3">
        <v>572784.16</v>
      </c>
      <c r="O962" s="3">
        <v>173724.78</v>
      </c>
      <c r="P962" s="3" t="s">
        <v>52</v>
      </c>
      <c r="Q962" s="3" t="s">
        <v>63</v>
      </c>
      <c r="R962" s="3">
        <v>5</v>
      </c>
      <c r="S962" s="3" t="s">
        <v>53</v>
      </c>
      <c r="T962" s="4"/>
      <c r="U962" s="3">
        <v>8</v>
      </c>
      <c r="V962" s="3"/>
    </row>
    <row r="963" spans="1:22" x14ac:dyDescent="0.35">
      <c r="A963" s="2" t="s">
        <v>2770</v>
      </c>
      <c r="B963" s="2" t="s">
        <v>2771</v>
      </c>
      <c r="C963" s="2" t="s">
        <v>1955</v>
      </c>
      <c r="D963" s="2" t="s">
        <v>1410</v>
      </c>
      <c r="E963" s="2" t="s">
        <v>48</v>
      </c>
      <c r="F963" s="2" t="s">
        <v>281</v>
      </c>
      <c r="G963" s="2" t="s">
        <v>189</v>
      </c>
      <c r="H963" s="2" t="s">
        <v>561</v>
      </c>
      <c r="I963" s="2" t="s">
        <v>85</v>
      </c>
      <c r="J963" s="2">
        <v>97</v>
      </c>
      <c r="K963" s="2">
        <v>331.33</v>
      </c>
      <c r="L963" s="2">
        <v>452.09</v>
      </c>
      <c r="M963" s="2">
        <v>43852.73</v>
      </c>
      <c r="N963" s="2">
        <v>32139.01</v>
      </c>
      <c r="O963" s="2">
        <v>11713.72</v>
      </c>
      <c r="P963" s="2" t="s">
        <v>52</v>
      </c>
      <c r="Q963" s="2" t="s">
        <v>32</v>
      </c>
      <c r="R963" s="2">
        <v>7</v>
      </c>
      <c r="S963" s="2" t="s">
        <v>53</v>
      </c>
      <c r="T963" s="2">
        <v>3934</v>
      </c>
      <c r="U963" s="2">
        <v>1</v>
      </c>
      <c r="V963" s="2"/>
    </row>
    <row r="964" spans="1:22" x14ac:dyDescent="0.35">
      <c r="A964" s="3" t="s">
        <v>2772</v>
      </c>
      <c r="B964" s="3" t="s">
        <v>2773</v>
      </c>
      <c r="C964" s="3" t="s">
        <v>1104</v>
      </c>
      <c r="D964" s="3" t="s">
        <v>2774</v>
      </c>
      <c r="E964" s="3" t="s">
        <v>2599</v>
      </c>
      <c r="F964" s="3" t="s">
        <v>101</v>
      </c>
      <c r="G964" s="3" t="s">
        <v>129</v>
      </c>
      <c r="H964" s="3" t="s">
        <v>704</v>
      </c>
      <c r="I964" s="3" t="s">
        <v>124</v>
      </c>
      <c r="J964" s="3">
        <v>452</v>
      </c>
      <c r="K964" s="3">
        <v>344.41</v>
      </c>
      <c r="L964" s="3">
        <v>435.41</v>
      </c>
      <c r="M964" s="3">
        <v>196805.32</v>
      </c>
      <c r="N964" s="3">
        <v>155673.32</v>
      </c>
      <c r="O964" s="3">
        <v>41132</v>
      </c>
      <c r="P964" s="3" t="s">
        <v>52</v>
      </c>
      <c r="Q964" s="3" t="s">
        <v>32</v>
      </c>
      <c r="R964" s="3">
        <v>14</v>
      </c>
      <c r="S964" s="3" t="s">
        <v>53</v>
      </c>
      <c r="T964" s="3">
        <v>2147</v>
      </c>
      <c r="U964" s="3">
        <v>21</v>
      </c>
      <c r="V964" s="3"/>
    </row>
    <row r="965" spans="1:22" x14ac:dyDescent="0.35">
      <c r="A965" s="2" t="s">
        <v>2775</v>
      </c>
      <c r="B965" s="2" t="s">
        <v>884</v>
      </c>
      <c r="C965" s="2" t="s">
        <v>1873</v>
      </c>
      <c r="D965" s="2" t="s">
        <v>469</v>
      </c>
      <c r="E965" s="2" t="s">
        <v>68</v>
      </c>
      <c r="F965" s="2" t="s">
        <v>69</v>
      </c>
      <c r="G965" s="2" t="s">
        <v>60</v>
      </c>
      <c r="H965" s="2" t="s">
        <v>229</v>
      </c>
      <c r="I965" s="2" t="s">
        <v>153</v>
      </c>
      <c r="J965" s="2">
        <v>198</v>
      </c>
      <c r="K965" s="2">
        <v>119.15</v>
      </c>
      <c r="L965" s="2">
        <v>173.1</v>
      </c>
      <c r="M965" s="2">
        <v>34273.800000000003</v>
      </c>
      <c r="N965" s="2">
        <v>23591.7</v>
      </c>
      <c r="O965" s="2">
        <v>10682.1</v>
      </c>
      <c r="P965" s="2" t="s">
        <v>95</v>
      </c>
      <c r="Q965" s="2" t="s">
        <v>32</v>
      </c>
      <c r="R965" s="2">
        <v>7</v>
      </c>
      <c r="S965" s="2" t="s">
        <v>158</v>
      </c>
      <c r="T965" s="2">
        <v>2582</v>
      </c>
      <c r="U965" s="2">
        <v>3</v>
      </c>
      <c r="V965" s="2"/>
    </row>
    <row r="966" spans="1:22" x14ac:dyDescent="0.35">
      <c r="A966" s="3" t="s">
        <v>2776</v>
      </c>
      <c r="B966" s="3" t="s">
        <v>342</v>
      </c>
      <c r="C966" s="3" t="s">
        <v>1216</v>
      </c>
      <c r="D966" s="3" t="s">
        <v>2777</v>
      </c>
      <c r="E966" s="3" t="s">
        <v>26</v>
      </c>
      <c r="F966" s="3" t="s">
        <v>27</v>
      </c>
      <c r="G966" s="3" t="s">
        <v>50</v>
      </c>
      <c r="H966" s="3" t="s">
        <v>282</v>
      </c>
      <c r="I966" s="3" t="s">
        <v>124</v>
      </c>
      <c r="J966" s="3">
        <v>648</v>
      </c>
      <c r="K966" s="3">
        <v>884.78</v>
      </c>
      <c r="L966" s="3">
        <v>1338.98</v>
      </c>
      <c r="M966" s="3">
        <v>867659.04</v>
      </c>
      <c r="N966" s="3">
        <v>573337.43999999994</v>
      </c>
      <c r="O966" s="4"/>
      <c r="P966" s="3" t="s">
        <v>95</v>
      </c>
      <c r="Q966" s="3" t="s">
        <v>63</v>
      </c>
      <c r="R966" s="3">
        <v>2</v>
      </c>
      <c r="S966" s="3" t="s">
        <v>86</v>
      </c>
      <c r="T966" s="3">
        <v>91</v>
      </c>
      <c r="U966" s="3">
        <v>2</v>
      </c>
      <c r="V966" s="3"/>
    </row>
    <row r="967" spans="1:22" x14ac:dyDescent="0.35">
      <c r="A967" s="2" t="s">
        <v>2778</v>
      </c>
      <c r="B967" s="2" t="s">
        <v>2779</v>
      </c>
      <c r="C967" s="2" t="s">
        <v>343</v>
      </c>
      <c r="D967" s="2" t="s">
        <v>408</v>
      </c>
      <c r="E967" s="2" t="s">
        <v>48</v>
      </c>
      <c r="F967" s="2" t="s">
        <v>183</v>
      </c>
      <c r="G967" s="2" t="s">
        <v>39</v>
      </c>
      <c r="H967" s="2" t="s">
        <v>647</v>
      </c>
      <c r="I967" s="2" t="s">
        <v>293</v>
      </c>
      <c r="J967" s="2">
        <v>579</v>
      </c>
      <c r="K967" s="2">
        <v>343.35</v>
      </c>
      <c r="L967" s="2">
        <v>458.54</v>
      </c>
      <c r="M967" s="2">
        <v>265494.65999999997</v>
      </c>
      <c r="N967" s="2">
        <v>198799.65</v>
      </c>
      <c r="O967" s="2">
        <v>66695.009999999995</v>
      </c>
      <c r="P967" s="2" t="s">
        <v>95</v>
      </c>
      <c r="Q967" s="2" t="s">
        <v>32</v>
      </c>
      <c r="R967" s="2">
        <v>12</v>
      </c>
      <c r="S967" s="2" t="s">
        <v>86</v>
      </c>
      <c r="T967" s="2">
        <v>4762</v>
      </c>
      <c r="U967" s="2">
        <v>26</v>
      </c>
      <c r="V967" s="2"/>
    </row>
    <row r="968" spans="1:22" x14ac:dyDescent="0.35">
      <c r="A968" s="3" t="s">
        <v>2780</v>
      </c>
      <c r="B968" s="3" t="s">
        <v>2781</v>
      </c>
      <c r="C968" s="3" t="s">
        <v>2782</v>
      </c>
      <c r="D968" s="3" t="s">
        <v>2783</v>
      </c>
      <c r="E968" s="3" t="s">
        <v>68</v>
      </c>
      <c r="F968" s="3" t="s">
        <v>146</v>
      </c>
      <c r="G968" s="3" t="s">
        <v>39</v>
      </c>
      <c r="H968" s="3" t="s">
        <v>477</v>
      </c>
      <c r="I968" s="3" t="s">
        <v>191</v>
      </c>
      <c r="J968" s="3">
        <v>385</v>
      </c>
      <c r="K968" s="3">
        <v>533.07000000000005</v>
      </c>
      <c r="L968" s="3">
        <v>717.13</v>
      </c>
      <c r="M968" s="3">
        <v>276095.05</v>
      </c>
      <c r="N968" s="3">
        <v>205231.95</v>
      </c>
      <c r="O968" s="3">
        <v>70863.100000000006</v>
      </c>
      <c r="P968" s="3" t="s">
        <v>42</v>
      </c>
      <c r="Q968" s="3" t="s">
        <v>32</v>
      </c>
      <c r="R968" s="3">
        <v>7</v>
      </c>
      <c r="S968" s="3" t="s">
        <v>33</v>
      </c>
      <c r="T968" s="3">
        <v>2851</v>
      </c>
      <c r="U968" s="3">
        <v>16</v>
      </c>
      <c r="V968" s="3"/>
    </row>
    <row r="969" spans="1:22" x14ac:dyDescent="0.35">
      <c r="A969" s="2" t="s">
        <v>2784</v>
      </c>
      <c r="B969" s="2" t="s">
        <v>625</v>
      </c>
      <c r="C969" s="2" t="s">
        <v>1299</v>
      </c>
      <c r="D969" s="2" t="s">
        <v>2785</v>
      </c>
      <c r="E969" s="2" t="s">
        <v>100</v>
      </c>
      <c r="F969" s="2" t="s">
        <v>101</v>
      </c>
      <c r="G969" s="2" t="s">
        <v>78</v>
      </c>
      <c r="H969" s="2" t="s">
        <v>425</v>
      </c>
      <c r="I969" s="2" t="s">
        <v>293</v>
      </c>
      <c r="J969" s="2">
        <v>330</v>
      </c>
      <c r="K969" s="2">
        <v>597.65</v>
      </c>
      <c r="L969" s="2">
        <v>826.16</v>
      </c>
      <c r="M969" s="2">
        <v>272632.8</v>
      </c>
      <c r="N969" s="2">
        <v>197224.5</v>
      </c>
      <c r="O969" s="2">
        <v>75408.3</v>
      </c>
      <c r="P969" s="2" t="s">
        <v>95</v>
      </c>
      <c r="Q969" s="2" t="s">
        <v>63</v>
      </c>
      <c r="R969" s="2">
        <v>1</v>
      </c>
      <c r="S969" s="2" t="s">
        <v>33</v>
      </c>
      <c r="T969" s="2">
        <v>3956</v>
      </c>
      <c r="U969" s="2">
        <v>10</v>
      </c>
      <c r="V969" s="2"/>
    </row>
    <row r="970" spans="1:22" x14ac:dyDescent="0.35">
      <c r="A970" s="3" t="s">
        <v>2786</v>
      </c>
      <c r="B970" s="3" t="s">
        <v>1789</v>
      </c>
      <c r="C970" s="3" t="s">
        <v>819</v>
      </c>
      <c r="D970" s="3" t="s">
        <v>2787</v>
      </c>
      <c r="E970" s="3" t="s">
        <v>48</v>
      </c>
      <c r="F970" s="3" t="s">
        <v>270</v>
      </c>
      <c r="G970" s="3" t="s">
        <v>60</v>
      </c>
      <c r="H970" s="3" t="s">
        <v>400</v>
      </c>
      <c r="I970" s="3" t="s">
        <v>72</v>
      </c>
      <c r="J970" s="3">
        <v>675</v>
      </c>
      <c r="K970" s="3">
        <v>1040.9000000000001</v>
      </c>
      <c r="L970" s="3">
        <v>1609.05</v>
      </c>
      <c r="M970" s="3">
        <v>1086108.75</v>
      </c>
      <c r="N970" s="3">
        <v>702607.5</v>
      </c>
      <c r="O970" s="3">
        <v>383501.25</v>
      </c>
      <c r="P970" s="3" t="s">
        <v>31</v>
      </c>
      <c r="Q970" s="3" t="s">
        <v>63</v>
      </c>
      <c r="R970" s="3">
        <v>3</v>
      </c>
      <c r="S970" s="3" t="s">
        <v>86</v>
      </c>
      <c r="T970" s="3">
        <v>4282</v>
      </c>
      <c r="U970" s="3">
        <v>8</v>
      </c>
      <c r="V970" s="3"/>
    </row>
    <row r="971" spans="1:22" x14ac:dyDescent="0.35">
      <c r="A971" s="2" t="s">
        <v>2788</v>
      </c>
      <c r="B971" s="2" t="s">
        <v>242</v>
      </c>
      <c r="C971" s="2" t="s">
        <v>2789</v>
      </c>
      <c r="D971" s="2" t="s">
        <v>2790</v>
      </c>
      <c r="E971" s="2" t="s">
        <v>48</v>
      </c>
      <c r="F971" s="2" t="s">
        <v>2791</v>
      </c>
      <c r="G971" s="2" t="s">
        <v>39</v>
      </c>
      <c r="H971" s="2" t="s">
        <v>647</v>
      </c>
      <c r="I971" s="2" t="s">
        <v>118</v>
      </c>
      <c r="J971" s="4" t="s">
        <v>1893</v>
      </c>
      <c r="K971" s="2">
        <v>821.07</v>
      </c>
      <c r="L971" s="2">
        <v>1056.9100000000001</v>
      </c>
      <c r="M971" s="2">
        <v>844471.09</v>
      </c>
      <c r="N971" s="2">
        <v>656034.93000000005</v>
      </c>
      <c r="O971" s="2">
        <v>188436.16</v>
      </c>
      <c r="P971" s="2" t="s">
        <v>31</v>
      </c>
      <c r="Q971" s="2" t="s">
        <v>63</v>
      </c>
      <c r="R971" s="2">
        <v>5</v>
      </c>
      <c r="S971" s="2" t="s">
        <v>112</v>
      </c>
      <c r="T971" s="2">
        <v>3706</v>
      </c>
      <c r="U971" s="2">
        <v>18</v>
      </c>
      <c r="V971" s="2"/>
    </row>
    <row r="972" spans="1:22" x14ac:dyDescent="0.35">
      <c r="A972" s="3" t="s">
        <v>2792</v>
      </c>
      <c r="B972" s="3" t="s">
        <v>475</v>
      </c>
      <c r="C972" s="3" t="s">
        <v>65</v>
      </c>
      <c r="D972" s="3" t="s">
        <v>2793</v>
      </c>
      <c r="E972" s="3" t="s">
        <v>68</v>
      </c>
      <c r="F972" s="3" t="s">
        <v>69</v>
      </c>
      <c r="G972" s="3" t="s">
        <v>78</v>
      </c>
      <c r="H972" s="3" t="s">
        <v>840</v>
      </c>
      <c r="I972" s="3" t="s">
        <v>72</v>
      </c>
      <c r="J972" s="3">
        <v>527</v>
      </c>
      <c r="K972" s="3">
        <v>54.69</v>
      </c>
      <c r="L972" s="3">
        <v>73.12</v>
      </c>
      <c r="M972" s="3">
        <v>38534.239999999998</v>
      </c>
      <c r="N972" s="3">
        <v>28821.63</v>
      </c>
      <c r="O972" s="3">
        <v>9712.61</v>
      </c>
      <c r="P972" s="3" t="s">
        <v>52</v>
      </c>
      <c r="Q972" s="3" t="s">
        <v>32</v>
      </c>
      <c r="R972" s="3">
        <v>12</v>
      </c>
      <c r="S972" s="3" t="s">
        <v>53</v>
      </c>
      <c r="T972" s="3">
        <v>4018</v>
      </c>
      <c r="U972" s="3">
        <v>6</v>
      </c>
      <c r="V972" s="3"/>
    </row>
    <row r="973" spans="1:22" x14ac:dyDescent="0.35">
      <c r="A973" s="2" t="s">
        <v>2794</v>
      </c>
      <c r="B973" s="2" t="s">
        <v>1226</v>
      </c>
      <c r="C973" s="2" t="s">
        <v>1149</v>
      </c>
      <c r="D973" s="2" t="s">
        <v>2795</v>
      </c>
      <c r="E973" s="2" t="s">
        <v>48</v>
      </c>
      <c r="F973" s="2" t="s">
        <v>49</v>
      </c>
      <c r="G973" s="2" t="s">
        <v>93</v>
      </c>
      <c r="H973" s="2" t="s">
        <v>1442</v>
      </c>
      <c r="I973" s="2" t="s">
        <v>240</v>
      </c>
      <c r="J973" s="2">
        <v>319</v>
      </c>
      <c r="K973" s="2">
        <v>92.72</v>
      </c>
      <c r="L973" s="2">
        <v>129.46</v>
      </c>
      <c r="M973" s="2">
        <v>41297.74</v>
      </c>
      <c r="N973" s="2">
        <v>29577.68</v>
      </c>
      <c r="O973" s="2">
        <v>11720.06</v>
      </c>
      <c r="P973" s="2" t="s">
        <v>95</v>
      </c>
      <c r="Q973" s="2" t="s">
        <v>63</v>
      </c>
      <c r="R973" s="2">
        <v>2</v>
      </c>
      <c r="S973" s="2" t="s">
        <v>112</v>
      </c>
      <c r="T973" s="2">
        <v>475</v>
      </c>
      <c r="U973" s="2">
        <v>8</v>
      </c>
      <c r="V973" s="2"/>
    </row>
    <row r="974" spans="1:22" x14ac:dyDescent="0.35">
      <c r="A974" s="3" t="s">
        <v>2796</v>
      </c>
      <c r="B974" s="3" t="s">
        <v>794</v>
      </c>
      <c r="C974" s="3" t="s">
        <v>109</v>
      </c>
      <c r="D974" s="3" t="s">
        <v>2797</v>
      </c>
      <c r="E974" s="3" t="s">
        <v>68</v>
      </c>
      <c r="F974" s="3" t="s">
        <v>69</v>
      </c>
      <c r="G974" s="3" t="s">
        <v>217</v>
      </c>
      <c r="H974" s="3" t="s">
        <v>335</v>
      </c>
      <c r="I974" s="3" t="s">
        <v>72</v>
      </c>
      <c r="J974" s="3">
        <v>570</v>
      </c>
      <c r="K974" s="3">
        <v>1048.67</v>
      </c>
      <c r="L974" s="3">
        <v>1216.7</v>
      </c>
      <c r="M974" s="3">
        <v>693519</v>
      </c>
      <c r="N974" s="3">
        <v>597741.9</v>
      </c>
      <c r="O974" s="3">
        <v>95777.1</v>
      </c>
      <c r="P974" s="3" t="s">
        <v>52</v>
      </c>
      <c r="Q974" s="3" t="s">
        <v>63</v>
      </c>
      <c r="R974" s="3">
        <v>2</v>
      </c>
      <c r="S974" s="3" t="s">
        <v>53</v>
      </c>
      <c r="T974" s="3">
        <v>4260</v>
      </c>
      <c r="U974" s="3">
        <v>24</v>
      </c>
      <c r="V974" s="3"/>
    </row>
    <row r="975" spans="1:22" x14ac:dyDescent="0.35">
      <c r="A975" s="2" t="s">
        <v>1784</v>
      </c>
      <c r="B975" s="2" t="s">
        <v>634</v>
      </c>
      <c r="C975" s="2" t="s">
        <v>884</v>
      </c>
      <c r="D975" s="2" t="s">
        <v>1785</v>
      </c>
      <c r="E975" s="2" t="s">
        <v>2798</v>
      </c>
      <c r="F975" s="2" t="s">
        <v>270</v>
      </c>
      <c r="G975" s="2" t="s">
        <v>129</v>
      </c>
      <c r="H975" s="2" t="s">
        <v>168</v>
      </c>
      <c r="I975" s="2" t="s">
        <v>85</v>
      </c>
      <c r="J975" s="2">
        <v>675</v>
      </c>
      <c r="K975" s="2">
        <v>545.38</v>
      </c>
      <c r="L975" s="2">
        <v>627.5</v>
      </c>
      <c r="M975" s="2">
        <v>423562.5</v>
      </c>
      <c r="N975" s="2">
        <v>368131.5</v>
      </c>
      <c r="O975" s="2">
        <v>55431</v>
      </c>
      <c r="P975" s="2" t="s">
        <v>42</v>
      </c>
      <c r="Q975" s="2" t="s">
        <v>32</v>
      </c>
      <c r="R975" s="2">
        <v>8</v>
      </c>
      <c r="S975" s="2" t="s">
        <v>53</v>
      </c>
      <c r="T975" s="2">
        <v>3696</v>
      </c>
      <c r="U975" s="2">
        <v>21</v>
      </c>
      <c r="V975" s="2"/>
    </row>
    <row r="976" spans="1:22" x14ac:dyDescent="0.35">
      <c r="A976" s="3" t="s">
        <v>2799</v>
      </c>
      <c r="B976" s="3" t="s">
        <v>1034</v>
      </c>
      <c r="C976" s="3" t="s">
        <v>1641</v>
      </c>
      <c r="D976" s="3" t="s">
        <v>2800</v>
      </c>
      <c r="E976" s="3" t="s">
        <v>68</v>
      </c>
      <c r="F976" s="3" t="s">
        <v>163</v>
      </c>
      <c r="G976" s="3" t="s">
        <v>39</v>
      </c>
      <c r="H976" s="3" t="s">
        <v>147</v>
      </c>
      <c r="I976" s="3" t="s">
        <v>191</v>
      </c>
      <c r="J976" s="3">
        <v>241</v>
      </c>
      <c r="K976" s="3">
        <v>176.84</v>
      </c>
      <c r="L976" s="3">
        <v>218.99</v>
      </c>
      <c r="M976" s="3">
        <v>52776.59</v>
      </c>
      <c r="N976" s="3">
        <v>42618.44</v>
      </c>
      <c r="O976" s="3">
        <v>10158.15</v>
      </c>
      <c r="P976" s="3" t="s">
        <v>42</v>
      </c>
      <c r="Q976" s="3" t="s">
        <v>63</v>
      </c>
      <c r="R976" s="3">
        <v>2</v>
      </c>
      <c r="S976" s="3" t="s">
        <v>112</v>
      </c>
      <c r="T976" s="3">
        <v>2373</v>
      </c>
      <c r="U976" s="3">
        <v>8</v>
      </c>
      <c r="V976" s="3"/>
    </row>
    <row r="977" spans="1:22" x14ac:dyDescent="0.35">
      <c r="A977" s="2" t="s">
        <v>2801</v>
      </c>
      <c r="B977" s="2" t="s">
        <v>509</v>
      </c>
      <c r="C977" s="2" t="s">
        <v>1152</v>
      </c>
      <c r="D977" s="2" t="s">
        <v>2802</v>
      </c>
      <c r="E977" s="2" t="s">
        <v>58</v>
      </c>
      <c r="F977" s="2" t="s">
        <v>59</v>
      </c>
      <c r="G977" s="2" t="s">
        <v>28</v>
      </c>
      <c r="H977" s="2" t="s">
        <v>714</v>
      </c>
      <c r="I977" s="2" t="s">
        <v>191</v>
      </c>
      <c r="J977" s="2">
        <v>663</v>
      </c>
      <c r="K977" s="2">
        <v>193.2</v>
      </c>
      <c r="L977" s="2">
        <v>261.39999999999998</v>
      </c>
      <c r="M977" s="2">
        <v>173308.2</v>
      </c>
      <c r="N977" s="2">
        <v>128091.6</v>
      </c>
      <c r="O977" s="2">
        <v>45216.6</v>
      </c>
      <c r="P977" s="2" t="s">
        <v>42</v>
      </c>
      <c r="Q977" s="2" t="s">
        <v>32</v>
      </c>
      <c r="R977" s="2">
        <v>11</v>
      </c>
      <c r="S977" s="2" t="s">
        <v>86</v>
      </c>
      <c r="T977" s="2">
        <v>3496</v>
      </c>
      <c r="U977" s="2">
        <v>29</v>
      </c>
      <c r="V977" s="2"/>
    </row>
    <row r="978" spans="1:22" x14ac:dyDescent="0.35">
      <c r="A978" s="3" t="s">
        <v>2803</v>
      </c>
      <c r="B978" s="3" t="s">
        <v>1353</v>
      </c>
      <c r="C978" s="3" t="s">
        <v>736</v>
      </c>
      <c r="D978" s="3" t="s">
        <v>2804</v>
      </c>
      <c r="E978" s="3" t="s">
        <v>100</v>
      </c>
      <c r="F978" s="3" t="s">
        <v>538</v>
      </c>
      <c r="G978" s="3" t="s">
        <v>39</v>
      </c>
      <c r="H978" s="3" t="s">
        <v>412</v>
      </c>
      <c r="I978" s="3" t="s">
        <v>85</v>
      </c>
      <c r="J978" s="3">
        <v>132</v>
      </c>
      <c r="K978" s="3">
        <v>349</v>
      </c>
      <c r="L978" s="3">
        <v>429.33</v>
      </c>
      <c r="M978" s="3">
        <v>56671.56</v>
      </c>
      <c r="N978" s="3">
        <v>46068</v>
      </c>
      <c r="O978" s="3">
        <v>10603.56</v>
      </c>
      <c r="P978" s="3" t="s">
        <v>42</v>
      </c>
      <c r="Q978" s="3" t="s">
        <v>32</v>
      </c>
      <c r="R978" s="3">
        <v>14</v>
      </c>
      <c r="S978" s="3" t="s">
        <v>112</v>
      </c>
      <c r="T978" s="3">
        <v>2872</v>
      </c>
      <c r="U978" s="3">
        <v>4</v>
      </c>
      <c r="V978" s="3"/>
    </row>
    <row r="979" spans="1:22" x14ac:dyDescent="0.35">
      <c r="A979" s="2" t="s">
        <v>2805</v>
      </c>
      <c r="B979" s="2" t="s">
        <v>166</v>
      </c>
      <c r="C979" s="2" t="s">
        <v>464</v>
      </c>
      <c r="D979" s="2" t="s">
        <v>2806</v>
      </c>
      <c r="E979" s="2" t="s">
        <v>100</v>
      </c>
      <c r="F979" s="2" t="s">
        <v>106</v>
      </c>
      <c r="G979" s="2" t="s">
        <v>39</v>
      </c>
      <c r="H979" s="2" t="s">
        <v>477</v>
      </c>
      <c r="I979" s="2" t="s">
        <v>85</v>
      </c>
      <c r="J979" s="2">
        <v>345</v>
      </c>
      <c r="K979" s="2">
        <v>497.12</v>
      </c>
      <c r="L979" s="2">
        <v>732.34</v>
      </c>
      <c r="M979" s="2">
        <v>252657.3</v>
      </c>
      <c r="N979" s="2">
        <v>171506.4</v>
      </c>
      <c r="O979" s="2">
        <v>81150.899999999994</v>
      </c>
      <c r="P979" s="2" t="s">
        <v>52</v>
      </c>
      <c r="Q979" s="2" t="s">
        <v>32</v>
      </c>
      <c r="R979" s="2">
        <v>9</v>
      </c>
      <c r="S979" s="2" t="s">
        <v>43</v>
      </c>
      <c r="T979" s="2">
        <v>2582</v>
      </c>
      <c r="U979" s="2">
        <v>13</v>
      </c>
      <c r="V979" s="2"/>
    </row>
    <row r="980" spans="1:22" x14ac:dyDescent="0.35">
      <c r="A980" s="3" t="s">
        <v>2807</v>
      </c>
      <c r="B980" s="3" t="s">
        <v>1890</v>
      </c>
      <c r="C980" s="3" t="s">
        <v>732</v>
      </c>
      <c r="D980" s="3" t="s">
        <v>2808</v>
      </c>
      <c r="E980" s="3" t="s">
        <v>100</v>
      </c>
      <c r="F980" s="3" t="s">
        <v>1529</v>
      </c>
      <c r="G980" s="3" t="s">
        <v>93</v>
      </c>
      <c r="H980" s="3" t="s">
        <v>184</v>
      </c>
      <c r="I980" s="3" t="s">
        <v>141</v>
      </c>
      <c r="J980" s="3">
        <v>413</v>
      </c>
      <c r="K980" s="3">
        <v>947.73</v>
      </c>
      <c r="L980" s="3">
        <v>1194.47</v>
      </c>
      <c r="M980" s="3">
        <v>493316.11</v>
      </c>
      <c r="N980" s="3">
        <v>391412.49</v>
      </c>
      <c r="O980" s="3">
        <v>101903.62</v>
      </c>
      <c r="P980" s="3" t="s">
        <v>42</v>
      </c>
      <c r="Q980" s="3" t="s">
        <v>63</v>
      </c>
      <c r="R980" s="3">
        <v>3</v>
      </c>
      <c r="S980" s="3" t="s">
        <v>33</v>
      </c>
      <c r="T980" s="3">
        <v>3658</v>
      </c>
      <c r="U980" s="3">
        <v>12</v>
      </c>
      <c r="V980" s="3"/>
    </row>
    <row r="981" spans="1:22" x14ac:dyDescent="0.35">
      <c r="A981" s="2" t="s">
        <v>2809</v>
      </c>
      <c r="B981" s="2" t="s">
        <v>496</v>
      </c>
      <c r="C981" s="2" t="s">
        <v>542</v>
      </c>
      <c r="D981" s="2" t="s">
        <v>2810</v>
      </c>
      <c r="E981" s="2" t="s">
        <v>68</v>
      </c>
      <c r="F981" s="2" t="s">
        <v>2091</v>
      </c>
      <c r="G981" s="2" t="s">
        <v>78</v>
      </c>
      <c r="H981" s="2" t="s">
        <v>123</v>
      </c>
      <c r="I981" s="2" t="s">
        <v>191</v>
      </c>
      <c r="J981" s="2">
        <v>105</v>
      </c>
      <c r="K981" s="2">
        <v>845.73</v>
      </c>
      <c r="L981" s="2">
        <v>1021.49</v>
      </c>
      <c r="M981" s="2">
        <v>107256.45</v>
      </c>
      <c r="N981" s="2">
        <v>88801.65</v>
      </c>
      <c r="O981" s="2">
        <v>18454.8</v>
      </c>
      <c r="P981" s="2" t="s">
        <v>95</v>
      </c>
      <c r="Q981" s="2" t="s">
        <v>63</v>
      </c>
      <c r="R981" s="2">
        <v>2</v>
      </c>
      <c r="S981" s="2" t="s">
        <v>112</v>
      </c>
      <c r="T981" s="2">
        <v>2666</v>
      </c>
      <c r="U981" s="2">
        <v>2</v>
      </c>
      <c r="V981" s="2"/>
    </row>
    <row r="982" spans="1:22" x14ac:dyDescent="0.35">
      <c r="A982" s="3" t="s">
        <v>2811</v>
      </c>
      <c r="B982" s="3" t="s">
        <v>2812</v>
      </c>
      <c r="C982" s="3" t="s">
        <v>604</v>
      </c>
      <c r="D982" s="3" t="s">
        <v>2813</v>
      </c>
      <c r="E982" s="3" t="s">
        <v>100</v>
      </c>
      <c r="F982" s="3" t="s">
        <v>238</v>
      </c>
      <c r="G982" s="3" t="s">
        <v>50</v>
      </c>
      <c r="H982" s="3" t="s">
        <v>51</v>
      </c>
      <c r="I982" s="3" t="s">
        <v>72</v>
      </c>
      <c r="J982" s="3">
        <v>106</v>
      </c>
      <c r="K982" s="3">
        <v>3.86</v>
      </c>
      <c r="L982" s="3">
        <v>5.83</v>
      </c>
      <c r="M982" s="3">
        <v>617.98</v>
      </c>
      <c r="N982" s="3">
        <v>409.16</v>
      </c>
      <c r="O982" s="3">
        <v>208.82</v>
      </c>
      <c r="P982" s="3" t="s">
        <v>95</v>
      </c>
      <c r="Q982" s="3" t="s">
        <v>63</v>
      </c>
      <c r="R982" s="3">
        <v>4</v>
      </c>
      <c r="S982" s="3" t="s">
        <v>86</v>
      </c>
      <c r="T982" s="3">
        <v>1985</v>
      </c>
      <c r="U982" s="3">
        <v>4</v>
      </c>
      <c r="V982" s="3"/>
    </row>
    <row r="983" spans="1:22" x14ac:dyDescent="0.35">
      <c r="A983" s="2" t="s">
        <v>2814</v>
      </c>
      <c r="B983" s="2" t="s">
        <v>1216</v>
      </c>
      <c r="C983" s="2" t="s">
        <v>634</v>
      </c>
      <c r="D983" s="2" t="s">
        <v>2815</v>
      </c>
      <c r="E983" s="2" t="s">
        <v>26</v>
      </c>
      <c r="F983" s="2" t="s">
        <v>38</v>
      </c>
      <c r="G983" s="2" t="s">
        <v>129</v>
      </c>
      <c r="H983" s="2" t="s">
        <v>520</v>
      </c>
      <c r="I983" s="2" t="s">
        <v>191</v>
      </c>
      <c r="J983" s="2">
        <v>492</v>
      </c>
      <c r="K983" s="2">
        <v>743.75</v>
      </c>
      <c r="L983" s="2">
        <v>1014.86</v>
      </c>
      <c r="M983" s="2">
        <v>499311.12</v>
      </c>
      <c r="N983" s="2">
        <v>365925</v>
      </c>
      <c r="O983" s="2">
        <v>133386.12</v>
      </c>
      <c r="P983" s="2" t="s">
        <v>31</v>
      </c>
      <c r="Q983" s="2" t="s">
        <v>63</v>
      </c>
      <c r="R983" s="2">
        <v>3</v>
      </c>
      <c r="S983" s="2" t="s">
        <v>33</v>
      </c>
      <c r="T983" s="2">
        <v>2676</v>
      </c>
      <c r="U983" s="2">
        <v>0</v>
      </c>
      <c r="V983" s="2"/>
    </row>
    <row r="984" spans="1:22" x14ac:dyDescent="0.35">
      <c r="A984" s="3" t="s">
        <v>2816</v>
      </c>
      <c r="B984" s="3" t="s">
        <v>419</v>
      </c>
      <c r="C984" s="3" t="s">
        <v>926</v>
      </c>
      <c r="D984" s="3" t="s">
        <v>2817</v>
      </c>
      <c r="E984" s="3" t="s">
        <v>2818</v>
      </c>
      <c r="F984" s="3" t="s">
        <v>101</v>
      </c>
      <c r="G984" s="3" t="s">
        <v>70</v>
      </c>
      <c r="H984" s="3" t="s">
        <v>822</v>
      </c>
      <c r="I984" s="3" t="s">
        <v>124</v>
      </c>
      <c r="J984" s="3">
        <v>69</v>
      </c>
      <c r="K984" s="3">
        <v>338.02</v>
      </c>
      <c r="L984" s="3">
        <v>395.66</v>
      </c>
      <c r="M984" s="3">
        <v>27300.54</v>
      </c>
      <c r="N984" s="3">
        <v>23323.38</v>
      </c>
      <c r="O984" s="3">
        <v>3977.16</v>
      </c>
      <c r="P984" s="3" t="s">
        <v>52</v>
      </c>
      <c r="Q984" s="3" t="s">
        <v>63</v>
      </c>
      <c r="R984" s="3">
        <v>5</v>
      </c>
      <c r="S984" s="3" t="s">
        <v>43</v>
      </c>
      <c r="T984" s="3">
        <v>4075</v>
      </c>
      <c r="U984" s="3">
        <v>2</v>
      </c>
      <c r="V984" s="3"/>
    </row>
    <row r="985" spans="1:22" x14ac:dyDescent="0.35">
      <c r="A985" s="2" t="s">
        <v>2819</v>
      </c>
      <c r="B985" s="2" t="s">
        <v>1298</v>
      </c>
      <c r="C985" s="2" t="s">
        <v>637</v>
      </c>
      <c r="D985" s="2" t="s">
        <v>2820</v>
      </c>
      <c r="E985" s="2" t="s">
        <v>68</v>
      </c>
      <c r="F985" s="2" t="s">
        <v>249</v>
      </c>
      <c r="G985" s="2" t="s">
        <v>93</v>
      </c>
      <c r="H985" s="2" t="s">
        <v>485</v>
      </c>
      <c r="I985" s="2" t="s">
        <v>62</v>
      </c>
      <c r="J985" s="2">
        <v>355</v>
      </c>
      <c r="K985" s="2">
        <v>1136.8399999999999</v>
      </c>
      <c r="L985" s="2">
        <v>1690.35</v>
      </c>
      <c r="M985" s="2">
        <v>600074.25</v>
      </c>
      <c r="N985" s="2">
        <v>403578.2</v>
      </c>
      <c r="O985" s="2">
        <v>196496.05</v>
      </c>
      <c r="P985" s="2" t="s">
        <v>42</v>
      </c>
      <c r="Q985" s="2" t="s">
        <v>63</v>
      </c>
      <c r="R985" s="2">
        <v>2</v>
      </c>
      <c r="S985" s="2" t="s">
        <v>53</v>
      </c>
      <c r="T985" s="2">
        <v>603</v>
      </c>
      <c r="U985" s="2">
        <v>4</v>
      </c>
      <c r="V985" s="2"/>
    </row>
    <row r="986" spans="1:22" x14ac:dyDescent="0.35">
      <c r="A986" s="3" t="s">
        <v>2821</v>
      </c>
      <c r="B986" s="3" t="s">
        <v>209</v>
      </c>
      <c r="C986" s="3" t="s">
        <v>649</v>
      </c>
      <c r="D986" s="3" t="s">
        <v>2822</v>
      </c>
      <c r="E986" s="3" t="s">
        <v>68</v>
      </c>
      <c r="F986" s="3" t="s">
        <v>163</v>
      </c>
      <c r="G986" s="3" t="s">
        <v>70</v>
      </c>
      <c r="H986" s="3" t="s">
        <v>2823</v>
      </c>
      <c r="I986" s="3" t="s">
        <v>124</v>
      </c>
      <c r="J986" s="3">
        <v>732</v>
      </c>
      <c r="K986" s="3">
        <v>447.17</v>
      </c>
      <c r="L986" s="3">
        <v>627.96</v>
      </c>
      <c r="M986" s="3">
        <v>459666.72</v>
      </c>
      <c r="N986" s="3">
        <v>327328.44</v>
      </c>
      <c r="O986" s="3">
        <v>132338.28</v>
      </c>
      <c r="P986" s="3" t="s">
        <v>52</v>
      </c>
      <c r="Q986" s="3" t="s">
        <v>63</v>
      </c>
      <c r="R986" s="3">
        <v>4</v>
      </c>
      <c r="S986" s="3" t="s">
        <v>53</v>
      </c>
      <c r="T986" s="3">
        <v>4753</v>
      </c>
      <c r="U986" s="3">
        <v>17</v>
      </c>
      <c r="V986" s="3"/>
    </row>
    <row r="987" spans="1:22" x14ac:dyDescent="0.35">
      <c r="A987" s="2" t="s">
        <v>2824</v>
      </c>
      <c r="B987" s="2" t="s">
        <v>137</v>
      </c>
      <c r="C987" s="2" t="s">
        <v>1797</v>
      </c>
      <c r="D987" s="2" t="s">
        <v>2825</v>
      </c>
      <c r="E987" s="2" t="s">
        <v>68</v>
      </c>
      <c r="F987" s="2" t="s">
        <v>146</v>
      </c>
      <c r="G987" s="2" t="s">
        <v>189</v>
      </c>
      <c r="H987" s="2" t="s">
        <v>369</v>
      </c>
      <c r="I987" s="2" t="s">
        <v>30</v>
      </c>
      <c r="J987" s="2">
        <v>14</v>
      </c>
      <c r="K987" s="2">
        <v>343.48</v>
      </c>
      <c r="L987" s="2">
        <v>516.39</v>
      </c>
      <c r="M987" s="2">
        <v>7229.46</v>
      </c>
      <c r="N987" s="2">
        <v>4808.72</v>
      </c>
      <c r="O987" s="2">
        <v>2420.7399999999998</v>
      </c>
      <c r="P987" s="2" t="s">
        <v>42</v>
      </c>
      <c r="Q987" s="2" t="s">
        <v>32</v>
      </c>
      <c r="R987" s="2">
        <v>12</v>
      </c>
      <c r="S987" s="2" t="s">
        <v>43</v>
      </c>
      <c r="T987" s="2">
        <v>938</v>
      </c>
      <c r="U987" s="2">
        <v>0</v>
      </c>
      <c r="V987" s="2"/>
    </row>
    <row r="988" spans="1:22" x14ac:dyDescent="0.35">
      <c r="A988" s="3" t="s">
        <v>2826</v>
      </c>
      <c r="B988" s="3" t="s">
        <v>742</v>
      </c>
      <c r="C988" s="3" t="s">
        <v>309</v>
      </c>
      <c r="D988" s="3" t="s">
        <v>2827</v>
      </c>
      <c r="E988" s="3" t="s">
        <v>58</v>
      </c>
      <c r="F988" s="3" t="s">
        <v>59</v>
      </c>
      <c r="G988" s="3" t="s">
        <v>129</v>
      </c>
      <c r="H988" s="3" t="s">
        <v>316</v>
      </c>
      <c r="I988" s="3" t="s">
        <v>41</v>
      </c>
      <c r="J988" s="3">
        <v>324</v>
      </c>
      <c r="K988" s="3">
        <v>395</v>
      </c>
      <c r="L988" s="3">
        <v>470.16</v>
      </c>
      <c r="M988" s="3">
        <v>152331.84</v>
      </c>
      <c r="N988" s="3">
        <v>127980</v>
      </c>
      <c r="O988" s="3">
        <v>24351.84</v>
      </c>
      <c r="P988" s="3" t="s">
        <v>42</v>
      </c>
      <c r="Q988" s="3" t="s">
        <v>32</v>
      </c>
      <c r="R988" s="3">
        <v>12</v>
      </c>
      <c r="S988" s="3" t="s">
        <v>53</v>
      </c>
      <c r="T988" s="3">
        <v>4837</v>
      </c>
      <c r="U988" s="3">
        <v>13</v>
      </c>
      <c r="V988" s="3"/>
    </row>
    <row r="989" spans="1:22" x14ac:dyDescent="0.35">
      <c r="A989" s="2" t="s">
        <v>2828</v>
      </c>
      <c r="B989" s="2" t="s">
        <v>517</v>
      </c>
      <c r="C989" s="2" t="s">
        <v>1967</v>
      </c>
      <c r="D989" s="2" t="s">
        <v>2829</v>
      </c>
      <c r="E989" s="2" t="s">
        <v>26</v>
      </c>
      <c r="F989" s="2" t="s">
        <v>77</v>
      </c>
      <c r="G989" s="2" t="s">
        <v>217</v>
      </c>
      <c r="H989" s="2" t="s">
        <v>340</v>
      </c>
      <c r="I989" s="2" t="s">
        <v>72</v>
      </c>
      <c r="J989" s="2">
        <v>353</v>
      </c>
      <c r="K989" s="2">
        <v>279.56</v>
      </c>
      <c r="L989" s="2">
        <v>321.08999999999997</v>
      </c>
      <c r="M989" s="2">
        <v>113344.77</v>
      </c>
      <c r="N989" s="2">
        <v>98684.68</v>
      </c>
      <c r="O989" s="2">
        <v>14660.09</v>
      </c>
      <c r="P989" s="2" t="s">
        <v>42</v>
      </c>
      <c r="Q989" s="2" t="s">
        <v>63</v>
      </c>
      <c r="R989" s="2">
        <v>4</v>
      </c>
      <c r="S989" s="2" t="s">
        <v>43</v>
      </c>
      <c r="T989" s="2">
        <v>3295</v>
      </c>
      <c r="U989" s="2">
        <v>4</v>
      </c>
      <c r="V989" s="2"/>
    </row>
    <row r="990" spans="1:22" x14ac:dyDescent="0.35">
      <c r="A990" s="3" t="s">
        <v>2830</v>
      </c>
      <c r="B990" s="3" t="s">
        <v>1433</v>
      </c>
      <c r="C990" s="3" t="s">
        <v>965</v>
      </c>
      <c r="D990" s="3" t="s">
        <v>2831</v>
      </c>
      <c r="E990" s="3" t="s">
        <v>100</v>
      </c>
      <c r="F990" s="3" t="s">
        <v>330</v>
      </c>
      <c r="G990" s="3" t="s">
        <v>39</v>
      </c>
      <c r="H990" s="3" t="s">
        <v>664</v>
      </c>
      <c r="I990" s="3" t="s">
        <v>153</v>
      </c>
      <c r="J990" s="3">
        <v>150</v>
      </c>
      <c r="K990" s="3">
        <v>368.77</v>
      </c>
      <c r="L990" s="3">
        <v>551.17999999999995</v>
      </c>
      <c r="M990" s="3">
        <v>82677</v>
      </c>
      <c r="N990" s="3">
        <v>55315.5</v>
      </c>
      <c r="O990" s="3">
        <v>27361.5</v>
      </c>
      <c r="P990" s="3" t="s">
        <v>42</v>
      </c>
      <c r="Q990" s="3" t="s">
        <v>32</v>
      </c>
      <c r="R990" s="3">
        <v>11</v>
      </c>
      <c r="S990" s="3" t="s">
        <v>158</v>
      </c>
      <c r="T990" s="3">
        <v>577</v>
      </c>
      <c r="U990" s="3">
        <v>3</v>
      </c>
      <c r="V990" s="3"/>
    </row>
    <row r="991" spans="1:22" x14ac:dyDescent="0.35">
      <c r="A991" s="2" t="s">
        <v>2832</v>
      </c>
      <c r="B991" s="2" t="s">
        <v>155</v>
      </c>
      <c r="C991" s="2" t="s">
        <v>2833</v>
      </c>
      <c r="D991" s="2" t="s">
        <v>2834</v>
      </c>
      <c r="E991" s="2" t="s">
        <v>48</v>
      </c>
      <c r="F991" s="2" t="s">
        <v>270</v>
      </c>
      <c r="G991" s="2" t="s">
        <v>60</v>
      </c>
      <c r="H991" s="2" t="s">
        <v>265</v>
      </c>
      <c r="I991" s="2" t="s">
        <v>41</v>
      </c>
      <c r="J991" s="2">
        <v>450</v>
      </c>
      <c r="K991" s="2">
        <v>337.22</v>
      </c>
      <c r="L991" s="2">
        <v>543.22</v>
      </c>
      <c r="M991" s="2">
        <v>244449</v>
      </c>
      <c r="N991" s="2">
        <v>151749</v>
      </c>
      <c r="O991" s="2">
        <v>92700</v>
      </c>
      <c r="P991" s="2" t="s">
        <v>52</v>
      </c>
      <c r="Q991" s="2" t="s">
        <v>32</v>
      </c>
      <c r="R991" s="2">
        <v>10</v>
      </c>
      <c r="S991" s="2" t="s">
        <v>158</v>
      </c>
      <c r="T991" s="2">
        <v>2104</v>
      </c>
      <c r="U991" s="2">
        <v>15</v>
      </c>
      <c r="V991" s="2"/>
    </row>
    <row r="992" spans="1:22" x14ac:dyDescent="0.35">
      <c r="A992" s="3" t="s">
        <v>2835</v>
      </c>
      <c r="B992" s="3" t="s">
        <v>75</v>
      </c>
      <c r="C992" s="3" t="s">
        <v>2496</v>
      </c>
      <c r="D992" s="3" t="s">
        <v>2836</v>
      </c>
      <c r="E992" s="3" t="s">
        <v>100</v>
      </c>
      <c r="F992" s="3" t="s">
        <v>538</v>
      </c>
      <c r="G992" s="3" t="s">
        <v>39</v>
      </c>
      <c r="H992" s="3" t="s">
        <v>664</v>
      </c>
      <c r="I992" s="3" t="s">
        <v>124</v>
      </c>
      <c r="J992" s="3">
        <v>106</v>
      </c>
      <c r="K992" s="3">
        <v>1019.77</v>
      </c>
      <c r="L992" s="3">
        <v>1330.86</v>
      </c>
      <c r="M992" s="3">
        <v>141071.16</v>
      </c>
      <c r="N992" s="3">
        <v>108095.62</v>
      </c>
      <c r="O992" s="3">
        <v>32975.54</v>
      </c>
      <c r="P992" s="3" t="s">
        <v>42</v>
      </c>
      <c r="Q992" s="3" t="s">
        <v>63</v>
      </c>
      <c r="R992" s="3">
        <v>5</v>
      </c>
      <c r="S992" s="3" t="s">
        <v>33</v>
      </c>
      <c r="T992" s="3">
        <v>2116</v>
      </c>
      <c r="U992" s="3">
        <v>4</v>
      </c>
      <c r="V992" s="3"/>
    </row>
    <row r="993" spans="1:22" x14ac:dyDescent="0.35">
      <c r="A993" s="2" t="s">
        <v>2837</v>
      </c>
      <c r="B993" s="2" t="s">
        <v>2649</v>
      </c>
      <c r="C993" s="2" t="s">
        <v>471</v>
      </c>
      <c r="D993" s="2" t="s">
        <v>2838</v>
      </c>
      <c r="E993" s="2" t="s">
        <v>26</v>
      </c>
      <c r="F993" s="2" t="s">
        <v>77</v>
      </c>
      <c r="G993" s="2" t="s">
        <v>78</v>
      </c>
      <c r="H993" s="2" t="s">
        <v>79</v>
      </c>
      <c r="I993" s="2" t="s">
        <v>1230</v>
      </c>
      <c r="J993" s="2">
        <v>623</v>
      </c>
      <c r="K993" s="2">
        <v>1050.57</v>
      </c>
      <c r="L993" s="2">
        <v>1603.16</v>
      </c>
      <c r="M993" s="2">
        <v>998768.68</v>
      </c>
      <c r="N993" s="2">
        <v>654505.11</v>
      </c>
      <c r="O993" s="2">
        <v>344263.57</v>
      </c>
      <c r="P993" s="2" t="s">
        <v>31</v>
      </c>
      <c r="Q993" s="2" t="s">
        <v>32</v>
      </c>
      <c r="R993" s="2">
        <v>6</v>
      </c>
      <c r="S993" s="2" t="s">
        <v>53</v>
      </c>
      <c r="T993" s="2">
        <v>3744</v>
      </c>
      <c r="U993" s="2">
        <v>23</v>
      </c>
      <c r="V993" s="2"/>
    </row>
    <row r="994" spans="1:22" x14ac:dyDescent="0.35">
      <c r="A994" s="3" t="s">
        <v>2839</v>
      </c>
      <c r="B994" s="3" t="s">
        <v>1007</v>
      </c>
      <c r="C994" s="3" t="s">
        <v>711</v>
      </c>
      <c r="D994" s="3" t="s">
        <v>2840</v>
      </c>
      <c r="E994" s="3" t="s">
        <v>100</v>
      </c>
      <c r="F994" s="3" t="s">
        <v>106</v>
      </c>
      <c r="G994" s="3" t="s">
        <v>93</v>
      </c>
      <c r="H994" s="3" t="s">
        <v>302</v>
      </c>
      <c r="I994" s="3" t="s">
        <v>124</v>
      </c>
      <c r="J994" s="3">
        <v>328</v>
      </c>
      <c r="K994" s="3">
        <v>1088.98</v>
      </c>
      <c r="L994" s="3">
        <v>1406.58</v>
      </c>
      <c r="M994" s="3">
        <v>461358.24</v>
      </c>
      <c r="N994" s="3">
        <v>357185.44</v>
      </c>
      <c r="O994" s="3">
        <v>104172.8</v>
      </c>
      <c r="P994" s="3" t="s">
        <v>2841</v>
      </c>
      <c r="Q994" s="3" t="s">
        <v>63</v>
      </c>
      <c r="R994" s="3">
        <v>1</v>
      </c>
      <c r="S994" s="3" t="s">
        <v>43</v>
      </c>
      <c r="T994" s="3">
        <v>4002</v>
      </c>
      <c r="U994" s="3">
        <v>0</v>
      </c>
      <c r="V994" s="3"/>
    </row>
    <row r="995" spans="1:22" x14ac:dyDescent="0.35">
      <c r="A995" s="2" t="s">
        <v>2842</v>
      </c>
      <c r="B995" s="2" t="s">
        <v>2843</v>
      </c>
      <c r="C995" s="2" t="s">
        <v>2844</v>
      </c>
      <c r="D995" s="2" t="s">
        <v>2845</v>
      </c>
      <c r="E995" s="2" t="s">
        <v>68</v>
      </c>
      <c r="F995" s="2" t="s">
        <v>146</v>
      </c>
      <c r="G995" s="2" t="s">
        <v>28</v>
      </c>
      <c r="H995" s="2" t="s">
        <v>111</v>
      </c>
      <c r="I995" s="2" t="s">
        <v>124</v>
      </c>
      <c r="J995" s="2">
        <v>349</v>
      </c>
      <c r="K995" s="2">
        <v>621.48</v>
      </c>
      <c r="L995" s="2">
        <v>733.67</v>
      </c>
      <c r="M995" s="2">
        <v>256050.83</v>
      </c>
      <c r="N995" s="2">
        <v>216896.52</v>
      </c>
      <c r="O995" s="2">
        <v>39154.31</v>
      </c>
      <c r="P995" s="2" t="s">
        <v>95</v>
      </c>
      <c r="Q995" s="2" t="s">
        <v>32</v>
      </c>
      <c r="R995" s="2">
        <v>10</v>
      </c>
      <c r="S995" s="2" t="s">
        <v>53</v>
      </c>
      <c r="T995" s="2">
        <v>473</v>
      </c>
      <c r="U995" s="2">
        <v>2</v>
      </c>
      <c r="V995" s="2"/>
    </row>
    <row r="996" spans="1:22" x14ac:dyDescent="0.35">
      <c r="A996" s="3" t="s">
        <v>2846</v>
      </c>
      <c r="B996" s="3" t="s">
        <v>1483</v>
      </c>
      <c r="C996" s="3" t="s">
        <v>1015</v>
      </c>
      <c r="D996" s="3" t="s">
        <v>2847</v>
      </c>
      <c r="E996" s="3" t="s">
        <v>68</v>
      </c>
      <c r="F996" s="3" t="s">
        <v>69</v>
      </c>
      <c r="G996" s="3" t="s">
        <v>28</v>
      </c>
      <c r="H996" s="3" t="s">
        <v>714</v>
      </c>
      <c r="I996" s="3" t="s">
        <v>191</v>
      </c>
      <c r="J996" s="3">
        <v>70</v>
      </c>
      <c r="K996" s="3">
        <v>341.72</v>
      </c>
      <c r="L996" s="3">
        <v>396.13</v>
      </c>
      <c r="M996" s="3">
        <v>27729.1</v>
      </c>
      <c r="N996" s="3">
        <v>23920.400000000001</v>
      </c>
      <c r="O996" s="3">
        <v>3808.7</v>
      </c>
      <c r="P996" s="3" t="s">
        <v>95</v>
      </c>
      <c r="Q996" s="3" t="s">
        <v>63</v>
      </c>
      <c r="R996" s="3">
        <v>3</v>
      </c>
      <c r="S996" s="3" t="s">
        <v>43</v>
      </c>
      <c r="T996" s="3">
        <v>4002</v>
      </c>
      <c r="U996" s="3">
        <v>3</v>
      </c>
      <c r="V996" s="3"/>
    </row>
    <row r="997" spans="1:22" x14ac:dyDescent="0.35">
      <c r="A997" s="2" t="s">
        <v>2848</v>
      </c>
      <c r="B997" s="2" t="s">
        <v>2849</v>
      </c>
      <c r="C997" s="2" t="s">
        <v>1065</v>
      </c>
      <c r="D997" s="2" t="s">
        <v>1818</v>
      </c>
      <c r="E997" s="2" t="s">
        <v>68</v>
      </c>
      <c r="F997" s="2" t="s">
        <v>163</v>
      </c>
      <c r="G997" s="2" t="s">
        <v>93</v>
      </c>
      <c r="H997" s="2" t="s">
        <v>643</v>
      </c>
      <c r="I997" s="2" t="s">
        <v>153</v>
      </c>
      <c r="J997" s="2">
        <v>256</v>
      </c>
      <c r="K997" s="2">
        <v>577.66</v>
      </c>
      <c r="L997" s="2">
        <v>846.53</v>
      </c>
      <c r="M997" s="2">
        <v>216711.67999999999</v>
      </c>
      <c r="N997" s="2">
        <v>147880.95999999999</v>
      </c>
      <c r="O997" s="2">
        <v>68830.720000000001</v>
      </c>
      <c r="P997" s="2" t="s">
        <v>95</v>
      </c>
      <c r="Q997" s="2" t="s">
        <v>32</v>
      </c>
      <c r="R997" s="2">
        <v>9</v>
      </c>
      <c r="S997" s="2" t="s">
        <v>86</v>
      </c>
      <c r="T997" s="2">
        <v>2108</v>
      </c>
      <c r="U997" s="2">
        <v>5</v>
      </c>
      <c r="V997" s="2"/>
    </row>
    <row r="998" spans="1:22" x14ac:dyDescent="0.35">
      <c r="A998" s="3" t="s">
        <v>2850</v>
      </c>
      <c r="B998" s="3" t="s">
        <v>790</v>
      </c>
      <c r="C998" s="3" t="s">
        <v>2851</v>
      </c>
      <c r="D998" s="3" t="s">
        <v>2852</v>
      </c>
      <c r="E998" s="3" t="s">
        <v>100</v>
      </c>
      <c r="F998" s="3" t="s">
        <v>106</v>
      </c>
      <c r="G998" s="3" t="s">
        <v>129</v>
      </c>
      <c r="H998" s="3" t="s">
        <v>811</v>
      </c>
      <c r="I998" s="3" t="s">
        <v>118</v>
      </c>
      <c r="J998" s="3">
        <v>297</v>
      </c>
      <c r="K998" s="3">
        <v>695.94</v>
      </c>
      <c r="L998" s="4"/>
      <c r="M998" s="3">
        <v>311772.78000000003</v>
      </c>
      <c r="N998" s="3">
        <v>206694.18</v>
      </c>
      <c r="O998" s="3">
        <v>105078.6</v>
      </c>
      <c r="P998" s="3" t="s">
        <v>42</v>
      </c>
      <c r="Q998" s="3" t="s">
        <v>63</v>
      </c>
      <c r="R998" s="3">
        <v>2</v>
      </c>
      <c r="S998" s="3" t="s">
        <v>86</v>
      </c>
      <c r="T998" s="3">
        <v>3296</v>
      </c>
      <c r="U998" s="3">
        <v>14</v>
      </c>
      <c r="V998" s="3"/>
    </row>
    <row r="999" spans="1:22" x14ac:dyDescent="0.35">
      <c r="A999" s="2" t="s">
        <v>2853</v>
      </c>
      <c r="B999" s="2" t="s">
        <v>1499</v>
      </c>
      <c r="C999" s="2" t="s">
        <v>1226</v>
      </c>
      <c r="D999" s="2" t="s">
        <v>2854</v>
      </c>
      <c r="E999" s="2" t="s">
        <v>68</v>
      </c>
      <c r="F999" s="2" t="s">
        <v>276</v>
      </c>
      <c r="G999" s="2" t="s">
        <v>189</v>
      </c>
      <c r="H999" s="2" t="s">
        <v>190</v>
      </c>
      <c r="I999" s="2" t="s">
        <v>85</v>
      </c>
      <c r="J999" s="2">
        <v>466</v>
      </c>
      <c r="K999" s="2">
        <v>1129.5899999999999</v>
      </c>
      <c r="L999" s="2">
        <v>1466.13</v>
      </c>
      <c r="M999" s="2">
        <v>683216.58</v>
      </c>
      <c r="N999" s="2">
        <v>526388.93999999994</v>
      </c>
      <c r="O999" s="2">
        <v>156827.64000000001</v>
      </c>
      <c r="P999" s="2" t="s">
        <v>31</v>
      </c>
      <c r="Q999" s="2" t="s">
        <v>32</v>
      </c>
      <c r="R999" s="2">
        <v>12</v>
      </c>
      <c r="S999" s="2" t="s">
        <v>86</v>
      </c>
      <c r="T999" s="2">
        <v>2973</v>
      </c>
      <c r="U999" s="2">
        <v>23</v>
      </c>
      <c r="V999" s="2"/>
    </row>
    <row r="1000" spans="1:22" x14ac:dyDescent="0.35">
      <c r="A1000" s="3" t="s">
        <v>2855</v>
      </c>
      <c r="B1000" s="3" t="s">
        <v>1347</v>
      </c>
      <c r="C1000" s="3" t="s">
        <v>1140</v>
      </c>
      <c r="D1000" s="3" t="s">
        <v>2856</v>
      </c>
      <c r="E1000" s="3" t="s">
        <v>48</v>
      </c>
      <c r="F1000" s="3" t="s">
        <v>270</v>
      </c>
      <c r="G1000" s="3" t="s">
        <v>28</v>
      </c>
      <c r="H1000" s="3" t="s">
        <v>579</v>
      </c>
      <c r="I1000" s="3" t="s">
        <v>240</v>
      </c>
      <c r="J1000" s="3">
        <v>619</v>
      </c>
      <c r="K1000" s="3">
        <v>915.23</v>
      </c>
      <c r="L1000" s="3">
        <v>1288.8900000000001</v>
      </c>
      <c r="M1000" s="3">
        <v>797822.91</v>
      </c>
      <c r="N1000" s="3">
        <v>566527.37</v>
      </c>
      <c r="O1000" s="3">
        <v>231295.54</v>
      </c>
      <c r="P1000" s="3" t="s">
        <v>52</v>
      </c>
      <c r="Q1000" s="3" t="s">
        <v>32</v>
      </c>
      <c r="R1000" s="3">
        <v>14</v>
      </c>
      <c r="S1000" s="3" t="s">
        <v>53</v>
      </c>
      <c r="T1000" s="3">
        <v>1195</v>
      </c>
      <c r="U1000" s="3">
        <v>23</v>
      </c>
      <c r="V1000" s="3"/>
    </row>
    <row r="1001" spans="1:22" x14ac:dyDescent="0.35">
      <c r="A1001" s="2" t="s">
        <v>2857</v>
      </c>
      <c r="B1001" s="2" t="s">
        <v>2508</v>
      </c>
      <c r="C1001" s="2" t="s">
        <v>198</v>
      </c>
      <c r="D1001" s="2" t="s">
        <v>2858</v>
      </c>
      <c r="E1001" s="2" t="s">
        <v>48</v>
      </c>
      <c r="F1001" s="2" t="s">
        <v>270</v>
      </c>
      <c r="G1001" s="2" t="s">
        <v>189</v>
      </c>
      <c r="H1001" s="2" t="s">
        <v>271</v>
      </c>
      <c r="I1001" s="2" t="s">
        <v>118</v>
      </c>
      <c r="J1001" s="2">
        <v>457</v>
      </c>
      <c r="K1001" s="2">
        <v>524.42999999999995</v>
      </c>
      <c r="L1001" s="2">
        <v>863.89</v>
      </c>
      <c r="M1001" s="2">
        <v>394797.73</v>
      </c>
      <c r="N1001" s="2">
        <v>239664.51</v>
      </c>
      <c r="O1001" s="2">
        <v>155133.22</v>
      </c>
      <c r="P1001" s="2" t="s">
        <v>52</v>
      </c>
      <c r="Q1001" s="2" t="s">
        <v>32</v>
      </c>
      <c r="R1001" s="2">
        <v>11</v>
      </c>
      <c r="S1001" s="2" t="s">
        <v>86</v>
      </c>
      <c r="T1001" s="2">
        <v>3695</v>
      </c>
      <c r="U1001" s="2">
        <v>20</v>
      </c>
      <c r="V1001" s="2"/>
    </row>
    <row r="1002" spans="1:22" x14ac:dyDescent="0.35">
      <c r="A1002" s="3" t="s">
        <v>2859</v>
      </c>
      <c r="B1002" s="3" t="s">
        <v>1049</v>
      </c>
      <c r="C1002" s="3" t="s">
        <v>887</v>
      </c>
      <c r="D1002" s="3" t="s">
        <v>2860</v>
      </c>
      <c r="E1002" s="3" t="s">
        <v>48</v>
      </c>
      <c r="F1002" s="3" t="s">
        <v>49</v>
      </c>
      <c r="G1002" s="3" t="s">
        <v>93</v>
      </c>
      <c r="H1002" s="3" t="s">
        <v>643</v>
      </c>
      <c r="I1002" s="3" t="s">
        <v>141</v>
      </c>
      <c r="J1002" s="3">
        <v>172</v>
      </c>
      <c r="K1002" s="3">
        <v>765.52</v>
      </c>
      <c r="L1002" s="3">
        <v>1057.3699999999999</v>
      </c>
      <c r="M1002" s="3">
        <v>181867.64</v>
      </c>
      <c r="N1002" s="3">
        <v>131669.44</v>
      </c>
      <c r="O1002" s="3">
        <v>50198.2</v>
      </c>
      <c r="P1002" s="3" t="s">
        <v>31</v>
      </c>
      <c r="Q1002" s="3" t="s">
        <v>63</v>
      </c>
      <c r="R1002" s="3">
        <v>2</v>
      </c>
      <c r="S1002" s="3" t="s">
        <v>158</v>
      </c>
      <c r="T1002" s="3">
        <v>4687</v>
      </c>
      <c r="U1002" s="3">
        <v>1</v>
      </c>
      <c r="V1002" s="3"/>
    </row>
    <row r="1003" spans="1:22" x14ac:dyDescent="0.35">
      <c r="A1003" s="2" t="s">
        <v>2861</v>
      </c>
      <c r="B1003" s="2" t="s">
        <v>605</v>
      </c>
      <c r="C1003" s="2" t="s">
        <v>2604</v>
      </c>
      <c r="D1003" s="2" t="s">
        <v>2862</v>
      </c>
      <c r="E1003" s="4"/>
      <c r="F1003" s="2" t="s">
        <v>228</v>
      </c>
      <c r="G1003" s="2" t="s">
        <v>70</v>
      </c>
      <c r="H1003" s="2" t="s">
        <v>239</v>
      </c>
      <c r="I1003" s="2" t="s">
        <v>153</v>
      </c>
      <c r="J1003" s="2">
        <v>713</v>
      </c>
      <c r="K1003" s="2">
        <v>239.93</v>
      </c>
      <c r="L1003" s="2">
        <v>362.28</v>
      </c>
      <c r="M1003" s="2">
        <v>258305.64</v>
      </c>
      <c r="N1003" s="2">
        <v>171070.09</v>
      </c>
      <c r="O1003" s="2">
        <v>87235.55</v>
      </c>
      <c r="P1003" s="2" t="s">
        <v>31</v>
      </c>
      <c r="Q1003" s="2" t="s">
        <v>63</v>
      </c>
      <c r="R1003" s="2">
        <v>1</v>
      </c>
      <c r="S1003" s="2" t="s">
        <v>158</v>
      </c>
      <c r="T1003" s="2">
        <v>183</v>
      </c>
      <c r="U1003" s="2">
        <v>6</v>
      </c>
      <c r="V1003" s="2"/>
    </row>
    <row r="1004" spans="1:22" x14ac:dyDescent="0.35">
      <c r="A1004" s="3" t="s">
        <v>2863</v>
      </c>
      <c r="B1004" s="3" t="s">
        <v>82</v>
      </c>
      <c r="C1004" s="3" t="s">
        <v>1246</v>
      </c>
      <c r="D1004" s="3" t="s">
        <v>2864</v>
      </c>
      <c r="E1004" s="3" t="s">
        <v>48</v>
      </c>
      <c r="F1004" s="3" t="s">
        <v>49</v>
      </c>
      <c r="G1004" s="3" t="s">
        <v>70</v>
      </c>
      <c r="H1004" s="3" t="s">
        <v>623</v>
      </c>
      <c r="I1004" s="3" t="s">
        <v>118</v>
      </c>
      <c r="J1004" s="3">
        <v>673</v>
      </c>
      <c r="K1004" s="3">
        <v>1141.3900000000001</v>
      </c>
      <c r="L1004" s="3">
        <v>1389.1</v>
      </c>
      <c r="M1004" s="3">
        <v>934864.3</v>
      </c>
      <c r="N1004" s="3">
        <v>768155.47</v>
      </c>
      <c r="O1004" s="3">
        <v>166708.82999999999</v>
      </c>
      <c r="P1004" s="3" t="s">
        <v>42</v>
      </c>
      <c r="Q1004" s="3" t="s">
        <v>32</v>
      </c>
      <c r="R1004" s="3">
        <v>8</v>
      </c>
      <c r="S1004" s="3" t="s">
        <v>43</v>
      </c>
      <c r="T1004" s="3">
        <v>2371</v>
      </c>
      <c r="U1004" s="3">
        <v>19</v>
      </c>
      <c r="V1004" s="3"/>
    </row>
    <row r="1005" spans="1:22" x14ac:dyDescent="0.35">
      <c r="A1005" s="2" t="s">
        <v>2865</v>
      </c>
      <c r="B1005" s="2" t="s">
        <v>2058</v>
      </c>
      <c r="C1005" s="2" t="s">
        <v>221</v>
      </c>
      <c r="D1005" s="2" t="s">
        <v>2866</v>
      </c>
      <c r="E1005" s="2" t="s">
        <v>68</v>
      </c>
      <c r="F1005" s="2" t="s">
        <v>249</v>
      </c>
      <c r="G1005" s="2" t="s">
        <v>78</v>
      </c>
      <c r="H1005" s="2" t="s">
        <v>425</v>
      </c>
      <c r="I1005" s="2" t="s">
        <v>85</v>
      </c>
      <c r="J1005" s="2">
        <v>605</v>
      </c>
      <c r="K1005" s="2">
        <v>1198.01</v>
      </c>
      <c r="L1005" s="2">
        <v>1875.48</v>
      </c>
      <c r="M1005" s="2">
        <v>1134665.3999999999</v>
      </c>
      <c r="N1005" s="2">
        <v>724796.05</v>
      </c>
      <c r="O1005" s="2">
        <v>409869.35</v>
      </c>
      <c r="P1005" s="2" t="s">
        <v>42</v>
      </c>
      <c r="Q1005" s="2" t="s">
        <v>63</v>
      </c>
      <c r="R1005" s="2">
        <v>5</v>
      </c>
      <c r="S1005" s="2" t="s">
        <v>112</v>
      </c>
      <c r="T1005" s="2">
        <v>1688</v>
      </c>
      <c r="U1005" s="2">
        <v>28</v>
      </c>
      <c r="V1005" s="2"/>
    </row>
    <row r="1006" spans="1:22" x14ac:dyDescent="0.35">
      <c r="A1006" s="3" t="s">
        <v>2867</v>
      </c>
      <c r="B1006" s="3" t="s">
        <v>759</v>
      </c>
      <c r="C1006" s="3" t="s">
        <v>483</v>
      </c>
      <c r="D1006" s="3" t="s">
        <v>2868</v>
      </c>
      <c r="E1006" s="3" t="s">
        <v>1761</v>
      </c>
      <c r="F1006" s="3" t="s">
        <v>163</v>
      </c>
      <c r="G1006" s="3" t="s">
        <v>50</v>
      </c>
      <c r="H1006" s="3" t="s">
        <v>282</v>
      </c>
      <c r="I1006" s="3" t="s">
        <v>141</v>
      </c>
      <c r="J1006" s="3">
        <v>316</v>
      </c>
      <c r="K1006" s="3">
        <v>242.49</v>
      </c>
      <c r="L1006" s="3">
        <v>304.42</v>
      </c>
      <c r="M1006" s="3">
        <v>96196.72</v>
      </c>
      <c r="N1006" s="3">
        <v>76626.84</v>
      </c>
      <c r="O1006" s="3">
        <v>19569.88</v>
      </c>
      <c r="P1006" s="3" t="s">
        <v>42</v>
      </c>
      <c r="Q1006" s="3" t="s">
        <v>32</v>
      </c>
      <c r="R1006" s="3">
        <v>14</v>
      </c>
      <c r="S1006" s="3" t="s">
        <v>53</v>
      </c>
      <c r="T1006" s="3">
        <v>2694</v>
      </c>
      <c r="U1006" s="3">
        <v>9</v>
      </c>
      <c r="V1006" s="3"/>
    </row>
    <row r="1007" spans="1:22" x14ac:dyDescent="0.35">
      <c r="A1007" s="2" t="s">
        <v>2869</v>
      </c>
      <c r="B1007" s="2" t="s">
        <v>1240</v>
      </c>
      <c r="C1007" s="2" t="s">
        <v>1531</v>
      </c>
      <c r="D1007" s="2" t="s">
        <v>2870</v>
      </c>
      <c r="E1007" s="2" t="s">
        <v>68</v>
      </c>
      <c r="F1007" s="2" t="s">
        <v>146</v>
      </c>
      <c r="G1007" s="2" t="s">
        <v>129</v>
      </c>
      <c r="H1007" s="2" t="s">
        <v>345</v>
      </c>
      <c r="I1007" s="2" t="s">
        <v>153</v>
      </c>
      <c r="J1007" s="2">
        <v>671</v>
      </c>
      <c r="K1007" s="2">
        <v>319.26</v>
      </c>
      <c r="L1007" s="2">
        <v>389</v>
      </c>
      <c r="M1007" s="2">
        <v>261019</v>
      </c>
      <c r="N1007" s="2">
        <v>214223.46</v>
      </c>
      <c r="O1007" s="2">
        <v>46795.54</v>
      </c>
      <c r="P1007" s="2" t="s">
        <v>31</v>
      </c>
      <c r="Q1007" s="2" t="s">
        <v>32</v>
      </c>
      <c r="R1007" s="2">
        <v>13</v>
      </c>
      <c r="S1007" s="2" t="s">
        <v>53</v>
      </c>
      <c r="T1007" s="2">
        <v>3787</v>
      </c>
      <c r="U1007" s="2">
        <v>33</v>
      </c>
      <c r="V1007" s="2"/>
    </row>
    <row r="1008" spans="1:22" x14ac:dyDescent="0.35">
      <c r="A1008" s="3" t="s">
        <v>2871</v>
      </c>
      <c r="B1008" s="3" t="s">
        <v>296</v>
      </c>
      <c r="C1008" s="3" t="s">
        <v>581</v>
      </c>
      <c r="D1008" s="3" t="s">
        <v>2872</v>
      </c>
      <c r="E1008" s="3" t="s">
        <v>58</v>
      </c>
      <c r="F1008" s="3" t="s">
        <v>122</v>
      </c>
      <c r="G1008" s="3" t="s">
        <v>39</v>
      </c>
      <c r="H1008" s="3" t="s">
        <v>40</v>
      </c>
      <c r="I1008" s="3" t="s">
        <v>85</v>
      </c>
      <c r="J1008" s="3">
        <v>771</v>
      </c>
      <c r="K1008" s="3">
        <v>990.49</v>
      </c>
      <c r="L1008" s="3">
        <v>1537.23</v>
      </c>
      <c r="M1008" s="3">
        <v>1185204.33</v>
      </c>
      <c r="N1008" s="3">
        <v>763667.79</v>
      </c>
      <c r="O1008" s="3">
        <v>421536.54</v>
      </c>
      <c r="P1008" s="3" t="s">
        <v>52</v>
      </c>
      <c r="Q1008" s="3" t="s">
        <v>32</v>
      </c>
      <c r="R1008" s="3">
        <v>15</v>
      </c>
      <c r="S1008" s="3" t="s">
        <v>86</v>
      </c>
      <c r="T1008" s="3">
        <v>2171</v>
      </c>
      <c r="U1008" s="3">
        <v>27</v>
      </c>
      <c r="V1008" s="3"/>
    </row>
    <row r="1009" spans="1:22" x14ac:dyDescent="0.35">
      <c r="A1009" s="2" t="s">
        <v>2873</v>
      </c>
      <c r="B1009" s="2" t="s">
        <v>1517</v>
      </c>
      <c r="C1009" s="2" t="s">
        <v>1356</v>
      </c>
      <c r="D1009" s="2" t="s">
        <v>2874</v>
      </c>
      <c r="E1009" s="2" t="s">
        <v>48</v>
      </c>
      <c r="F1009" s="2" t="s">
        <v>183</v>
      </c>
      <c r="G1009" s="2" t="s">
        <v>39</v>
      </c>
      <c r="H1009" s="2" t="s">
        <v>354</v>
      </c>
      <c r="I1009" s="2" t="s">
        <v>293</v>
      </c>
      <c r="J1009" s="2">
        <v>767</v>
      </c>
      <c r="K1009" s="2">
        <v>1039.33</v>
      </c>
      <c r="L1009" s="2">
        <v>1707.75</v>
      </c>
      <c r="M1009" s="2">
        <v>1309844.25</v>
      </c>
      <c r="N1009" s="2">
        <v>797166.11</v>
      </c>
      <c r="O1009" s="2">
        <v>512678.14</v>
      </c>
      <c r="P1009" s="2" t="s">
        <v>42</v>
      </c>
      <c r="Q1009" s="2" t="s">
        <v>32</v>
      </c>
      <c r="R1009" s="2">
        <v>10</v>
      </c>
      <c r="S1009" s="2" t="s">
        <v>112</v>
      </c>
      <c r="T1009" s="2">
        <v>3399</v>
      </c>
      <c r="U1009" s="2">
        <v>24</v>
      </c>
      <c r="V1009" s="2"/>
    </row>
    <row r="1010" spans="1:22" x14ac:dyDescent="0.35">
      <c r="A1010" s="3" t="s">
        <v>2875</v>
      </c>
      <c r="B1010" s="3" t="s">
        <v>242</v>
      </c>
      <c r="C1010" s="3" t="s">
        <v>884</v>
      </c>
      <c r="D1010" s="3" t="s">
        <v>2876</v>
      </c>
      <c r="E1010" s="3" t="s">
        <v>58</v>
      </c>
      <c r="F1010" s="3" t="s">
        <v>59</v>
      </c>
      <c r="G1010" s="3" t="s">
        <v>50</v>
      </c>
      <c r="H1010" s="3" t="s">
        <v>51</v>
      </c>
      <c r="I1010" s="3" t="s">
        <v>293</v>
      </c>
      <c r="J1010" s="3">
        <v>336</v>
      </c>
      <c r="K1010" s="3">
        <v>1035.67</v>
      </c>
      <c r="L1010" s="3">
        <v>1588.94</v>
      </c>
      <c r="M1010" s="3">
        <v>533883.84</v>
      </c>
      <c r="N1010" s="3">
        <v>347985.12</v>
      </c>
      <c r="O1010" s="3">
        <v>185898.72</v>
      </c>
      <c r="P1010" s="3" t="s">
        <v>31</v>
      </c>
      <c r="Q1010" s="3" t="s">
        <v>63</v>
      </c>
      <c r="R1010" s="3">
        <v>3</v>
      </c>
      <c r="S1010" s="3" t="s">
        <v>33</v>
      </c>
      <c r="T1010" s="3">
        <v>276</v>
      </c>
      <c r="U1010" s="3">
        <v>5</v>
      </c>
      <c r="V1010" s="3"/>
    </row>
    <row r="1011" spans="1:22" x14ac:dyDescent="0.35">
      <c r="A1011" s="2" t="s">
        <v>2877</v>
      </c>
      <c r="B1011" s="2" t="s">
        <v>588</v>
      </c>
      <c r="C1011" s="2" t="s">
        <v>166</v>
      </c>
      <c r="D1011" s="2" t="s">
        <v>2878</v>
      </c>
      <c r="E1011" s="2" t="s">
        <v>26</v>
      </c>
      <c r="F1011" s="2" t="s">
        <v>77</v>
      </c>
      <c r="G1011" s="2" t="s">
        <v>93</v>
      </c>
      <c r="H1011" s="2" t="s">
        <v>302</v>
      </c>
      <c r="I1011" s="2" t="s">
        <v>240</v>
      </c>
      <c r="J1011" s="2">
        <v>12</v>
      </c>
      <c r="K1011" s="2">
        <v>1081.47</v>
      </c>
      <c r="L1011" s="2">
        <v>1574.04</v>
      </c>
      <c r="M1011" s="2">
        <v>18888.48</v>
      </c>
      <c r="N1011" s="2">
        <v>12977.64</v>
      </c>
      <c r="O1011" s="2">
        <v>5910.84</v>
      </c>
      <c r="P1011" s="2" t="s">
        <v>31</v>
      </c>
      <c r="Q1011" s="2" t="s">
        <v>63</v>
      </c>
      <c r="R1011" s="2">
        <v>2</v>
      </c>
      <c r="S1011" s="2" t="s">
        <v>86</v>
      </c>
      <c r="T1011" s="2">
        <v>3848</v>
      </c>
      <c r="U1011" s="2">
        <v>1</v>
      </c>
      <c r="V1011" s="2"/>
    </row>
    <row r="1012" spans="1:22" x14ac:dyDescent="0.35">
      <c r="A1012" s="3" t="s">
        <v>2879</v>
      </c>
      <c r="B1012" s="3" t="s">
        <v>1186</v>
      </c>
      <c r="C1012" s="3" t="s">
        <v>410</v>
      </c>
      <c r="D1012" s="3" t="s">
        <v>2880</v>
      </c>
      <c r="E1012" s="3" t="s">
        <v>26</v>
      </c>
      <c r="F1012" s="3" t="s">
        <v>77</v>
      </c>
      <c r="G1012" s="3" t="s">
        <v>93</v>
      </c>
      <c r="H1012" s="3" t="s">
        <v>140</v>
      </c>
      <c r="I1012" s="3" t="s">
        <v>124</v>
      </c>
      <c r="J1012" s="3">
        <v>776</v>
      </c>
      <c r="K1012" s="3">
        <v>151.82</v>
      </c>
      <c r="L1012" s="3">
        <v>208.74</v>
      </c>
      <c r="M1012" s="3">
        <v>161982.24</v>
      </c>
      <c r="N1012" s="3">
        <v>117812.32</v>
      </c>
      <c r="O1012" s="3">
        <v>44169.919999999998</v>
      </c>
      <c r="P1012" s="3" t="s">
        <v>42</v>
      </c>
      <c r="Q1012" s="3" t="s">
        <v>2276</v>
      </c>
      <c r="R1012" s="3">
        <v>9</v>
      </c>
      <c r="S1012" s="3" t="s">
        <v>112</v>
      </c>
      <c r="T1012" s="3">
        <v>4352</v>
      </c>
      <c r="U1012" s="3">
        <v>30</v>
      </c>
      <c r="V1012" s="3"/>
    </row>
    <row r="1013" spans="1:22" x14ac:dyDescent="0.35">
      <c r="A1013" s="2" t="s">
        <v>2881</v>
      </c>
      <c r="B1013" s="2" t="s">
        <v>941</v>
      </c>
      <c r="C1013" s="2" t="s">
        <v>209</v>
      </c>
      <c r="D1013" s="2" t="s">
        <v>1756</v>
      </c>
      <c r="E1013" s="2" t="s">
        <v>48</v>
      </c>
      <c r="F1013" s="2" t="s">
        <v>281</v>
      </c>
      <c r="G1013" s="2" t="s">
        <v>28</v>
      </c>
      <c r="H1013" s="2" t="s">
        <v>111</v>
      </c>
      <c r="I1013" s="2" t="s">
        <v>62</v>
      </c>
      <c r="J1013" s="2">
        <v>604</v>
      </c>
      <c r="K1013" s="2">
        <v>540.78</v>
      </c>
      <c r="L1013" s="2">
        <v>733.57</v>
      </c>
      <c r="M1013" s="2">
        <v>443076.28</v>
      </c>
      <c r="N1013" s="2">
        <v>326631.12</v>
      </c>
      <c r="O1013" s="2">
        <v>116445.16</v>
      </c>
      <c r="P1013" s="2" t="s">
        <v>31</v>
      </c>
      <c r="Q1013" s="2" t="s">
        <v>63</v>
      </c>
      <c r="R1013" s="2">
        <v>4</v>
      </c>
      <c r="S1013" s="2" t="s">
        <v>33</v>
      </c>
      <c r="T1013" s="2">
        <v>4816</v>
      </c>
      <c r="U1013" s="2">
        <v>13</v>
      </c>
      <c r="V1013" s="2"/>
    </row>
    <row r="1014" spans="1:22" x14ac:dyDescent="0.35">
      <c r="A1014" s="3" t="s">
        <v>2882</v>
      </c>
      <c r="B1014" s="3" t="s">
        <v>599</v>
      </c>
      <c r="C1014" s="3" t="s">
        <v>273</v>
      </c>
      <c r="D1014" s="3" t="s">
        <v>2883</v>
      </c>
      <c r="E1014" s="3" t="s">
        <v>26</v>
      </c>
      <c r="F1014" s="3" t="s">
        <v>228</v>
      </c>
      <c r="G1014" s="3" t="s">
        <v>28</v>
      </c>
      <c r="H1014" s="3" t="s">
        <v>674</v>
      </c>
      <c r="I1014" s="3" t="s">
        <v>141</v>
      </c>
      <c r="J1014" s="3">
        <v>496</v>
      </c>
      <c r="K1014" s="3">
        <v>892.09</v>
      </c>
      <c r="L1014" s="3">
        <v>1038.3800000000001</v>
      </c>
      <c r="M1014" s="3">
        <v>515036.48</v>
      </c>
      <c r="N1014" s="3">
        <v>442476.64</v>
      </c>
      <c r="O1014" s="3">
        <v>72559.839999999997</v>
      </c>
      <c r="P1014" s="3" t="s">
        <v>31</v>
      </c>
      <c r="Q1014" s="3" t="s">
        <v>32</v>
      </c>
      <c r="R1014" s="3">
        <v>12</v>
      </c>
      <c r="S1014" s="3" t="s">
        <v>53</v>
      </c>
      <c r="T1014" s="3">
        <v>3964</v>
      </c>
      <c r="U1014" s="3">
        <v>24</v>
      </c>
      <c r="V1014" s="3"/>
    </row>
    <row r="1015" spans="1:22" x14ac:dyDescent="0.35">
      <c r="A1015" s="2" t="s">
        <v>2884</v>
      </c>
      <c r="B1015" s="2" t="s">
        <v>887</v>
      </c>
      <c r="C1015" s="2" t="s">
        <v>2087</v>
      </c>
      <c r="D1015" s="2" t="s">
        <v>2885</v>
      </c>
      <c r="E1015" s="2" t="s">
        <v>48</v>
      </c>
      <c r="F1015" s="2" t="s">
        <v>270</v>
      </c>
      <c r="G1015" s="2" t="s">
        <v>28</v>
      </c>
      <c r="H1015" s="2" t="s">
        <v>714</v>
      </c>
      <c r="I1015" s="2" t="s">
        <v>41</v>
      </c>
      <c r="J1015" s="2">
        <v>599</v>
      </c>
      <c r="K1015" s="2">
        <v>740.02</v>
      </c>
      <c r="L1015" s="2">
        <v>1195.75</v>
      </c>
      <c r="M1015" s="2">
        <v>716254.25</v>
      </c>
      <c r="N1015" s="2">
        <v>443271.98</v>
      </c>
      <c r="O1015" s="2">
        <v>272982.27</v>
      </c>
      <c r="P1015" s="2" t="s">
        <v>52</v>
      </c>
      <c r="Q1015" s="2" t="s">
        <v>32</v>
      </c>
      <c r="R1015" s="2">
        <v>12</v>
      </c>
      <c r="S1015" s="2" t="s">
        <v>112</v>
      </c>
      <c r="T1015" s="2">
        <v>4099</v>
      </c>
      <c r="U1015" s="2">
        <v>7</v>
      </c>
      <c r="V1015" s="2"/>
    </row>
    <row r="1016" spans="1:22" x14ac:dyDescent="0.35">
      <c r="A1016" s="3" t="s">
        <v>2886</v>
      </c>
      <c r="B1016" s="3" t="s">
        <v>712</v>
      </c>
      <c r="C1016" s="3" t="s">
        <v>1040</v>
      </c>
      <c r="D1016" s="3" t="s">
        <v>2887</v>
      </c>
      <c r="E1016" s="3" t="s">
        <v>26</v>
      </c>
      <c r="F1016" s="3" t="s">
        <v>38</v>
      </c>
      <c r="G1016" s="3" t="s">
        <v>28</v>
      </c>
      <c r="H1016" s="3" t="s">
        <v>507</v>
      </c>
      <c r="I1016" s="3" t="s">
        <v>85</v>
      </c>
      <c r="J1016" s="3">
        <v>88</v>
      </c>
      <c r="K1016" s="3">
        <v>590.96</v>
      </c>
      <c r="L1016" s="3">
        <v>805.84</v>
      </c>
      <c r="M1016" s="3">
        <v>70913.919999999998</v>
      </c>
      <c r="N1016" s="3">
        <v>52004.480000000003</v>
      </c>
      <c r="O1016" s="3">
        <v>18909.439999999999</v>
      </c>
      <c r="P1016" s="3" t="s">
        <v>42</v>
      </c>
      <c r="Q1016" s="3" t="s">
        <v>32</v>
      </c>
      <c r="R1016" s="3">
        <v>6</v>
      </c>
      <c r="S1016" s="3" t="s">
        <v>53</v>
      </c>
      <c r="T1016" s="3">
        <v>3774</v>
      </c>
      <c r="U1016" s="3">
        <v>2</v>
      </c>
      <c r="V1016" s="3"/>
    </row>
    <row r="1017" spans="1:22" x14ac:dyDescent="0.35">
      <c r="A1017" s="2" t="s">
        <v>2888</v>
      </c>
      <c r="B1017" s="2" t="s">
        <v>1261</v>
      </c>
      <c r="C1017" s="2" t="s">
        <v>2889</v>
      </c>
      <c r="D1017" s="2" t="s">
        <v>2890</v>
      </c>
      <c r="E1017" s="2" t="s">
        <v>48</v>
      </c>
      <c r="F1017" s="2" t="s">
        <v>49</v>
      </c>
      <c r="G1017" s="2" t="s">
        <v>217</v>
      </c>
      <c r="H1017" s="2" t="s">
        <v>340</v>
      </c>
      <c r="I1017" s="2" t="s">
        <v>191</v>
      </c>
      <c r="J1017" s="2">
        <v>610</v>
      </c>
      <c r="K1017" s="2">
        <v>249.24</v>
      </c>
      <c r="L1017" s="2">
        <v>398.06</v>
      </c>
      <c r="M1017" s="2">
        <v>242816.6</v>
      </c>
      <c r="N1017" s="2">
        <v>152036.4</v>
      </c>
      <c r="O1017" s="2">
        <v>90780.2</v>
      </c>
      <c r="P1017" s="2" t="s">
        <v>42</v>
      </c>
      <c r="Q1017" s="2" t="s">
        <v>63</v>
      </c>
      <c r="R1017" s="2">
        <v>5</v>
      </c>
      <c r="S1017" s="2" t="s">
        <v>43</v>
      </c>
      <c r="T1017" s="2">
        <v>4902</v>
      </c>
      <c r="U1017" s="2">
        <v>0</v>
      </c>
      <c r="V1017" s="2"/>
    </row>
    <row r="1018" spans="1:22" x14ac:dyDescent="0.35">
      <c r="A1018" s="3" t="s">
        <v>2891</v>
      </c>
      <c r="B1018" s="3" t="s">
        <v>1632</v>
      </c>
      <c r="C1018" s="3" t="s">
        <v>992</v>
      </c>
      <c r="D1018" s="3" t="s">
        <v>951</v>
      </c>
      <c r="E1018" s="3" t="s">
        <v>48</v>
      </c>
      <c r="F1018" s="3" t="s">
        <v>2892</v>
      </c>
      <c r="G1018" s="3" t="s">
        <v>78</v>
      </c>
      <c r="H1018" s="3" t="s">
        <v>572</v>
      </c>
      <c r="I1018" s="3" t="s">
        <v>41</v>
      </c>
      <c r="J1018" s="3">
        <v>404</v>
      </c>
      <c r="K1018" s="3">
        <v>224.06</v>
      </c>
      <c r="L1018" s="3">
        <v>369.33</v>
      </c>
      <c r="M1018" s="3">
        <v>149209.32</v>
      </c>
      <c r="N1018" s="3">
        <v>90520.24</v>
      </c>
      <c r="O1018" s="3">
        <v>58689.08</v>
      </c>
      <c r="P1018" s="3" t="s">
        <v>31</v>
      </c>
      <c r="Q1018" s="3" t="s">
        <v>32</v>
      </c>
      <c r="R1018" s="3">
        <v>10</v>
      </c>
      <c r="S1018" s="3" t="s">
        <v>53</v>
      </c>
      <c r="T1018" s="3">
        <v>4341</v>
      </c>
      <c r="U1018" s="3">
        <v>9</v>
      </c>
      <c r="V1018" s="3"/>
    </row>
    <row r="1019" spans="1:22" x14ac:dyDescent="0.35">
      <c r="A1019" s="2" t="s">
        <v>2893</v>
      </c>
      <c r="B1019" s="2" t="s">
        <v>2894</v>
      </c>
      <c r="C1019" s="2" t="s">
        <v>1737</v>
      </c>
      <c r="D1019" s="2" t="s">
        <v>2895</v>
      </c>
      <c r="E1019" s="2" t="s">
        <v>58</v>
      </c>
      <c r="F1019" s="2" t="s">
        <v>116</v>
      </c>
      <c r="G1019" s="2" t="s">
        <v>217</v>
      </c>
      <c r="H1019" s="2" t="s">
        <v>218</v>
      </c>
      <c r="I1019" s="2" t="s">
        <v>41</v>
      </c>
      <c r="J1019" s="2">
        <v>573</v>
      </c>
      <c r="K1019" s="2">
        <v>730.15</v>
      </c>
      <c r="L1019" s="2">
        <v>944.21</v>
      </c>
      <c r="M1019" s="2">
        <v>541032.32999999996</v>
      </c>
      <c r="N1019" s="2">
        <v>418375.95</v>
      </c>
      <c r="O1019" s="2">
        <v>122656.38</v>
      </c>
      <c r="P1019" s="2" t="s">
        <v>42</v>
      </c>
      <c r="Q1019" s="2" t="s">
        <v>32</v>
      </c>
      <c r="R1019" s="2">
        <v>14</v>
      </c>
      <c r="S1019" s="2" t="s">
        <v>158</v>
      </c>
      <c r="T1019" s="2">
        <v>879</v>
      </c>
      <c r="U1019" s="2">
        <v>17</v>
      </c>
      <c r="V1019" s="2"/>
    </row>
    <row r="1020" spans="1:22" x14ac:dyDescent="0.35">
      <c r="A1020" s="3" t="s">
        <v>2896</v>
      </c>
      <c r="B1020" s="3" t="s">
        <v>103</v>
      </c>
      <c r="C1020" s="3" t="s">
        <v>657</v>
      </c>
      <c r="D1020" s="3" t="s">
        <v>2897</v>
      </c>
      <c r="E1020" s="3" t="s">
        <v>100</v>
      </c>
      <c r="F1020" s="3" t="s">
        <v>106</v>
      </c>
      <c r="G1020" s="3" t="s">
        <v>129</v>
      </c>
      <c r="H1020" s="3" t="s">
        <v>168</v>
      </c>
      <c r="I1020" s="3" t="s">
        <v>240</v>
      </c>
      <c r="J1020" s="3">
        <v>698</v>
      </c>
      <c r="K1020" s="3">
        <v>449.12</v>
      </c>
      <c r="L1020" s="3">
        <v>535.98</v>
      </c>
      <c r="M1020" s="3">
        <v>374114.04</v>
      </c>
      <c r="N1020" s="3">
        <v>313485.76</v>
      </c>
      <c r="O1020" s="3">
        <v>60628.28</v>
      </c>
      <c r="P1020" s="3" t="s">
        <v>95</v>
      </c>
      <c r="Q1020" s="3" t="s">
        <v>63</v>
      </c>
      <c r="R1020" s="3">
        <v>2</v>
      </c>
      <c r="S1020" s="3" t="s">
        <v>43</v>
      </c>
      <c r="T1020" s="3">
        <v>2065</v>
      </c>
      <c r="U1020" s="3">
        <v>18</v>
      </c>
      <c r="V1020" s="3"/>
    </row>
    <row r="1021" spans="1:22" x14ac:dyDescent="0.35">
      <c r="A1021" s="2" t="s">
        <v>2898</v>
      </c>
      <c r="B1021" s="2" t="s">
        <v>1797</v>
      </c>
      <c r="C1021" s="2" t="s">
        <v>97</v>
      </c>
      <c r="D1021" s="2" t="s">
        <v>2899</v>
      </c>
      <c r="E1021" s="2" t="s">
        <v>100</v>
      </c>
      <c r="F1021" s="2" t="s">
        <v>538</v>
      </c>
      <c r="G1021" s="2" t="s">
        <v>28</v>
      </c>
      <c r="H1021" s="2" t="s">
        <v>507</v>
      </c>
      <c r="I1021" s="2" t="s">
        <v>124</v>
      </c>
      <c r="J1021" s="2">
        <v>225</v>
      </c>
      <c r="K1021" s="2">
        <v>277.32</v>
      </c>
      <c r="L1021" s="2">
        <v>373.1</v>
      </c>
      <c r="M1021" s="2">
        <v>83947.5</v>
      </c>
      <c r="N1021" s="2">
        <v>62397</v>
      </c>
      <c r="O1021" s="2">
        <v>21550.5</v>
      </c>
      <c r="P1021" s="2" t="s">
        <v>52</v>
      </c>
      <c r="Q1021" s="4"/>
      <c r="R1021" s="2">
        <v>8</v>
      </c>
      <c r="S1021" s="2" t="s">
        <v>53</v>
      </c>
      <c r="T1021" s="2">
        <v>655</v>
      </c>
      <c r="U1021" s="2">
        <v>2</v>
      </c>
      <c r="V1021" s="2"/>
    </row>
    <row r="1022" spans="1:22" x14ac:dyDescent="0.35">
      <c r="A1022" s="3" t="s">
        <v>2900</v>
      </c>
      <c r="B1022" s="3" t="s">
        <v>859</v>
      </c>
      <c r="C1022" s="3" t="s">
        <v>2901</v>
      </c>
      <c r="D1022" s="3" t="s">
        <v>2902</v>
      </c>
      <c r="E1022" s="3" t="s">
        <v>58</v>
      </c>
      <c r="F1022" s="3" t="s">
        <v>417</v>
      </c>
      <c r="G1022" s="3" t="s">
        <v>129</v>
      </c>
      <c r="H1022" s="3" t="s">
        <v>520</v>
      </c>
      <c r="I1022" s="3" t="s">
        <v>141</v>
      </c>
      <c r="J1022" s="3">
        <v>228</v>
      </c>
      <c r="K1022" s="3">
        <v>493.37</v>
      </c>
      <c r="L1022" s="3">
        <v>666.06</v>
      </c>
      <c r="M1022" s="3">
        <v>151861.68</v>
      </c>
      <c r="N1022" s="3">
        <v>112488.36</v>
      </c>
      <c r="O1022" s="3">
        <v>39373.32</v>
      </c>
      <c r="P1022" s="3" t="s">
        <v>31</v>
      </c>
      <c r="Q1022" s="3" t="s">
        <v>63</v>
      </c>
      <c r="R1022" s="3">
        <v>2</v>
      </c>
      <c r="S1022" s="3" t="s">
        <v>158</v>
      </c>
      <c r="T1022" s="3">
        <v>2114</v>
      </c>
      <c r="U1022" s="3">
        <v>11</v>
      </c>
      <c r="V1022" s="3"/>
    </row>
    <row r="1023" spans="1:22" x14ac:dyDescent="0.35">
      <c r="A1023" s="2" t="s">
        <v>2903</v>
      </c>
      <c r="B1023" s="2" t="s">
        <v>1948</v>
      </c>
      <c r="C1023" s="2" t="s">
        <v>509</v>
      </c>
      <c r="D1023" s="2" t="s">
        <v>2904</v>
      </c>
      <c r="E1023" s="2" t="s">
        <v>58</v>
      </c>
      <c r="F1023" s="2" t="s">
        <v>59</v>
      </c>
      <c r="G1023" s="2" t="s">
        <v>129</v>
      </c>
      <c r="H1023" s="2" t="s">
        <v>130</v>
      </c>
      <c r="I1023" s="2" t="s">
        <v>153</v>
      </c>
      <c r="J1023" s="2">
        <v>359</v>
      </c>
      <c r="K1023" s="2">
        <v>111.78</v>
      </c>
      <c r="L1023" s="2">
        <v>172.95</v>
      </c>
      <c r="M1023" s="2">
        <v>62089.05</v>
      </c>
      <c r="N1023" s="2">
        <v>40129.019999999997</v>
      </c>
      <c r="O1023" s="2">
        <v>21960.03</v>
      </c>
      <c r="P1023" s="2" t="s">
        <v>52</v>
      </c>
      <c r="Q1023" s="2" t="s">
        <v>32</v>
      </c>
      <c r="R1023" s="2">
        <v>15</v>
      </c>
      <c r="S1023" s="2" t="s">
        <v>112</v>
      </c>
      <c r="T1023" s="2">
        <v>4176</v>
      </c>
      <c r="U1023" s="2">
        <v>11</v>
      </c>
      <c r="V1023" s="2"/>
    </row>
    <row r="1024" spans="1:22" x14ac:dyDescent="0.35">
      <c r="A1024" s="3" t="s">
        <v>2905</v>
      </c>
      <c r="B1024" s="3" t="s">
        <v>1934</v>
      </c>
      <c r="C1024" s="3" t="s">
        <v>387</v>
      </c>
      <c r="D1024" s="3" t="s">
        <v>2906</v>
      </c>
      <c r="E1024" s="3" t="s">
        <v>26</v>
      </c>
      <c r="F1024" s="3" t="s">
        <v>27</v>
      </c>
      <c r="G1024" s="3" t="s">
        <v>70</v>
      </c>
      <c r="H1024" s="3" t="s">
        <v>71</v>
      </c>
      <c r="I1024" s="4"/>
      <c r="J1024" s="3">
        <v>497</v>
      </c>
      <c r="K1024" s="3">
        <v>849.72</v>
      </c>
      <c r="L1024" s="3">
        <v>1229.77</v>
      </c>
      <c r="M1024" s="3">
        <v>611195.68999999994</v>
      </c>
      <c r="N1024" s="3">
        <v>422310.84</v>
      </c>
      <c r="O1024" s="3">
        <v>188884.85</v>
      </c>
      <c r="P1024" s="3" t="s">
        <v>95</v>
      </c>
      <c r="Q1024" s="3" t="s">
        <v>63</v>
      </c>
      <c r="R1024" s="3">
        <v>4</v>
      </c>
      <c r="S1024" s="3" t="s">
        <v>158</v>
      </c>
      <c r="T1024" s="3">
        <v>3136</v>
      </c>
      <c r="U1024" s="3">
        <v>24</v>
      </c>
      <c r="V1024" s="3"/>
    </row>
    <row r="1025" spans="1:22" x14ac:dyDescent="0.35">
      <c r="A1025" s="2" t="s">
        <v>2907</v>
      </c>
      <c r="B1025" s="2" t="s">
        <v>1341</v>
      </c>
      <c r="C1025" s="2" t="s">
        <v>1174</v>
      </c>
      <c r="D1025" s="2" t="s">
        <v>2908</v>
      </c>
      <c r="E1025" s="2" t="s">
        <v>58</v>
      </c>
      <c r="F1025" s="2" t="s">
        <v>116</v>
      </c>
      <c r="G1025" s="2" t="s">
        <v>60</v>
      </c>
      <c r="H1025" s="2" t="s">
        <v>834</v>
      </c>
      <c r="I1025" s="2" t="s">
        <v>153</v>
      </c>
      <c r="J1025" s="2">
        <v>256</v>
      </c>
      <c r="K1025" s="2">
        <v>1152.8699999999999</v>
      </c>
      <c r="L1025" s="2">
        <v>1560.26</v>
      </c>
      <c r="M1025" s="2">
        <v>399426.56</v>
      </c>
      <c r="N1025" s="2">
        <v>295134.71999999997</v>
      </c>
      <c r="O1025" s="2">
        <v>104291.84</v>
      </c>
      <c r="P1025" s="2" t="s">
        <v>52</v>
      </c>
      <c r="Q1025" s="2" t="s">
        <v>32</v>
      </c>
      <c r="R1025" s="2">
        <v>7</v>
      </c>
      <c r="S1025" s="2" t="s">
        <v>43</v>
      </c>
      <c r="T1025" s="2">
        <v>844</v>
      </c>
      <c r="U1025" s="2">
        <v>10</v>
      </c>
      <c r="V1025" s="2"/>
    </row>
    <row r="1026" spans="1:22" x14ac:dyDescent="0.35">
      <c r="A1026" s="3" t="s">
        <v>2909</v>
      </c>
      <c r="B1026" s="3" t="s">
        <v>1226</v>
      </c>
      <c r="C1026" s="3" t="s">
        <v>1125</v>
      </c>
      <c r="D1026" s="3" t="s">
        <v>2910</v>
      </c>
      <c r="E1026" s="3" t="s">
        <v>48</v>
      </c>
      <c r="F1026" s="3" t="s">
        <v>223</v>
      </c>
      <c r="G1026" s="3" t="s">
        <v>28</v>
      </c>
      <c r="H1026" s="3" t="s">
        <v>29</v>
      </c>
      <c r="I1026" s="3" t="s">
        <v>118</v>
      </c>
      <c r="J1026" s="3">
        <v>578</v>
      </c>
      <c r="K1026" s="3">
        <v>37.9</v>
      </c>
      <c r="L1026" s="3">
        <v>55.15</v>
      </c>
      <c r="M1026" s="3">
        <v>31876.7</v>
      </c>
      <c r="N1026" s="3">
        <v>21906.2</v>
      </c>
      <c r="O1026" s="3">
        <v>9970.5</v>
      </c>
      <c r="P1026" s="3" t="s">
        <v>42</v>
      </c>
      <c r="Q1026" s="3" t="s">
        <v>63</v>
      </c>
      <c r="R1026" s="3">
        <v>1</v>
      </c>
      <c r="S1026" s="3" t="s">
        <v>158</v>
      </c>
      <c r="T1026" s="3">
        <v>1313</v>
      </c>
      <c r="U1026" s="3">
        <v>6</v>
      </c>
      <c r="V1026" s="3"/>
    </row>
    <row r="1027" spans="1:22" x14ac:dyDescent="0.35">
      <c r="A1027" s="2" t="s">
        <v>2911</v>
      </c>
      <c r="B1027" s="2" t="s">
        <v>982</v>
      </c>
      <c r="C1027" s="2" t="s">
        <v>1152</v>
      </c>
      <c r="D1027" s="2" t="s">
        <v>2912</v>
      </c>
      <c r="E1027" s="2" t="s">
        <v>68</v>
      </c>
      <c r="F1027" s="2" t="s">
        <v>249</v>
      </c>
      <c r="G1027" s="2" t="s">
        <v>129</v>
      </c>
      <c r="H1027" s="2" t="s">
        <v>316</v>
      </c>
      <c r="I1027" s="2" t="s">
        <v>293</v>
      </c>
      <c r="J1027" s="2">
        <v>164</v>
      </c>
      <c r="K1027" s="2">
        <v>573.13</v>
      </c>
      <c r="L1027" s="2">
        <v>680.56</v>
      </c>
      <c r="M1027" s="2">
        <v>111611.84</v>
      </c>
      <c r="N1027" s="2">
        <v>93993.32</v>
      </c>
      <c r="O1027" s="2">
        <v>17618.52</v>
      </c>
      <c r="P1027" s="2" t="s">
        <v>52</v>
      </c>
      <c r="Q1027" s="2" t="s">
        <v>32</v>
      </c>
      <c r="R1027" s="2">
        <v>7</v>
      </c>
      <c r="S1027" s="2" t="s">
        <v>86</v>
      </c>
      <c r="T1027" s="2">
        <v>2920</v>
      </c>
      <c r="U1027" s="2">
        <v>4</v>
      </c>
      <c r="V1027" s="2"/>
    </row>
    <row r="1028" spans="1:22" x14ac:dyDescent="0.35">
      <c r="A1028" s="3" t="s">
        <v>1021</v>
      </c>
      <c r="B1028" s="3" t="s">
        <v>1022</v>
      </c>
      <c r="C1028" s="3" t="s">
        <v>1125</v>
      </c>
      <c r="D1028" s="3" t="s">
        <v>1024</v>
      </c>
      <c r="E1028" s="3" t="s">
        <v>58</v>
      </c>
      <c r="F1028" s="3" t="s">
        <v>429</v>
      </c>
      <c r="G1028" s="3" t="s">
        <v>28</v>
      </c>
      <c r="H1028" s="3" t="s">
        <v>714</v>
      </c>
      <c r="I1028" s="3" t="s">
        <v>153</v>
      </c>
      <c r="J1028" s="3">
        <v>208</v>
      </c>
      <c r="K1028" s="3">
        <v>460.65</v>
      </c>
      <c r="L1028" s="3">
        <v>654.21</v>
      </c>
      <c r="M1028" s="3">
        <v>136075.68</v>
      </c>
      <c r="N1028" s="3">
        <v>95815.2</v>
      </c>
      <c r="O1028" s="3">
        <v>40260.480000000003</v>
      </c>
      <c r="P1028" s="3" t="s">
        <v>42</v>
      </c>
      <c r="Q1028" s="3" t="s">
        <v>63</v>
      </c>
      <c r="R1028" s="3">
        <v>2</v>
      </c>
      <c r="S1028" s="3" t="s">
        <v>112</v>
      </c>
      <c r="T1028" s="3">
        <v>4093</v>
      </c>
      <c r="U1028" s="3">
        <v>10</v>
      </c>
      <c r="V1028" s="3"/>
    </row>
    <row r="1029" spans="1:22" x14ac:dyDescent="0.35">
      <c r="A1029" s="2" t="s">
        <v>2913</v>
      </c>
      <c r="B1029" s="2" t="s">
        <v>1622</v>
      </c>
      <c r="C1029" s="2" t="s">
        <v>423</v>
      </c>
      <c r="D1029" s="2" t="s">
        <v>2914</v>
      </c>
      <c r="E1029" s="2" t="s">
        <v>26</v>
      </c>
      <c r="F1029" s="2" t="s">
        <v>92</v>
      </c>
      <c r="G1029" s="2" t="s">
        <v>50</v>
      </c>
      <c r="H1029" s="2" t="s">
        <v>135</v>
      </c>
      <c r="I1029" s="2" t="s">
        <v>41</v>
      </c>
      <c r="J1029" s="2">
        <v>591</v>
      </c>
      <c r="K1029" s="2">
        <v>396.81</v>
      </c>
      <c r="L1029" s="4" t="s">
        <v>1309</v>
      </c>
      <c r="M1029" s="2">
        <v>307136.78999999998</v>
      </c>
      <c r="N1029" s="2">
        <v>234514.71</v>
      </c>
      <c r="O1029" s="2">
        <v>72622.080000000002</v>
      </c>
      <c r="P1029" s="2" t="s">
        <v>52</v>
      </c>
      <c r="Q1029" s="2" t="s">
        <v>63</v>
      </c>
      <c r="R1029" s="2">
        <v>2</v>
      </c>
      <c r="S1029" s="2" t="s">
        <v>53</v>
      </c>
      <c r="T1029" s="2">
        <v>1114</v>
      </c>
      <c r="U1029" s="2">
        <v>24</v>
      </c>
      <c r="V1029" s="2"/>
    </row>
    <row r="1030" spans="1:22" x14ac:dyDescent="0.35">
      <c r="A1030" s="3" t="s">
        <v>2915</v>
      </c>
      <c r="B1030" s="3" t="s">
        <v>2916</v>
      </c>
      <c r="C1030" s="3" t="s">
        <v>771</v>
      </c>
      <c r="D1030" s="3" t="s">
        <v>2917</v>
      </c>
      <c r="E1030" s="3" t="s">
        <v>48</v>
      </c>
      <c r="F1030" s="3" t="s">
        <v>49</v>
      </c>
      <c r="G1030" s="3" t="s">
        <v>70</v>
      </c>
      <c r="H1030" s="3" t="s">
        <v>71</v>
      </c>
      <c r="I1030" s="3" t="s">
        <v>240</v>
      </c>
      <c r="J1030" s="3">
        <v>331</v>
      </c>
      <c r="K1030" s="3">
        <v>975.75</v>
      </c>
      <c r="L1030" s="3">
        <v>1418.29</v>
      </c>
      <c r="M1030" s="3">
        <v>469453.99</v>
      </c>
      <c r="N1030" s="3">
        <v>322973.25</v>
      </c>
      <c r="O1030" s="3">
        <v>146480.74</v>
      </c>
      <c r="P1030" s="3" t="s">
        <v>42</v>
      </c>
      <c r="Q1030" s="3" t="s">
        <v>32</v>
      </c>
      <c r="R1030" s="3">
        <v>7</v>
      </c>
      <c r="S1030" s="3" t="s">
        <v>33</v>
      </c>
      <c r="T1030" s="3">
        <v>713</v>
      </c>
      <c r="U1030" s="3">
        <v>7</v>
      </c>
      <c r="V1030" s="3"/>
    </row>
    <row r="1031" spans="1:22" x14ac:dyDescent="0.35">
      <c r="A1031" s="2" t="s">
        <v>2918</v>
      </c>
      <c r="B1031" s="2" t="s">
        <v>2919</v>
      </c>
      <c r="C1031" s="2" t="s">
        <v>1065</v>
      </c>
      <c r="D1031" s="2" t="s">
        <v>2920</v>
      </c>
      <c r="E1031" s="2" t="s">
        <v>48</v>
      </c>
      <c r="F1031" s="2" t="s">
        <v>183</v>
      </c>
      <c r="G1031" s="2" t="s">
        <v>39</v>
      </c>
      <c r="H1031" s="2" t="s">
        <v>40</v>
      </c>
      <c r="I1031" s="2" t="s">
        <v>72</v>
      </c>
      <c r="J1031" s="2">
        <v>288</v>
      </c>
      <c r="K1031" s="2">
        <v>839.3</v>
      </c>
      <c r="L1031" s="2">
        <v>1007.98</v>
      </c>
      <c r="M1031" s="2">
        <v>290298.23999999999</v>
      </c>
      <c r="N1031" s="2">
        <v>241718.39999999999</v>
      </c>
      <c r="O1031" s="2">
        <v>48579.839999999997</v>
      </c>
      <c r="P1031" s="2" t="s">
        <v>31</v>
      </c>
      <c r="Q1031" s="2" t="s">
        <v>63</v>
      </c>
      <c r="R1031" s="2">
        <v>4</v>
      </c>
      <c r="S1031" s="2" t="s">
        <v>43</v>
      </c>
      <c r="T1031" s="2">
        <v>1286</v>
      </c>
      <c r="U1031" s="2">
        <v>2</v>
      </c>
      <c r="V1031" s="2"/>
    </row>
    <row r="1032" spans="1:22" x14ac:dyDescent="0.35">
      <c r="A1032" s="3" t="s">
        <v>2921</v>
      </c>
      <c r="B1032" s="3" t="s">
        <v>243</v>
      </c>
      <c r="C1032" s="3" t="s">
        <v>225</v>
      </c>
      <c r="D1032" s="3" t="s">
        <v>2922</v>
      </c>
      <c r="E1032" s="3" t="s">
        <v>26</v>
      </c>
      <c r="F1032" s="3" t="s">
        <v>27</v>
      </c>
      <c r="G1032" s="3" t="s">
        <v>70</v>
      </c>
      <c r="H1032" s="3" t="s">
        <v>384</v>
      </c>
      <c r="I1032" s="3" t="s">
        <v>85</v>
      </c>
      <c r="J1032" s="3">
        <v>403</v>
      </c>
      <c r="K1032" s="3">
        <v>1147.28</v>
      </c>
      <c r="L1032" s="3">
        <v>1569.53</v>
      </c>
      <c r="M1032" s="3">
        <v>632520.59</v>
      </c>
      <c r="N1032" s="3">
        <v>462353.84</v>
      </c>
      <c r="O1032" s="3">
        <v>170166.75</v>
      </c>
      <c r="P1032" s="3" t="s">
        <v>31</v>
      </c>
      <c r="Q1032" s="3" t="s">
        <v>32</v>
      </c>
      <c r="R1032" s="3">
        <v>13</v>
      </c>
      <c r="S1032" s="3" t="s">
        <v>158</v>
      </c>
      <c r="T1032" s="3">
        <v>3380</v>
      </c>
      <c r="U1032" s="3">
        <v>1</v>
      </c>
      <c r="V1032" s="3"/>
    </row>
    <row r="1033" spans="1:22" x14ac:dyDescent="0.35">
      <c r="A1033" s="2" t="s">
        <v>2923</v>
      </c>
      <c r="B1033" s="2" t="s">
        <v>884</v>
      </c>
      <c r="C1033" s="2" t="s">
        <v>2199</v>
      </c>
      <c r="D1033" s="2" t="s">
        <v>2924</v>
      </c>
      <c r="E1033" s="2" t="s">
        <v>26</v>
      </c>
      <c r="F1033" s="2" t="s">
        <v>92</v>
      </c>
      <c r="G1033" s="2" t="s">
        <v>60</v>
      </c>
      <c r="H1033" s="2" t="s">
        <v>265</v>
      </c>
      <c r="I1033" s="2" t="s">
        <v>153</v>
      </c>
      <c r="J1033" s="2">
        <v>91</v>
      </c>
      <c r="K1033" s="4"/>
      <c r="L1033" s="2">
        <v>308.64</v>
      </c>
      <c r="M1033" s="2">
        <v>28086.240000000002</v>
      </c>
      <c r="N1033" s="4" t="s">
        <v>980</v>
      </c>
      <c r="O1033" s="2">
        <v>6452.81</v>
      </c>
      <c r="P1033" s="2" t="s">
        <v>42</v>
      </c>
      <c r="Q1033" s="2" t="s">
        <v>32</v>
      </c>
      <c r="R1033" s="2">
        <v>11</v>
      </c>
      <c r="S1033" s="2" t="s">
        <v>53</v>
      </c>
      <c r="T1033" s="2">
        <v>4072</v>
      </c>
      <c r="U1033" s="2">
        <v>0</v>
      </c>
      <c r="V1033" s="2"/>
    </row>
    <row r="1034" spans="1:22" x14ac:dyDescent="0.35">
      <c r="A1034" s="3" t="s">
        <v>2925</v>
      </c>
      <c r="B1034" s="3" t="s">
        <v>274</v>
      </c>
      <c r="C1034" s="3" t="s">
        <v>641</v>
      </c>
      <c r="D1034" s="3" t="s">
        <v>1063</v>
      </c>
      <c r="E1034" s="3" t="s">
        <v>26</v>
      </c>
      <c r="F1034" s="3" t="s">
        <v>38</v>
      </c>
      <c r="G1034" s="3" t="s">
        <v>28</v>
      </c>
      <c r="H1034" s="3" t="s">
        <v>29</v>
      </c>
      <c r="I1034" s="3" t="s">
        <v>41</v>
      </c>
      <c r="J1034" s="3">
        <v>28</v>
      </c>
      <c r="K1034" s="3">
        <v>1093.7</v>
      </c>
      <c r="L1034" s="3">
        <v>1624.02</v>
      </c>
      <c r="M1034" s="3">
        <v>45472.56</v>
      </c>
      <c r="N1034" s="3">
        <v>30623.599999999999</v>
      </c>
      <c r="O1034" s="3">
        <v>14848.96</v>
      </c>
      <c r="P1034" s="3" t="s">
        <v>42</v>
      </c>
      <c r="Q1034" s="3" t="s">
        <v>32</v>
      </c>
      <c r="R1034" s="3">
        <v>10</v>
      </c>
      <c r="S1034" s="3" t="s">
        <v>43</v>
      </c>
      <c r="T1034" s="3">
        <v>2616</v>
      </c>
      <c r="U1034" s="3">
        <v>1</v>
      </c>
      <c r="V1034" s="3"/>
    </row>
    <row r="1035" spans="1:22" x14ac:dyDescent="0.35">
      <c r="A1035" s="2" t="s">
        <v>2926</v>
      </c>
      <c r="B1035" s="2" t="s">
        <v>2927</v>
      </c>
      <c r="C1035" s="2" t="s">
        <v>2665</v>
      </c>
      <c r="D1035" s="2" t="s">
        <v>2928</v>
      </c>
      <c r="E1035" s="2" t="s">
        <v>26</v>
      </c>
      <c r="F1035" s="2" t="s">
        <v>228</v>
      </c>
      <c r="G1035" s="2" t="s">
        <v>60</v>
      </c>
      <c r="H1035" s="2" t="s">
        <v>539</v>
      </c>
      <c r="I1035" s="2" t="s">
        <v>191</v>
      </c>
      <c r="J1035" s="2">
        <v>106</v>
      </c>
      <c r="K1035" s="2">
        <v>1071.94</v>
      </c>
      <c r="L1035" s="2">
        <v>1550.56</v>
      </c>
      <c r="M1035" s="2">
        <v>164359.35999999999</v>
      </c>
      <c r="N1035" s="2">
        <v>113625.64</v>
      </c>
      <c r="O1035" s="2">
        <v>50733.72</v>
      </c>
      <c r="P1035" s="2" t="s">
        <v>95</v>
      </c>
      <c r="Q1035" s="2" t="s">
        <v>32</v>
      </c>
      <c r="R1035" s="2">
        <v>8</v>
      </c>
      <c r="S1035" s="2" t="s">
        <v>86</v>
      </c>
      <c r="T1035" s="2">
        <v>4000</v>
      </c>
      <c r="U1035" s="2">
        <v>3</v>
      </c>
      <c r="V1035" s="2"/>
    </row>
    <row r="1036" spans="1:22" x14ac:dyDescent="0.35">
      <c r="A1036" s="3" t="s">
        <v>2929</v>
      </c>
      <c r="B1036" s="3" t="s">
        <v>1622</v>
      </c>
      <c r="C1036" s="3" t="s">
        <v>75</v>
      </c>
      <c r="D1036" s="3" t="s">
        <v>2930</v>
      </c>
      <c r="E1036" s="3" t="s">
        <v>58</v>
      </c>
      <c r="F1036" s="3" t="s">
        <v>59</v>
      </c>
      <c r="G1036" s="3" t="s">
        <v>28</v>
      </c>
      <c r="H1036" s="3" t="s">
        <v>29</v>
      </c>
      <c r="I1036" s="3" t="s">
        <v>293</v>
      </c>
      <c r="J1036" s="3">
        <v>544</v>
      </c>
      <c r="K1036" s="3">
        <v>115.06</v>
      </c>
      <c r="L1036" s="3">
        <v>183.73</v>
      </c>
      <c r="M1036" s="3">
        <v>99949.119999999995</v>
      </c>
      <c r="N1036" s="3">
        <v>62592.639999999999</v>
      </c>
      <c r="O1036" s="3">
        <v>37356.480000000003</v>
      </c>
      <c r="P1036" s="3" t="s">
        <v>95</v>
      </c>
      <c r="Q1036" s="3" t="s">
        <v>32</v>
      </c>
      <c r="R1036" s="3">
        <v>6</v>
      </c>
      <c r="S1036" s="3" t="s">
        <v>86</v>
      </c>
      <c r="T1036" s="3">
        <v>484</v>
      </c>
      <c r="U1036" s="3">
        <v>22</v>
      </c>
      <c r="V1036" s="3"/>
    </row>
    <row r="1037" spans="1:22" x14ac:dyDescent="0.35">
      <c r="A1037" s="2" t="s">
        <v>2931</v>
      </c>
      <c r="B1037" s="2" t="s">
        <v>214</v>
      </c>
      <c r="C1037" s="2" t="s">
        <v>2932</v>
      </c>
      <c r="D1037" s="2" t="s">
        <v>2933</v>
      </c>
      <c r="E1037" s="2" t="s">
        <v>58</v>
      </c>
      <c r="F1037" s="2" t="s">
        <v>59</v>
      </c>
      <c r="G1037" s="2" t="s">
        <v>129</v>
      </c>
      <c r="H1037" s="2" t="s">
        <v>704</v>
      </c>
      <c r="I1037" s="2" t="s">
        <v>124</v>
      </c>
      <c r="J1037" s="2">
        <v>326</v>
      </c>
      <c r="K1037" s="2">
        <v>886.33</v>
      </c>
      <c r="L1037" s="2">
        <v>1379.96</v>
      </c>
      <c r="M1037" s="2">
        <v>449866.96</v>
      </c>
      <c r="N1037" s="2">
        <v>288943.58</v>
      </c>
      <c r="O1037" s="2">
        <v>160923.38</v>
      </c>
      <c r="P1037" s="2" t="s">
        <v>52</v>
      </c>
      <c r="Q1037" s="2" t="s">
        <v>32</v>
      </c>
      <c r="R1037" s="2">
        <v>8</v>
      </c>
      <c r="S1037" s="2" t="s">
        <v>43</v>
      </c>
      <c r="T1037" s="2">
        <v>754</v>
      </c>
      <c r="U1037" s="2">
        <v>16</v>
      </c>
      <c r="V1037" s="2"/>
    </row>
    <row r="1038" spans="1:22" x14ac:dyDescent="0.35">
      <c r="A1038" s="3" t="s">
        <v>2934</v>
      </c>
      <c r="B1038" s="3" t="s">
        <v>1531</v>
      </c>
      <c r="C1038" s="3" t="s">
        <v>1100</v>
      </c>
      <c r="D1038" s="3" t="s">
        <v>2935</v>
      </c>
      <c r="E1038" s="3" t="s">
        <v>68</v>
      </c>
      <c r="F1038" s="3" t="s">
        <v>163</v>
      </c>
      <c r="G1038" s="3" t="s">
        <v>129</v>
      </c>
      <c r="H1038" s="3" t="s">
        <v>316</v>
      </c>
      <c r="I1038" s="3" t="s">
        <v>153</v>
      </c>
      <c r="J1038" s="3">
        <v>616</v>
      </c>
      <c r="K1038" s="3">
        <v>987.15</v>
      </c>
      <c r="L1038" s="3">
        <v>1535.81</v>
      </c>
      <c r="M1038" s="3">
        <v>946058.96</v>
      </c>
      <c r="N1038" s="3">
        <v>608084.4</v>
      </c>
      <c r="O1038" s="3">
        <v>337974.56</v>
      </c>
      <c r="P1038" s="3" t="s">
        <v>52</v>
      </c>
      <c r="Q1038" s="3" t="s">
        <v>32</v>
      </c>
      <c r="R1038" s="3">
        <v>12</v>
      </c>
      <c r="S1038" s="3" t="s">
        <v>53</v>
      </c>
      <c r="T1038" s="3">
        <v>2687</v>
      </c>
      <c r="U1038" s="3">
        <v>5</v>
      </c>
      <c r="V1038" s="3"/>
    </row>
    <row r="1039" spans="1:22" x14ac:dyDescent="0.35">
      <c r="A1039" s="2" t="s">
        <v>2936</v>
      </c>
      <c r="B1039" s="2" t="s">
        <v>2428</v>
      </c>
      <c r="C1039" s="2" t="s">
        <v>1206</v>
      </c>
      <c r="D1039" s="2" t="s">
        <v>2937</v>
      </c>
      <c r="E1039" s="2" t="s">
        <v>26</v>
      </c>
      <c r="F1039" s="2" t="s">
        <v>92</v>
      </c>
      <c r="G1039" s="2" t="s">
        <v>28</v>
      </c>
      <c r="H1039" s="2" t="s">
        <v>674</v>
      </c>
      <c r="I1039" s="2" t="s">
        <v>153</v>
      </c>
      <c r="J1039" s="2">
        <v>796</v>
      </c>
      <c r="K1039" s="2">
        <v>970.26</v>
      </c>
      <c r="L1039" s="2">
        <v>1265.97</v>
      </c>
      <c r="M1039" s="2">
        <v>1007712.12</v>
      </c>
      <c r="N1039" s="2">
        <v>772326.96</v>
      </c>
      <c r="O1039" s="2">
        <v>235385.16</v>
      </c>
      <c r="P1039" s="2" t="s">
        <v>31</v>
      </c>
      <c r="Q1039" s="2" t="s">
        <v>32</v>
      </c>
      <c r="R1039" s="2">
        <v>12</v>
      </c>
      <c r="S1039" s="2" t="s">
        <v>86</v>
      </c>
      <c r="T1039" s="2">
        <v>4515</v>
      </c>
      <c r="U1039" s="2">
        <v>8</v>
      </c>
      <c r="V1039" s="2"/>
    </row>
    <row r="1040" spans="1:22" x14ac:dyDescent="0.35">
      <c r="A1040" s="3" t="s">
        <v>2938</v>
      </c>
      <c r="B1040" s="3" t="s">
        <v>2939</v>
      </c>
      <c r="C1040" s="3" t="s">
        <v>1474</v>
      </c>
      <c r="D1040" s="3" t="s">
        <v>2940</v>
      </c>
      <c r="E1040" s="3" t="s">
        <v>26</v>
      </c>
      <c r="F1040" s="3" t="s">
        <v>92</v>
      </c>
      <c r="G1040" s="3" t="s">
        <v>28</v>
      </c>
      <c r="H1040" s="3" t="s">
        <v>111</v>
      </c>
      <c r="I1040" s="3" t="s">
        <v>41</v>
      </c>
      <c r="J1040" s="3">
        <v>347</v>
      </c>
      <c r="K1040" s="3">
        <v>1106.49</v>
      </c>
      <c r="L1040" s="3">
        <v>1674.47</v>
      </c>
      <c r="M1040" s="3">
        <v>581041.09</v>
      </c>
      <c r="N1040" s="3">
        <v>383952.03</v>
      </c>
      <c r="O1040" s="3">
        <v>197089.06</v>
      </c>
      <c r="P1040" s="3" t="s">
        <v>42</v>
      </c>
      <c r="Q1040" s="3" t="s">
        <v>2294</v>
      </c>
      <c r="R1040" s="3">
        <v>14</v>
      </c>
      <c r="S1040" s="3" t="s">
        <v>158</v>
      </c>
      <c r="T1040" s="3">
        <v>414</v>
      </c>
      <c r="U1040" s="3">
        <v>4</v>
      </c>
      <c r="V1040" s="3"/>
    </row>
    <row r="1041" spans="1:22" x14ac:dyDescent="0.35">
      <c r="A1041" s="2" t="s">
        <v>2941</v>
      </c>
      <c r="B1041" s="2" t="s">
        <v>719</v>
      </c>
      <c r="C1041" s="2" t="s">
        <v>1409</v>
      </c>
      <c r="D1041" s="2" t="s">
        <v>2942</v>
      </c>
      <c r="E1041" s="2" t="s">
        <v>68</v>
      </c>
      <c r="F1041" s="2" t="s">
        <v>2943</v>
      </c>
      <c r="G1041" s="2" t="s">
        <v>189</v>
      </c>
      <c r="H1041" s="2" t="s">
        <v>311</v>
      </c>
      <c r="I1041" s="2" t="s">
        <v>124</v>
      </c>
      <c r="J1041" s="2">
        <v>675</v>
      </c>
      <c r="K1041" s="2">
        <v>273.58</v>
      </c>
      <c r="L1041" s="2">
        <v>410.8</v>
      </c>
      <c r="M1041" s="2">
        <v>277290</v>
      </c>
      <c r="N1041" s="2">
        <v>184666.5</v>
      </c>
      <c r="O1041" s="2">
        <v>92623.5</v>
      </c>
      <c r="P1041" s="2" t="s">
        <v>95</v>
      </c>
      <c r="Q1041" s="2" t="s">
        <v>32</v>
      </c>
      <c r="R1041" s="2">
        <v>14</v>
      </c>
      <c r="S1041" s="2" t="s">
        <v>53</v>
      </c>
      <c r="T1041" s="2">
        <v>2571</v>
      </c>
      <c r="U1041" s="2">
        <v>13</v>
      </c>
      <c r="V1041" s="2"/>
    </row>
    <row r="1042" spans="1:22" x14ac:dyDescent="0.35">
      <c r="A1042" s="3" t="s">
        <v>2025</v>
      </c>
      <c r="B1042" s="3" t="s">
        <v>503</v>
      </c>
      <c r="C1042" s="3" t="s">
        <v>2026</v>
      </c>
      <c r="D1042" s="3" t="s">
        <v>2027</v>
      </c>
      <c r="E1042" s="4"/>
      <c r="F1042" s="3" t="s">
        <v>538</v>
      </c>
      <c r="G1042" s="3" t="s">
        <v>28</v>
      </c>
      <c r="H1042" s="3" t="s">
        <v>674</v>
      </c>
      <c r="I1042" s="3" t="s">
        <v>124</v>
      </c>
      <c r="J1042" s="3">
        <v>363</v>
      </c>
      <c r="K1042" s="3">
        <v>600.92999999999995</v>
      </c>
      <c r="L1042" s="3">
        <v>693.01</v>
      </c>
      <c r="M1042" s="3">
        <v>251562.63</v>
      </c>
      <c r="N1042" s="3">
        <v>218137.59</v>
      </c>
      <c r="O1042" s="3">
        <v>33425.040000000001</v>
      </c>
      <c r="P1042" s="3" t="s">
        <v>52</v>
      </c>
      <c r="Q1042" s="3" t="s">
        <v>32</v>
      </c>
      <c r="R1042" s="3">
        <v>13</v>
      </c>
      <c r="S1042" s="3" t="s">
        <v>112</v>
      </c>
      <c r="T1042" s="3">
        <v>1493</v>
      </c>
      <c r="U1042" s="3">
        <v>5</v>
      </c>
      <c r="V1042" s="3"/>
    </row>
    <row r="1043" spans="1:22" x14ac:dyDescent="0.35">
      <c r="A1043" s="2" t="s">
        <v>2944</v>
      </c>
      <c r="B1043" s="2" t="s">
        <v>954</v>
      </c>
      <c r="C1043" s="2" t="s">
        <v>138</v>
      </c>
      <c r="D1043" s="2" t="s">
        <v>2945</v>
      </c>
      <c r="E1043" s="2" t="s">
        <v>26</v>
      </c>
      <c r="F1043" s="2" t="s">
        <v>27</v>
      </c>
      <c r="G1043" s="2" t="s">
        <v>50</v>
      </c>
      <c r="H1043" s="2" t="s">
        <v>117</v>
      </c>
      <c r="I1043" s="2" t="s">
        <v>85</v>
      </c>
      <c r="J1043" s="2">
        <v>756</v>
      </c>
      <c r="K1043" s="2">
        <v>246.65</v>
      </c>
      <c r="L1043" s="2">
        <v>294.83999999999997</v>
      </c>
      <c r="M1043" s="2">
        <v>222899.04</v>
      </c>
      <c r="N1043" s="2">
        <v>186467.4</v>
      </c>
      <c r="O1043" s="2">
        <v>36431.64</v>
      </c>
      <c r="P1043" s="2" t="s">
        <v>95</v>
      </c>
      <c r="Q1043" s="2" t="s">
        <v>32</v>
      </c>
      <c r="R1043" s="2">
        <v>15</v>
      </c>
      <c r="S1043" s="2" t="s">
        <v>53</v>
      </c>
      <c r="T1043" s="2">
        <v>4152</v>
      </c>
      <c r="U1043" s="2">
        <v>8</v>
      </c>
      <c r="V1043" s="2"/>
    </row>
    <row r="1044" spans="1:22" x14ac:dyDescent="0.35">
      <c r="A1044" s="3" t="s">
        <v>2946</v>
      </c>
      <c r="B1044" s="3" t="s">
        <v>2947</v>
      </c>
      <c r="C1044" s="3" t="s">
        <v>2734</v>
      </c>
      <c r="D1044" s="3" t="s">
        <v>2948</v>
      </c>
      <c r="E1044" s="3" t="s">
        <v>100</v>
      </c>
      <c r="F1044" s="3" t="s">
        <v>106</v>
      </c>
      <c r="G1044" s="3" t="s">
        <v>28</v>
      </c>
      <c r="H1044" s="3" t="s">
        <v>579</v>
      </c>
      <c r="I1044" s="3" t="s">
        <v>124</v>
      </c>
      <c r="J1044" s="3">
        <v>763</v>
      </c>
      <c r="K1044" s="3">
        <v>495.89</v>
      </c>
      <c r="L1044" s="3">
        <v>625.07000000000005</v>
      </c>
      <c r="M1044" s="3">
        <v>476928.41</v>
      </c>
      <c r="N1044" s="3">
        <v>378364.07</v>
      </c>
      <c r="O1044" s="3">
        <v>98564.34</v>
      </c>
      <c r="P1044" s="3" t="s">
        <v>95</v>
      </c>
      <c r="Q1044" s="3" t="s">
        <v>32</v>
      </c>
      <c r="R1044" s="3">
        <v>7</v>
      </c>
      <c r="S1044" s="3" t="s">
        <v>112</v>
      </c>
      <c r="T1044" s="3">
        <v>2222</v>
      </c>
      <c r="U1044" s="3">
        <v>5</v>
      </c>
      <c r="V1044" s="3"/>
    </row>
    <row r="1045" spans="1:22" x14ac:dyDescent="0.35">
      <c r="A1045" s="2" t="s">
        <v>2949</v>
      </c>
      <c r="B1045" s="2" t="s">
        <v>2950</v>
      </c>
      <c r="C1045" s="2" t="s">
        <v>1284</v>
      </c>
      <c r="D1045" s="2" t="s">
        <v>2951</v>
      </c>
      <c r="E1045" s="2" t="s">
        <v>100</v>
      </c>
      <c r="F1045" s="2" t="s">
        <v>330</v>
      </c>
      <c r="G1045" s="2" t="s">
        <v>28</v>
      </c>
      <c r="H1045" s="2" t="s">
        <v>111</v>
      </c>
      <c r="I1045" s="2" t="s">
        <v>153</v>
      </c>
      <c r="J1045" s="2">
        <v>433</v>
      </c>
      <c r="K1045" s="2">
        <v>1130.3499999999999</v>
      </c>
      <c r="L1045" s="2">
        <v>1562.43</v>
      </c>
      <c r="M1045" s="2">
        <v>676532.19</v>
      </c>
      <c r="N1045" s="2">
        <v>489441.55</v>
      </c>
      <c r="O1045" s="2">
        <v>187090.64</v>
      </c>
      <c r="P1045" s="2" t="s">
        <v>95</v>
      </c>
      <c r="Q1045" s="2" t="s">
        <v>32</v>
      </c>
      <c r="R1045" s="2">
        <v>15</v>
      </c>
      <c r="S1045" s="2" t="s">
        <v>53</v>
      </c>
      <c r="T1045" s="2">
        <v>2875</v>
      </c>
      <c r="U1045" s="2">
        <v>12</v>
      </c>
      <c r="V1045" s="2"/>
    </row>
    <row r="1046" spans="1:22" x14ac:dyDescent="0.35">
      <c r="A1046" s="3" t="s">
        <v>2952</v>
      </c>
      <c r="B1046" s="3" t="s">
        <v>468</v>
      </c>
      <c r="C1046" s="3" t="s">
        <v>649</v>
      </c>
      <c r="D1046" s="3" t="s">
        <v>2953</v>
      </c>
      <c r="E1046" s="3" t="s">
        <v>68</v>
      </c>
      <c r="F1046" s="3" t="s">
        <v>69</v>
      </c>
      <c r="G1046" s="3" t="s">
        <v>28</v>
      </c>
      <c r="H1046" s="3" t="s">
        <v>254</v>
      </c>
      <c r="I1046" s="3" t="s">
        <v>240</v>
      </c>
      <c r="J1046" s="3">
        <v>340</v>
      </c>
      <c r="K1046" s="3">
        <v>983.01</v>
      </c>
      <c r="L1046" s="3">
        <v>1460.58</v>
      </c>
      <c r="M1046" s="3">
        <v>496597.2</v>
      </c>
      <c r="N1046" s="3">
        <v>334223.40000000002</v>
      </c>
      <c r="O1046" s="3">
        <v>162373.79999999999</v>
      </c>
      <c r="P1046" s="3" t="s">
        <v>31</v>
      </c>
      <c r="Q1046" s="3" t="s">
        <v>63</v>
      </c>
      <c r="R1046" s="3">
        <v>1</v>
      </c>
      <c r="S1046" s="3" t="s">
        <v>112</v>
      </c>
      <c r="T1046" s="3">
        <v>4814</v>
      </c>
      <c r="U1046" s="3">
        <v>4</v>
      </c>
      <c r="V1046" s="3"/>
    </row>
    <row r="1047" spans="1:22" x14ac:dyDescent="0.35">
      <c r="A1047" s="2" t="s">
        <v>2954</v>
      </c>
      <c r="B1047" s="2" t="s">
        <v>324</v>
      </c>
      <c r="C1047" s="2" t="s">
        <v>75</v>
      </c>
      <c r="D1047" s="2" t="s">
        <v>2955</v>
      </c>
      <c r="E1047" s="2" t="s">
        <v>100</v>
      </c>
      <c r="F1047" s="2" t="s">
        <v>238</v>
      </c>
      <c r="G1047" s="2" t="s">
        <v>60</v>
      </c>
      <c r="H1047" s="2" t="s">
        <v>265</v>
      </c>
      <c r="I1047" s="2" t="s">
        <v>191</v>
      </c>
      <c r="J1047" s="2">
        <v>385</v>
      </c>
      <c r="K1047" s="2">
        <v>134.85</v>
      </c>
      <c r="L1047" s="2">
        <v>217.46</v>
      </c>
      <c r="M1047" s="2">
        <v>83722.100000000006</v>
      </c>
      <c r="N1047" s="2">
        <v>51917.25</v>
      </c>
      <c r="O1047" s="2">
        <v>31804.85</v>
      </c>
      <c r="P1047" s="2" t="s">
        <v>42</v>
      </c>
      <c r="Q1047" s="2" t="s">
        <v>32</v>
      </c>
      <c r="R1047" s="2">
        <v>7</v>
      </c>
      <c r="S1047" s="2" t="s">
        <v>43</v>
      </c>
      <c r="T1047" s="2">
        <v>3225</v>
      </c>
      <c r="U1047" s="2">
        <v>15</v>
      </c>
      <c r="V1047" s="2"/>
    </row>
    <row r="1048" spans="1:22" x14ac:dyDescent="0.35">
      <c r="A1048" s="3" t="s">
        <v>2956</v>
      </c>
      <c r="B1048" s="3" t="s">
        <v>382</v>
      </c>
      <c r="C1048" s="3" t="s">
        <v>588</v>
      </c>
      <c r="D1048" s="3" t="s">
        <v>2957</v>
      </c>
      <c r="E1048" s="3" t="s">
        <v>68</v>
      </c>
      <c r="F1048" s="3" t="s">
        <v>146</v>
      </c>
      <c r="G1048" s="3" t="s">
        <v>189</v>
      </c>
      <c r="H1048" s="3" t="s">
        <v>561</v>
      </c>
      <c r="I1048" s="3" t="s">
        <v>72</v>
      </c>
      <c r="J1048" s="3">
        <v>6</v>
      </c>
      <c r="K1048" s="3">
        <v>699.12</v>
      </c>
      <c r="L1048" s="3">
        <v>1012.87</v>
      </c>
      <c r="M1048" s="3">
        <v>6077.22</v>
      </c>
      <c r="N1048" s="3">
        <v>4194.72</v>
      </c>
      <c r="O1048" s="3">
        <v>1882.5</v>
      </c>
      <c r="P1048" s="3" t="s">
        <v>42</v>
      </c>
      <c r="Q1048" s="3" t="s">
        <v>63</v>
      </c>
      <c r="R1048" s="3">
        <v>3</v>
      </c>
      <c r="S1048" s="3" t="s">
        <v>112</v>
      </c>
      <c r="T1048" s="3">
        <v>3778</v>
      </c>
      <c r="U1048" s="3">
        <v>1</v>
      </c>
      <c r="V1048" s="3"/>
    </row>
    <row r="1049" spans="1:22" x14ac:dyDescent="0.35">
      <c r="A1049" s="2" t="s">
        <v>2958</v>
      </c>
      <c r="B1049" s="2" t="s">
        <v>472</v>
      </c>
      <c r="C1049" s="2" t="s">
        <v>999</v>
      </c>
      <c r="D1049" s="2" t="s">
        <v>280</v>
      </c>
      <c r="E1049" s="2" t="s">
        <v>68</v>
      </c>
      <c r="F1049" s="2" t="s">
        <v>163</v>
      </c>
      <c r="G1049" s="2" t="s">
        <v>217</v>
      </c>
      <c r="H1049" s="2" t="s">
        <v>218</v>
      </c>
      <c r="I1049" s="2" t="s">
        <v>118</v>
      </c>
      <c r="J1049" s="2">
        <v>319</v>
      </c>
      <c r="K1049" s="2">
        <v>217.95</v>
      </c>
      <c r="L1049" s="2">
        <v>256.94</v>
      </c>
      <c r="M1049" s="2">
        <v>81963.86</v>
      </c>
      <c r="N1049" s="2">
        <v>69526.05</v>
      </c>
      <c r="O1049" s="2">
        <v>12437.81</v>
      </c>
      <c r="P1049" s="2" t="s">
        <v>2959</v>
      </c>
      <c r="Q1049" s="2" t="s">
        <v>32</v>
      </c>
      <c r="R1049" s="2">
        <v>11</v>
      </c>
      <c r="S1049" s="2" t="s">
        <v>112</v>
      </c>
      <c r="T1049" s="2">
        <v>102</v>
      </c>
      <c r="U1049" s="2">
        <v>7</v>
      </c>
      <c r="V1049" s="2"/>
    </row>
    <row r="1050" spans="1:22" x14ac:dyDescent="0.35">
      <c r="A1050" s="3" t="s">
        <v>2960</v>
      </c>
      <c r="B1050" s="3" t="s">
        <v>786</v>
      </c>
      <c r="C1050" s="3" t="s">
        <v>992</v>
      </c>
      <c r="D1050" s="3" t="s">
        <v>2806</v>
      </c>
      <c r="E1050" s="3" t="s">
        <v>68</v>
      </c>
      <c r="F1050" s="3" t="s">
        <v>249</v>
      </c>
      <c r="G1050" s="3" t="s">
        <v>93</v>
      </c>
      <c r="H1050" s="3" t="s">
        <v>485</v>
      </c>
      <c r="I1050" s="3" t="s">
        <v>41</v>
      </c>
      <c r="J1050" s="3">
        <v>413</v>
      </c>
      <c r="K1050" s="3">
        <v>781.05</v>
      </c>
      <c r="L1050" s="3">
        <v>983.95</v>
      </c>
      <c r="M1050" s="3">
        <v>406371.35</v>
      </c>
      <c r="N1050" s="3">
        <v>322573.65000000002</v>
      </c>
      <c r="O1050" s="3">
        <v>83797.7</v>
      </c>
      <c r="P1050" s="3" t="s">
        <v>31</v>
      </c>
      <c r="Q1050" s="3" t="s">
        <v>32</v>
      </c>
      <c r="R1050" s="3">
        <v>13</v>
      </c>
      <c r="S1050" s="3" t="s">
        <v>158</v>
      </c>
      <c r="T1050" s="3">
        <v>3300</v>
      </c>
      <c r="U1050" s="3">
        <v>16</v>
      </c>
      <c r="V1050" s="3"/>
    </row>
    <row r="1051" spans="1:22" x14ac:dyDescent="0.35">
      <c r="A1051" s="2" t="s">
        <v>2961</v>
      </c>
      <c r="B1051" s="2" t="s">
        <v>2962</v>
      </c>
      <c r="C1051" s="2" t="s">
        <v>1252</v>
      </c>
      <c r="D1051" s="2" t="s">
        <v>2963</v>
      </c>
      <c r="E1051" s="2" t="s">
        <v>100</v>
      </c>
      <c r="F1051" s="2" t="s">
        <v>238</v>
      </c>
      <c r="G1051" s="2" t="s">
        <v>129</v>
      </c>
      <c r="H1051" s="2" t="s">
        <v>704</v>
      </c>
      <c r="I1051" s="2" t="s">
        <v>240</v>
      </c>
      <c r="J1051" s="2">
        <v>68</v>
      </c>
      <c r="K1051" s="2">
        <v>166.92</v>
      </c>
      <c r="L1051" s="2">
        <v>241.06</v>
      </c>
      <c r="M1051" s="2">
        <v>16392.080000000002</v>
      </c>
      <c r="N1051" s="2">
        <v>11350.56</v>
      </c>
      <c r="O1051" s="2">
        <v>5041.5200000000004</v>
      </c>
      <c r="P1051" s="2" t="s">
        <v>31</v>
      </c>
      <c r="Q1051" s="2" t="s">
        <v>32</v>
      </c>
      <c r="R1051" s="2">
        <v>13</v>
      </c>
      <c r="S1051" s="2" t="s">
        <v>33</v>
      </c>
      <c r="T1051" s="2">
        <v>3033</v>
      </c>
      <c r="U1051" s="2">
        <v>2</v>
      </c>
      <c r="V1051" s="2"/>
    </row>
    <row r="1052" spans="1:22" x14ac:dyDescent="0.35">
      <c r="A1052" s="3" t="s">
        <v>2964</v>
      </c>
      <c r="B1052" s="3" t="s">
        <v>786</v>
      </c>
      <c r="C1052" s="3" t="s">
        <v>2665</v>
      </c>
      <c r="D1052" s="3" t="s">
        <v>2965</v>
      </c>
      <c r="E1052" s="3" t="s">
        <v>48</v>
      </c>
      <c r="F1052" s="3" t="s">
        <v>183</v>
      </c>
      <c r="G1052" s="3" t="s">
        <v>50</v>
      </c>
      <c r="H1052" s="3" t="s">
        <v>260</v>
      </c>
      <c r="I1052" s="3" t="s">
        <v>118</v>
      </c>
      <c r="J1052" s="3">
        <v>760</v>
      </c>
      <c r="K1052" s="3">
        <v>569.97</v>
      </c>
      <c r="L1052" s="3">
        <v>742.32</v>
      </c>
      <c r="M1052" s="3">
        <v>564163.19999999995</v>
      </c>
      <c r="N1052" s="3">
        <v>433177.2</v>
      </c>
      <c r="O1052" s="3">
        <v>130986</v>
      </c>
      <c r="P1052" s="3" t="s">
        <v>31</v>
      </c>
      <c r="Q1052" s="3" t="s">
        <v>32</v>
      </c>
      <c r="R1052" s="3">
        <v>13</v>
      </c>
      <c r="S1052" s="3" t="s">
        <v>158</v>
      </c>
      <c r="T1052" s="3">
        <v>1431</v>
      </c>
      <c r="U1052" s="3">
        <v>24</v>
      </c>
      <c r="V1052" s="3"/>
    </row>
    <row r="1053" spans="1:22" x14ac:dyDescent="0.35">
      <c r="A1053" s="2" t="s">
        <v>2966</v>
      </c>
      <c r="B1053" s="2" t="s">
        <v>23</v>
      </c>
      <c r="C1053" s="2" t="s">
        <v>1002</v>
      </c>
      <c r="D1053" s="2" t="s">
        <v>2967</v>
      </c>
      <c r="E1053" s="2" t="s">
        <v>68</v>
      </c>
      <c r="F1053" s="2" t="s">
        <v>163</v>
      </c>
      <c r="G1053" s="2" t="s">
        <v>50</v>
      </c>
      <c r="H1053" s="2" t="s">
        <v>173</v>
      </c>
      <c r="I1053" s="2" t="s">
        <v>124</v>
      </c>
      <c r="J1053" s="2">
        <v>319</v>
      </c>
      <c r="K1053" s="2">
        <v>794.02</v>
      </c>
      <c r="L1053" s="2">
        <v>1269.42</v>
      </c>
      <c r="M1053" s="2">
        <v>404944.98</v>
      </c>
      <c r="N1053" s="2">
        <v>253292.38</v>
      </c>
      <c r="O1053" s="2">
        <v>151652.6</v>
      </c>
      <c r="P1053" s="2" t="s">
        <v>42</v>
      </c>
      <c r="Q1053" s="2" t="s">
        <v>63</v>
      </c>
      <c r="R1053" s="2">
        <v>1</v>
      </c>
      <c r="S1053" s="2" t="s">
        <v>33</v>
      </c>
      <c r="T1053" s="2">
        <v>1315</v>
      </c>
      <c r="U1053" s="2">
        <v>11</v>
      </c>
      <c r="V1053" s="2"/>
    </row>
    <row r="1054" spans="1:22" x14ac:dyDescent="0.35">
      <c r="A1054" s="3" t="s">
        <v>2968</v>
      </c>
      <c r="B1054" s="3" t="s">
        <v>337</v>
      </c>
      <c r="C1054" s="3" t="s">
        <v>702</v>
      </c>
      <c r="D1054" s="3" t="s">
        <v>2969</v>
      </c>
      <c r="E1054" s="3" t="s">
        <v>68</v>
      </c>
      <c r="F1054" s="3" t="s">
        <v>69</v>
      </c>
      <c r="G1054" s="3" t="s">
        <v>217</v>
      </c>
      <c r="H1054" s="3" t="s">
        <v>292</v>
      </c>
      <c r="I1054" s="3" t="s">
        <v>72</v>
      </c>
      <c r="J1054" s="3">
        <v>512</v>
      </c>
      <c r="K1054" s="3">
        <v>153.22</v>
      </c>
      <c r="L1054" s="3">
        <v>245.73</v>
      </c>
      <c r="M1054" s="3">
        <v>125813.75999999999</v>
      </c>
      <c r="N1054" s="3">
        <v>78448.639999999999</v>
      </c>
      <c r="O1054" s="3">
        <v>47365.120000000003</v>
      </c>
      <c r="P1054" s="3" t="s">
        <v>95</v>
      </c>
      <c r="Q1054" s="3" t="s">
        <v>32</v>
      </c>
      <c r="R1054" s="3">
        <v>11</v>
      </c>
      <c r="S1054" s="3" t="s">
        <v>43</v>
      </c>
      <c r="T1054" s="3">
        <v>1898</v>
      </c>
      <c r="U1054" s="3">
        <v>11</v>
      </c>
      <c r="V1054" s="3"/>
    </row>
    <row r="1055" spans="1:22" x14ac:dyDescent="0.35">
      <c r="A1055" s="2" t="s">
        <v>2970</v>
      </c>
      <c r="B1055" s="2" t="s">
        <v>1265</v>
      </c>
      <c r="C1055" s="2" t="s">
        <v>1265</v>
      </c>
      <c r="D1055" s="2" t="s">
        <v>2971</v>
      </c>
      <c r="E1055" s="2" t="s">
        <v>68</v>
      </c>
      <c r="F1055" s="2" t="s">
        <v>69</v>
      </c>
      <c r="G1055" s="2" t="s">
        <v>60</v>
      </c>
      <c r="H1055" s="2" t="s">
        <v>229</v>
      </c>
      <c r="I1055" s="2" t="s">
        <v>85</v>
      </c>
      <c r="J1055" s="2">
        <v>250</v>
      </c>
      <c r="K1055" s="2">
        <v>1142.51</v>
      </c>
      <c r="L1055" s="2">
        <v>1532.77</v>
      </c>
      <c r="M1055" s="2">
        <v>383192.5</v>
      </c>
      <c r="N1055" s="2">
        <v>285627.5</v>
      </c>
      <c r="O1055" s="2">
        <v>97565</v>
      </c>
      <c r="P1055" s="2" t="s">
        <v>42</v>
      </c>
      <c r="Q1055" s="2" t="s">
        <v>63</v>
      </c>
      <c r="R1055" s="2">
        <v>2</v>
      </c>
      <c r="S1055" s="2" t="s">
        <v>86</v>
      </c>
      <c r="T1055" s="2">
        <v>2525</v>
      </c>
      <c r="U1055" s="2">
        <v>2</v>
      </c>
      <c r="V1055" s="2"/>
    </row>
    <row r="1056" spans="1:22" x14ac:dyDescent="0.35">
      <c r="A1056" s="3" t="s">
        <v>2972</v>
      </c>
      <c r="B1056" s="3" t="s">
        <v>856</v>
      </c>
      <c r="C1056" s="3" t="s">
        <v>559</v>
      </c>
      <c r="D1056" s="3" t="s">
        <v>2973</v>
      </c>
      <c r="E1056" s="3" t="s">
        <v>48</v>
      </c>
      <c r="F1056" s="3" t="s">
        <v>501</v>
      </c>
      <c r="G1056" s="3" t="s">
        <v>50</v>
      </c>
      <c r="H1056" s="3" t="s">
        <v>117</v>
      </c>
      <c r="I1056" s="3" t="s">
        <v>141</v>
      </c>
      <c r="J1056" s="3">
        <v>460</v>
      </c>
      <c r="K1056" s="3">
        <v>282.52</v>
      </c>
      <c r="L1056" s="3">
        <v>455.82</v>
      </c>
      <c r="M1056" s="3">
        <v>209677.2</v>
      </c>
      <c r="N1056" s="3">
        <v>129959.2</v>
      </c>
      <c r="O1056" s="3">
        <v>79718</v>
      </c>
      <c r="P1056" s="3" t="s">
        <v>42</v>
      </c>
      <c r="Q1056" s="3" t="s">
        <v>32</v>
      </c>
      <c r="R1056" s="3">
        <v>8</v>
      </c>
      <c r="S1056" s="3" t="s">
        <v>112</v>
      </c>
      <c r="T1056" s="3">
        <v>2316</v>
      </c>
      <c r="U1056" s="3">
        <v>1</v>
      </c>
      <c r="V1056" s="3"/>
    </row>
    <row r="1057" spans="1:22" x14ac:dyDescent="0.35">
      <c r="A1057" s="2" t="s">
        <v>2974</v>
      </c>
      <c r="B1057" s="2" t="s">
        <v>2192</v>
      </c>
      <c r="C1057" s="2" t="s">
        <v>2041</v>
      </c>
      <c r="D1057" s="2" t="s">
        <v>2975</v>
      </c>
      <c r="E1057" s="2" t="s">
        <v>58</v>
      </c>
      <c r="F1057" s="2" t="s">
        <v>122</v>
      </c>
      <c r="G1057" s="2" t="s">
        <v>129</v>
      </c>
      <c r="H1057" s="2" t="s">
        <v>168</v>
      </c>
      <c r="I1057" s="2" t="s">
        <v>124</v>
      </c>
      <c r="J1057" s="2">
        <v>263</v>
      </c>
      <c r="K1057" s="2">
        <v>660.05</v>
      </c>
      <c r="L1057" s="2">
        <v>971.36</v>
      </c>
      <c r="M1057" s="2">
        <v>255467.68</v>
      </c>
      <c r="N1057" s="2">
        <v>173593.15</v>
      </c>
      <c r="O1057" s="2">
        <v>81874.53</v>
      </c>
      <c r="P1057" s="2" t="s">
        <v>2151</v>
      </c>
      <c r="Q1057" s="2" t="s">
        <v>32</v>
      </c>
      <c r="R1057" s="2">
        <v>10</v>
      </c>
      <c r="S1057" s="2" t="s">
        <v>158</v>
      </c>
      <c r="T1057" s="2">
        <v>1543</v>
      </c>
      <c r="U1057" s="2">
        <v>12</v>
      </c>
      <c r="V1057" s="2"/>
    </row>
    <row r="1058" spans="1:22" x14ac:dyDescent="0.35">
      <c r="A1058" s="3" t="s">
        <v>2976</v>
      </c>
      <c r="B1058" s="3" t="s">
        <v>605</v>
      </c>
      <c r="C1058" s="3" t="s">
        <v>1821</v>
      </c>
      <c r="D1058" s="3" t="s">
        <v>2977</v>
      </c>
      <c r="E1058" s="3" t="s">
        <v>58</v>
      </c>
      <c r="F1058" s="3" t="s">
        <v>122</v>
      </c>
      <c r="G1058" s="3" t="s">
        <v>70</v>
      </c>
      <c r="H1058" s="3" t="s">
        <v>1019</v>
      </c>
      <c r="I1058" s="3" t="s">
        <v>41</v>
      </c>
      <c r="J1058" s="3">
        <v>15</v>
      </c>
      <c r="K1058" s="3">
        <v>940.84</v>
      </c>
      <c r="L1058" s="3">
        <v>1524.09</v>
      </c>
      <c r="M1058" s="3">
        <v>22861.35</v>
      </c>
      <c r="N1058" s="3">
        <v>14112.6</v>
      </c>
      <c r="O1058" s="3">
        <v>8748.75</v>
      </c>
      <c r="P1058" s="3" t="s">
        <v>31</v>
      </c>
      <c r="Q1058" s="3" t="s">
        <v>32</v>
      </c>
      <c r="R1058" s="3">
        <v>12</v>
      </c>
      <c r="S1058" s="3" t="s">
        <v>43</v>
      </c>
      <c r="T1058" s="3">
        <v>1784</v>
      </c>
      <c r="U1058" s="3">
        <v>1</v>
      </c>
      <c r="V1058" s="3"/>
    </row>
    <row r="1059" spans="1:22" x14ac:dyDescent="0.35">
      <c r="A1059" s="2" t="s">
        <v>2978</v>
      </c>
      <c r="B1059" s="2" t="s">
        <v>1093</v>
      </c>
      <c r="C1059" s="2" t="s">
        <v>1143</v>
      </c>
      <c r="D1059" s="2" t="s">
        <v>2979</v>
      </c>
      <c r="E1059" s="2" t="s">
        <v>2599</v>
      </c>
      <c r="F1059" s="2" t="s">
        <v>101</v>
      </c>
      <c r="G1059" s="2" t="s">
        <v>60</v>
      </c>
      <c r="H1059" s="2" t="s">
        <v>834</v>
      </c>
      <c r="I1059" s="2" t="s">
        <v>85</v>
      </c>
      <c r="J1059" s="2">
        <v>595</v>
      </c>
      <c r="K1059" s="2">
        <v>512.14</v>
      </c>
      <c r="L1059" s="2">
        <v>838.2</v>
      </c>
      <c r="M1059" s="2">
        <v>498729</v>
      </c>
      <c r="N1059" s="2">
        <v>304723.3</v>
      </c>
      <c r="O1059" s="2">
        <v>194005.7</v>
      </c>
      <c r="P1059" s="2" t="s">
        <v>52</v>
      </c>
      <c r="Q1059" s="2" t="s">
        <v>63</v>
      </c>
      <c r="R1059" s="2">
        <v>4</v>
      </c>
      <c r="S1059" s="2" t="s">
        <v>112</v>
      </c>
      <c r="T1059" s="2">
        <v>1776</v>
      </c>
      <c r="U1059" s="2">
        <v>4</v>
      </c>
      <c r="V1059" s="2"/>
    </row>
    <row r="1060" spans="1:22" x14ac:dyDescent="0.35">
      <c r="A1060" s="3" t="s">
        <v>2980</v>
      </c>
      <c r="B1060" s="3" t="s">
        <v>308</v>
      </c>
      <c r="C1060" s="3" t="s">
        <v>1152</v>
      </c>
      <c r="D1060" s="3" t="s">
        <v>2981</v>
      </c>
      <c r="E1060" s="3" t="s">
        <v>58</v>
      </c>
      <c r="F1060" s="3" t="s">
        <v>116</v>
      </c>
      <c r="G1060" s="3" t="s">
        <v>129</v>
      </c>
      <c r="H1060" s="3" t="s">
        <v>520</v>
      </c>
      <c r="I1060" s="3" t="s">
        <v>293</v>
      </c>
      <c r="J1060" s="3">
        <v>650</v>
      </c>
      <c r="K1060" s="3">
        <v>305.77</v>
      </c>
      <c r="L1060" s="3">
        <v>366.75</v>
      </c>
      <c r="M1060" s="3">
        <v>238387.5</v>
      </c>
      <c r="N1060" s="3">
        <v>198750.5</v>
      </c>
      <c r="O1060" s="3">
        <v>39637</v>
      </c>
      <c r="P1060" s="3" t="s">
        <v>95</v>
      </c>
      <c r="Q1060" s="3" t="s">
        <v>63</v>
      </c>
      <c r="R1060" s="3">
        <v>2</v>
      </c>
      <c r="S1060" s="3" t="s">
        <v>112</v>
      </c>
      <c r="T1060" s="3">
        <v>4974</v>
      </c>
      <c r="U1060" s="3">
        <v>22</v>
      </c>
      <c r="V1060" s="3"/>
    </row>
    <row r="1061" spans="1:22" x14ac:dyDescent="0.35">
      <c r="A1061" s="2" t="s">
        <v>2855</v>
      </c>
      <c r="B1061" s="2" t="s">
        <v>1347</v>
      </c>
      <c r="C1061" s="2" t="s">
        <v>1140</v>
      </c>
      <c r="D1061" s="4"/>
      <c r="E1061" s="2" t="s">
        <v>48</v>
      </c>
      <c r="F1061" s="2" t="s">
        <v>270</v>
      </c>
      <c r="G1061" s="2" t="s">
        <v>28</v>
      </c>
      <c r="H1061" s="2" t="s">
        <v>579</v>
      </c>
      <c r="I1061" s="2" t="s">
        <v>240</v>
      </c>
      <c r="J1061" s="2">
        <v>619</v>
      </c>
      <c r="K1061" s="2">
        <v>915.23</v>
      </c>
      <c r="L1061" s="2">
        <v>1288.8900000000001</v>
      </c>
      <c r="M1061" s="2">
        <v>797822.91</v>
      </c>
      <c r="N1061" s="2">
        <v>566527.37</v>
      </c>
      <c r="O1061" s="2">
        <v>231295.54</v>
      </c>
      <c r="P1061" s="2" t="s">
        <v>52</v>
      </c>
      <c r="Q1061" s="2" t="s">
        <v>32</v>
      </c>
      <c r="R1061" s="2">
        <v>14</v>
      </c>
      <c r="S1061" s="2" t="s">
        <v>53</v>
      </c>
      <c r="T1061" s="2">
        <v>1195</v>
      </c>
      <c r="U1061" s="2">
        <v>23</v>
      </c>
      <c r="V1061" s="2"/>
    </row>
    <row r="1062" spans="1:22" x14ac:dyDescent="0.35">
      <c r="A1062" s="3" t="s">
        <v>2982</v>
      </c>
      <c r="B1062" s="3" t="s">
        <v>662</v>
      </c>
      <c r="C1062" s="3" t="s">
        <v>156</v>
      </c>
      <c r="D1062" s="3" t="s">
        <v>2983</v>
      </c>
      <c r="E1062" s="3" t="s">
        <v>58</v>
      </c>
      <c r="F1062" s="3" t="s">
        <v>116</v>
      </c>
      <c r="G1062" s="3" t="s">
        <v>28</v>
      </c>
      <c r="H1062" s="3" t="s">
        <v>29</v>
      </c>
      <c r="I1062" s="3" t="s">
        <v>141</v>
      </c>
      <c r="J1062" s="3">
        <v>729</v>
      </c>
      <c r="K1062" s="3">
        <v>666.77</v>
      </c>
      <c r="L1062" s="3">
        <v>747.64</v>
      </c>
      <c r="M1062" s="3">
        <v>545029.56000000006</v>
      </c>
      <c r="N1062" s="3">
        <v>486075.33</v>
      </c>
      <c r="O1062" s="4"/>
      <c r="P1062" s="3" t="s">
        <v>52</v>
      </c>
      <c r="Q1062" s="3" t="s">
        <v>32</v>
      </c>
      <c r="R1062" s="3">
        <v>6</v>
      </c>
      <c r="S1062" s="3" t="s">
        <v>43</v>
      </c>
      <c r="T1062" s="3">
        <v>1513</v>
      </c>
      <c r="U1062" s="3">
        <v>34</v>
      </c>
      <c r="V1062" s="3"/>
    </row>
    <row r="1063" spans="1:22" x14ac:dyDescent="0.35">
      <c r="A1063" s="2" t="s">
        <v>2984</v>
      </c>
      <c r="B1063" s="2" t="s">
        <v>323</v>
      </c>
      <c r="C1063" s="2" t="s">
        <v>1995</v>
      </c>
      <c r="D1063" s="2" t="s">
        <v>2985</v>
      </c>
      <c r="E1063" s="2" t="s">
        <v>68</v>
      </c>
      <c r="F1063" s="2" t="s">
        <v>69</v>
      </c>
      <c r="G1063" s="2" t="s">
        <v>129</v>
      </c>
      <c r="H1063" s="2" t="s">
        <v>130</v>
      </c>
      <c r="I1063" s="2" t="s">
        <v>153</v>
      </c>
      <c r="J1063" s="2">
        <v>586</v>
      </c>
      <c r="K1063" s="2">
        <v>622.14</v>
      </c>
      <c r="L1063" s="2">
        <v>819.23</v>
      </c>
      <c r="M1063" s="2">
        <v>480068.78</v>
      </c>
      <c r="N1063" s="2">
        <v>364574.04</v>
      </c>
      <c r="O1063" s="2">
        <v>115494.74</v>
      </c>
      <c r="P1063" s="2" t="s">
        <v>31</v>
      </c>
      <c r="Q1063" s="2" t="s">
        <v>32</v>
      </c>
      <c r="R1063" s="2">
        <v>13</v>
      </c>
      <c r="S1063" s="2" t="s">
        <v>158</v>
      </c>
      <c r="T1063" s="2">
        <v>1339</v>
      </c>
      <c r="U1063" s="2">
        <v>4</v>
      </c>
      <c r="V1063" s="2"/>
    </row>
    <row r="1064" spans="1:22" x14ac:dyDescent="0.35">
      <c r="A1064" s="3" t="s">
        <v>2986</v>
      </c>
      <c r="B1064" s="3" t="s">
        <v>464</v>
      </c>
      <c r="C1064" s="3" t="s">
        <v>1797</v>
      </c>
      <c r="D1064" s="3" t="s">
        <v>2987</v>
      </c>
      <c r="E1064" s="3" t="s">
        <v>26</v>
      </c>
      <c r="F1064" s="3" t="s">
        <v>92</v>
      </c>
      <c r="G1064" s="3" t="s">
        <v>70</v>
      </c>
      <c r="H1064" s="3" t="s">
        <v>384</v>
      </c>
      <c r="I1064" s="3" t="s">
        <v>85</v>
      </c>
      <c r="J1064" s="3">
        <v>202</v>
      </c>
      <c r="K1064" s="3">
        <v>895.69</v>
      </c>
      <c r="L1064" s="3">
        <v>1471.32</v>
      </c>
      <c r="M1064" s="3">
        <v>297206.64</v>
      </c>
      <c r="N1064" s="3">
        <v>180929.38</v>
      </c>
      <c r="O1064" s="3">
        <v>116277.26</v>
      </c>
      <c r="P1064" s="3" t="s">
        <v>52</v>
      </c>
      <c r="Q1064" s="3" t="s">
        <v>32</v>
      </c>
      <c r="R1064" s="3">
        <v>7</v>
      </c>
      <c r="S1064" s="3" t="s">
        <v>33</v>
      </c>
      <c r="T1064" s="3">
        <v>4369</v>
      </c>
      <c r="U1064" s="3">
        <v>0</v>
      </c>
      <c r="V1064" s="3"/>
    </row>
    <row r="1065" spans="1:22" x14ac:dyDescent="0.35">
      <c r="A1065" s="2" t="s">
        <v>2988</v>
      </c>
      <c r="B1065" s="2" t="s">
        <v>1201</v>
      </c>
      <c r="C1065" s="2" t="s">
        <v>649</v>
      </c>
      <c r="D1065" s="2" t="s">
        <v>2989</v>
      </c>
      <c r="E1065" s="2" t="s">
        <v>26</v>
      </c>
      <c r="F1065" s="2" t="s">
        <v>27</v>
      </c>
      <c r="G1065" s="2" t="s">
        <v>70</v>
      </c>
      <c r="H1065" s="2" t="s">
        <v>1019</v>
      </c>
      <c r="I1065" s="2" t="s">
        <v>85</v>
      </c>
      <c r="J1065" s="2">
        <v>685</v>
      </c>
      <c r="K1065" s="2">
        <v>259.17</v>
      </c>
      <c r="L1065" s="2">
        <v>413</v>
      </c>
      <c r="M1065" s="2">
        <v>282905</v>
      </c>
      <c r="N1065" s="2">
        <v>177531.45</v>
      </c>
      <c r="O1065" s="2">
        <v>105373.55</v>
      </c>
      <c r="P1065" s="2" t="s">
        <v>95</v>
      </c>
      <c r="Q1065" s="2" t="s">
        <v>32</v>
      </c>
      <c r="R1065" s="2">
        <v>7</v>
      </c>
      <c r="S1065" s="2" t="s">
        <v>158</v>
      </c>
      <c r="T1065" s="2">
        <v>983</v>
      </c>
      <c r="U1065" s="2">
        <v>24</v>
      </c>
      <c r="V1065" s="2"/>
    </row>
    <row r="1066" spans="1:22" x14ac:dyDescent="0.35">
      <c r="A1066" s="3" t="s">
        <v>2990</v>
      </c>
      <c r="B1066" s="3" t="s">
        <v>467</v>
      </c>
      <c r="C1066" s="3" t="s">
        <v>209</v>
      </c>
      <c r="D1066" s="3" t="s">
        <v>2991</v>
      </c>
      <c r="E1066" s="3" t="s">
        <v>26</v>
      </c>
      <c r="F1066" s="3" t="s">
        <v>77</v>
      </c>
      <c r="G1066" s="3" t="s">
        <v>217</v>
      </c>
      <c r="H1066" s="3" t="s">
        <v>494</v>
      </c>
      <c r="I1066" s="3" t="s">
        <v>153</v>
      </c>
      <c r="J1066" s="3">
        <v>330</v>
      </c>
      <c r="K1066" s="3">
        <v>631.22</v>
      </c>
      <c r="L1066" s="3">
        <v>745.97</v>
      </c>
      <c r="M1066" s="3">
        <v>246170.1</v>
      </c>
      <c r="N1066" s="3">
        <v>208302.6</v>
      </c>
      <c r="O1066" s="3">
        <v>37867.5</v>
      </c>
      <c r="P1066" s="3" t="s">
        <v>95</v>
      </c>
      <c r="Q1066" s="3" t="s">
        <v>32</v>
      </c>
      <c r="R1066" s="3">
        <v>13</v>
      </c>
      <c r="S1066" s="3" t="s">
        <v>53</v>
      </c>
      <c r="T1066" s="3">
        <v>4716</v>
      </c>
      <c r="U1066" s="3">
        <v>4</v>
      </c>
      <c r="V1066" s="3"/>
    </row>
    <row r="1067" spans="1:22" x14ac:dyDescent="0.35">
      <c r="A1067" s="2" t="s">
        <v>2992</v>
      </c>
      <c r="B1067" s="2" t="s">
        <v>764</v>
      </c>
      <c r="C1067" s="2" t="s">
        <v>662</v>
      </c>
      <c r="D1067" s="2" t="s">
        <v>2559</v>
      </c>
      <c r="E1067" s="2" t="s">
        <v>26</v>
      </c>
      <c r="F1067" s="2" t="s">
        <v>27</v>
      </c>
      <c r="G1067" s="2" t="s">
        <v>70</v>
      </c>
      <c r="H1067" s="2" t="s">
        <v>84</v>
      </c>
      <c r="I1067" s="2" t="s">
        <v>191</v>
      </c>
      <c r="J1067" s="2">
        <v>50</v>
      </c>
      <c r="K1067" s="2">
        <v>193.51</v>
      </c>
      <c r="L1067" s="2">
        <v>291.64999999999998</v>
      </c>
      <c r="M1067" s="2">
        <v>14582.5</v>
      </c>
      <c r="N1067" s="2">
        <v>9675.5</v>
      </c>
      <c r="O1067" s="2">
        <v>4907</v>
      </c>
      <c r="P1067" s="2" t="s">
        <v>52</v>
      </c>
      <c r="Q1067" s="2" t="s">
        <v>32</v>
      </c>
      <c r="R1067" s="2">
        <v>7</v>
      </c>
      <c r="S1067" s="2" t="s">
        <v>53</v>
      </c>
      <c r="T1067" s="2">
        <v>3797</v>
      </c>
      <c r="U1067" s="2">
        <v>1</v>
      </c>
      <c r="V1067" s="2"/>
    </row>
    <row r="1068" spans="1:22" x14ac:dyDescent="0.35">
      <c r="A1068" s="3" t="s">
        <v>2993</v>
      </c>
      <c r="B1068" s="3" t="s">
        <v>691</v>
      </c>
      <c r="C1068" s="3" t="s">
        <v>887</v>
      </c>
      <c r="D1068" s="3" t="s">
        <v>2994</v>
      </c>
      <c r="E1068" s="3" t="s">
        <v>26</v>
      </c>
      <c r="F1068" s="3" t="s">
        <v>92</v>
      </c>
      <c r="G1068" s="3" t="s">
        <v>50</v>
      </c>
      <c r="H1068" s="3" t="s">
        <v>734</v>
      </c>
      <c r="I1068" s="3" t="s">
        <v>141</v>
      </c>
      <c r="J1068" s="3">
        <v>613</v>
      </c>
      <c r="K1068" s="3">
        <v>1120.0999999999999</v>
      </c>
      <c r="L1068" s="3">
        <v>1819.95</v>
      </c>
      <c r="M1068" s="3">
        <v>1115629.3500000001</v>
      </c>
      <c r="N1068" s="3">
        <v>686621.3</v>
      </c>
      <c r="O1068" s="3">
        <v>429008.05</v>
      </c>
      <c r="P1068" s="3" t="s">
        <v>95</v>
      </c>
      <c r="Q1068" s="3" t="s">
        <v>32</v>
      </c>
      <c r="R1068" s="3">
        <v>9</v>
      </c>
      <c r="S1068" s="3" t="s">
        <v>86</v>
      </c>
      <c r="T1068" s="3">
        <v>1665</v>
      </c>
      <c r="U1068" s="3">
        <v>9</v>
      </c>
      <c r="V1068" s="3"/>
    </row>
    <row r="1069" spans="1:22" x14ac:dyDescent="0.35">
      <c r="A1069" s="2" t="s">
        <v>2995</v>
      </c>
      <c r="B1069" s="2" t="s">
        <v>2996</v>
      </c>
      <c r="C1069" s="2" t="s">
        <v>201</v>
      </c>
      <c r="D1069" s="2" t="s">
        <v>2997</v>
      </c>
      <c r="E1069" s="2" t="s">
        <v>100</v>
      </c>
      <c r="F1069" s="2" t="s">
        <v>238</v>
      </c>
      <c r="G1069" s="2" t="s">
        <v>217</v>
      </c>
      <c r="H1069" s="2" t="s">
        <v>340</v>
      </c>
      <c r="I1069" s="2" t="s">
        <v>293</v>
      </c>
      <c r="J1069" s="2">
        <v>310</v>
      </c>
      <c r="K1069" s="2">
        <v>829.68</v>
      </c>
      <c r="L1069" s="2">
        <v>1064.4000000000001</v>
      </c>
      <c r="M1069" s="2">
        <v>329964</v>
      </c>
      <c r="N1069" s="2">
        <v>257200.8</v>
      </c>
      <c r="O1069" s="2">
        <v>72763.199999999997</v>
      </c>
      <c r="P1069" s="2" t="s">
        <v>31</v>
      </c>
      <c r="Q1069" s="2" t="s">
        <v>32</v>
      </c>
      <c r="R1069" s="2">
        <v>14</v>
      </c>
      <c r="S1069" s="2" t="s">
        <v>86</v>
      </c>
      <c r="T1069" s="2">
        <v>4339</v>
      </c>
      <c r="U1069" s="2">
        <v>11</v>
      </c>
      <c r="V1069" s="2"/>
    </row>
    <row r="1070" spans="1:22" x14ac:dyDescent="0.35">
      <c r="A1070" s="3" t="s">
        <v>2998</v>
      </c>
      <c r="B1070" s="3" t="s">
        <v>2999</v>
      </c>
      <c r="C1070" s="3" t="s">
        <v>1007</v>
      </c>
      <c r="D1070" s="3" t="s">
        <v>1422</v>
      </c>
      <c r="E1070" s="3" t="s">
        <v>26</v>
      </c>
      <c r="F1070" s="3" t="s">
        <v>77</v>
      </c>
      <c r="G1070" s="3" t="s">
        <v>50</v>
      </c>
      <c r="H1070" s="3" t="s">
        <v>173</v>
      </c>
      <c r="I1070" s="3" t="s">
        <v>85</v>
      </c>
      <c r="J1070" s="3">
        <v>94</v>
      </c>
      <c r="K1070" s="3">
        <v>168.17</v>
      </c>
      <c r="L1070" s="3">
        <v>261.81</v>
      </c>
      <c r="M1070" s="3">
        <v>24610.14</v>
      </c>
      <c r="N1070" s="3">
        <v>15807.98</v>
      </c>
      <c r="O1070" s="3">
        <v>8802.16</v>
      </c>
      <c r="P1070" s="3" t="s">
        <v>42</v>
      </c>
      <c r="Q1070" s="3" t="s">
        <v>63</v>
      </c>
      <c r="R1070" s="3">
        <v>2</v>
      </c>
      <c r="S1070" s="3" t="s">
        <v>33</v>
      </c>
      <c r="T1070" s="3">
        <v>809</v>
      </c>
      <c r="U1070" s="3">
        <v>4</v>
      </c>
      <c r="V1070" s="3"/>
    </row>
    <row r="1071" spans="1:22" x14ac:dyDescent="0.35">
      <c r="A1071" s="2" t="s">
        <v>3000</v>
      </c>
      <c r="B1071" s="2" t="s">
        <v>2015</v>
      </c>
      <c r="C1071" s="2" t="s">
        <v>978</v>
      </c>
      <c r="D1071" s="2" t="s">
        <v>3001</v>
      </c>
      <c r="E1071" s="2" t="s">
        <v>68</v>
      </c>
      <c r="F1071" s="2" t="s">
        <v>146</v>
      </c>
      <c r="G1071" s="2" t="s">
        <v>60</v>
      </c>
      <c r="H1071" s="2" t="s">
        <v>164</v>
      </c>
      <c r="I1071" s="2" t="s">
        <v>191</v>
      </c>
      <c r="J1071" s="2">
        <v>648</v>
      </c>
      <c r="K1071" s="2">
        <v>314.06</v>
      </c>
      <c r="L1071" s="2">
        <v>357.91</v>
      </c>
      <c r="M1071" s="2">
        <v>231925.68</v>
      </c>
      <c r="N1071" s="2">
        <v>203510.88</v>
      </c>
      <c r="O1071" s="2">
        <v>28414.799999999999</v>
      </c>
      <c r="P1071" s="2" t="s">
        <v>42</v>
      </c>
      <c r="Q1071" s="2" t="s">
        <v>32</v>
      </c>
      <c r="R1071" s="2">
        <v>11</v>
      </c>
      <c r="S1071" s="2" t="s">
        <v>43</v>
      </c>
      <c r="T1071" s="2">
        <v>1552</v>
      </c>
      <c r="U1071" s="2">
        <v>9</v>
      </c>
      <c r="V1071" s="2"/>
    </row>
    <row r="1072" spans="1:22" x14ac:dyDescent="0.35">
      <c r="A1072" s="3" t="s">
        <v>3002</v>
      </c>
      <c r="B1072" s="3" t="s">
        <v>1015</v>
      </c>
      <c r="C1072" s="3" t="s">
        <v>342</v>
      </c>
      <c r="D1072" s="3" t="s">
        <v>3003</v>
      </c>
      <c r="E1072" s="3" t="s">
        <v>68</v>
      </c>
      <c r="F1072" s="3" t="s">
        <v>146</v>
      </c>
      <c r="G1072" s="3" t="s">
        <v>189</v>
      </c>
      <c r="H1072" s="3" t="s">
        <v>271</v>
      </c>
      <c r="I1072" s="3" t="s">
        <v>118</v>
      </c>
      <c r="J1072" s="3">
        <v>212</v>
      </c>
      <c r="K1072" s="3">
        <v>664.69</v>
      </c>
      <c r="L1072" s="3">
        <v>917.54</v>
      </c>
      <c r="M1072" s="3">
        <v>194518.48</v>
      </c>
      <c r="N1072" s="3">
        <v>140914.28</v>
      </c>
      <c r="O1072" s="3">
        <v>53604.2</v>
      </c>
      <c r="P1072" s="3" t="s">
        <v>42</v>
      </c>
      <c r="Q1072" s="3" t="s">
        <v>32</v>
      </c>
      <c r="R1072" s="3">
        <v>13</v>
      </c>
      <c r="S1072" s="3" t="s">
        <v>86</v>
      </c>
      <c r="T1072" s="3">
        <v>3510</v>
      </c>
      <c r="U1072" s="3">
        <v>7</v>
      </c>
      <c r="V1072" s="3"/>
    </row>
    <row r="1073" spans="1:22" x14ac:dyDescent="0.35">
      <c r="A1073" s="2" t="s">
        <v>3004</v>
      </c>
      <c r="B1073" s="2" t="s">
        <v>829</v>
      </c>
      <c r="C1073" s="2" t="s">
        <v>138</v>
      </c>
      <c r="D1073" s="2" t="s">
        <v>3005</v>
      </c>
      <c r="E1073" s="2" t="s">
        <v>58</v>
      </c>
      <c r="F1073" s="2" t="s">
        <v>116</v>
      </c>
      <c r="G1073" s="2" t="s">
        <v>60</v>
      </c>
      <c r="H1073" s="2" t="s">
        <v>400</v>
      </c>
      <c r="I1073" s="2" t="s">
        <v>240</v>
      </c>
      <c r="J1073" s="2">
        <v>-12</v>
      </c>
      <c r="K1073" s="2">
        <v>1104.7</v>
      </c>
      <c r="L1073" s="2">
        <v>1778.02</v>
      </c>
      <c r="M1073" s="2">
        <v>1109484.48</v>
      </c>
      <c r="N1073" s="2">
        <v>689332.8</v>
      </c>
      <c r="O1073" s="2">
        <v>420151.68</v>
      </c>
      <c r="P1073" s="2" t="s">
        <v>31</v>
      </c>
      <c r="Q1073" s="2" t="s">
        <v>63</v>
      </c>
      <c r="R1073" s="2">
        <v>5</v>
      </c>
      <c r="S1073" s="2" t="s">
        <v>33</v>
      </c>
      <c r="T1073" s="2">
        <v>4224</v>
      </c>
      <c r="U1073" s="4"/>
      <c r="V1073" s="2"/>
    </row>
    <row r="1074" spans="1:22" x14ac:dyDescent="0.35">
      <c r="A1074" s="3" t="s">
        <v>3006</v>
      </c>
      <c r="B1074" s="3" t="s">
        <v>702</v>
      </c>
      <c r="C1074" s="3" t="s">
        <v>1688</v>
      </c>
      <c r="D1074" s="3" t="s">
        <v>3007</v>
      </c>
      <c r="E1074" s="3" t="s">
        <v>26</v>
      </c>
      <c r="F1074" s="3" t="s">
        <v>92</v>
      </c>
      <c r="G1074" s="3" t="s">
        <v>217</v>
      </c>
      <c r="H1074" s="3" t="s">
        <v>340</v>
      </c>
      <c r="I1074" s="3" t="s">
        <v>72</v>
      </c>
      <c r="J1074" s="3">
        <v>271</v>
      </c>
      <c r="K1074" s="3">
        <v>1194.25</v>
      </c>
      <c r="L1074" s="3">
        <v>1616.31</v>
      </c>
      <c r="M1074" s="3">
        <v>438020.01</v>
      </c>
      <c r="N1074" s="3">
        <v>323641.75</v>
      </c>
      <c r="O1074" s="3">
        <v>114378.26</v>
      </c>
      <c r="P1074" s="3" t="s">
        <v>31</v>
      </c>
      <c r="Q1074" s="3" t="s">
        <v>63</v>
      </c>
      <c r="R1074" s="3">
        <v>3</v>
      </c>
      <c r="S1074" s="3" t="s">
        <v>33</v>
      </c>
      <c r="T1074" s="3">
        <v>2386</v>
      </c>
      <c r="U1074" s="3">
        <v>10</v>
      </c>
      <c r="V1074" s="3"/>
    </row>
    <row r="1075" spans="1:22" x14ac:dyDescent="0.35">
      <c r="A1075" s="2" t="s">
        <v>3008</v>
      </c>
      <c r="B1075" s="2" t="s">
        <v>89</v>
      </c>
      <c r="C1075" s="2" t="s">
        <v>2844</v>
      </c>
      <c r="D1075" s="2" t="s">
        <v>3009</v>
      </c>
      <c r="E1075" s="2" t="s">
        <v>48</v>
      </c>
      <c r="F1075" s="2" t="s">
        <v>49</v>
      </c>
      <c r="G1075" s="2" t="s">
        <v>93</v>
      </c>
      <c r="H1075" s="2" t="s">
        <v>1442</v>
      </c>
      <c r="I1075" s="2" t="s">
        <v>85</v>
      </c>
      <c r="J1075" s="2">
        <v>100</v>
      </c>
      <c r="K1075" s="2">
        <v>578.9</v>
      </c>
      <c r="L1075" s="2">
        <v>804.15</v>
      </c>
      <c r="M1075" s="2">
        <v>80415</v>
      </c>
      <c r="N1075" s="2">
        <v>57890</v>
      </c>
      <c r="O1075" s="2">
        <v>22525</v>
      </c>
      <c r="P1075" s="2" t="s">
        <v>52</v>
      </c>
      <c r="Q1075" s="2" t="s">
        <v>63</v>
      </c>
      <c r="R1075" s="2">
        <v>3</v>
      </c>
      <c r="S1075" s="2" t="s">
        <v>33</v>
      </c>
      <c r="T1075" s="2">
        <v>45</v>
      </c>
      <c r="U1075" s="2">
        <v>5</v>
      </c>
      <c r="V1075" s="2"/>
    </row>
    <row r="1076" spans="1:22" x14ac:dyDescent="0.35">
      <c r="A1076" s="3" t="s">
        <v>3010</v>
      </c>
      <c r="B1076" s="3" t="s">
        <v>532</v>
      </c>
      <c r="C1076" s="3" t="s">
        <v>1298</v>
      </c>
      <c r="D1076" s="3" t="s">
        <v>3011</v>
      </c>
      <c r="E1076" s="3" t="s">
        <v>68</v>
      </c>
      <c r="F1076" s="3" t="s">
        <v>276</v>
      </c>
      <c r="G1076" s="3" t="s">
        <v>78</v>
      </c>
      <c r="H1076" s="3" t="s">
        <v>840</v>
      </c>
      <c r="I1076" s="3" t="s">
        <v>118</v>
      </c>
      <c r="J1076" s="3">
        <v>550</v>
      </c>
      <c r="K1076" s="3">
        <v>657.52</v>
      </c>
      <c r="L1076" s="3">
        <v>1056.8699999999999</v>
      </c>
      <c r="M1076" s="3">
        <v>581278.5</v>
      </c>
      <c r="N1076" s="3">
        <v>361636</v>
      </c>
      <c r="O1076" s="3">
        <v>219642.5</v>
      </c>
      <c r="P1076" s="3" t="s">
        <v>31</v>
      </c>
      <c r="Q1076" s="3" t="s">
        <v>32</v>
      </c>
      <c r="R1076" s="3">
        <v>15</v>
      </c>
      <c r="S1076" s="3" t="s">
        <v>53</v>
      </c>
      <c r="T1076" s="3">
        <v>4016</v>
      </c>
      <c r="U1076" s="3">
        <v>15</v>
      </c>
      <c r="V1076" s="3"/>
    </row>
    <row r="1077" spans="1:22" x14ac:dyDescent="0.35">
      <c r="A1077" s="2" t="s">
        <v>3012</v>
      </c>
      <c r="B1077" s="2" t="s">
        <v>407</v>
      </c>
      <c r="C1077" s="2" t="s">
        <v>398</v>
      </c>
      <c r="D1077" s="2" t="s">
        <v>3013</v>
      </c>
      <c r="E1077" s="2" t="s">
        <v>26</v>
      </c>
      <c r="F1077" s="2" t="s">
        <v>77</v>
      </c>
      <c r="G1077" s="2" t="s">
        <v>50</v>
      </c>
      <c r="H1077" s="2" t="s">
        <v>51</v>
      </c>
      <c r="I1077" s="2" t="s">
        <v>72</v>
      </c>
      <c r="J1077" s="2">
        <v>800</v>
      </c>
      <c r="K1077" s="2">
        <v>1120.06</v>
      </c>
      <c r="L1077" s="2">
        <v>1354.49</v>
      </c>
      <c r="M1077" s="2">
        <v>1083592</v>
      </c>
      <c r="N1077" s="2">
        <v>896048</v>
      </c>
      <c r="O1077" s="2">
        <v>187544</v>
      </c>
      <c r="P1077" s="2" t="s">
        <v>42</v>
      </c>
      <c r="Q1077" s="2" t="s">
        <v>63</v>
      </c>
      <c r="R1077" s="2">
        <v>2</v>
      </c>
      <c r="S1077" s="2" t="s">
        <v>33</v>
      </c>
      <c r="T1077" s="2">
        <v>1761</v>
      </c>
      <c r="U1077" s="2">
        <v>13</v>
      </c>
      <c r="V1077" s="2"/>
    </row>
    <row r="1078" spans="1:22" x14ac:dyDescent="0.35">
      <c r="A1078" s="3" t="s">
        <v>3014</v>
      </c>
      <c r="B1078" s="3" t="s">
        <v>2569</v>
      </c>
      <c r="C1078" s="3" t="s">
        <v>820</v>
      </c>
      <c r="D1078" s="3" t="s">
        <v>3015</v>
      </c>
      <c r="E1078" s="3" t="s">
        <v>68</v>
      </c>
      <c r="F1078" s="3" t="s">
        <v>276</v>
      </c>
      <c r="G1078" s="3" t="s">
        <v>189</v>
      </c>
      <c r="H1078" s="4"/>
      <c r="I1078" s="3" t="s">
        <v>62</v>
      </c>
      <c r="J1078" s="3">
        <v>550</v>
      </c>
      <c r="K1078" s="3">
        <v>658.7</v>
      </c>
      <c r="L1078" s="3">
        <v>1036.71</v>
      </c>
      <c r="M1078" s="3">
        <v>570190.5</v>
      </c>
      <c r="N1078" s="3">
        <v>362285</v>
      </c>
      <c r="O1078" s="3">
        <v>207905.5</v>
      </c>
      <c r="P1078" s="3" t="s">
        <v>52</v>
      </c>
      <c r="Q1078" s="3" t="s">
        <v>32</v>
      </c>
      <c r="R1078" s="3">
        <v>7</v>
      </c>
      <c r="S1078" s="3" t="s">
        <v>43</v>
      </c>
      <c r="T1078" s="3">
        <v>1127</v>
      </c>
      <c r="U1078" s="3">
        <v>0</v>
      </c>
      <c r="V1078" s="3"/>
    </row>
    <row r="1079" spans="1:22" x14ac:dyDescent="0.35">
      <c r="A1079" s="2" t="s">
        <v>3016</v>
      </c>
      <c r="B1079" s="2" t="s">
        <v>1298</v>
      </c>
      <c r="C1079" s="2" t="s">
        <v>1622</v>
      </c>
      <c r="D1079" s="2" t="s">
        <v>3017</v>
      </c>
      <c r="E1079" s="2" t="s">
        <v>58</v>
      </c>
      <c r="F1079" s="2" t="s">
        <v>417</v>
      </c>
      <c r="G1079" s="2" t="s">
        <v>189</v>
      </c>
      <c r="H1079" s="2" t="s">
        <v>365</v>
      </c>
      <c r="I1079" s="2" t="s">
        <v>30</v>
      </c>
      <c r="J1079" s="2">
        <v>82</v>
      </c>
      <c r="K1079" s="2">
        <v>557.28</v>
      </c>
      <c r="L1079" s="2">
        <v>801.64</v>
      </c>
      <c r="M1079" s="2">
        <v>65734.48</v>
      </c>
      <c r="N1079" s="2">
        <v>45696.959999999999</v>
      </c>
      <c r="O1079" s="2">
        <v>20037.52</v>
      </c>
      <c r="P1079" s="2" t="s">
        <v>31</v>
      </c>
      <c r="Q1079" s="2" t="s">
        <v>32</v>
      </c>
      <c r="R1079" s="2">
        <v>13</v>
      </c>
      <c r="S1079" s="2" t="s">
        <v>112</v>
      </c>
      <c r="T1079" s="2">
        <v>4516</v>
      </c>
      <c r="U1079" s="2">
        <v>0</v>
      </c>
      <c r="V1079" s="2"/>
    </row>
    <row r="1080" spans="1:22" x14ac:dyDescent="0.35">
      <c r="A1080" s="2" t="s">
        <v>3018</v>
      </c>
      <c r="B1080" s="2" t="s">
        <v>1096</v>
      </c>
      <c r="C1080" s="2" t="s">
        <v>3019</v>
      </c>
      <c r="D1080" s="2" t="s">
        <v>3020</v>
      </c>
      <c r="E1080" s="2" t="s">
        <v>48</v>
      </c>
      <c r="F1080" s="2" t="s">
        <v>183</v>
      </c>
      <c r="G1080" s="2" t="s">
        <v>217</v>
      </c>
      <c r="H1080" s="2" t="s">
        <v>725</v>
      </c>
      <c r="I1080" s="2" t="s">
        <v>30</v>
      </c>
      <c r="J1080" s="2">
        <v>566</v>
      </c>
      <c r="K1080" s="2">
        <v>48.95</v>
      </c>
      <c r="L1080" s="2">
        <v>61.51</v>
      </c>
      <c r="M1080" s="2">
        <v>34814.660000000003</v>
      </c>
      <c r="N1080" s="2">
        <v>27705.7</v>
      </c>
      <c r="O1080" s="2">
        <v>7108.96</v>
      </c>
      <c r="P1080" s="2" t="s">
        <v>52</v>
      </c>
      <c r="Q1080" s="2" t="s">
        <v>32</v>
      </c>
      <c r="R1080" s="2">
        <v>12</v>
      </c>
      <c r="S1080" s="2" t="s">
        <v>158</v>
      </c>
      <c r="T1080" s="2">
        <v>1976</v>
      </c>
      <c r="U1080" s="2">
        <v>3</v>
      </c>
      <c r="V1080" s="2"/>
    </row>
    <row r="1081" spans="1:22" x14ac:dyDescent="0.35">
      <c r="A1081" s="3" t="s">
        <v>3021</v>
      </c>
      <c r="B1081" s="3" t="s">
        <v>3022</v>
      </c>
      <c r="C1081" s="3" t="s">
        <v>1737</v>
      </c>
      <c r="D1081" s="3" t="s">
        <v>3023</v>
      </c>
      <c r="E1081" s="3" t="s">
        <v>58</v>
      </c>
      <c r="F1081" s="3" t="s">
        <v>2017</v>
      </c>
      <c r="G1081" s="3" t="s">
        <v>50</v>
      </c>
      <c r="H1081" s="3" t="s">
        <v>117</v>
      </c>
      <c r="I1081" s="3" t="s">
        <v>153</v>
      </c>
      <c r="J1081" s="3">
        <v>731</v>
      </c>
      <c r="K1081" s="3">
        <v>1056.83</v>
      </c>
      <c r="L1081" s="3">
        <v>1720.03</v>
      </c>
      <c r="M1081" s="3">
        <v>1257341.93</v>
      </c>
      <c r="N1081" s="3">
        <v>772542.73</v>
      </c>
      <c r="O1081" s="3">
        <v>484799.2</v>
      </c>
      <c r="P1081" s="3" t="s">
        <v>95</v>
      </c>
      <c r="Q1081" s="3" t="s">
        <v>32</v>
      </c>
      <c r="R1081" s="3">
        <v>13</v>
      </c>
      <c r="S1081" s="3" t="s">
        <v>86</v>
      </c>
      <c r="T1081" s="3">
        <v>217</v>
      </c>
      <c r="U1081" s="3">
        <v>36</v>
      </c>
      <c r="V1081" s="3"/>
    </row>
    <row r="1082" spans="1:22" x14ac:dyDescent="0.35">
      <c r="A1082" s="2" t="s">
        <v>3024</v>
      </c>
      <c r="B1082" s="2" t="s">
        <v>3025</v>
      </c>
      <c r="C1082" s="2" t="s">
        <v>386</v>
      </c>
      <c r="D1082" s="2" t="s">
        <v>3026</v>
      </c>
      <c r="E1082" s="2" t="s">
        <v>68</v>
      </c>
      <c r="F1082" s="2" t="s">
        <v>163</v>
      </c>
      <c r="G1082" s="2" t="s">
        <v>39</v>
      </c>
      <c r="H1082" s="2" t="s">
        <v>40</v>
      </c>
      <c r="I1082" s="2" t="s">
        <v>141</v>
      </c>
      <c r="J1082" s="2">
        <v>460</v>
      </c>
      <c r="K1082" s="2">
        <v>396.56</v>
      </c>
      <c r="L1082" s="2">
        <v>466.38</v>
      </c>
      <c r="M1082" s="2">
        <v>214534.8</v>
      </c>
      <c r="N1082" s="2">
        <v>182417.6</v>
      </c>
      <c r="O1082" s="2">
        <v>32117.200000000001</v>
      </c>
      <c r="P1082" s="2" t="s">
        <v>52</v>
      </c>
      <c r="Q1082" s="4"/>
      <c r="R1082" s="2">
        <v>13</v>
      </c>
      <c r="S1082" s="2" t="s">
        <v>112</v>
      </c>
      <c r="T1082" s="2">
        <v>3971</v>
      </c>
      <c r="U1082" s="2">
        <v>1</v>
      </c>
      <c r="V1082" s="2"/>
    </row>
    <row r="1083" spans="1:22" x14ac:dyDescent="0.35">
      <c r="A1083" s="3" t="s">
        <v>3027</v>
      </c>
      <c r="B1083" s="3" t="s">
        <v>328</v>
      </c>
      <c r="C1083" s="3" t="s">
        <v>126</v>
      </c>
      <c r="D1083" s="3" t="s">
        <v>3028</v>
      </c>
      <c r="E1083" s="3" t="s">
        <v>58</v>
      </c>
      <c r="F1083" s="3" t="s">
        <v>122</v>
      </c>
      <c r="G1083" s="3" t="s">
        <v>28</v>
      </c>
      <c r="H1083" s="3" t="s">
        <v>212</v>
      </c>
      <c r="I1083" s="3" t="s">
        <v>118</v>
      </c>
      <c r="J1083" s="3">
        <v>423</v>
      </c>
      <c r="K1083" s="3">
        <v>926.51</v>
      </c>
      <c r="L1083" s="3">
        <v>1137.07</v>
      </c>
      <c r="M1083" s="3">
        <v>480980.61</v>
      </c>
      <c r="N1083" s="3">
        <v>391913.73</v>
      </c>
      <c r="O1083" s="3">
        <v>89066.880000000005</v>
      </c>
      <c r="P1083" s="3" t="s">
        <v>52</v>
      </c>
      <c r="Q1083" s="3" t="s">
        <v>32</v>
      </c>
      <c r="R1083" s="3">
        <v>15</v>
      </c>
      <c r="S1083" s="3" t="s">
        <v>112</v>
      </c>
      <c r="T1083" s="3">
        <v>2595</v>
      </c>
      <c r="U1083" s="3">
        <v>0</v>
      </c>
      <c r="V1083" s="3"/>
    </row>
    <row r="1084" spans="1:22" x14ac:dyDescent="0.35">
      <c r="A1084" s="2" t="s">
        <v>2491</v>
      </c>
      <c r="B1084" s="2" t="s">
        <v>1260</v>
      </c>
      <c r="C1084" s="2" t="s">
        <v>790</v>
      </c>
      <c r="D1084" s="2" t="s">
        <v>2493</v>
      </c>
      <c r="E1084" s="2" t="s">
        <v>100</v>
      </c>
      <c r="F1084" s="2" t="s">
        <v>101</v>
      </c>
      <c r="G1084" s="2" t="s">
        <v>129</v>
      </c>
      <c r="H1084" s="2" t="s">
        <v>152</v>
      </c>
      <c r="I1084" s="2" t="s">
        <v>30</v>
      </c>
      <c r="J1084" s="2">
        <v>45</v>
      </c>
      <c r="K1084" s="2">
        <v>1087.43</v>
      </c>
      <c r="L1084" s="2">
        <v>1413.56</v>
      </c>
      <c r="M1084" s="2">
        <v>63610.2</v>
      </c>
      <c r="N1084" s="2">
        <v>48934.35</v>
      </c>
      <c r="O1084" s="2">
        <v>14675.85</v>
      </c>
      <c r="P1084" s="2" t="s">
        <v>42</v>
      </c>
      <c r="Q1084" s="2" t="s">
        <v>32</v>
      </c>
      <c r="R1084" s="2">
        <v>13</v>
      </c>
      <c r="S1084" s="2" t="s">
        <v>158</v>
      </c>
      <c r="T1084" s="2">
        <v>3728</v>
      </c>
      <c r="U1084" s="2">
        <v>2</v>
      </c>
      <c r="V1084" s="2"/>
    </row>
    <row r="1085" spans="1:22" x14ac:dyDescent="0.35">
      <c r="A1085" s="3" t="s">
        <v>3029</v>
      </c>
      <c r="B1085" s="3" t="s">
        <v>1322</v>
      </c>
      <c r="C1085" s="3" t="s">
        <v>711</v>
      </c>
      <c r="D1085" s="3" t="s">
        <v>3030</v>
      </c>
      <c r="E1085" s="3" t="s">
        <v>26</v>
      </c>
      <c r="F1085" s="3" t="s">
        <v>228</v>
      </c>
      <c r="G1085" s="3" t="s">
        <v>189</v>
      </c>
      <c r="H1085" s="3" t="s">
        <v>365</v>
      </c>
      <c r="I1085" s="3" t="s">
        <v>293</v>
      </c>
      <c r="J1085" s="3">
        <v>346</v>
      </c>
      <c r="K1085" s="3">
        <v>1114.8900000000001</v>
      </c>
      <c r="L1085" s="3">
        <v>1679.68</v>
      </c>
      <c r="M1085" s="3">
        <v>581169.28</v>
      </c>
      <c r="N1085" s="3">
        <v>385751.94</v>
      </c>
      <c r="O1085" s="3">
        <v>195417.34</v>
      </c>
      <c r="P1085" s="3" t="s">
        <v>31</v>
      </c>
      <c r="Q1085" s="3" t="s">
        <v>63</v>
      </c>
      <c r="R1085" s="3">
        <v>2</v>
      </c>
      <c r="S1085" s="3" t="s">
        <v>53</v>
      </c>
      <c r="T1085" s="3">
        <v>428</v>
      </c>
      <c r="U1085" s="3">
        <v>5</v>
      </c>
      <c r="V1085" s="3"/>
    </row>
    <row r="1086" spans="1:22" x14ac:dyDescent="0.35">
      <c r="A1086" s="2" t="s">
        <v>3031</v>
      </c>
      <c r="B1086" s="2" t="s">
        <v>1474</v>
      </c>
      <c r="C1086" s="2" t="s">
        <v>1295</v>
      </c>
      <c r="D1086" s="2" t="s">
        <v>3032</v>
      </c>
      <c r="E1086" s="2" t="s">
        <v>100</v>
      </c>
      <c r="F1086" s="2" t="s">
        <v>538</v>
      </c>
      <c r="G1086" s="2" t="s">
        <v>39</v>
      </c>
      <c r="H1086" s="2" t="s">
        <v>647</v>
      </c>
      <c r="I1086" s="2" t="s">
        <v>240</v>
      </c>
      <c r="J1086" s="2">
        <v>108</v>
      </c>
      <c r="K1086" s="2">
        <v>188.24</v>
      </c>
      <c r="L1086" s="2">
        <v>227.63</v>
      </c>
      <c r="M1086" s="2">
        <v>24584.04</v>
      </c>
      <c r="N1086" s="2">
        <v>20329.919999999998</v>
      </c>
      <c r="O1086" s="2">
        <v>4254.12</v>
      </c>
      <c r="P1086" s="2" t="s">
        <v>52</v>
      </c>
      <c r="Q1086" s="2" t="s">
        <v>32</v>
      </c>
      <c r="R1086" s="2">
        <v>15</v>
      </c>
      <c r="S1086" s="2" t="s">
        <v>43</v>
      </c>
      <c r="T1086" s="2">
        <v>3906</v>
      </c>
      <c r="U1086" s="2">
        <v>0</v>
      </c>
      <c r="V1086" s="2"/>
    </row>
    <row r="1087" spans="1:22" x14ac:dyDescent="0.35">
      <c r="A1087" s="3" t="s">
        <v>3033</v>
      </c>
      <c r="B1087" s="3" t="s">
        <v>662</v>
      </c>
      <c r="C1087" s="3" t="s">
        <v>1053</v>
      </c>
      <c r="D1087" s="4"/>
      <c r="E1087" s="3" t="s">
        <v>26</v>
      </c>
      <c r="F1087" s="3" t="s">
        <v>228</v>
      </c>
      <c r="G1087" s="3" t="s">
        <v>60</v>
      </c>
      <c r="H1087" s="3" t="s">
        <v>780</v>
      </c>
      <c r="I1087" s="3" t="s">
        <v>118</v>
      </c>
      <c r="J1087" s="3">
        <v>736</v>
      </c>
      <c r="K1087" s="3">
        <v>1016.32</v>
      </c>
      <c r="L1087" s="3">
        <v>1250.6099999999999</v>
      </c>
      <c r="M1087" s="3">
        <v>920448.96</v>
      </c>
      <c r="N1087" s="3">
        <v>748011.52000000002</v>
      </c>
      <c r="O1087" s="3">
        <v>172437.44</v>
      </c>
      <c r="P1087" s="3" t="s">
        <v>31</v>
      </c>
      <c r="Q1087" s="3" t="s">
        <v>32</v>
      </c>
      <c r="R1087" s="3">
        <v>10</v>
      </c>
      <c r="S1087" s="3" t="s">
        <v>43</v>
      </c>
      <c r="T1087" s="3">
        <v>685</v>
      </c>
      <c r="U1087" s="3">
        <v>14</v>
      </c>
      <c r="V1087" s="3"/>
    </row>
    <row r="1088" spans="1:22" x14ac:dyDescent="0.35">
      <c r="A1088" s="2" t="s">
        <v>3034</v>
      </c>
      <c r="B1088" s="2" t="s">
        <v>1670</v>
      </c>
      <c r="C1088" s="2" t="s">
        <v>1662</v>
      </c>
      <c r="D1088" s="2" t="s">
        <v>3035</v>
      </c>
      <c r="E1088" s="2" t="s">
        <v>3036</v>
      </c>
      <c r="F1088" s="2" t="s">
        <v>3037</v>
      </c>
      <c r="G1088" s="2" t="s">
        <v>93</v>
      </c>
      <c r="H1088" s="2" t="s">
        <v>140</v>
      </c>
      <c r="I1088" s="2" t="s">
        <v>153</v>
      </c>
      <c r="J1088" s="2">
        <v>519</v>
      </c>
      <c r="K1088" s="2">
        <v>1032.8499999999999</v>
      </c>
      <c r="L1088" s="2">
        <v>1382.1</v>
      </c>
      <c r="M1088" s="2">
        <v>717309.9</v>
      </c>
      <c r="N1088" s="2">
        <v>536049.15</v>
      </c>
      <c r="O1088" s="2">
        <v>181260.75</v>
      </c>
      <c r="P1088" s="2" t="s">
        <v>52</v>
      </c>
      <c r="Q1088" s="2" t="s">
        <v>32</v>
      </c>
      <c r="R1088" s="2">
        <v>15</v>
      </c>
      <c r="S1088" s="2" t="s">
        <v>33</v>
      </c>
      <c r="T1088" s="2">
        <v>4462</v>
      </c>
      <c r="U1088" s="2">
        <v>19</v>
      </c>
      <c r="V1088" s="2"/>
    </row>
    <row r="1089" spans="1:22" x14ac:dyDescent="0.35">
      <c r="A1089" s="3" t="s">
        <v>3038</v>
      </c>
      <c r="B1089" s="3" t="s">
        <v>427</v>
      </c>
      <c r="C1089" s="3" t="s">
        <v>614</v>
      </c>
      <c r="D1089" s="3" t="s">
        <v>3039</v>
      </c>
      <c r="E1089" s="3" t="s">
        <v>48</v>
      </c>
      <c r="F1089" s="3" t="s">
        <v>270</v>
      </c>
      <c r="G1089" s="3" t="s">
        <v>217</v>
      </c>
      <c r="H1089" s="3" t="s">
        <v>684</v>
      </c>
      <c r="I1089" s="3" t="s">
        <v>85</v>
      </c>
      <c r="J1089" s="3">
        <v>128</v>
      </c>
      <c r="K1089" s="3">
        <v>1140.3599999999999</v>
      </c>
      <c r="L1089" s="3">
        <v>1758.92</v>
      </c>
      <c r="M1089" s="3">
        <v>225141.76000000001</v>
      </c>
      <c r="N1089" s="3">
        <v>145966.07999999999</v>
      </c>
      <c r="O1089" s="3">
        <v>79175.679999999993</v>
      </c>
      <c r="P1089" s="3" t="s">
        <v>31</v>
      </c>
      <c r="Q1089" s="3" t="s">
        <v>32</v>
      </c>
      <c r="R1089" s="3">
        <v>15</v>
      </c>
      <c r="S1089" s="3" t="s">
        <v>53</v>
      </c>
      <c r="T1089" s="3">
        <v>3188</v>
      </c>
      <c r="U1089" s="3">
        <v>4</v>
      </c>
      <c r="V1089" s="3"/>
    </row>
    <row r="1090" spans="1:22" x14ac:dyDescent="0.35">
      <c r="A1090" s="2" t="s">
        <v>3040</v>
      </c>
      <c r="B1090" s="2" t="s">
        <v>3041</v>
      </c>
      <c r="C1090" s="2" t="s">
        <v>1622</v>
      </c>
      <c r="D1090" s="2" t="s">
        <v>3042</v>
      </c>
      <c r="E1090" s="2" t="s">
        <v>48</v>
      </c>
      <c r="F1090" s="2" t="s">
        <v>49</v>
      </c>
      <c r="G1090" s="2" t="s">
        <v>50</v>
      </c>
      <c r="H1090" s="2" t="s">
        <v>173</v>
      </c>
      <c r="I1090" s="2" t="s">
        <v>30</v>
      </c>
      <c r="J1090" s="2">
        <v>12</v>
      </c>
      <c r="K1090" s="2">
        <v>798.71</v>
      </c>
      <c r="L1090" s="2">
        <v>963.5</v>
      </c>
      <c r="M1090" s="2">
        <v>11562</v>
      </c>
      <c r="N1090" s="2">
        <v>9584.52</v>
      </c>
      <c r="O1090" s="2">
        <v>1977.48</v>
      </c>
      <c r="P1090" s="2" t="s">
        <v>42</v>
      </c>
      <c r="Q1090" s="2" t="s">
        <v>63</v>
      </c>
      <c r="R1090" s="2">
        <v>4</v>
      </c>
      <c r="S1090" s="2" t="s">
        <v>33</v>
      </c>
      <c r="T1090" s="2">
        <v>4713</v>
      </c>
      <c r="U1090" s="2">
        <v>1</v>
      </c>
      <c r="V1090" s="2"/>
    </row>
    <row r="1091" spans="1:22" x14ac:dyDescent="0.35">
      <c r="A1091" s="3" t="s">
        <v>3043</v>
      </c>
      <c r="B1091" s="3" t="s">
        <v>1483</v>
      </c>
      <c r="C1091" s="3" t="s">
        <v>81</v>
      </c>
      <c r="D1091" s="3" t="s">
        <v>3044</v>
      </c>
      <c r="E1091" s="3" t="s">
        <v>48</v>
      </c>
      <c r="F1091" s="3" t="s">
        <v>49</v>
      </c>
      <c r="G1091" s="3" t="s">
        <v>129</v>
      </c>
      <c r="H1091" s="3" t="s">
        <v>316</v>
      </c>
      <c r="I1091" s="3" t="s">
        <v>30</v>
      </c>
      <c r="J1091" s="3">
        <v>543</v>
      </c>
      <c r="K1091" s="3">
        <v>931.5</v>
      </c>
      <c r="L1091" s="3">
        <v>1066.28</v>
      </c>
      <c r="M1091" s="3">
        <v>578990.04</v>
      </c>
      <c r="N1091" s="3">
        <v>505804.5</v>
      </c>
      <c r="O1091" s="3">
        <v>73185.539999999994</v>
      </c>
      <c r="P1091" s="3" t="s">
        <v>42</v>
      </c>
      <c r="Q1091" s="3" t="s">
        <v>32</v>
      </c>
      <c r="R1091" s="3">
        <v>6</v>
      </c>
      <c r="S1091" s="3" t="s">
        <v>33</v>
      </c>
      <c r="T1091" s="3">
        <v>2844</v>
      </c>
      <c r="U1091" s="3">
        <v>0</v>
      </c>
      <c r="V1091" s="3"/>
    </row>
    <row r="1092" spans="1:22" x14ac:dyDescent="0.35">
      <c r="A1092" s="2" t="s">
        <v>3045</v>
      </c>
      <c r="B1092" s="2" t="s">
        <v>853</v>
      </c>
      <c r="C1092" s="2" t="s">
        <v>1995</v>
      </c>
      <c r="D1092" s="2" t="s">
        <v>3046</v>
      </c>
      <c r="E1092" s="2" t="s">
        <v>26</v>
      </c>
      <c r="F1092" s="2" t="s">
        <v>38</v>
      </c>
      <c r="G1092" s="2" t="s">
        <v>217</v>
      </c>
      <c r="H1092" s="2" t="s">
        <v>725</v>
      </c>
      <c r="I1092" s="2" t="s">
        <v>153</v>
      </c>
      <c r="J1092" s="2">
        <v>472</v>
      </c>
      <c r="K1092" s="2">
        <v>337.2</v>
      </c>
      <c r="L1092" s="2">
        <v>434.92</v>
      </c>
      <c r="M1092" s="2">
        <v>205282.24</v>
      </c>
      <c r="N1092" s="2">
        <v>159158.39999999999</v>
      </c>
      <c r="O1092" s="2">
        <v>46123.839999999997</v>
      </c>
      <c r="P1092" s="2" t="s">
        <v>31</v>
      </c>
      <c r="Q1092" s="2" t="s">
        <v>32</v>
      </c>
      <c r="R1092" s="2">
        <v>14</v>
      </c>
      <c r="S1092" s="2" t="s">
        <v>86</v>
      </c>
      <c r="T1092" s="2">
        <v>626</v>
      </c>
      <c r="U1092" s="2">
        <v>18</v>
      </c>
      <c r="V1092" s="2"/>
    </row>
    <row r="1093" spans="1:22" x14ac:dyDescent="0.35">
      <c r="A1093" s="3" t="s">
        <v>3047</v>
      </c>
      <c r="B1093" s="3" t="s">
        <v>1409</v>
      </c>
      <c r="C1093" s="3" t="s">
        <v>716</v>
      </c>
      <c r="D1093" s="3" t="s">
        <v>3048</v>
      </c>
      <c r="E1093" s="3" t="s">
        <v>68</v>
      </c>
      <c r="F1093" s="3" t="s">
        <v>69</v>
      </c>
      <c r="G1093" s="3" t="s">
        <v>78</v>
      </c>
      <c r="H1093" s="3" t="s">
        <v>178</v>
      </c>
      <c r="I1093" s="3" t="s">
        <v>240</v>
      </c>
      <c r="J1093" s="3">
        <v>589</v>
      </c>
      <c r="K1093" s="3">
        <v>938.84</v>
      </c>
      <c r="L1093" s="3">
        <v>1102.73</v>
      </c>
      <c r="M1093" s="3">
        <v>649507.97</v>
      </c>
      <c r="N1093" s="3">
        <v>552976.76</v>
      </c>
      <c r="O1093" s="3">
        <v>96531.21</v>
      </c>
      <c r="P1093" s="3" t="s">
        <v>52</v>
      </c>
      <c r="Q1093" s="3" t="s">
        <v>32</v>
      </c>
      <c r="R1093" s="3">
        <v>9</v>
      </c>
      <c r="S1093" s="3" t="s">
        <v>112</v>
      </c>
      <c r="T1093" s="3">
        <v>29</v>
      </c>
      <c r="U1093" s="3">
        <v>12</v>
      </c>
      <c r="V1093" s="3"/>
    </row>
    <row r="1094" spans="1:22" x14ac:dyDescent="0.35">
      <c r="A1094" s="2" t="s">
        <v>1624</v>
      </c>
      <c r="B1094" s="2" t="s">
        <v>1765</v>
      </c>
      <c r="C1094" s="2" t="s">
        <v>395</v>
      </c>
      <c r="D1094" s="2" t="s">
        <v>1626</v>
      </c>
      <c r="E1094" s="2" t="s">
        <v>100</v>
      </c>
      <c r="F1094" s="2" t="s">
        <v>106</v>
      </c>
      <c r="G1094" s="2" t="s">
        <v>39</v>
      </c>
      <c r="H1094" s="2" t="s">
        <v>354</v>
      </c>
      <c r="I1094" s="2" t="s">
        <v>124</v>
      </c>
      <c r="J1094" s="2">
        <v>257</v>
      </c>
      <c r="K1094" s="2">
        <v>196.24</v>
      </c>
      <c r="L1094" s="2">
        <v>239.29</v>
      </c>
      <c r="M1094" s="2">
        <v>61497.53</v>
      </c>
      <c r="N1094" s="2">
        <v>50433.68</v>
      </c>
      <c r="O1094" s="2">
        <v>11063.85</v>
      </c>
      <c r="P1094" s="2" t="s">
        <v>95</v>
      </c>
      <c r="Q1094" s="2" t="s">
        <v>32</v>
      </c>
      <c r="R1094" s="2">
        <v>8</v>
      </c>
      <c r="S1094" s="2" t="s">
        <v>112</v>
      </c>
      <c r="T1094" s="2">
        <v>4438</v>
      </c>
      <c r="U1094" s="2">
        <v>5</v>
      </c>
      <c r="V1094" s="2"/>
    </row>
    <row r="1095" spans="1:22" x14ac:dyDescent="0.35">
      <c r="A1095" s="3" t="s">
        <v>3049</v>
      </c>
      <c r="B1095" s="3" t="s">
        <v>2470</v>
      </c>
      <c r="C1095" s="3" t="s">
        <v>3050</v>
      </c>
      <c r="D1095" s="3" t="s">
        <v>3051</v>
      </c>
      <c r="E1095" s="3" t="s">
        <v>68</v>
      </c>
      <c r="F1095" s="3" t="s">
        <v>69</v>
      </c>
      <c r="G1095" s="3" t="s">
        <v>217</v>
      </c>
      <c r="H1095" s="3" t="s">
        <v>340</v>
      </c>
      <c r="I1095" s="3" t="s">
        <v>62</v>
      </c>
      <c r="J1095" s="3">
        <v>300</v>
      </c>
      <c r="K1095" s="3">
        <v>967.55</v>
      </c>
      <c r="L1095" s="3">
        <v>1285.93</v>
      </c>
      <c r="M1095" s="3">
        <v>385779</v>
      </c>
      <c r="N1095" s="3">
        <v>290265</v>
      </c>
      <c r="O1095" s="3">
        <v>95514</v>
      </c>
      <c r="P1095" s="3" t="s">
        <v>42</v>
      </c>
      <c r="Q1095" s="3" t="s">
        <v>32</v>
      </c>
      <c r="R1095" s="3">
        <v>11</v>
      </c>
      <c r="S1095" s="3" t="s">
        <v>43</v>
      </c>
      <c r="T1095" s="3">
        <v>589</v>
      </c>
      <c r="U1095" s="3">
        <v>8</v>
      </c>
      <c r="V1095" s="3"/>
    </row>
    <row r="1096" spans="1:22" x14ac:dyDescent="0.35">
      <c r="A1096" s="2" t="s">
        <v>3052</v>
      </c>
      <c r="B1096" s="2" t="s">
        <v>668</v>
      </c>
      <c r="C1096" s="2" t="s">
        <v>887</v>
      </c>
      <c r="D1096" s="2" t="s">
        <v>3053</v>
      </c>
      <c r="E1096" s="2" t="s">
        <v>100</v>
      </c>
      <c r="F1096" s="2" t="s">
        <v>106</v>
      </c>
      <c r="G1096" s="2" t="s">
        <v>70</v>
      </c>
      <c r="H1096" s="2" t="s">
        <v>623</v>
      </c>
      <c r="I1096" s="2" t="s">
        <v>30</v>
      </c>
      <c r="J1096" s="2">
        <v>495</v>
      </c>
      <c r="K1096" s="2">
        <v>269.56</v>
      </c>
      <c r="L1096" s="2">
        <v>403.76</v>
      </c>
      <c r="M1096" s="2">
        <v>199861.2</v>
      </c>
      <c r="N1096" s="2">
        <v>133432.20000000001</v>
      </c>
      <c r="O1096" s="2">
        <v>66429</v>
      </c>
      <c r="P1096" s="2" t="s">
        <v>52</v>
      </c>
      <c r="Q1096" s="2" t="s">
        <v>63</v>
      </c>
      <c r="R1096" s="2">
        <v>3</v>
      </c>
      <c r="S1096" s="2" t="s">
        <v>53</v>
      </c>
      <c r="T1096" s="2">
        <v>1249</v>
      </c>
      <c r="U1096" s="2">
        <v>17</v>
      </c>
      <c r="V1096" s="2"/>
    </row>
    <row r="1097" spans="1:22" x14ac:dyDescent="0.35">
      <c r="A1097" s="3" t="s">
        <v>3054</v>
      </c>
      <c r="B1097" s="3" t="s">
        <v>2677</v>
      </c>
      <c r="C1097" s="3" t="s">
        <v>982</v>
      </c>
      <c r="D1097" s="3" t="s">
        <v>3055</v>
      </c>
      <c r="E1097" s="3" t="s">
        <v>68</v>
      </c>
      <c r="F1097" s="3" t="s">
        <v>276</v>
      </c>
      <c r="G1097" s="3" t="s">
        <v>78</v>
      </c>
      <c r="H1097" s="3" t="s">
        <v>572</v>
      </c>
      <c r="I1097" s="3" t="s">
        <v>85</v>
      </c>
      <c r="J1097" s="3">
        <v>251</v>
      </c>
      <c r="K1097" s="3">
        <v>805.36</v>
      </c>
      <c r="L1097" s="3">
        <v>1014.56</v>
      </c>
      <c r="M1097" s="3">
        <v>254654.56</v>
      </c>
      <c r="N1097" s="3">
        <v>202145.36</v>
      </c>
      <c r="O1097" s="3">
        <v>52509.2</v>
      </c>
      <c r="P1097" s="3" t="s">
        <v>52</v>
      </c>
      <c r="Q1097" s="3" t="s">
        <v>32</v>
      </c>
      <c r="R1097" s="3">
        <v>11</v>
      </c>
      <c r="S1097" s="3" t="s">
        <v>112</v>
      </c>
      <c r="T1097" s="3">
        <v>3965</v>
      </c>
      <c r="U1097" s="3">
        <v>5</v>
      </c>
      <c r="V1097" s="3"/>
    </row>
    <row r="1098" spans="1:22" x14ac:dyDescent="0.35">
      <c r="A1098" s="2" t="s">
        <v>3056</v>
      </c>
      <c r="B1098" s="2" t="s">
        <v>1043</v>
      </c>
      <c r="C1098" s="2" t="s">
        <v>2326</v>
      </c>
      <c r="D1098" s="2" t="s">
        <v>3057</v>
      </c>
      <c r="E1098" s="2" t="s">
        <v>100</v>
      </c>
      <c r="F1098" s="2" t="s">
        <v>330</v>
      </c>
      <c r="G1098" s="2" t="s">
        <v>93</v>
      </c>
      <c r="H1098" s="2" t="s">
        <v>302</v>
      </c>
      <c r="I1098" s="2" t="s">
        <v>72</v>
      </c>
      <c r="J1098" s="2">
        <v>373</v>
      </c>
      <c r="K1098" s="2">
        <v>769.47</v>
      </c>
      <c r="L1098" s="2">
        <v>913.93</v>
      </c>
      <c r="M1098" s="2">
        <v>340895.89</v>
      </c>
      <c r="N1098" s="2">
        <v>287012.31</v>
      </c>
      <c r="O1098" s="2">
        <v>53883.58</v>
      </c>
      <c r="P1098" s="2" t="s">
        <v>31</v>
      </c>
      <c r="Q1098" s="2" t="s">
        <v>32</v>
      </c>
      <c r="R1098" s="2">
        <v>11</v>
      </c>
      <c r="S1098" s="2" t="s">
        <v>53</v>
      </c>
      <c r="T1098" s="2">
        <v>4497</v>
      </c>
      <c r="U1098" s="2">
        <v>12</v>
      </c>
      <c r="V1098" s="2"/>
    </row>
    <row r="1099" spans="1:22" x14ac:dyDescent="0.35">
      <c r="A1099" s="3" t="s">
        <v>3058</v>
      </c>
      <c r="B1099" s="3" t="s">
        <v>1542</v>
      </c>
      <c r="C1099" s="3" t="s">
        <v>1186</v>
      </c>
      <c r="D1099" s="3" t="s">
        <v>3059</v>
      </c>
      <c r="E1099" s="3" t="s">
        <v>58</v>
      </c>
      <c r="F1099" s="3" t="s">
        <v>3060</v>
      </c>
      <c r="G1099" s="3" t="s">
        <v>129</v>
      </c>
      <c r="H1099" s="3" t="s">
        <v>520</v>
      </c>
      <c r="I1099" s="3" t="s">
        <v>141</v>
      </c>
      <c r="J1099" s="3">
        <v>718</v>
      </c>
      <c r="K1099" s="3">
        <v>602.86</v>
      </c>
      <c r="L1099" s="3">
        <v>829.55</v>
      </c>
      <c r="M1099" s="3">
        <v>595616.9</v>
      </c>
      <c r="N1099" s="3">
        <v>432853.48</v>
      </c>
      <c r="O1099" s="3">
        <v>162763.42000000001</v>
      </c>
      <c r="P1099" s="3" t="s">
        <v>95</v>
      </c>
      <c r="Q1099" s="3" t="s">
        <v>63</v>
      </c>
      <c r="R1099" s="3">
        <v>4</v>
      </c>
      <c r="S1099" s="3" t="s">
        <v>43</v>
      </c>
      <c r="T1099" s="3">
        <v>3828</v>
      </c>
      <c r="U1099" s="3">
        <v>10</v>
      </c>
      <c r="V1099" s="3"/>
    </row>
    <row r="1100" spans="1:22" x14ac:dyDescent="0.35">
      <c r="A1100" s="2" t="s">
        <v>3061</v>
      </c>
      <c r="B1100" s="2" t="s">
        <v>65</v>
      </c>
      <c r="C1100" s="2" t="s">
        <v>641</v>
      </c>
      <c r="D1100" s="2" t="s">
        <v>3062</v>
      </c>
      <c r="E1100" s="2" t="s">
        <v>68</v>
      </c>
      <c r="F1100" s="2" t="s">
        <v>249</v>
      </c>
      <c r="G1100" s="2" t="s">
        <v>217</v>
      </c>
      <c r="H1100" s="2" t="s">
        <v>218</v>
      </c>
      <c r="I1100" s="2" t="s">
        <v>153</v>
      </c>
      <c r="J1100" s="2">
        <v>236</v>
      </c>
      <c r="K1100" s="2">
        <v>1167.1199999999999</v>
      </c>
      <c r="L1100" s="2">
        <v>1364.66</v>
      </c>
      <c r="M1100" s="2">
        <v>322059.76</v>
      </c>
      <c r="N1100" s="2">
        <v>275440.32</v>
      </c>
      <c r="O1100" s="2">
        <v>46619.44</v>
      </c>
      <c r="P1100" s="2" t="s">
        <v>2151</v>
      </c>
      <c r="Q1100" s="2" t="s">
        <v>32</v>
      </c>
      <c r="R1100" s="2">
        <v>10</v>
      </c>
      <c r="S1100" s="2" t="s">
        <v>158</v>
      </c>
      <c r="T1100" s="2">
        <v>3003</v>
      </c>
      <c r="U1100" s="2">
        <v>11</v>
      </c>
      <c r="V1100" s="2"/>
    </row>
    <row r="1101" spans="1:22" x14ac:dyDescent="0.35">
      <c r="A1101" s="3" t="s">
        <v>3063</v>
      </c>
      <c r="B1101" s="3" t="s">
        <v>1114</v>
      </c>
      <c r="C1101" s="3" t="s">
        <v>2665</v>
      </c>
      <c r="D1101" s="3" t="s">
        <v>3064</v>
      </c>
      <c r="E1101" s="3" t="s">
        <v>48</v>
      </c>
      <c r="F1101" s="3" t="s">
        <v>223</v>
      </c>
      <c r="G1101" s="3" t="s">
        <v>93</v>
      </c>
      <c r="H1101" s="3" t="s">
        <v>321</v>
      </c>
      <c r="I1101" s="3" t="s">
        <v>141</v>
      </c>
      <c r="J1101" s="3">
        <v>704</v>
      </c>
      <c r="K1101" s="3">
        <v>1075.22</v>
      </c>
      <c r="L1101" s="3">
        <v>1513.15</v>
      </c>
      <c r="M1101" s="3">
        <v>1065257.6000000001</v>
      </c>
      <c r="N1101" s="3">
        <v>756954.88</v>
      </c>
      <c r="O1101" s="3">
        <v>308302.71999999997</v>
      </c>
      <c r="P1101" s="3" t="s">
        <v>52</v>
      </c>
      <c r="Q1101" s="3" t="s">
        <v>32</v>
      </c>
      <c r="R1101" s="3">
        <v>12</v>
      </c>
      <c r="S1101" s="3" t="s">
        <v>86</v>
      </c>
      <c r="T1101" s="3">
        <v>240</v>
      </c>
      <c r="U1101" s="3">
        <v>7</v>
      </c>
      <c r="V1101" s="3"/>
    </row>
    <row r="1102" spans="1:22" x14ac:dyDescent="0.35">
      <c r="A1102" s="2" t="s">
        <v>3065</v>
      </c>
      <c r="B1102" s="2" t="s">
        <v>533</v>
      </c>
      <c r="C1102" s="2" t="s">
        <v>595</v>
      </c>
      <c r="D1102" s="2" t="s">
        <v>3066</v>
      </c>
      <c r="E1102" s="2" t="s">
        <v>26</v>
      </c>
      <c r="F1102" s="2" t="s">
        <v>38</v>
      </c>
      <c r="G1102" s="2" t="s">
        <v>50</v>
      </c>
      <c r="H1102" s="2" t="s">
        <v>260</v>
      </c>
      <c r="I1102" s="2" t="s">
        <v>293</v>
      </c>
      <c r="J1102" s="4" t="s">
        <v>87</v>
      </c>
      <c r="K1102" s="2">
        <v>385.31</v>
      </c>
      <c r="L1102" s="2">
        <v>472.62</v>
      </c>
      <c r="M1102" s="2">
        <v>219768.3</v>
      </c>
      <c r="N1102" s="2">
        <v>179169.15</v>
      </c>
      <c r="O1102" s="2">
        <v>40599.15</v>
      </c>
      <c r="P1102" s="2" t="s">
        <v>42</v>
      </c>
      <c r="Q1102" s="2" t="s">
        <v>32</v>
      </c>
      <c r="R1102" s="2">
        <v>8</v>
      </c>
      <c r="S1102" s="2" t="s">
        <v>33</v>
      </c>
      <c r="T1102" s="2">
        <v>3521</v>
      </c>
      <c r="U1102" s="2">
        <v>2</v>
      </c>
      <c r="V1102" s="2"/>
    </row>
    <row r="1103" spans="1:22" x14ac:dyDescent="0.35">
      <c r="A1103" s="3" t="s">
        <v>3067</v>
      </c>
      <c r="B1103" s="3" t="s">
        <v>1632</v>
      </c>
      <c r="C1103" s="3" t="s">
        <v>742</v>
      </c>
      <c r="D1103" s="3" t="s">
        <v>3068</v>
      </c>
      <c r="E1103" s="3" t="s">
        <v>68</v>
      </c>
      <c r="F1103" s="3" t="s">
        <v>249</v>
      </c>
      <c r="G1103" s="3" t="s">
        <v>217</v>
      </c>
      <c r="H1103" s="3" t="s">
        <v>292</v>
      </c>
      <c r="I1103" s="3" t="s">
        <v>124</v>
      </c>
      <c r="J1103" s="3">
        <v>533</v>
      </c>
      <c r="K1103" s="3">
        <v>922.54</v>
      </c>
      <c r="L1103" s="3">
        <v>1206.75</v>
      </c>
      <c r="M1103" s="3">
        <v>643197.75</v>
      </c>
      <c r="N1103" s="3">
        <v>491713.82</v>
      </c>
      <c r="O1103" s="3">
        <v>151483.93</v>
      </c>
      <c r="P1103" s="3" t="s">
        <v>52</v>
      </c>
      <c r="Q1103" s="3" t="s">
        <v>32</v>
      </c>
      <c r="R1103" s="3">
        <v>11</v>
      </c>
      <c r="S1103" s="3" t="s">
        <v>158</v>
      </c>
      <c r="T1103" s="3">
        <v>658</v>
      </c>
      <c r="U1103" s="3">
        <v>22</v>
      </c>
      <c r="V1103" s="3"/>
    </row>
    <row r="1104" spans="1:22" x14ac:dyDescent="0.35">
      <c r="A1104" s="2" t="s">
        <v>3069</v>
      </c>
      <c r="B1104" s="2" t="s">
        <v>510</v>
      </c>
      <c r="C1104" s="2" t="s">
        <v>1049</v>
      </c>
      <c r="D1104" s="2" t="s">
        <v>3070</v>
      </c>
      <c r="E1104" s="2" t="s">
        <v>100</v>
      </c>
      <c r="F1104" s="2" t="s">
        <v>106</v>
      </c>
      <c r="G1104" s="2" t="s">
        <v>28</v>
      </c>
      <c r="H1104" s="2" t="s">
        <v>212</v>
      </c>
      <c r="I1104" s="2" t="s">
        <v>72</v>
      </c>
      <c r="J1104" s="2">
        <v>247</v>
      </c>
      <c r="K1104" s="2">
        <v>464.05</v>
      </c>
      <c r="L1104" s="2">
        <v>708.66</v>
      </c>
      <c r="M1104" s="2">
        <v>175039.02</v>
      </c>
      <c r="N1104" s="2">
        <v>114620.35</v>
      </c>
      <c r="O1104" s="2">
        <v>60418.67</v>
      </c>
      <c r="P1104" s="2" t="s">
        <v>95</v>
      </c>
      <c r="Q1104" s="2" t="s">
        <v>32</v>
      </c>
      <c r="R1104" s="2">
        <v>11</v>
      </c>
      <c r="S1104" s="2" t="s">
        <v>158</v>
      </c>
      <c r="T1104" s="2">
        <v>4977</v>
      </c>
      <c r="U1104" s="2">
        <v>11</v>
      </c>
      <c r="V1104" s="2"/>
    </row>
    <row r="1105" spans="1:22" x14ac:dyDescent="0.35">
      <c r="A1105" s="3" t="s">
        <v>3071</v>
      </c>
      <c r="B1105" s="3" t="s">
        <v>226</v>
      </c>
      <c r="C1105" s="3" t="s">
        <v>194</v>
      </c>
      <c r="D1105" s="3" t="s">
        <v>3072</v>
      </c>
      <c r="E1105" s="3" t="s">
        <v>48</v>
      </c>
      <c r="F1105" s="3" t="s">
        <v>270</v>
      </c>
      <c r="G1105" s="3" t="s">
        <v>129</v>
      </c>
      <c r="H1105" s="3" t="s">
        <v>168</v>
      </c>
      <c r="I1105" s="3" t="s">
        <v>141</v>
      </c>
      <c r="J1105" s="3">
        <v>696</v>
      </c>
      <c r="K1105" s="3">
        <v>939.8</v>
      </c>
      <c r="L1105" s="3">
        <v>1185.8599999999999</v>
      </c>
      <c r="M1105" s="3">
        <v>825358.56</v>
      </c>
      <c r="N1105" s="3">
        <v>654100.80000000005</v>
      </c>
      <c r="O1105" s="3">
        <v>171257.76</v>
      </c>
      <c r="P1105" s="3" t="s">
        <v>95</v>
      </c>
      <c r="Q1105" s="3" t="s">
        <v>32</v>
      </c>
      <c r="R1105" s="3">
        <v>11</v>
      </c>
      <c r="S1105" s="3" t="s">
        <v>53</v>
      </c>
      <c r="T1105" s="3">
        <v>4854</v>
      </c>
      <c r="U1105" s="3">
        <v>0</v>
      </c>
      <c r="V1105" s="3"/>
    </row>
    <row r="1106" spans="1:22" x14ac:dyDescent="0.35">
      <c r="A1106" s="2" t="s">
        <v>3073</v>
      </c>
      <c r="B1106" s="2" t="s">
        <v>422</v>
      </c>
      <c r="C1106" s="2" t="s">
        <v>435</v>
      </c>
      <c r="D1106" s="2" t="s">
        <v>3074</v>
      </c>
      <c r="E1106" s="2" t="s">
        <v>100</v>
      </c>
      <c r="F1106" s="2" t="s">
        <v>106</v>
      </c>
      <c r="G1106" s="2" t="s">
        <v>93</v>
      </c>
      <c r="H1106" s="2" t="s">
        <v>485</v>
      </c>
      <c r="I1106" s="2" t="s">
        <v>62</v>
      </c>
      <c r="J1106" s="2">
        <v>356</v>
      </c>
      <c r="K1106" s="2">
        <v>792.09</v>
      </c>
      <c r="L1106" s="2">
        <v>1166.5999999999999</v>
      </c>
      <c r="M1106" s="2">
        <v>415309.6</v>
      </c>
      <c r="N1106" s="2">
        <v>281984.03999999998</v>
      </c>
      <c r="O1106" s="2">
        <v>133325.56</v>
      </c>
      <c r="P1106" s="2" t="s">
        <v>42</v>
      </c>
      <c r="Q1106" s="2" t="s">
        <v>32</v>
      </c>
      <c r="R1106" s="2">
        <v>8</v>
      </c>
      <c r="S1106" s="2" t="s">
        <v>158</v>
      </c>
      <c r="T1106" s="2">
        <v>1646</v>
      </c>
      <c r="U1106" s="2">
        <v>4</v>
      </c>
      <c r="V1106" s="2"/>
    </row>
    <row r="1107" spans="1:22" x14ac:dyDescent="0.35">
      <c r="A1107" s="3" t="s">
        <v>3075</v>
      </c>
      <c r="B1107" s="3" t="s">
        <v>2812</v>
      </c>
      <c r="C1107" s="3" t="s">
        <v>3076</v>
      </c>
      <c r="D1107" s="3" t="s">
        <v>871</v>
      </c>
      <c r="E1107" s="3" t="s">
        <v>48</v>
      </c>
      <c r="F1107" s="3" t="s">
        <v>281</v>
      </c>
      <c r="G1107" s="3" t="s">
        <v>50</v>
      </c>
      <c r="H1107" s="3" t="s">
        <v>260</v>
      </c>
      <c r="I1107" s="3" t="s">
        <v>124</v>
      </c>
      <c r="J1107" s="3">
        <v>132</v>
      </c>
      <c r="K1107" s="3">
        <v>553.12</v>
      </c>
      <c r="L1107" s="3">
        <v>872.16</v>
      </c>
      <c r="M1107" s="3">
        <v>115125.12</v>
      </c>
      <c r="N1107" s="3">
        <v>73011.839999999997</v>
      </c>
      <c r="O1107" s="3">
        <v>42113.279999999999</v>
      </c>
      <c r="P1107" s="3" t="s">
        <v>95</v>
      </c>
      <c r="Q1107" s="3" t="s">
        <v>32</v>
      </c>
      <c r="R1107" s="3">
        <v>6</v>
      </c>
      <c r="S1107" s="3" t="s">
        <v>33</v>
      </c>
      <c r="T1107" s="3">
        <v>705</v>
      </c>
      <c r="U1107" s="3">
        <v>6</v>
      </c>
      <c r="V1107" s="3"/>
    </row>
    <row r="1108" spans="1:22" x14ac:dyDescent="0.35">
      <c r="A1108" s="2" t="s">
        <v>3077</v>
      </c>
      <c r="B1108" s="2" t="s">
        <v>856</v>
      </c>
      <c r="C1108" s="2" t="s">
        <v>138</v>
      </c>
      <c r="D1108" s="2" t="s">
        <v>3078</v>
      </c>
      <c r="E1108" s="2" t="s">
        <v>48</v>
      </c>
      <c r="F1108" s="2" t="s">
        <v>270</v>
      </c>
      <c r="G1108" s="2" t="s">
        <v>28</v>
      </c>
      <c r="H1108" s="2" t="s">
        <v>212</v>
      </c>
      <c r="I1108" s="2" t="s">
        <v>293</v>
      </c>
      <c r="J1108" s="2">
        <v>737</v>
      </c>
      <c r="K1108" s="2">
        <v>366.76</v>
      </c>
      <c r="L1108" s="2">
        <v>539.16</v>
      </c>
      <c r="M1108" s="2">
        <v>397360.92</v>
      </c>
      <c r="N1108" s="2">
        <v>270302.12</v>
      </c>
      <c r="O1108" s="2">
        <v>127058.8</v>
      </c>
      <c r="P1108" s="2" t="s">
        <v>42</v>
      </c>
      <c r="Q1108" s="2" t="s">
        <v>63</v>
      </c>
      <c r="R1108" s="2">
        <v>4</v>
      </c>
      <c r="S1108" s="2" t="s">
        <v>33</v>
      </c>
      <c r="T1108" s="2">
        <v>1072</v>
      </c>
      <c r="U1108" s="2">
        <v>6</v>
      </c>
      <c r="V1108" s="2"/>
    </row>
    <row r="1109" spans="1:22" x14ac:dyDescent="0.35">
      <c r="A1109" s="3" t="s">
        <v>3079</v>
      </c>
      <c r="B1109" s="3" t="s">
        <v>166</v>
      </c>
      <c r="C1109" s="3" t="s">
        <v>225</v>
      </c>
      <c r="D1109" s="3" t="s">
        <v>3080</v>
      </c>
      <c r="E1109" s="3" t="s">
        <v>48</v>
      </c>
      <c r="F1109" s="3" t="s">
        <v>183</v>
      </c>
      <c r="G1109" s="3" t="s">
        <v>93</v>
      </c>
      <c r="H1109" s="3" t="s">
        <v>321</v>
      </c>
      <c r="I1109" s="3" t="s">
        <v>240</v>
      </c>
      <c r="J1109" s="3">
        <v>723</v>
      </c>
      <c r="K1109" s="3">
        <v>280.88</v>
      </c>
      <c r="L1109" s="3">
        <v>448.75</v>
      </c>
      <c r="M1109" s="3">
        <v>324446.25</v>
      </c>
      <c r="N1109" s="3">
        <v>203076.24</v>
      </c>
      <c r="O1109" s="3">
        <v>121370.01</v>
      </c>
      <c r="P1109" s="3" t="s">
        <v>31</v>
      </c>
      <c r="Q1109" s="3" t="s">
        <v>32</v>
      </c>
      <c r="R1109" s="3">
        <v>10</v>
      </c>
      <c r="S1109" s="3" t="s">
        <v>112</v>
      </c>
      <c r="T1109" s="4"/>
      <c r="U1109" s="3">
        <v>26</v>
      </c>
      <c r="V1109" s="3"/>
    </row>
    <row r="1110" spans="1:22" x14ac:dyDescent="0.35">
      <c r="A1110" s="2" t="s">
        <v>3081</v>
      </c>
      <c r="B1110" s="2" t="s">
        <v>503</v>
      </c>
      <c r="C1110" s="2" t="s">
        <v>2470</v>
      </c>
      <c r="D1110" s="2" t="s">
        <v>3082</v>
      </c>
      <c r="E1110" s="2" t="s">
        <v>100</v>
      </c>
      <c r="F1110" s="2" t="s">
        <v>106</v>
      </c>
      <c r="G1110" s="2" t="s">
        <v>28</v>
      </c>
      <c r="H1110" s="2" t="s">
        <v>29</v>
      </c>
      <c r="I1110" s="2" t="s">
        <v>118</v>
      </c>
      <c r="J1110" s="2">
        <v>236</v>
      </c>
      <c r="K1110" s="2">
        <v>113.98</v>
      </c>
      <c r="L1110" s="2">
        <v>183.49</v>
      </c>
      <c r="M1110" s="2">
        <v>43303.64</v>
      </c>
      <c r="N1110" s="2">
        <v>26899.279999999999</v>
      </c>
      <c r="O1110" s="2">
        <v>16404.36</v>
      </c>
      <c r="P1110" s="2" t="s">
        <v>42</v>
      </c>
      <c r="Q1110" s="2" t="s">
        <v>32</v>
      </c>
      <c r="R1110" s="2">
        <v>10</v>
      </c>
      <c r="S1110" s="2" t="s">
        <v>43</v>
      </c>
      <c r="T1110" s="2">
        <v>2176</v>
      </c>
      <c r="U1110" s="2">
        <v>9</v>
      </c>
      <c r="V1110" s="2"/>
    </row>
    <row r="1111" spans="1:22" x14ac:dyDescent="0.35">
      <c r="A1111" s="3" t="s">
        <v>3083</v>
      </c>
      <c r="B1111" s="3" t="s">
        <v>197</v>
      </c>
      <c r="C1111" s="3" t="s">
        <v>3084</v>
      </c>
      <c r="D1111" s="3" t="s">
        <v>3085</v>
      </c>
      <c r="E1111" s="3" t="s">
        <v>100</v>
      </c>
      <c r="F1111" s="3" t="s">
        <v>330</v>
      </c>
      <c r="G1111" s="3" t="s">
        <v>93</v>
      </c>
      <c r="H1111" s="3" t="s">
        <v>321</v>
      </c>
      <c r="I1111" s="3" t="s">
        <v>293</v>
      </c>
      <c r="J1111" s="3">
        <v>299</v>
      </c>
      <c r="K1111" s="4"/>
      <c r="L1111" s="3">
        <v>466.17</v>
      </c>
      <c r="M1111" s="3">
        <v>139384.82999999999</v>
      </c>
      <c r="N1111" s="3">
        <v>95201.600000000006</v>
      </c>
      <c r="O1111" s="3">
        <v>44183.23</v>
      </c>
      <c r="P1111" s="3" t="s">
        <v>31</v>
      </c>
      <c r="Q1111" s="3" t="s">
        <v>63</v>
      </c>
      <c r="R1111" s="3">
        <v>3</v>
      </c>
      <c r="S1111" s="3" t="s">
        <v>43</v>
      </c>
      <c r="T1111" s="3">
        <v>3695</v>
      </c>
      <c r="U1111" s="3">
        <v>12</v>
      </c>
      <c r="V1111" s="3"/>
    </row>
    <row r="1112" spans="1:22" x14ac:dyDescent="0.35">
      <c r="A1112" s="2" t="s">
        <v>3086</v>
      </c>
      <c r="B1112" s="2" t="s">
        <v>2762</v>
      </c>
      <c r="C1112" s="2" t="s">
        <v>741</v>
      </c>
      <c r="D1112" s="2" t="s">
        <v>3087</v>
      </c>
      <c r="E1112" s="2" t="s">
        <v>100</v>
      </c>
      <c r="F1112" s="2" t="s">
        <v>101</v>
      </c>
      <c r="G1112" s="2" t="s">
        <v>28</v>
      </c>
      <c r="H1112" s="2" t="s">
        <v>674</v>
      </c>
      <c r="I1112" s="2" t="s">
        <v>141</v>
      </c>
      <c r="J1112" s="2">
        <v>346</v>
      </c>
      <c r="K1112" s="2">
        <v>299.97000000000003</v>
      </c>
      <c r="L1112" s="2">
        <v>393.72</v>
      </c>
      <c r="M1112" s="2">
        <v>136227.12</v>
      </c>
      <c r="N1112" s="2">
        <v>103789.62</v>
      </c>
      <c r="O1112" s="2">
        <v>32437.5</v>
      </c>
      <c r="P1112" s="2" t="s">
        <v>42</v>
      </c>
      <c r="Q1112" s="2" t="s">
        <v>63</v>
      </c>
      <c r="R1112" s="2">
        <v>5</v>
      </c>
      <c r="S1112" s="2" t="s">
        <v>53</v>
      </c>
      <c r="T1112" s="2">
        <v>3842</v>
      </c>
      <c r="U1112" s="2">
        <v>2</v>
      </c>
      <c r="V1112" s="2"/>
    </row>
    <row r="1113" spans="1:22" x14ac:dyDescent="0.35">
      <c r="A1113" s="3" t="s">
        <v>3088</v>
      </c>
      <c r="B1113" s="3" t="s">
        <v>2620</v>
      </c>
      <c r="C1113" s="3" t="s">
        <v>137</v>
      </c>
      <c r="D1113" s="3" t="s">
        <v>3089</v>
      </c>
      <c r="E1113" s="3" t="s">
        <v>100</v>
      </c>
      <c r="F1113" s="3" t="s">
        <v>538</v>
      </c>
      <c r="G1113" s="3" t="s">
        <v>28</v>
      </c>
      <c r="H1113" s="3" t="s">
        <v>507</v>
      </c>
      <c r="I1113" s="3" t="s">
        <v>62</v>
      </c>
      <c r="J1113" s="3">
        <v>612</v>
      </c>
      <c r="K1113" s="3">
        <v>368.5</v>
      </c>
      <c r="L1113" s="3">
        <v>419.14</v>
      </c>
      <c r="M1113" s="3">
        <v>256513.68</v>
      </c>
      <c r="N1113" s="3">
        <v>225522</v>
      </c>
      <c r="O1113" s="3">
        <v>30991.68</v>
      </c>
      <c r="P1113" s="3" t="s">
        <v>95</v>
      </c>
      <c r="Q1113" s="3" t="s">
        <v>32</v>
      </c>
      <c r="R1113" s="3">
        <v>6</v>
      </c>
      <c r="S1113" s="3" t="s">
        <v>33</v>
      </c>
      <c r="T1113" s="3">
        <v>448</v>
      </c>
      <c r="U1113" s="3">
        <v>16</v>
      </c>
      <c r="V1113" s="3"/>
    </row>
    <row r="1114" spans="1:22" x14ac:dyDescent="0.35">
      <c r="A1114" s="2" t="s">
        <v>3090</v>
      </c>
      <c r="B1114" s="2" t="s">
        <v>114</v>
      </c>
      <c r="C1114" s="2" t="s">
        <v>343</v>
      </c>
      <c r="D1114" s="2" t="s">
        <v>3091</v>
      </c>
      <c r="E1114" s="2" t="s">
        <v>100</v>
      </c>
      <c r="F1114" s="2" t="s">
        <v>106</v>
      </c>
      <c r="G1114" s="2" t="s">
        <v>39</v>
      </c>
      <c r="H1114" s="2" t="s">
        <v>40</v>
      </c>
      <c r="I1114" s="2" t="s">
        <v>62</v>
      </c>
      <c r="J1114" s="2">
        <v>160</v>
      </c>
      <c r="K1114" s="2">
        <v>1085.42</v>
      </c>
      <c r="L1114" s="2">
        <v>1754.27</v>
      </c>
      <c r="M1114" s="2">
        <v>280683.2</v>
      </c>
      <c r="N1114" s="2">
        <v>173667.20000000001</v>
      </c>
      <c r="O1114" s="2">
        <v>107016</v>
      </c>
      <c r="P1114" s="2" t="s">
        <v>31</v>
      </c>
      <c r="Q1114" s="2" t="s">
        <v>63</v>
      </c>
      <c r="R1114" s="2">
        <v>2</v>
      </c>
      <c r="S1114" s="2" t="s">
        <v>43</v>
      </c>
      <c r="T1114" s="2">
        <v>1689</v>
      </c>
      <c r="U1114" s="2">
        <v>2</v>
      </c>
      <c r="V1114" s="2"/>
    </row>
    <row r="1115" spans="1:22" x14ac:dyDescent="0.35">
      <c r="A1115" s="3" t="s">
        <v>3092</v>
      </c>
      <c r="B1115" s="3" t="s">
        <v>771</v>
      </c>
      <c r="C1115" s="3" t="s">
        <v>1824</v>
      </c>
      <c r="D1115" s="3" t="s">
        <v>3093</v>
      </c>
      <c r="E1115" s="3" t="s">
        <v>68</v>
      </c>
      <c r="F1115" s="3" t="s">
        <v>146</v>
      </c>
      <c r="G1115" s="3" t="s">
        <v>93</v>
      </c>
      <c r="H1115" s="3" t="s">
        <v>94</v>
      </c>
      <c r="I1115" s="3" t="s">
        <v>293</v>
      </c>
      <c r="J1115" s="3">
        <v>491</v>
      </c>
      <c r="K1115" s="3">
        <v>1053.9100000000001</v>
      </c>
      <c r="L1115" s="3">
        <v>1494.97</v>
      </c>
      <c r="M1115" s="3">
        <v>734030.27</v>
      </c>
      <c r="N1115" s="3">
        <v>517469.81</v>
      </c>
      <c r="O1115" s="3">
        <v>216560.46</v>
      </c>
      <c r="P1115" s="3" t="s">
        <v>31</v>
      </c>
      <c r="Q1115" s="3" t="s">
        <v>32</v>
      </c>
      <c r="R1115" s="3">
        <v>7</v>
      </c>
      <c r="S1115" s="3" t="s">
        <v>43</v>
      </c>
      <c r="T1115" s="3">
        <v>2441</v>
      </c>
      <c r="U1115" s="3">
        <v>5</v>
      </c>
      <c r="V1115" s="3"/>
    </row>
    <row r="1116" spans="1:22" x14ac:dyDescent="0.35">
      <c r="A1116" s="2" t="s">
        <v>3094</v>
      </c>
      <c r="B1116" s="2" t="s">
        <v>35</v>
      </c>
      <c r="C1116" s="2" t="s">
        <v>187</v>
      </c>
      <c r="D1116" s="2" t="s">
        <v>3095</v>
      </c>
      <c r="E1116" s="2" t="s">
        <v>58</v>
      </c>
      <c r="F1116" s="2" t="s">
        <v>259</v>
      </c>
      <c r="G1116" s="2" t="s">
        <v>70</v>
      </c>
      <c r="H1116" s="2" t="s">
        <v>1019</v>
      </c>
      <c r="I1116" s="2" t="s">
        <v>118</v>
      </c>
      <c r="J1116" s="2">
        <v>106</v>
      </c>
      <c r="K1116" s="2">
        <v>1014.6</v>
      </c>
      <c r="L1116" s="2">
        <v>1296.4000000000001</v>
      </c>
      <c r="M1116" s="2">
        <v>137418.4</v>
      </c>
      <c r="N1116" s="2">
        <v>107547.6</v>
      </c>
      <c r="O1116" s="2">
        <v>29870.799999999999</v>
      </c>
      <c r="P1116" s="2" t="s">
        <v>31</v>
      </c>
      <c r="Q1116" s="2" t="s">
        <v>63</v>
      </c>
      <c r="R1116" s="2">
        <v>2</v>
      </c>
      <c r="S1116" s="2" t="s">
        <v>158</v>
      </c>
      <c r="T1116" s="2">
        <v>2841</v>
      </c>
      <c r="U1116" s="2">
        <v>5</v>
      </c>
      <c r="V1116" s="2"/>
    </row>
    <row r="1117" spans="1:22" x14ac:dyDescent="0.35">
      <c r="A1117" s="3" t="s">
        <v>3096</v>
      </c>
      <c r="B1117" s="3" t="s">
        <v>577</v>
      </c>
      <c r="C1117" s="3" t="s">
        <v>577</v>
      </c>
      <c r="D1117" s="3" t="s">
        <v>3097</v>
      </c>
      <c r="E1117" s="3" t="s">
        <v>58</v>
      </c>
      <c r="F1117" s="3" t="s">
        <v>122</v>
      </c>
      <c r="G1117" s="3" t="s">
        <v>189</v>
      </c>
      <c r="H1117" s="3" t="s">
        <v>365</v>
      </c>
      <c r="I1117" s="3" t="s">
        <v>240</v>
      </c>
      <c r="J1117" s="3">
        <v>408</v>
      </c>
      <c r="K1117" s="3">
        <v>521.6</v>
      </c>
      <c r="L1117" s="3">
        <v>806.79</v>
      </c>
      <c r="M1117" s="3">
        <v>329170.32</v>
      </c>
      <c r="N1117" s="3">
        <v>212812.79999999999</v>
      </c>
      <c r="O1117" s="3">
        <v>116357.52</v>
      </c>
      <c r="P1117" s="3" t="s">
        <v>31</v>
      </c>
      <c r="Q1117" s="3" t="s">
        <v>63</v>
      </c>
      <c r="R1117" s="3">
        <v>1</v>
      </c>
      <c r="S1117" s="3" t="s">
        <v>33</v>
      </c>
      <c r="T1117" s="3">
        <v>3077</v>
      </c>
      <c r="U1117" s="3">
        <v>17</v>
      </c>
      <c r="V1117" s="3"/>
    </row>
    <row r="1118" spans="1:22" x14ac:dyDescent="0.35">
      <c r="A1118" s="2" t="s">
        <v>3098</v>
      </c>
      <c r="B1118" s="2" t="s">
        <v>231</v>
      </c>
      <c r="C1118" s="2" t="s">
        <v>496</v>
      </c>
      <c r="D1118" s="2" t="s">
        <v>3099</v>
      </c>
      <c r="E1118" s="2" t="s">
        <v>58</v>
      </c>
      <c r="F1118" s="2" t="s">
        <v>122</v>
      </c>
      <c r="G1118" s="2" t="s">
        <v>189</v>
      </c>
      <c r="H1118" s="2" t="s">
        <v>369</v>
      </c>
      <c r="I1118" s="2" t="s">
        <v>85</v>
      </c>
      <c r="J1118" s="2">
        <v>437</v>
      </c>
      <c r="K1118" s="2">
        <v>246.31</v>
      </c>
      <c r="L1118" s="2">
        <v>363.9</v>
      </c>
      <c r="M1118" s="2">
        <v>159024.29999999999</v>
      </c>
      <c r="N1118" s="2">
        <v>107637.47</v>
      </c>
      <c r="O1118" s="2">
        <v>51386.83</v>
      </c>
      <c r="P1118" s="2" t="s">
        <v>52</v>
      </c>
      <c r="Q1118" s="2" t="s">
        <v>32</v>
      </c>
      <c r="R1118" s="2">
        <v>14</v>
      </c>
      <c r="S1118" s="2" t="s">
        <v>86</v>
      </c>
      <c r="T1118" s="2">
        <v>415</v>
      </c>
      <c r="U1118" s="2">
        <v>0</v>
      </c>
      <c r="V1118" s="2"/>
    </row>
    <row r="1119" spans="1:22" x14ac:dyDescent="0.35">
      <c r="A1119" s="3" t="s">
        <v>3100</v>
      </c>
      <c r="B1119" s="3" t="s">
        <v>1912</v>
      </c>
      <c r="C1119" s="3" t="s">
        <v>3101</v>
      </c>
      <c r="D1119" s="3" t="s">
        <v>3102</v>
      </c>
      <c r="E1119" s="3" t="s">
        <v>68</v>
      </c>
      <c r="F1119" s="3" t="s">
        <v>146</v>
      </c>
      <c r="G1119" s="3" t="s">
        <v>93</v>
      </c>
      <c r="H1119" s="3" t="s">
        <v>643</v>
      </c>
      <c r="I1119" s="3" t="s">
        <v>118</v>
      </c>
      <c r="J1119" s="3">
        <v>274</v>
      </c>
      <c r="K1119" s="3">
        <v>985.74</v>
      </c>
      <c r="L1119" s="3">
        <v>1269.49</v>
      </c>
      <c r="M1119" s="3">
        <v>347840.26</v>
      </c>
      <c r="N1119" s="3">
        <v>270092.76</v>
      </c>
      <c r="O1119" s="3">
        <v>77747.5</v>
      </c>
      <c r="P1119" s="3" t="s">
        <v>42</v>
      </c>
      <c r="Q1119" s="3" t="s">
        <v>32</v>
      </c>
      <c r="R1119" s="3">
        <v>10</v>
      </c>
      <c r="S1119" s="3" t="s">
        <v>86</v>
      </c>
      <c r="T1119" s="3">
        <v>2986</v>
      </c>
      <c r="U1119" s="3">
        <v>7</v>
      </c>
      <c r="V1119" s="3"/>
    </row>
    <row r="1120" spans="1:22" x14ac:dyDescent="0.35">
      <c r="A1120" s="2" t="s">
        <v>3103</v>
      </c>
      <c r="B1120" s="2" t="s">
        <v>2142</v>
      </c>
      <c r="C1120" s="2" t="s">
        <v>3104</v>
      </c>
      <c r="D1120" s="2" t="s">
        <v>3105</v>
      </c>
      <c r="E1120" s="4"/>
      <c r="F1120" s="2" t="s">
        <v>92</v>
      </c>
      <c r="G1120" s="2" t="s">
        <v>189</v>
      </c>
      <c r="H1120" s="2" t="s">
        <v>437</v>
      </c>
      <c r="I1120" s="2" t="s">
        <v>191</v>
      </c>
      <c r="J1120" s="2">
        <v>291</v>
      </c>
      <c r="K1120" s="2">
        <v>551.42999999999995</v>
      </c>
      <c r="L1120" s="2">
        <v>829.42</v>
      </c>
      <c r="M1120" s="2">
        <v>241361.22</v>
      </c>
      <c r="N1120" s="2">
        <v>160466.13</v>
      </c>
      <c r="O1120" s="2">
        <v>80895.09</v>
      </c>
      <c r="P1120" s="2" t="s">
        <v>3106</v>
      </c>
      <c r="Q1120" s="2" t="s">
        <v>32</v>
      </c>
      <c r="R1120" s="2">
        <v>10</v>
      </c>
      <c r="S1120" s="2" t="s">
        <v>33</v>
      </c>
      <c r="T1120" s="2">
        <v>4979</v>
      </c>
      <c r="U1120" s="2">
        <v>2</v>
      </c>
      <c r="V1120" s="2"/>
    </row>
    <row r="1121" spans="1:22" x14ac:dyDescent="0.35">
      <c r="A1121" s="3" t="s">
        <v>3107</v>
      </c>
      <c r="B1121" s="3" t="s">
        <v>166</v>
      </c>
      <c r="C1121" s="3" t="s">
        <v>862</v>
      </c>
      <c r="D1121" s="3" t="s">
        <v>3108</v>
      </c>
      <c r="E1121" s="3" t="s">
        <v>100</v>
      </c>
      <c r="F1121" s="3" t="s">
        <v>1529</v>
      </c>
      <c r="G1121" s="3" t="s">
        <v>28</v>
      </c>
      <c r="H1121" s="3" t="s">
        <v>111</v>
      </c>
      <c r="I1121" s="3" t="s">
        <v>1853</v>
      </c>
      <c r="J1121" s="3">
        <v>422</v>
      </c>
      <c r="K1121" s="3">
        <v>608.53</v>
      </c>
      <c r="L1121" s="3">
        <v>836.74</v>
      </c>
      <c r="M1121" s="3">
        <v>353104.28</v>
      </c>
      <c r="N1121" s="3">
        <v>256799.66</v>
      </c>
      <c r="O1121" s="3">
        <v>96304.62</v>
      </c>
      <c r="P1121" s="3" t="s">
        <v>31</v>
      </c>
      <c r="Q1121" s="3" t="s">
        <v>63</v>
      </c>
      <c r="R1121" s="3">
        <v>1</v>
      </c>
      <c r="S1121" s="3" t="s">
        <v>158</v>
      </c>
      <c r="T1121" s="3">
        <v>4334</v>
      </c>
      <c r="U1121" s="3">
        <v>4</v>
      </c>
      <c r="V1121" s="3"/>
    </row>
    <row r="1122" spans="1:22" x14ac:dyDescent="0.35">
      <c r="A1122" s="2" t="s">
        <v>3109</v>
      </c>
      <c r="B1122" s="2" t="s">
        <v>3110</v>
      </c>
      <c r="C1122" s="2" t="s">
        <v>3111</v>
      </c>
      <c r="D1122" s="2" t="s">
        <v>1128</v>
      </c>
      <c r="E1122" s="2" t="s">
        <v>48</v>
      </c>
      <c r="F1122" s="2" t="s">
        <v>270</v>
      </c>
      <c r="G1122" s="2" t="s">
        <v>70</v>
      </c>
      <c r="H1122" s="2" t="s">
        <v>822</v>
      </c>
      <c r="I1122" s="2" t="s">
        <v>153</v>
      </c>
      <c r="J1122" s="2">
        <v>791</v>
      </c>
      <c r="K1122" s="2">
        <v>614.84</v>
      </c>
      <c r="L1122" s="2">
        <v>948.49</v>
      </c>
      <c r="M1122" s="2">
        <v>750255.59</v>
      </c>
      <c r="N1122" s="2">
        <v>486338.44</v>
      </c>
      <c r="O1122" s="2">
        <v>263917.15000000002</v>
      </c>
      <c r="P1122" s="2" t="s">
        <v>52</v>
      </c>
      <c r="Q1122" s="2" t="s">
        <v>63</v>
      </c>
      <c r="R1122" s="2">
        <v>5</v>
      </c>
      <c r="S1122" s="2" t="s">
        <v>158</v>
      </c>
      <c r="T1122" s="2">
        <v>4294</v>
      </c>
      <c r="U1122" s="2">
        <v>10</v>
      </c>
      <c r="V1122" s="2"/>
    </row>
    <row r="1123" spans="1:22" x14ac:dyDescent="0.35">
      <c r="A1123" s="3" t="s">
        <v>3112</v>
      </c>
      <c r="B1123" s="3" t="s">
        <v>592</v>
      </c>
      <c r="C1123" s="3" t="s">
        <v>650</v>
      </c>
      <c r="D1123" s="3" t="s">
        <v>3113</v>
      </c>
      <c r="E1123" s="3" t="s">
        <v>26</v>
      </c>
      <c r="F1123" s="3" t="s">
        <v>92</v>
      </c>
      <c r="G1123" s="3" t="s">
        <v>28</v>
      </c>
      <c r="H1123" s="3" t="s">
        <v>212</v>
      </c>
      <c r="I1123" s="3" t="s">
        <v>153</v>
      </c>
      <c r="J1123" s="3">
        <v>182</v>
      </c>
      <c r="K1123" s="3">
        <v>260.41000000000003</v>
      </c>
      <c r="L1123" s="3">
        <v>377.57</v>
      </c>
      <c r="M1123" s="3">
        <v>68717.740000000005</v>
      </c>
      <c r="N1123" s="3">
        <v>47394.62</v>
      </c>
      <c r="O1123" s="3">
        <v>21323.119999999999</v>
      </c>
      <c r="P1123" s="3" t="s">
        <v>95</v>
      </c>
      <c r="Q1123" s="3" t="s">
        <v>32</v>
      </c>
      <c r="R1123" s="3">
        <v>9</v>
      </c>
      <c r="S1123" s="3" t="s">
        <v>86</v>
      </c>
      <c r="T1123" s="3">
        <v>2297</v>
      </c>
      <c r="U1123" s="3">
        <v>0</v>
      </c>
      <c r="V1123" s="3"/>
    </row>
    <row r="1124" spans="1:22" x14ac:dyDescent="0.35">
      <c r="A1124" s="2" t="s">
        <v>3114</v>
      </c>
      <c r="B1124" s="2" t="s">
        <v>109</v>
      </c>
      <c r="C1124" s="2" t="s">
        <v>706</v>
      </c>
      <c r="D1124" s="2" t="s">
        <v>3115</v>
      </c>
      <c r="E1124" s="2" t="s">
        <v>100</v>
      </c>
      <c r="F1124" s="2" t="s">
        <v>538</v>
      </c>
      <c r="G1124" s="2" t="s">
        <v>217</v>
      </c>
      <c r="H1124" s="2" t="s">
        <v>684</v>
      </c>
      <c r="I1124" s="2" t="s">
        <v>293</v>
      </c>
      <c r="J1124" s="2">
        <v>434</v>
      </c>
      <c r="K1124" s="4"/>
      <c r="L1124" s="2">
        <v>1578.64</v>
      </c>
      <c r="M1124" s="2">
        <v>685129.76</v>
      </c>
      <c r="N1124" s="2">
        <v>438166.4</v>
      </c>
      <c r="O1124" s="2">
        <v>246963.36</v>
      </c>
      <c r="P1124" s="2" t="s">
        <v>42</v>
      </c>
      <c r="Q1124" s="2" t="s">
        <v>32</v>
      </c>
      <c r="R1124" s="2">
        <v>13</v>
      </c>
      <c r="S1124" s="2" t="s">
        <v>158</v>
      </c>
      <c r="T1124" s="2">
        <v>3643</v>
      </c>
      <c r="U1124" s="2">
        <v>6</v>
      </c>
      <c r="V1124" s="2"/>
    </row>
    <row r="1125" spans="1:22" x14ac:dyDescent="0.35">
      <c r="A1125" s="3" t="s">
        <v>3116</v>
      </c>
      <c r="B1125" s="3" t="s">
        <v>1750</v>
      </c>
      <c r="C1125" s="3" t="s">
        <v>1295</v>
      </c>
      <c r="D1125" s="3" t="s">
        <v>3117</v>
      </c>
      <c r="E1125" s="3" t="s">
        <v>58</v>
      </c>
      <c r="F1125" s="3" t="s">
        <v>417</v>
      </c>
      <c r="G1125" s="3" t="s">
        <v>93</v>
      </c>
      <c r="H1125" s="3" t="s">
        <v>184</v>
      </c>
      <c r="I1125" s="3" t="s">
        <v>240</v>
      </c>
      <c r="J1125" s="3">
        <v>144</v>
      </c>
      <c r="K1125" s="3">
        <v>546.83000000000004</v>
      </c>
      <c r="L1125" s="3">
        <v>823.6</v>
      </c>
      <c r="M1125" s="3">
        <v>118598.39999999999</v>
      </c>
      <c r="N1125" s="3">
        <v>78743.520000000004</v>
      </c>
      <c r="O1125" s="3">
        <v>39854.879999999997</v>
      </c>
      <c r="P1125" s="3" t="s">
        <v>3118</v>
      </c>
      <c r="Q1125" s="3" t="s">
        <v>63</v>
      </c>
      <c r="R1125" s="3">
        <v>5</v>
      </c>
      <c r="S1125" s="3" t="s">
        <v>53</v>
      </c>
      <c r="T1125" s="3">
        <v>697</v>
      </c>
      <c r="U1125" s="3">
        <v>6</v>
      </c>
      <c r="V1125" s="3"/>
    </row>
    <row r="1126" spans="1:22" x14ac:dyDescent="0.35">
      <c r="A1126" s="2" t="s">
        <v>3119</v>
      </c>
      <c r="B1126" s="2" t="s">
        <v>771</v>
      </c>
      <c r="C1126" s="2" t="s">
        <v>144</v>
      </c>
      <c r="D1126" s="2" t="s">
        <v>145</v>
      </c>
      <c r="E1126" s="2" t="s">
        <v>58</v>
      </c>
      <c r="F1126" s="2" t="s">
        <v>259</v>
      </c>
      <c r="G1126" s="2" t="s">
        <v>60</v>
      </c>
      <c r="H1126" s="2" t="s">
        <v>229</v>
      </c>
      <c r="I1126" s="2" t="s">
        <v>3120</v>
      </c>
      <c r="J1126" s="2">
        <v>336</v>
      </c>
      <c r="K1126" s="2">
        <v>16.41</v>
      </c>
      <c r="L1126" s="2">
        <v>24.24</v>
      </c>
      <c r="M1126" s="2">
        <v>8144.64</v>
      </c>
      <c r="N1126" s="2">
        <v>5513.76</v>
      </c>
      <c r="O1126" s="2">
        <v>2630.88</v>
      </c>
      <c r="P1126" s="2" t="s">
        <v>52</v>
      </c>
      <c r="Q1126" s="2" t="s">
        <v>32</v>
      </c>
      <c r="R1126" s="2">
        <v>14</v>
      </c>
      <c r="S1126" s="2" t="s">
        <v>158</v>
      </c>
      <c r="T1126" s="2">
        <v>317</v>
      </c>
      <c r="U1126" s="2">
        <v>15</v>
      </c>
      <c r="V1126" s="2"/>
    </row>
    <row r="1127" spans="1:22" x14ac:dyDescent="0.35">
      <c r="A1127" s="3" t="s">
        <v>3121</v>
      </c>
      <c r="B1127" s="3" t="s">
        <v>509</v>
      </c>
      <c r="C1127" s="3" t="s">
        <v>1522</v>
      </c>
      <c r="D1127" s="3" t="s">
        <v>3122</v>
      </c>
      <c r="E1127" s="3" t="s">
        <v>26</v>
      </c>
      <c r="F1127" s="3" t="s">
        <v>77</v>
      </c>
      <c r="G1127" s="3" t="s">
        <v>189</v>
      </c>
      <c r="H1127" s="3" t="s">
        <v>437</v>
      </c>
      <c r="I1127" s="3" t="s">
        <v>191</v>
      </c>
      <c r="J1127" s="3">
        <v>290</v>
      </c>
      <c r="K1127" s="3">
        <v>875.23</v>
      </c>
      <c r="L1127" s="3">
        <v>1103.25</v>
      </c>
      <c r="M1127" s="3">
        <v>319942.5</v>
      </c>
      <c r="N1127" s="3">
        <v>253816.7</v>
      </c>
      <c r="O1127" s="3">
        <v>66125.8</v>
      </c>
      <c r="P1127" s="3" t="s">
        <v>95</v>
      </c>
      <c r="Q1127" s="3" t="s">
        <v>63</v>
      </c>
      <c r="R1127" s="3">
        <v>5</v>
      </c>
      <c r="S1127" s="3" t="s">
        <v>158</v>
      </c>
      <c r="T1127" s="3">
        <v>164</v>
      </c>
      <c r="U1127" s="3">
        <v>1</v>
      </c>
      <c r="V1127" s="3"/>
    </row>
    <row r="1128" spans="1:22" x14ac:dyDescent="0.35">
      <c r="A1128" s="2" t="s">
        <v>3123</v>
      </c>
      <c r="B1128" s="2" t="s">
        <v>126</v>
      </c>
      <c r="C1128" s="2" t="s">
        <v>3124</v>
      </c>
      <c r="D1128" s="2" t="s">
        <v>3125</v>
      </c>
      <c r="E1128" s="2" t="s">
        <v>58</v>
      </c>
      <c r="F1128" s="2" t="s">
        <v>259</v>
      </c>
      <c r="G1128" s="2" t="s">
        <v>217</v>
      </c>
      <c r="H1128" s="2" t="s">
        <v>218</v>
      </c>
      <c r="I1128" s="2" t="s">
        <v>124</v>
      </c>
      <c r="J1128" s="2">
        <v>316</v>
      </c>
      <c r="K1128" s="2">
        <v>659.81</v>
      </c>
      <c r="L1128" s="2">
        <v>748.69</v>
      </c>
      <c r="M1128" s="2">
        <v>236586.04</v>
      </c>
      <c r="N1128" s="2">
        <v>208499.96</v>
      </c>
      <c r="O1128" s="2">
        <v>28086.080000000002</v>
      </c>
      <c r="P1128" s="2" t="s">
        <v>95</v>
      </c>
      <c r="Q1128" s="2" t="s">
        <v>63</v>
      </c>
      <c r="R1128" s="2">
        <v>3</v>
      </c>
      <c r="S1128" s="2" t="s">
        <v>33</v>
      </c>
      <c r="T1128" s="2">
        <v>4842</v>
      </c>
      <c r="U1128" s="2">
        <v>6</v>
      </c>
      <c r="V1128" s="2"/>
    </row>
    <row r="1129" spans="1:22" x14ac:dyDescent="0.35">
      <c r="A1129" s="3" t="s">
        <v>3126</v>
      </c>
      <c r="B1129" s="3" t="s">
        <v>81</v>
      </c>
      <c r="C1129" s="3" t="s">
        <v>1299</v>
      </c>
      <c r="D1129" s="3" t="s">
        <v>3127</v>
      </c>
      <c r="E1129" s="3" t="s">
        <v>48</v>
      </c>
      <c r="F1129" s="3" t="s">
        <v>183</v>
      </c>
      <c r="G1129" s="3" t="s">
        <v>129</v>
      </c>
      <c r="H1129" s="3" t="s">
        <v>316</v>
      </c>
      <c r="I1129" s="3" t="s">
        <v>124</v>
      </c>
      <c r="J1129" s="3">
        <v>468</v>
      </c>
      <c r="K1129" s="3">
        <v>521.05999999999995</v>
      </c>
      <c r="L1129" s="3">
        <v>619.20000000000005</v>
      </c>
      <c r="M1129" s="3">
        <v>289785.59999999998</v>
      </c>
      <c r="N1129" s="3">
        <v>243856.08</v>
      </c>
      <c r="O1129" s="3">
        <v>45929.52</v>
      </c>
      <c r="P1129" s="3" t="s">
        <v>52</v>
      </c>
      <c r="Q1129" s="3" t="s">
        <v>32</v>
      </c>
      <c r="R1129" s="4" t="s">
        <v>2634</v>
      </c>
      <c r="S1129" s="3" t="s">
        <v>43</v>
      </c>
      <c r="T1129" s="3">
        <v>2458</v>
      </c>
      <c r="U1129" s="3">
        <v>20</v>
      </c>
      <c r="V1129" s="3"/>
    </row>
    <row r="1130" spans="1:22" x14ac:dyDescent="0.35">
      <c r="A1130" s="2" t="s">
        <v>3128</v>
      </c>
      <c r="B1130" s="2" t="s">
        <v>1002</v>
      </c>
      <c r="C1130" s="2" t="s">
        <v>262</v>
      </c>
      <c r="D1130" s="2" t="s">
        <v>3129</v>
      </c>
      <c r="E1130" s="2" t="s">
        <v>68</v>
      </c>
      <c r="F1130" s="2" t="s">
        <v>163</v>
      </c>
      <c r="G1130" s="2" t="s">
        <v>78</v>
      </c>
      <c r="H1130" s="2" t="s">
        <v>79</v>
      </c>
      <c r="I1130" s="2" t="s">
        <v>30</v>
      </c>
      <c r="J1130" s="2">
        <v>556</v>
      </c>
      <c r="K1130" s="2">
        <v>319.14</v>
      </c>
      <c r="L1130" s="2">
        <v>447.37</v>
      </c>
      <c r="M1130" s="2">
        <v>248737.72</v>
      </c>
      <c r="N1130" s="2">
        <v>177441.84</v>
      </c>
      <c r="O1130" s="2">
        <v>71295.88</v>
      </c>
      <c r="P1130" s="2" t="s">
        <v>31</v>
      </c>
      <c r="Q1130" s="2" t="s">
        <v>63</v>
      </c>
      <c r="R1130" s="2">
        <v>2</v>
      </c>
      <c r="S1130" s="2" t="s">
        <v>33</v>
      </c>
      <c r="T1130" s="2">
        <v>262</v>
      </c>
      <c r="U1130" s="2">
        <v>11</v>
      </c>
      <c r="V1130" s="2"/>
    </row>
    <row r="1131" spans="1:22" x14ac:dyDescent="0.35">
      <c r="A1131" s="3" t="s">
        <v>3130</v>
      </c>
      <c r="B1131" s="3" t="s">
        <v>2428</v>
      </c>
      <c r="C1131" s="3" t="s">
        <v>56</v>
      </c>
      <c r="D1131" s="3" t="s">
        <v>3131</v>
      </c>
      <c r="E1131" s="3" t="s">
        <v>68</v>
      </c>
      <c r="F1131" s="3" t="s">
        <v>276</v>
      </c>
      <c r="G1131" s="3" t="s">
        <v>189</v>
      </c>
      <c r="H1131" s="3" t="s">
        <v>360</v>
      </c>
      <c r="I1131" s="3" t="s">
        <v>293</v>
      </c>
      <c r="J1131" s="3">
        <v>268</v>
      </c>
      <c r="K1131" s="3">
        <v>1009.55</v>
      </c>
      <c r="L1131" s="3">
        <v>1322.79</v>
      </c>
      <c r="M1131" s="3">
        <v>354507.72</v>
      </c>
      <c r="N1131" s="3">
        <v>270559.40000000002</v>
      </c>
      <c r="O1131" s="3">
        <v>83948.32</v>
      </c>
      <c r="P1131" s="3" t="s">
        <v>31</v>
      </c>
      <c r="Q1131" s="3" t="s">
        <v>63</v>
      </c>
      <c r="R1131" s="3">
        <v>5</v>
      </c>
      <c r="S1131" s="3" t="s">
        <v>112</v>
      </c>
      <c r="T1131" s="3">
        <v>2683</v>
      </c>
      <c r="U1131" s="3">
        <v>11</v>
      </c>
      <c r="V1131" s="3"/>
    </row>
    <row r="1132" spans="1:22" x14ac:dyDescent="0.35">
      <c r="A1132" s="2" t="s">
        <v>3132</v>
      </c>
      <c r="B1132" s="2" t="s">
        <v>916</v>
      </c>
      <c r="C1132" s="2" t="s">
        <v>1104</v>
      </c>
      <c r="D1132" s="2" t="s">
        <v>3133</v>
      </c>
      <c r="E1132" s="2" t="s">
        <v>68</v>
      </c>
      <c r="F1132" s="2" t="s">
        <v>276</v>
      </c>
      <c r="G1132" s="2" t="s">
        <v>78</v>
      </c>
      <c r="H1132" s="2" t="s">
        <v>79</v>
      </c>
      <c r="I1132" s="2" t="s">
        <v>41</v>
      </c>
      <c r="J1132" s="2">
        <v>604</v>
      </c>
      <c r="K1132" s="2">
        <v>225.76</v>
      </c>
      <c r="L1132" s="2">
        <v>265.64</v>
      </c>
      <c r="M1132" s="2">
        <v>160446.56</v>
      </c>
      <c r="N1132" s="2">
        <v>136359.04000000001</v>
      </c>
      <c r="O1132" s="2">
        <v>24087.52</v>
      </c>
      <c r="P1132" s="2" t="s">
        <v>42</v>
      </c>
      <c r="Q1132" s="2" t="s">
        <v>32</v>
      </c>
      <c r="R1132" s="2">
        <v>11</v>
      </c>
      <c r="S1132" s="2" t="s">
        <v>112</v>
      </c>
      <c r="T1132" s="2">
        <v>2887</v>
      </c>
      <c r="U1132" s="2">
        <v>16</v>
      </c>
      <c r="V1132" s="2"/>
    </row>
    <row r="1133" spans="1:22" x14ac:dyDescent="0.35">
      <c r="A1133" s="3" t="s">
        <v>3134</v>
      </c>
      <c r="B1133" s="3" t="s">
        <v>898</v>
      </c>
      <c r="C1133" s="3" t="s">
        <v>1375</v>
      </c>
      <c r="D1133" s="3" t="s">
        <v>3135</v>
      </c>
      <c r="E1133" s="3" t="s">
        <v>26</v>
      </c>
      <c r="F1133" s="3" t="s">
        <v>38</v>
      </c>
      <c r="G1133" s="3" t="s">
        <v>129</v>
      </c>
      <c r="H1133" s="3" t="s">
        <v>152</v>
      </c>
      <c r="I1133" s="3" t="s">
        <v>62</v>
      </c>
      <c r="J1133" s="3">
        <v>385</v>
      </c>
      <c r="K1133" s="3">
        <v>1011.51</v>
      </c>
      <c r="L1133" s="3">
        <v>1289.3399999999999</v>
      </c>
      <c r="M1133" s="3">
        <v>496395.9</v>
      </c>
      <c r="N1133" s="3">
        <v>389431.35</v>
      </c>
      <c r="O1133" s="3">
        <v>106964.55</v>
      </c>
      <c r="P1133" s="3" t="s">
        <v>52</v>
      </c>
      <c r="Q1133" s="3" t="s">
        <v>32</v>
      </c>
      <c r="R1133" s="3">
        <v>13</v>
      </c>
      <c r="S1133" s="3" t="s">
        <v>112</v>
      </c>
      <c r="T1133" s="3">
        <v>4110</v>
      </c>
      <c r="U1133" s="3">
        <v>15</v>
      </c>
      <c r="V1133" s="3"/>
    </row>
    <row r="1134" spans="1:22" x14ac:dyDescent="0.35">
      <c r="A1134" s="2" t="s">
        <v>3136</v>
      </c>
      <c r="B1134" s="2" t="s">
        <v>926</v>
      </c>
      <c r="C1134" s="2" t="s">
        <v>464</v>
      </c>
      <c r="D1134" s="2" t="s">
        <v>3137</v>
      </c>
      <c r="E1134" s="2" t="s">
        <v>58</v>
      </c>
      <c r="F1134" s="2" t="s">
        <v>259</v>
      </c>
      <c r="G1134" s="2" t="s">
        <v>60</v>
      </c>
      <c r="H1134" s="2" t="s">
        <v>780</v>
      </c>
      <c r="I1134" s="2" t="s">
        <v>30</v>
      </c>
      <c r="J1134" s="2">
        <v>628</v>
      </c>
      <c r="K1134" s="2">
        <v>822.58</v>
      </c>
      <c r="L1134" s="2">
        <v>1175.32</v>
      </c>
      <c r="M1134" s="2">
        <v>738100.96</v>
      </c>
      <c r="N1134" s="2">
        <v>516580.24</v>
      </c>
      <c r="O1134" s="2">
        <v>221520.72</v>
      </c>
      <c r="P1134" s="2" t="s">
        <v>42</v>
      </c>
      <c r="Q1134" s="2" t="s">
        <v>32</v>
      </c>
      <c r="R1134" s="2">
        <v>13</v>
      </c>
      <c r="S1134" s="2" t="s">
        <v>43</v>
      </c>
      <c r="T1134" s="2">
        <v>524</v>
      </c>
      <c r="U1134" s="2">
        <v>18</v>
      </c>
      <c r="V1134" s="2"/>
    </row>
    <row r="1135" spans="1:22" x14ac:dyDescent="0.35">
      <c r="A1135" s="3" t="s">
        <v>3138</v>
      </c>
      <c r="B1135" s="3" t="s">
        <v>3139</v>
      </c>
      <c r="C1135" s="3" t="s">
        <v>808</v>
      </c>
      <c r="D1135" s="3" t="s">
        <v>3140</v>
      </c>
      <c r="E1135" s="3" t="s">
        <v>68</v>
      </c>
      <c r="F1135" s="3" t="s">
        <v>249</v>
      </c>
      <c r="G1135" s="3" t="s">
        <v>39</v>
      </c>
      <c r="H1135" s="3" t="s">
        <v>147</v>
      </c>
      <c r="I1135" s="3" t="s">
        <v>85</v>
      </c>
      <c r="J1135" s="3">
        <v>147</v>
      </c>
      <c r="K1135" s="3">
        <v>452.9</v>
      </c>
      <c r="L1135" s="3">
        <v>668.87</v>
      </c>
      <c r="M1135" s="3">
        <v>98323.89</v>
      </c>
      <c r="N1135" s="3">
        <v>66576.3</v>
      </c>
      <c r="O1135" s="3">
        <v>31747.59</v>
      </c>
      <c r="P1135" s="3" t="s">
        <v>2293</v>
      </c>
      <c r="Q1135" s="3" t="s">
        <v>32</v>
      </c>
      <c r="R1135" s="3">
        <v>13</v>
      </c>
      <c r="S1135" s="3" t="s">
        <v>53</v>
      </c>
      <c r="T1135" s="3">
        <v>1478</v>
      </c>
      <c r="U1135" s="3">
        <v>4</v>
      </c>
      <c r="V1135" s="3"/>
    </row>
    <row r="1136" spans="1:22" x14ac:dyDescent="0.35">
      <c r="A1136" s="2" t="s">
        <v>3141</v>
      </c>
      <c r="B1136" s="2" t="s">
        <v>243</v>
      </c>
      <c r="C1136" s="2" t="s">
        <v>1298</v>
      </c>
      <c r="D1136" s="2" t="s">
        <v>3142</v>
      </c>
      <c r="E1136" s="2" t="s">
        <v>100</v>
      </c>
      <c r="F1136" s="2" t="s">
        <v>538</v>
      </c>
      <c r="G1136" s="2" t="s">
        <v>28</v>
      </c>
      <c r="H1136" s="2" t="s">
        <v>507</v>
      </c>
      <c r="I1136" s="2" t="s">
        <v>72</v>
      </c>
      <c r="J1136" s="2">
        <v>519</v>
      </c>
      <c r="K1136" s="2">
        <v>1192.76</v>
      </c>
      <c r="L1136" s="2">
        <v>1807.84</v>
      </c>
      <c r="M1136" s="2">
        <v>938268.96</v>
      </c>
      <c r="N1136" s="2">
        <v>619042.43999999994</v>
      </c>
      <c r="O1136" s="4"/>
      <c r="P1136" s="2" t="s">
        <v>95</v>
      </c>
      <c r="Q1136" s="2" t="s">
        <v>63</v>
      </c>
      <c r="R1136" s="2">
        <v>2</v>
      </c>
      <c r="S1136" s="2" t="s">
        <v>112</v>
      </c>
      <c r="T1136" s="2">
        <v>2226</v>
      </c>
      <c r="U1136" s="2">
        <v>8</v>
      </c>
      <c r="V1136" s="2"/>
    </row>
    <row r="1137" spans="1:22" x14ac:dyDescent="0.35">
      <c r="A1137" s="3" t="s">
        <v>3143</v>
      </c>
      <c r="B1137" s="3" t="s">
        <v>1122</v>
      </c>
      <c r="C1137" s="3" t="s">
        <v>1268</v>
      </c>
      <c r="D1137" s="3" t="s">
        <v>3144</v>
      </c>
      <c r="E1137" s="3" t="s">
        <v>26</v>
      </c>
      <c r="F1137" s="3" t="s">
        <v>38</v>
      </c>
      <c r="G1137" s="3" t="s">
        <v>189</v>
      </c>
      <c r="H1137" s="3" t="s">
        <v>561</v>
      </c>
      <c r="I1137" s="3" t="s">
        <v>124</v>
      </c>
      <c r="J1137" s="3">
        <v>368</v>
      </c>
      <c r="K1137" s="3">
        <v>772.57</v>
      </c>
      <c r="L1137" s="3">
        <v>1139.4000000000001</v>
      </c>
      <c r="M1137" s="3">
        <v>419299.2</v>
      </c>
      <c r="N1137" s="3">
        <v>284305.76</v>
      </c>
      <c r="O1137" s="3">
        <v>134993.44</v>
      </c>
      <c r="P1137" s="3" t="s">
        <v>95</v>
      </c>
      <c r="Q1137" s="3" t="s">
        <v>32</v>
      </c>
      <c r="R1137" s="3">
        <v>14</v>
      </c>
      <c r="S1137" s="3" t="s">
        <v>86</v>
      </c>
      <c r="T1137" s="3">
        <v>438</v>
      </c>
      <c r="U1137" s="3">
        <v>10</v>
      </c>
      <c r="V1137" s="3"/>
    </row>
    <row r="1138" spans="1:22" x14ac:dyDescent="0.35">
      <c r="A1138" s="2" t="s">
        <v>3145</v>
      </c>
      <c r="B1138" s="2" t="s">
        <v>3146</v>
      </c>
      <c r="C1138" s="2" t="s">
        <v>3025</v>
      </c>
      <c r="D1138" s="2" t="s">
        <v>3147</v>
      </c>
      <c r="E1138" s="2" t="s">
        <v>100</v>
      </c>
      <c r="F1138" s="2" t="s">
        <v>101</v>
      </c>
      <c r="G1138" s="2" t="s">
        <v>78</v>
      </c>
      <c r="H1138" s="2" t="s">
        <v>481</v>
      </c>
      <c r="I1138" s="2" t="s">
        <v>191</v>
      </c>
      <c r="J1138" s="2">
        <v>385</v>
      </c>
      <c r="K1138" s="2">
        <v>1014.16</v>
      </c>
      <c r="L1138" s="2">
        <v>1442.14</v>
      </c>
      <c r="M1138" s="2">
        <v>555223.9</v>
      </c>
      <c r="N1138" s="2">
        <v>390451.6</v>
      </c>
      <c r="O1138" s="2">
        <v>164772.29999999999</v>
      </c>
      <c r="P1138" s="2" t="s">
        <v>31</v>
      </c>
      <c r="Q1138" s="2" t="s">
        <v>32</v>
      </c>
      <c r="R1138" s="2">
        <v>9</v>
      </c>
      <c r="S1138" s="2" t="s">
        <v>112</v>
      </c>
      <c r="T1138" s="2">
        <v>4953</v>
      </c>
      <c r="U1138" s="2">
        <v>12</v>
      </c>
      <c r="V1138" s="2"/>
    </row>
    <row r="1139" spans="1:22" x14ac:dyDescent="0.35">
      <c r="A1139" s="3" t="s">
        <v>3148</v>
      </c>
      <c r="B1139" s="3" t="s">
        <v>295</v>
      </c>
      <c r="C1139" s="3" t="s">
        <v>1444</v>
      </c>
      <c r="D1139" s="3" t="s">
        <v>3149</v>
      </c>
      <c r="E1139" s="3" t="s">
        <v>58</v>
      </c>
      <c r="F1139" s="3" t="s">
        <v>1719</v>
      </c>
      <c r="G1139" s="3" t="s">
        <v>28</v>
      </c>
      <c r="H1139" s="3" t="s">
        <v>111</v>
      </c>
      <c r="I1139" s="3" t="s">
        <v>41</v>
      </c>
      <c r="J1139" s="3">
        <v>201</v>
      </c>
      <c r="K1139" s="3">
        <v>226.15</v>
      </c>
      <c r="L1139" s="3">
        <v>281.69</v>
      </c>
      <c r="M1139" s="3">
        <v>56619.69</v>
      </c>
      <c r="N1139" s="3">
        <v>45456.15</v>
      </c>
      <c r="O1139" s="3">
        <v>11163.54</v>
      </c>
      <c r="P1139" s="3" t="s">
        <v>52</v>
      </c>
      <c r="Q1139" s="3" t="s">
        <v>32</v>
      </c>
      <c r="R1139" s="3">
        <v>14</v>
      </c>
      <c r="S1139" s="3" t="s">
        <v>53</v>
      </c>
      <c r="T1139" s="3">
        <v>1163</v>
      </c>
      <c r="U1139" s="3">
        <v>5</v>
      </c>
      <c r="V1139" s="3"/>
    </row>
    <row r="1140" spans="1:22" x14ac:dyDescent="0.35">
      <c r="A1140" s="2" t="s">
        <v>3150</v>
      </c>
      <c r="B1140" s="2" t="s">
        <v>3151</v>
      </c>
      <c r="C1140" s="2" t="s">
        <v>492</v>
      </c>
      <c r="D1140" s="2" t="s">
        <v>3152</v>
      </c>
      <c r="E1140" s="2" t="s">
        <v>48</v>
      </c>
      <c r="F1140" s="2" t="s">
        <v>281</v>
      </c>
      <c r="G1140" s="2" t="s">
        <v>93</v>
      </c>
      <c r="H1140" s="2" t="s">
        <v>485</v>
      </c>
      <c r="I1140" s="2" t="s">
        <v>85</v>
      </c>
      <c r="J1140" s="2">
        <v>215</v>
      </c>
      <c r="K1140" s="2">
        <v>209.86</v>
      </c>
      <c r="L1140" s="2">
        <v>333.27</v>
      </c>
      <c r="M1140" s="2">
        <v>71653.05</v>
      </c>
      <c r="N1140" s="2">
        <v>45119.9</v>
      </c>
      <c r="O1140" s="2">
        <v>26533.15</v>
      </c>
      <c r="P1140" s="2" t="s">
        <v>95</v>
      </c>
      <c r="Q1140" s="2" t="s">
        <v>956</v>
      </c>
      <c r="R1140" s="2">
        <v>15</v>
      </c>
      <c r="S1140" s="2" t="s">
        <v>158</v>
      </c>
      <c r="T1140" s="2">
        <v>2829</v>
      </c>
      <c r="U1140" s="2">
        <v>10</v>
      </c>
      <c r="V1140" s="2"/>
    </row>
    <row r="1141" spans="1:22" x14ac:dyDescent="0.35">
      <c r="A1141" s="3" t="s">
        <v>3153</v>
      </c>
      <c r="B1141" s="3" t="s">
        <v>2578</v>
      </c>
      <c r="C1141" s="3" t="s">
        <v>1444</v>
      </c>
      <c r="D1141" s="4"/>
      <c r="E1141" s="3" t="s">
        <v>100</v>
      </c>
      <c r="F1141" s="3" t="s">
        <v>538</v>
      </c>
      <c r="G1141" s="3" t="s">
        <v>28</v>
      </c>
      <c r="H1141" s="3" t="s">
        <v>714</v>
      </c>
      <c r="I1141" s="3" t="s">
        <v>153</v>
      </c>
      <c r="J1141" s="3">
        <v>307</v>
      </c>
      <c r="K1141" s="3">
        <v>990.22</v>
      </c>
      <c r="L1141" s="3">
        <v>1512.52</v>
      </c>
      <c r="M1141" s="3">
        <v>464343.64</v>
      </c>
      <c r="N1141" s="3">
        <v>303997.53999999998</v>
      </c>
      <c r="O1141" s="3">
        <v>160346.1</v>
      </c>
      <c r="P1141" s="3" t="s">
        <v>31</v>
      </c>
      <c r="Q1141" s="3" t="s">
        <v>63</v>
      </c>
      <c r="R1141" s="3">
        <v>1</v>
      </c>
      <c r="S1141" s="3" t="s">
        <v>112</v>
      </c>
      <c r="T1141" s="3">
        <v>4624</v>
      </c>
      <c r="U1141" s="3">
        <v>10</v>
      </c>
      <c r="V1141" s="3"/>
    </row>
    <row r="1142" spans="1:22" x14ac:dyDescent="0.35">
      <c r="A1142" s="2" t="s">
        <v>3154</v>
      </c>
      <c r="B1142" s="2" t="s">
        <v>759</v>
      </c>
      <c r="C1142" s="2" t="s">
        <v>1206</v>
      </c>
      <c r="D1142" s="2" t="s">
        <v>3155</v>
      </c>
      <c r="E1142" s="2" t="s">
        <v>26</v>
      </c>
      <c r="F1142" s="2" t="s">
        <v>27</v>
      </c>
      <c r="G1142" s="2" t="s">
        <v>39</v>
      </c>
      <c r="H1142" s="2" t="s">
        <v>40</v>
      </c>
      <c r="I1142" s="2" t="s">
        <v>41</v>
      </c>
      <c r="J1142" s="2">
        <v>789</v>
      </c>
      <c r="K1142" s="2">
        <v>230.96</v>
      </c>
      <c r="L1142" s="2">
        <v>301.92</v>
      </c>
      <c r="M1142" s="2">
        <v>238214.88</v>
      </c>
      <c r="N1142" s="2">
        <v>182227.44</v>
      </c>
      <c r="O1142" s="2">
        <v>55987.44</v>
      </c>
      <c r="P1142" s="2" t="s">
        <v>42</v>
      </c>
      <c r="Q1142" s="2" t="s">
        <v>32</v>
      </c>
      <c r="R1142" s="2">
        <v>13</v>
      </c>
      <c r="S1142" s="2" t="s">
        <v>112</v>
      </c>
      <c r="T1142" s="2">
        <v>2435</v>
      </c>
      <c r="U1142" s="2">
        <v>19</v>
      </c>
      <c r="V1142" s="2"/>
    </row>
    <row r="1143" spans="1:22" x14ac:dyDescent="0.35">
      <c r="A1143" s="3" t="s">
        <v>3156</v>
      </c>
      <c r="B1143" s="3" t="s">
        <v>701</v>
      </c>
      <c r="C1143" s="3" t="s">
        <v>1445</v>
      </c>
      <c r="D1143" s="3" t="s">
        <v>3157</v>
      </c>
      <c r="E1143" s="3" t="s">
        <v>100</v>
      </c>
      <c r="F1143" s="3" t="s">
        <v>330</v>
      </c>
      <c r="G1143" s="3" t="s">
        <v>217</v>
      </c>
      <c r="H1143" s="3" t="s">
        <v>684</v>
      </c>
      <c r="I1143" s="3" t="s">
        <v>141</v>
      </c>
      <c r="J1143" s="3">
        <v>338</v>
      </c>
      <c r="K1143" s="3">
        <v>772.07</v>
      </c>
      <c r="L1143" s="3">
        <v>878.15</v>
      </c>
      <c r="M1143" s="3">
        <v>296814.7</v>
      </c>
      <c r="N1143" s="3">
        <v>260959.66</v>
      </c>
      <c r="O1143" s="3">
        <v>35855.040000000001</v>
      </c>
      <c r="P1143" s="3" t="s">
        <v>52</v>
      </c>
      <c r="Q1143" s="3" t="s">
        <v>32</v>
      </c>
      <c r="R1143" s="3">
        <v>10</v>
      </c>
      <c r="S1143" s="3" t="s">
        <v>53</v>
      </c>
      <c r="T1143" s="3">
        <v>2060</v>
      </c>
      <c r="U1143" s="3">
        <v>15</v>
      </c>
      <c r="V1143" s="3"/>
    </row>
    <row r="1144" spans="1:22" x14ac:dyDescent="0.35">
      <c r="A1144" s="2" t="s">
        <v>490</v>
      </c>
      <c r="B1144" s="2" t="s">
        <v>491</v>
      </c>
      <c r="C1144" s="2" t="s">
        <v>3158</v>
      </c>
      <c r="D1144" s="4"/>
      <c r="E1144" s="2" t="s">
        <v>68</v>
      </c>
      <c r="F1144" s="2" t="s">
        <v>249</v>
      </c>
      <c r="G1144" s="2" t="s">
        <v>217</v>
      </c>
      <c r="H1144" s="2" t="s">
        <v>494</v>
      </c>
      <c r="I1144" s="2" t="s">
        <v>141</v>
      </c>
      <c r="J1144" s="2">
        <v>204</v>
      </c>
      <c r="K1144" s="2">
        <v>884.64</v>
      </c>
      <c r="L1144" s="2">
        <v>1411.28</v>
      </c>
      <c r="M1144" s="2">
        <v>287901.12</v>
      </c>
      <c r="N1144" s="2">
        <v>180466.56</v>
      </c>
      <c r="O1144" s="2">
        <v>107434.56</v>
      </c>
      <c r="P1144" s="2" t="s">
        <v>52</v>
      </c>
      <c r="Q1144" s="2" t="s">
        <v>32</v>
      </c>
      <c r="R1144" s="2">
        <v>12</v>
      </c>
      <c r="S1144" s="2" t="s">
        <v>86</v>
      </c>
      <c r="T1144" s="2">
        <v>2052</v>
      </c>
      <c r="U1144" s="2">
        <v>9</v>
      </c>
      <c r="V1144" s="2"/>
    </row>
    <row r="1145" spans="1:22" x14ac:dyDescent="0.35">
      <c r="A1145" s="3" t="s">
        <v>3159</v>
      </c>
      <c r="B1145" s="3" t="s">
        <v>267</v>
      </c>
      <c r="C1145" s="3" t="s">
        <v>604</v>
      </c>
      <c r="D1145" s="3" t="s">
        <v>3160</v>
      </c>
      <c r="E1145" s="3" t="s">
        <v>58</v>
      </c>
      <c r="F1145" s="3" t="s">
        <v>259</v>
      </c>
      <c r="G1145" s="3" t="s">
        <v>78</v>
      </c>
      <c r="H1145" s="3" t="s">
        <v>123</v>
      </c>
      <c r="I1145" s="3" t="s">
        <v>30</v>
      </c>
      <c r="J1145" s="3">
        <v>480</v>
      </c>
      <c r="K1145" s="3">
        <v>1132.99</v>
      </c>
      <c r="L1145" s="3">
        <v>1721.5</v>
      </c>
      <c r="M1145" s="3">
        <v>826320</v>
      </c>
      <c r="N1145" s="3">
        <v>543835.19999999995</v>
      </c>
      <c r="O1145" s="3">
        <v>282484.8</v>
      </c>
      <c r="P1145" s="3" t="s">
        <v>42</v>
      </c>
      <c r="Q1145" s="3" t="s">
        <v>32</v>
      </c>
      <c r="R1145" s="3">
        <v>9</v>
      </c>
      <c r="S1145" s="3" t="s">
        <v>86</v>
      </c>
      <c r="T1145" s="3">
        <v>1540</v>
      </c>
      <c r="U1145" s="3">
        <v>4</v>
      </c>
      <c r="V1145" s="3"/>
    </row>
    <row r="1146" spans="1:22" x14ac:dyDescent="0.35">
      <c r="A1146" s="2" t="s">
        <v>3161</v>
      </c>
      <c r="B1146" s="2" t="s">
        <v>2199</v>
      </c>
      <c r="C1146" s="2" t="s">
        <v>55</v>
      </c>
      <c r="D1146" s="2" t="s">
        <v>3162</v>
      </c>
      <c r="E1146" s="2" t="s">
        <v>68</v>
      </c>
      <c r="F1146" s="2" t="s">
        <v>249</v>
      </c>
      <c r="G1146" s="2" t="s">
        <v>50</v>
      </c>
      <c r="H1146" s="2" t="s">
        <v>734</v>
      </c>
      <c r="I1146" s="2" t="s">
        <v>293</v>
      </c>
      <c r="J1146" s="2">
        <v>371</v>
      </c>
      <c r="K1146" s="2">
        <v>1164.97</v>
      </c>
      <c r="L1146" s="2">
        <v>1331.15</v>
      </c>
      <c r="M1146" s="2">
        <v>493856.65</v>
      </c>
      <c r="N1146" s="2">
        <v>432203.87</v>
      </c>
      <c r="O1146" s="2">
        <v>61652.78</v>
      </c>
      <c r="P1146" s="2" t="s">
        <v>52</v>
      </c>
      <c r="Q1146" s="2" t="s">
        <v>32</v>
      </c>
      <c r="R1146" s="2">
        <v>8</v>
      </c>
      <c r="S1146" s="2" t="s">
        <v>112</v>
      </c>
      <c r="T1146" s="2">
        <v>613</v>
      </c>
      <c r="U1146" s="2">
        <v>4</v>
      </c>
      <c r="V1146" s="2"/>
    </row>
    <row r="1147" spans="1:22" x14ac:dyDescent="0.35">
      <c r="A1147" s="3" t="s">
        <v>3163</v>
      </c>
      <c r="B1147" s="3" t="s">
        <v>3164</v>
      </c>
      <c r="C1147" s="3" t="s">
        <v>1040</v>
      </c>
      <c r="D1147" s="3" t="s">
        <v>3165</v>
      </c>
      <c r="E1147" s="3" t="s">
        <v>100</v>
      </c>
      <c r="F1147" s="3" t="s">
        <v>238</v>
      </c>
      <c r="G1147" s="3" t="s">
        <v>78</v>
      </c>
      <c r="H1147" s="3" t="s">
        <v>123</v>
      </c>
      <c r="I1147" s="3" t="s">
        <v>153</v>
      </c>
      <c r="J1147" s="3">
        <v>658</v>
      </c>
      <c r="K1147" s="3">
        <v>874.92</v>
      </c>
      <c r="L1147" s="3">
        <v>999.12</v>
      </c>
      <c r="M1147" s="3">
        <v>657420.96</v>
      </c>
      <c r="N1147" s="3">
        <v>575697.36</v>
      </c>
      <c r="O1147" s="3">
        <v>81723.600000000006</v>
      </c>
      <c r="P1147" s="3" t="s">
        <v>31</v>
      </c>
      <c r="Q1147" s="3" t="s">
        <v>32</v>
      </c>
      <c r="R1147" s="3">
        <v>11</v>
      </c>
      <c r="S1147" s="3" t="s">
        <v>33</v>
      </c>
      <c r="T1147" s="3">
        <v>2751</v>
      </c>
      <c r="U1147" s="3">
        <v>16</v>
      </c>
      <c r="V1147" s="3"/>
    </row>
    <row r="1148" spans="1:22" x14ac:dyDescent="0.35">
      <c r="A1148" s="2" t="s">
        <v>3166</v>
      </c>
      <c r="B1148" s="2" t="s">
        <v>351</v>
      </c>
      <c r="C1148" s="2" t="s">
        <v>1157</v>
      </c>
      <c r="D1148" s="4"/>
      <c r="E1148" s="2" t="s">
        <v>58</v>
      </c>
      <c r="F1148" s="2" t="s">
        <v>59</v>
      </c>
      <c r="G1148" s="2" t="s">
        <v>78</v>
      </c>
      <c r="H1148" s="2" t="s">
        <v>572</v>
      </c>
      <c r="I1148" s="2" t="s">
        <v>141</v>
      </c>
      <c r="J1148" s="2">
        <v>402</v>
      </c>
      <c r="K1148" s="2">
        <v>636.88</v>
      </c>
      <c r="L1148" s="2">
        <v>965.33</v>
      </c>
      <c r="M1148" s="2">
        <v>388062.66</v>
      </c>
      <c r="N1148" s="2">
        <v>256025.76</v>
      </c>
      <c r="O1148" s="2">
        <v>132036.9</v>
      </c>
      <c r="P1148" s="2" t="s">
        <v>95</v>
      </c>
      <c r="Q1148" s="2" t="s">
        <v>2234</v>
      </c>
      <c r="R1148" s="2">
        <v>1</v>
      </c>
      <c r="S1148" s="2" t="s">
        <v>33</v>
      </c>
      <c r="T1148" s="2">
        <v>4962</v>
      </c>
      <c r="U1148" s="2">
        <v>7</v>
      </c>
      <c r="V1148" s="2"/>
    </row>
    <row r="1149" spans="1:22" x14ac:dyDescent="0.35">
      <c r="A1149" s="3" t="s">
        <v>3167</v>
      </c>
      <c r="B1149" s="3" t="s">
        <v>1037</v>
      </c>
      <c r="C1149" s="3" t="s">
        <v>1750</v>
      </c>
      <c r="D1149" s="3" t="s">
        <v>3168</v>
      </c>
      <c r="E1149" s="3" t="s">
        <v>48</v>
      </c>
      <c r="F1149" s="3" t="s">
        <v>49</v>
      </c>
      <c r="G1149" s="3" t="s">
        <v>78</v>
      </c>
      <c r="H1149" s="3" t="s">
        <v>178</v>
      </c>
      <c r="I1149" s="3" t="s">
        <v>30</v>
      </c>
      <c r="J1149" s="4" t="s">
        <v>697</v>
      </c>
      <c r="K1149" s="3">
        <v>652.96</v>
      </c>
      <c r="L1149" s="3">
        <v>853.77</v>
      </c>
      <c r="M1149" s="3">
        <v>239055.6</v>
      </c>
      <c r="N1149" s="3">
        <v>182828.79999999999</v>
      </c>
      <c r="O1149" s="3">
        <v>56226.8</v>
      </c>
      <c r="P1149" s="3" t="s">
        <v>31</v>
      </c>
      <c r="Q1149" s="3" t="s">
        <v>63</v>
      </c>
      <c r="R1149" s="3">
        <v>1</v>
      </c>
      <c r="S1149" s="3" t="s">
        <v>43</v>
      </c>
      <c r="T1149" s="3">
        <v>3797</v>
      </c>
      <c r="U1149" s="3">
        <v>5</v>
      </c>
      <c r="V1149" s="3"/>
    </row>
    <row r="1150" spans="1:22" x14ac:dyDescent="0.35">
      <c r="A1150" s="2" t="s">
        <v>3169</v>
      </c>
      <c r="B1150" s="2" t="s">
        <v>3170</v>
      </c>
      <c r="C1150" s="2" t="s">
        <v>1240</v>
      </c>
      <c r="D1150" s="2" t="s">
        <v>3171</v>
      </c>
      <c r="E1150" s="2" t="s">
        <v>58</v>
      </c>
      <c r="F1150" s="2" t="s">
        <v>417</v>
      </c>
      <c r="G1150" s="2" t="s">
        <v>28</v>
      </c>
      <c r="H1150" s="2" t="s">
        <v>579</v>
      </c>
      <c r="I1150" s="2" t="s">
        <v>141</v>
      </c>
      <c r="J1150" s="2">
        <v>764</v>
      </c>
      <c r="K1150" s="2">
        <v>0</v>
      </c>
      <c r="L1150" s="2">
        <v>773.34</v>
      </c>
      <c r="M1150" s="2">
        <v>590831.76</v>
      </c>
      <c r="N1150" s="2">
        <v>378424.48</v>
      </c>
      <c r="O1150" s="2">
        <v>212407.28</v>
      </c>
      <c r="P1150" s="2" t="s">
        <v>52</v>
      </c>
      <c r="Q1150" s="2" t="s">
        <v>63</v>
      </c>
      <c r="R1150" s="2">
        <v>5</v>
      </c>
      <c r="S1150" s="2" t="s">
        <v>158</v>
      </c>
      <c r="T1150" s="2">
        <v>357</v>
      </c>
      <c r="U1150" s="2">
        <v>28</v>
      </c>
      <c r="V1150" s="2"/>
    </row>
    <row r="1151" spans="1:22" x14ac:dyDescent="0.35">
      <c r="A1151" s="3" t="s">
        <v>3172</v>
      </c>
      <c r="B1151" s="3" t="s">
        <v>706</v>
      </c>
      <c r="C1151" s="3" t="s">
        <v>926</v>
      </c>
      <c r="D1151" s="3" t="s">
        <v>3173</v>
      </c>
      <c r="E1151" s="3" t="s">
        <v>26</v>
      </c>
      <c r="F1151" s="3" t="s">
        <v>228</v>
      </c>
      <c r="G1151" s="3" t="s">
        <v>70</v>
      </c>
      <c r="H1151" s="3" t="s">
        <v>84</v>
      </c>
      <c r="I1151" s="3" t="s">
        <v>72</v>
      </c>
      <c r="J1151" s="3">
        <v>340</v>
      </c>
      <c r="K1151" s="3">
        <v>7.09</v>
      </c>
      <c r="L1151" s="3">
        <v>8.51</v>
      </c>
      <c r="M1151" s="3">
        <v>2893.4</v>
      </c>
      <c r="N1151" s="3">
        <v>2410.6</v>
      </c>
      <c r="O1151" s="3">
        <v>482.8</v>
      </c>
      <c r="P1151" s="3" t="s">
        <v>52</v>
      </c>
      <c r="Q1151" s="3" t="s">
        <v>32</v>
      </c>
      <c r="R1151" s="3">
        <v>12</v>
      </c>
      <c r="S1151" s="3" t="s">
        <v>33</v>
      </c>
      <c r="T1151" s="3">
        <v>4970</v>
      </c>
      <c r="U1151" s="3">
        <v>10</v>
      </c>
      <c r="V1151" s="3"/>
    </row>
    <row r="1152" spans="1:22" x14ac:dyDescent="0.35">
      <c r="A1152" s="2" t="s">
        <v>3174</v>
      </c>
      <c r="B1152" s="2" t="s">
        <v>1183</v>
      </c>
      <c r="C1152" s="2" t="s">
        <v>3175</v>
      </c>
      <c r="D1152" s="2" t="s">
        <v>3176</v>
      </c>
      <c r="E1152" s="2" t="s">
        <v>26</v>
      </c>
      <c r="F1152" s="2" t="s">
        <v>77</v>
      </c>
      <c r="G1152" s="2" t="s">
        <v>93</v>
      </c>
      <c r="H1152" s="2" t="s">
        <v>184</v>
      </c>
      <c r="I1152" s="2" t="s">
        <v>30</v>
      </c>
      <c r="J1152" s="2">
        <v>662</v>
      </c>
      <c r="K1152" s="2">
        <v>316.45999999999998</v>
      </c>
      <c r="L1152" s="2">
        <v>497.04</v>
      </c>
      <c r="M1152" s="2">
        <v>329040.48</v>
      </c>
      <c r="N1152" s="2">
        <v>209496.52</v>
      </c>
      <c r="O1152" s="2">
        <v>119543.96</v>
      </c>
      <c r="P1152" s="2" t="s">
        <v>31</v>
      </c>
      <c r="Q1152" s="4"/>
      <c r="R1152" s="2">
        <v>10</v>
      </c>
      <c r="S1152" s="2" t="s">
        <v>53</v>
      </c>
      <c r="T1152" s="2">
        <v>4208</v>
      </c>
      <c r="U1152" s="2">
        <v>10</v>
      </c>
      <c r="V1152" s="2"/>
    </row>
    <row r="1153" spans="1:22" x14ac:dyDescent="0.35">
      <c r="A1153" s="3" t="s">
        <v>3177</v>
      </c>
      <c r="B1153" s="3" t="s">
        <v>949</v>
      </c>
      <c r="C1153" s="3" t="s">
        <v>805</v>
      </c>
      <c r="D1153" s="3" t="s">
        <v>3178</v>
      </c>
      <c r="E1153" s="3" t="s">
        <v>2745</v>
      </c>
      <c r="F1153" s="3" t="s">
        <v>27</v>
      </c>
      <c r="G1153" s="3" t="s">
        <v>50</v>
      </c>
      <c r="H1153" s="3" t="s">
        <v>107</v>
      </c>
      <c r="I1153" s="3" t="s">
        <v>240</v>
      </c>
      <c r="J1153" s="3">
        <v>795</v>
      </c>
      <c r="K1153" s="3">
        <v>799.82</v>
      </c>
      <c r="L1153" s="3">
        <v>1317.9</v>
      </c>
      <c r="M1153" s="3">
        <v>1047730.5</v>
      </c>
      <c r="N1153" s="3">
        <v>635856.9</v>
      </c>
      <c r="O1153" s="3">
        <v>411873.6</v>
      </c>
      <c r="P1153" s="3" t="s">
        <v>52</v>
      </c>
      <c r="Q1153" s="3" t="s">
        <v>32</v>
      </c>
      <c r="R1153" s="3">
        <v>8</v>
      </c>
      <c r="S1153" s="3" t="s">
        <v>158</v>
      </c>
      <c r="T1153" s="3">
        <v>717</v>
      </c>
      <c r="U1153" s="3">
        <v>31</v>
      </c>
      <c r="V1153" s="3"/>
    </row>
    <row r="1154" spans="1:22" x14ac:dyDescent="0.35">
      <c r="A1154" s="2" t="s">
        <v>3179</v>
      </c>
      <c r="B1154" s="2" t="s">
        <v>2665</v>
      </c>
      <c r="C1154" s="2" t="s">
        <v>1380</v>
      </c>
      <c r="D1154" s="2" t="s">
        <v>3180</v>
      </c>
      <c r="E1154" s="2" t="s">
        <v>100</v>
      </c>
      <c r="F1154" s="2" t="s">
        <v>106</v>
      </c>
      <c r="G1154" s="2" t="s">
        <v>78</v>
      </c>
      <c r="H1154" s="2" t="s">
        <v>178</v>
      </c>
      <c r="I1154" s="2" t="s">
        <v>1030</v>
      </c>
      <c r="J1154" s="2">
        <v>139</v>
      </c>
      <c r="K1154" s="2">
        <v>793.87</v>
      </c>
      <c r="L1154" s="2">
        <v>1253.33</v>
      </c>
      <c r="M1154" s="2">
        <v>174212.87</v>
      </c>
      <c r="N1154" s="2">
        <v>110347.93</v>
      </c>
      <c r="O1154" s="2">
        <v>63864.94</v>
      </c>
      <c r="P1154" s="2" t="s">
        <v>95</v>
      </c>
      <c r="Q1154" s="2" t="s">
        <v>32</v>
      </c>
      <c r="R1154" s="2">
        <v>6</v>
      </c>
      <c r="S1154" s="2" t="s">
        <v>43</v>
      </c>
      <c r="T1154" s="2">
        <v>4988</v>
      </c>
      <c r="U1154" s="2">
        <v>4</v>
      </c>
      <c r="V1154" s="2"/>
    </row>
    <row r="1155" spans="1:22" x14ac:dyDescent="0.35">
      <c r="A1155" s="3" t="s">
        <v>3181</v>
      </c>
      <c r="B1155" s="3" t="s">
        <v>410</v>
      </c>
      <c r="C1155" s="3" t="s">
        <v>363</v>
      </c>
      <c r="D1155" s="3" t="s">
        <v>3182</v>
      </c>
      <c r="E1155" s="3" t="s">
        <v>100</v>
      </c>
      <c r="F1155" s="3" t="s">
        <v>538</v>
      </c>
      <c r="G1155" s="3" t="s">
        <v>60</v>
      </c>
      <c r="H1155" s="3" t="s">
        <v>539</v>
      </c>
      <c r="I1155" s="3" t="s">
        <v>72</v>
      </c>
      <c r="J1155" s="3">
        <v>335</v>
      </c>
      <c r="K1155" s="3">
        <v>493.55</v>
      </c>
      <c r="L1155" s="3">
        <v>647.78</v>
      </c>
      <c r="M1155" s="3">
        <v>217006.3</v>
      </c>
      <c r="N1155" s="3">
        <v>165339.25</v>
      </c>
      <c r="O1155" s="3">
        <v>51667.05</v>
      </c>
      <c r="P1155" s="3" t="s">
        <v>52</v>
      </c>
      <c r="Q1155" s="3" t="s">
        <v>32</v>
      </c>
      <c r="R1155" s="3">
        <v>8</v>
      </c>
      <c r="S1155" s="3" t="s">
        <v>53</v>
      </c>
      <c r="T1155" s="3">
        <v>3320</v>
      </c>
      <c r="U1155" s="3">
        <v>11</v>
      </c>
      <c r="V1155" s="3"/>
    </row>
    <row r="1156" spans="1:22" x14ac:dyDescent="0.35">
      <c r="A1156" s="2" t="s">
        <v>3183</v>
      </c>
      <c r="B1156" s="2" t="s">
        <v>884</v>
      </c>
      <c r="C1156" s="2" t="s">
        <v>1220</v>
      </c>
      <c r="D1156" s="2" t="s">
        <v>3184</v>
      </c>
      <c r="E1156" s="2" t="s">
        <v>68</v>
      </c>
      <c r="F1156" s="2" t="s">
        <v>146</v>
      </c>
      <c r="G1156" s="2" t="s">
        <v>93</v>
      </c>
      <c r="H1156" s="2" t="s">
        <v>321</v>
      </c>
      <c r="I1156" s="2" t="s">
        <v>3185</v>
      </c>
      <c r="J1156" s="2">
        <v>490</v>
      </c>
      <c r="K1156" s="2">
        <v>272.64</v>
      </c>
      <c r="L1156" s="2">
        <v>428.33</v>
      </c>
      <c r="M1156" s="2">
        <v>209881.7</v>
      </c>
      <c r="N1156" s="2">
        <v>133593.60000000001</v>
      </c>
      <c r="O1156" s="2">
        <v>76288.100000000006</v>
      </c>
      <c r="P1156" s="2" t="s">
        <v>52</v>
      </c>
      <c r="Q1156" s="2" t="s">
        <v>63</v>
      </c>
      <c r="R1156" s="2">
        <v>2</v>
      </c>
      <c r="S1156" s="2" t="s">
        <v>43</v>
      </c>
      <c r="T1156" s="2">
        <v>250</v>
      </c>
      <c r="U1156" s="2">
        <v>22</v>
      </c>
      <c r="V1156" s="2"/>
    </row>
    <row r="1157" spans="1:22" x14ac:dyDescent="0.35">
      <c r="A1157" s="3" t="s">
        <v>3186</v>
      </c>
      <c r="B1157" s="3" t="s">
        <v>2843</v>
      </c>
      <c r="C1157" s="3" t="s">
        <v>3187</v>
      </c>
      <c r="D1157" s="3" t="s">
        <v>3188</v>
      </c>
      <c r="E1157" s="3" t="s">
        <v>26</v>
      </c>
      <c r="F1157" s="3" t="s">
        <v>228</v>
      </c>
      <c r="G1157" s="3" t="s">
        <v>60</v>
      </c>
      <c r="H1157" s="3" t="s">
        <v>229</v>
      </c>
      <c r="I1157" s="3" t="s">
        <v>30</v>
      </c>
      <c r="J1157" s="3">
        <v>409</v>
      </c>
      <c r="K1157" s="3">
        <v>570.71</v>
      </c>
      <c r="L1157" s="3">
        <v>879.04</v>
      </c>
      <c r="M1157" s="3">
        <v>359527.36</v>
      </c>
      <c r="N1157" s="3">
        <v>233420.39</v>
      </c>
      <c r="O1157" s="3">
        <v>126106.97</v>
      </c>
      <c r="P1157" s="3" t="s">
        <v>95</v>
      </c>
      <c r="Q1157" s="3" t="s">
        <v>32</v>
      </c>
      <c r="R1157" s="3">
        <v>14</v>
      </c>
      <c r="S1157" s="3" t="s">
        <v>43</v>
      </c>
      <c r="T1157" s="3">
        <v>4250</v>
      </c>
      <c r="U1157" s="3">
        <v>19</v>
      </c>
      <c r="V1157" s="3"/>
    </row>
    <row r="1158" spans="1:22" x14ac:dyDescent="0.35">
      <c r="A1158" s="2" t="s">
        <v>3189</v>
      </c>
      <c r="B1158" s="2" t="s">
        <v>1882</v>
      </c>
      <c r="C1158" s="2" t="s">
        <v>284</v>
      </c>
      <c r="D1158" s="2" t="s">
        <v>3190</v>
      </c>
      <c r="E1158" s="2" t="s">
        <v>26</v>
      </c>
      <c r="F1158" s="2" t="s">
        <v>228</v>
      </c>
      <c r="G1158" s="2" t="s">
        <v>93</v>
      </c>
      <c r="H1158" s="2" t="s">
        <v>643</v>
      </c>
      <c r="I1158" s="2" t="s">
        <v>141</v>
      </c>
      <c r="J1158" s="2">
        <v>153</v>
      </c>
      <c r="K1158" s="2">
        <v>741.24</v>
      </c>
      <c r="L1158" s="2">
        <v>1216.53</v>
      </c>
      <c r="M1158" s="2">
        <v>186129.09</v>
      </c>
      <c r="N1158" s="2">
        <v>113409.72</v>
      </c>
      <c r="O1158" s="2">
        <v>72719.37</v>
      </c>
      <c r="P1158" s="2" t="s">
        <v>95</v>
      </c>
      <c r="Q1158" s="2" t="s">
        <v>63</v>
      </c>
      <c r="R1158" s="2">
        <v>5</v>
      </c>
      <c r="S1158" s="2" t="s">
        <v>112</v>
      </c>
      <c r="T1158" s="2">
        <v>4900</v>
      </c>
      <c r="U1158" s="4"/>
      <c r="V1158" s="2"/>
    </row>
    <row r="1159" spans="1:22" x14ac:dyDescent="0.35">
      <c r="A1159" s="3" t="s">
        <v>3191</v>
      </c>
      <c r="B1159" s="3" t="s">
        <v>614</v>
      </c>
      <c r="C1159" s="3" t="s">
        <v>1375</v>
      </c>
      <c r="D1159" s="3" t="s">
        <v>2222</v>
      </c>
      <c r="E1159" s="3" t="s">
        <v>68</v>
      </c>
      <c r="F1159" s="3" t="s">
        <v>249</v>
      </c>
      <c r="G1159" s="3" t="s">
        <v>78</v>
      </c>
      <c r="H1159" s="3" t="s">
        <v>481</v>
      </c>
      <c r="I1159" s="3" t="s">
        <v>30</v>
      </c>
      <c r="J1159" s="3">
        <v>522</v>
      </c>
      <c r="K1159" s="3">
        <v>969.12</v>
      </c>
      <c r="L1159" s="3">
        <v>1188.79</v>
      </c>
      <c r="M1159" s="3">
        <v>620548.38</v>
      </c>
      <c r="N1159" s="3">
        <v>505880.64</v>
      </c>
      <c r="O1159" s="3">
        <v>114667.74</v>
      </c>
      <c r="P1159" s="3" t="s">
        <v>42</v>
      </c>
      <c r="Q1159" s="3" t="s">
        <v>32</v>
      </c>
      <c r="R1159" s="3">
        <v>11</v>
      </c>
      <c r="S1159" s="3" t="s">
        <v>33</v>
      </c>
      <c r="T1159" s="3">
        <v>856</v>
      </c>
      <c r="U1159" s="4"/>
      <c r="V1159" s="3"/>
    </row>
    <row r="1160" spans="1:22" x14ac:dyDescent="0.35">
      <c r="A1160" s="2" t="s">
        <v>3192</v>
      </c>
      <c r="B1160" s="2" t="s">
        <v>657</v>
      </c>
      <c r="C1160" s="2" t="s">
        <v>581</v>
      </c>
      <c r="D1160" s="2" t="s">
        <v>3193</v>
      </c>
      <c r="E1160" s="2" t="s">
        <v>100</v>
      </c>
      <c r="F1160" s="2" t="s">
        <v>238</v>
      </c>
      <c r="G1160" s="2" t="s">
        <v>189</v>
      </c>
      <c r="H1160" s="2" t="s">
        <v>190</v>
      </c>
      <c r="I1160" s="2" t="s">
        <v>118</v>
      </c>
      <c r="J1160" s="2">
        <v>485</v>
      </c>
      <c r="K1160" s="2">
        <v>868.97</v>
      </c>
      <c r="L1160" s="2">
        <v>1396.27</v>
      </c>
      <c r="M1160" s="2">
        <v>677190.95</v>
      </c>
      <c r="N1160" s="2">
        <v>421450.45</v>
      </c>
      <c r="O1160" s="2">
        <v>255740.5</v>
      </c>
      <c r="P1160" s="2" t="s">
        <v>42</v>
      </c>
      <c r="Q1160" s="2" t="s">
        <v>63</v>
      </c>
      <c r="R1160" s="2">
        <v>3</v>
      </c>
      <c r="S1160" s="2" t="s">
        <v>158</v>
      </c>
      <c r="T1160" s="2">
        <v>2161</v>
      </c>
      <c r="U1160" s="2">
        <v>15</v>
      </c>
      <c r="V1160" s="2"/>
    </row>
    <row r="1161" spans="1:22" x14ac:dyDescent="0.35">
      <c r="A1161" s="3" t="s">
        <v>3194</v>
      </c>
      <c r="B1161" s="3" t="s">
        <v>46</v>
      </c>
      <c r="C1161" s="3" t="s">
        <v>155</v>
      </c>
      <c r="D1161" s="3" t="s">
        <v>3195</v>
      </c>
      <c r="E1161" s="3" t="s">
        <v>48</v>
      </c>
      <c r="F1161" s="3" t="s">
        <v>183</v>
      </c>
      <c r="G1161" s="3" t="s">
        <v>39</v>
      </c>
      <c r="H1161" s="3" t="s">
        <v>527</v>
      </c>
      <c r="I1161" s="3" t="s">
        <v>3120</v>
      </c>
      <c r="J1161" s="3">
        <v>270</v>
      </c>
      <c r="K1161" s="3">
        <v>1131.92</v>
      </c>
      <c r="L1161" s="3">
        <v>1605.15</v>
      </c>
      <c r="M1161" s="3">
        <v>433390.5</v>
      </c>
      <c r="N1161" s="3">
        <v>305618.40000000002</v>
      </c>
      <c r="O1161" s="3">
        <v>127772.1</v>
      </c>
      <c r="P1161" s="3" t="s">
        <v>31</v>
      </c>
      <c r="Q1161" s="3" t="s">
        <v>32</v>
      </c>
      <c r="R1161" s="3">
        <v>12</v>
      </c>
      <c r="S1161" s="3" t="s">
        <v>112</v>
      </c>
      <c r="T1161" s="3">
        <v>2400</v>
      </c>
      <c r="U1161" s="3">
        <v>7</v>
      </c>
      <c r="V1161" s="3"/>
    </row>
    <row r="1162" spans="1:22" x14ac:dyDescent="0.35">
      <c r="A1162" s="2" t="s">
        <v>3196</v>
      </c>
      <c r="B1162" s="2" t="s">
        <v>1149</v>
      </c>
      <c r="C1162" s="2" t="s">
        <v>114</v>
      </c>
      <c r="D1162" s="2" t="s">
        <v>3197</v>
      </c>
      <c r="E1162" s="2" t="s">
        <v>48</v>
      </c>
      <c r="F1162" s="2" t="s">
        <v>183</v>
      </c>
      <c r="G1162" s="2" t="s">
        <v>189</v>
      </c>
      <c r="H1162" s="2" t="s">
        <v>437</v>
      </c>
      <c r="I1162" s="2" t="s">
        <v>62</v>
      </c>
      <c r="J1162" s="2">
        <v>529</v>
      </c>
      <c r="K1162" s="2">
        <v>463.1</v>
      </c>
      <c r="L1162" s="2">
        <v>630.94000000000005</v>
      </c>
      <c r="M1162" s="2">
        <v>333767.26</v>
      </c>
      <c r="N1162" s="2">
        <v>244979.9</v>
      </c>
      <c r="O1162" s="2">
        <v>88787.36</v>
      </c>
      <c r="P1162" s="2" t="s">
        <v>31</v>
      </c>
      <c r="Q1162" s="2" t="s">
        <v>32</v>
      </c>
      <c r="R1162" s="2">
        <v>11</v>
      </c>
      <c r="S1162" s="2" t="s">
        <v>86</v>
      </c>
      <c r="T1162" s="2">
        <v>1576</v>
      </c>
      <c r="U1162" s="2">
        <v>23</v>
      </c>
      <c r="V1162" s="2"/>
    </row>
    <row r="1163" spans="1:22" x14ac:dyDescent="0.35">
      <c r="A1163" s="3" t="s">
        <v>3198</v>
      </c>
      <c r="B1163" s="3" t="s">
        <v>394</v>
      </c>
      <c r="C1163" s="3" t="s">
        <v>1232</v>
      </c>
      <c r="D1163" s="3" t="s">
        <v>3162</v>
      </c>
      <c r="E1163" s="3" t="s">
        <v>100</v>
      </c>
      <c r="F1163" s="3" t="s">
        <v>101</v>
      </c>
      <c r="G1163" s="3" t="s">
        <v>70</v>
      </c>
      <c r="H1163" s="3" t="s">
        <v>84</v>
      </c>
      <c r="I1163" s="3" t="s">
        <v>72</v>
      </c>
      <c r="J1163" s="3">
        <v>574</v>
      </c>
      <c r="K1163" s="3">
        <v>1034.93</v>
      </c>
      <c r="L1163" s="3">
        <v>1188.4100000000001</v>
      </c>
      <c r="M1163" s="3">
        <v>682147.34</v>
      </c>
      <c r="N1163" s="3">
        <v>594049.81999999995</v>
      </c>
      <c r="O1163" s="3">
        <v>88097.52</v>
      </c>
      <c r="P1163" s="3" t="s">
        <v>95</v>
      </c>
      <c r="Q1163" s="3" t="s">
        <v>63</v>
      </c>
      <c r="R1163" s="3">
        <v>5</v>
      </c>
      <c r="S1163" s="3" t="s">
        <v>53</v>
      </c>
      <c r="T1163" s="3">
        <v>934</v>
      </c>
      <c r="U1163" s="3">
        <v>1</v>
      </c>
      <c r="V1163" s="3"/>
    </row>
    <row r="1164" spans="1:22" x14ac:dyDescent="0.35">
      <c r="A1164" s="2" t="s">
        <v>3199</v>
      </c>
      <c r="B1164" s="2" t="s">
        <v>588</v>
      </c>
      <c r="C1164" s="2" t="s">
        <v>723</v>
      </c>
      <c r="D1164" s="2" t="s">
        <v>3200</v>
      </c>
      <c r="E1164" s="2" t="s">
        <v>68</v>
      </c>
      <c r="F1164" s="2" t="s">
        <v>69</v>
      </c>
      <c r="G1164" s="2" t="s">
        <v>50</v>
      </c>
      <c r="H1164" s="2" t="s">
        <v>734</v>
      </c>
      <c r="I1164" s="2" t="s">
        <v>153</v>
      </c>
      <c r="J1164" s="2">
        <v>241</v>
      </c>
      <c r="K1164" s="2">
        <v>1076.73</v>
      </c>
      <c r="L1164" s="2">
        <v>1442.58</v>
      </c>
      <c r="M1164" s="2">
        <v>347661.78</v>
      </c>
      <c r="N1164" s="2">
        <v>259491.93</v>
      </c>
      <c r="O1164" s="2">
        <v>88169.85</v>
      </c>
      <c r="P1164" s="2" t="s">
        <v>42</v>
      </c>
      <c r="Q1164" s="2" t="s">
        <v>32</v>
      </c>
      <c r="R1164" s="2">
        <v>11</v>
      </c>
      <c r="S1164" s="2" t="s">
        <v>112</v>
      </c>
      <c r="T1164" s="2">
        <v>4493</v>
      </c>
      <c r="U1164" s="2">
        <v>5</v>
      </c>
      <c r="V1164" s="2"/>
    </row>
    <row r="1165" spans="1:22" x14ac:dyDescent="0.35">
      <c r="A1165" s="3" t="s">
        <v>2730</v>
      </c>
      <c r="B1165" s="3" t="s">
        <v>712</v>
      </c>
      <c r="C1165" s="3" t="s">
        <v>488</v>
      </c>
      <c r="D1165" s="3" t="s">
        <v>2731</v>
      </c>
      <c r="E1165" s="3" t="s">
        <v>100</v>
      </c>
      <c r="F1165" s="3" t="s">
        <v>106</v>
      </c>
      <c r="G1165" s="3" t="s">
        <v>78</v>
      </c>
      <c r="H1165" s="3" t="s">
        <v>79</v>
      </c>
      <c r="I1165" s="3" t="s">
        <v>41</v>
      </c>
      <c r="J1165" s="3">
        <v>285</v>
      </c>
      <c r="K1165" s="3">
        <v>450.93</v>
      </c>
      <c r="L1165" s="3">
        <v>514.49</v>
      </c>
      <c r="M1165" s="3">
        <v>146629.65</v>
      </c>
      <c r="N1165" s="3">
        <v>128515.05</v>
      </c>
      <c r="O1165" s="3">
        <v>18114.599999999999</v>
      </c>
      <c r="P1165" s="3" t="s">
        <v>95</v>
      </c>
      <c r="Q1165" s="3" t="s">
        <v>32</v>
      </c>
      <c r="R1165" s="3">
        <v>10</v>
      </c>
      <c r="S1165" s="3" t="s">
        <v>86</v>
      </c>
      <c r="T1165" s="3">
        <v>451</v>
      </c>
      <c r="U1165" s="3">
        <v>2</v>
      </c>
      <c r="V1165" s="3"/>
    </row>
    <row r="1166" spans="1:22" x14ac:dyDescent="0.35">
      <c r="A1166" s="2" t="s">
        <v>3201</v>
      </c>
      <c r="B1166" s="2" t="s">
        <v>3202</v>
      </c>
      <c r="C1166" s="2" t="s">
        <v>1053</v>
      </c>
      <c r="D1166" s="2" t="s">
        <v>3203</v>
      </c>
      <c r="E1166" s="2" t="s">
        <v>26</v>
      </c>
      <c r="F1166" s="2" t="s">
        <v>77</v>
      </c>
      <c r="G1166" s="2" t="s">
        <v>189</v>
      </c>
      <c r="H1166" s="2" t="s">
        <v>561</v>
      </c>
      <c r="I1166" s="2" t="s">
        <v>62</v>
      </c>
      <c r="J1166" s="2">
        <v>495</v>
      </c>
      <c r="K1166" s="2">
        <v>688.64</v>
      </c>
      <c r="L1166" s="2">
        <v>999.7</v>
      </c>
      <c r="M1166" s="2">
        <v>494851.5</v>
      </c>
      <c r="N1166" s="2">
        <v>340876.79999999999</v>
      </c>
      <c r="O1166" s="2">
        <v>153974.70000000001</v>
      </c>
      <c r="P1166" s="2" t="s">
        <v>52</v>
      </c>
      <c r="Q1166" s="2" t="s">
        <v>32</v>
      </c>
      <c r="R1166" s="2">
        <v>11</v>
      </c>
      <c r="S1166" s="2" t="s">
        <v>33</v>
      </c>
      <c r="T1166" s="2">
        <v>612</v>
      </c>
      <c r="U1166" s="2">
        <v>17</v>
      </c>
      <c r="V1166" s="2"/>
    </row>
    <row r="1167" spans="1:22" x14ac:dyDescent="0.35">
      <c r="A1167" s="3" t="s">
        <v>3204</v>
      </c>
      <c r="B1167" s="3" t="s">
        <v>1140</v>
      </c>
      <c r="C1167" s="3" t="s">
        <v>492</v>
      </c>
      <c r="D1167" s="3" t="s">
        <v>3205</v>
      </c>
      <c r="E1167" s="3" t="s">
        <v>48</v>
      </c>
      <c r="F1167" s="3" t="s">
        <v>223</v>
      </c>
      <c r="G1167" s="3" t="s">
        <v>217</v>
      </c>
      <c r="H1167" s="3" t="s">
        <v>524</v>
      </c>
      <c r="I1167" s="3" t="s">
        <v>293</v>
      </c>
      <c r="J1167" s="3">
        <v>762</v>
      </c>
      <c r="K1167" s="3">
        <v>1065.51</v>
      </c>
      <c r="L1167" s="3">
        <v>1686.25</v>
      </c>
      <c r="M1167" s="3">
        <v>1284922.5</v>
      </c>
      <c r="N1167" s="3">
        <v>811918.62</v>
      </c>
      <c r="O1167" s="3">
        <v>473003.88</v>
      </c>
      <c r="P1167" s="3" t="s">
        <v>31</v>
      </c>
      <c r="Q1167" s="3" t="s">
        <v>32</v>
      </c>
      <c r="R1167" s="3">
        <v>8</v>
      </c>
      <c r="S1167" s="3" t="s">
        <v>53</v>
      </c>
      <c r="T1167" s="3">
        <v>1475</v>
      </c>
      <c r="U1167" s="3">
        <v>23</v>
      </c>
      <c r="V1167" s="3"/>
    </row>
    <row r="1168" spans="1:22" x14ac:dyDescent="0.35">
      <c r="A1168" s="3" t="s">
        <v>3206</v>
      </c>
      <c r="B1168" s="3" t="s">
        <v>487</v>
      </c>
      <c r="C1168" s="3" t="s">
        <v>356</v>
      </c>
      <c r="D1168" s="3" t="s">
        <v>3207</v>
      </c>
      <c r="E1168" s="3" t="s">
        <v>58</v>
      </c>
      <c r="F1168" s="3" t="s">
        <v>122</v>
      </c>
      <c r="G1168" s="3" t="s">
        <v>50</v>
      </c>
      <c r="H1168" s="3" t="s">
        <v>51</v>
      </c>
      <c r="I1168" s="3" t="s">
        <v>153</v>
      </c>
      <c r="J1168" s="3">
        <v>611</v>
      </c>
      <c r="K1168" s="3">
        <v>52.91</v>
      </c>
      <c r="L1168" s="3">
        <v>73.69</v>
      </c>
      <c r="M1168" s="3">
        <v>45024.59</v>
      </c>
      <c r="N1168" s="3">
        <v>32328.01</v>
      </c>
      <c r="O1168" s="3">
        <v>12696.58</v>
      </c>
      <c r="P1168" s="3" t="s">
        <v>52</v>
      </c>
      <c r="Q1168" s="3" t="s">
        <v>32</v>
      </c>
      <c r="R1168" s="3">
        <v>13</v>
      </c>
      <c r="S1168" s="3" t="s">
        <v>33</v>
      </c>
      <c r="T1168" s="3">
        <v>1122</v>
      </c>
      <c r="U1168" s="3">
        <v>4</v>
      </c>
      <c r="V1168" s="3"/>
    </row>
    <row r="1169" spans="1:22" x14ac:dyDescent="0.35">
      <c r="A1169" s="2" t="s">
        <v>3208</v>
      </c>
      <c r="B1169" s="2" t="s">
        <v>2416</v>
      </c>
      <c r="C1169" s="2" t="s">
        <v>1890</v>
      </c>
      <c r="D1169" s="2" t="s">
        <v>3209</v>
      </c>
      <c r="E1169" s="2" t="s">
        <v>68</v>
      </c>
      <c r="F1169" s="2" t="s">
        <v>146</v>
      </c>
      <c r="G1169" s="2" t="s">
        <v>60</v>
      </c>
      <c r="H1169" s="2" t="s">
        <v>780</v>
      </c>
      <c r="I1169" s="2" t="s">
        <v>41</v>
      </c>
      <c r="J1169" s="2">
        <v>760</v>
      </c>
      <c r="K1169" s="2">
        <v>994.99</v>
      </c>
      <c r="L1169" s="2">
        <v>1172.26</v>
      </c>
      <c r="M1169" s="2">
        <v>890917.6</v>
      </c>
      <c r="N1169" s="2">
        <v>756192.4</v>
      </c>
      <c r="O1169" s="2">
        <v>134725.20000000001</v>
      </c>
      <c r="P1169" s="2" t="s">
        <v>31</v>
      </c>
      <c r="Q1169" s="2" t="s">
        <v>32</v>
      </c>
      <c r="R1169" s="2">
        <v>7</v>
      </c>
      <c r="S1169" s="2" t="s">
        <v>158</v>
      </c>
      <c r="T1169" s="2">
        <v>1514</v>
      </c>
      <c r="U1169" s="2">
        <v>24</v>
      </c>
      <c r="V1169" s="2"/>
    </row>
    <row r="1170" spans="1:22" x14ac:dyDescent="0.35">
      <c r="A1170" s="3" t="s">
        <v>3210</v>
      </c>
      <c r="B1170" s="3" t="s">
        <v>2310</v>
      </c>
      <c r="C1170" s="3" t="s">
        <v>3211</v>
      </c>
      <c r="D1170" s="3" t="s">
        <v>2023</v>
      </c>
      <c r="E1170" s="3" t="s">
        <v>68</v>
      </c>
      <c r="F1170" s="3" t="s">
        <v>146</v>
      </c>
      <c r="G1170" s="3" t="s">
        <v>217</v>
      </c>
      <c r="H1170" s="3" t="s">
        <v>684</v>
      </c>
      <c r="I1170" s="3" t="s">
        <v>85</v>
      </c>
      <c r="J1170" s="3">
        <v>466</v>
      </c>
      <c r="K1170" s="3">
        <v>174.9</v>
      </c>
      <c r="L1170" s="3">
        <v>286.3</v>
      </c>
      <c r="M1170" s="3">
        <v>133415.79999999999</v>
      </c>
      <c r="N1170" s="3">
        <v>81503.399999999994</v>
      </c>
      <c r="O1170" s="3">
        <v>51912.4</v>
      </c>
      <c r="P1170" s="3" t="s">
        <v>95</v>
      </c>
      <c r="Q1170" s="3" t="s">
        <v>32</v>
      </c>
      <c r="R1170" s="3">
        <v>10</v>
      </c>
      <c r="S1170" s="3" t="s">
        <v>86</v>
      </c>
      <c r="T1170" s="3">
        <v>2183</v>
      </c>
      <c r="U1170" s="3">
        <v>13</v>
      </c>
      <c r="V1170" s="3"/>
    </row>
    <row r="1171" spans="1:22" x14ac:dyDescent="0.35">
      <c r="A1171" s="2" t="s">
        <v>3212</v>
      </c>
      <c r="B1171" s="2" t="s">
        <v>731</v>
      </c>
      <c r="C1171" s="2" t="s">
        <v>1399</v>
      </c>
      <c r="D1171" s="2" t="s">
        <v>3213</v>
      </c>
      <c r="E1171" s="2" t="s">
        <v>100</v>
      </c>
      <c r="F1171" s="2" t="s">
        <v>238</v>
      </c>
      <c r="G1171" s="2" t="s">
        <v>39</v>
      </c>
      <c r="H1171" s="2" t="s">
        <v>40</v>
      </c>
      <c r="I1171" s="2" t="s">
        <v>62</v>
      </c>
      <c r="J1171" s="2">
        <v>435</v>
      </c>
      <c r="K1171" s="2">
        <v>667.96</v>
      </c>
      <c r="L1171" s="2">
        <v>1049.8499999999999</v>
      </c>
      <c r="M1171" s="2">
        <v>456684.75</v>
      </c>
      <c r="N1171" s="2">
        <v>290562.59999999998</v>
      </c>
      <c r="O1171" s="2">
        <v>166122.15</v>
      </c>
      <c r="P1171" s="2" t="s">
        <v>95</v>
      </c>
      <c r="Q1171" s="2" t="s">
        <v>32</v>
      </c>
      <c r="R1171" s="2">
        <v>7</v>
      </c>
      <c r="S1171" s="2" t="s">
        <v>33</v>
      </c>
      <c r="T1171" s="2">
        <v>2981</v>
      </c>
      <c r="U1171" s="2">
        <v>12</v>
      </c>
      <c r="V1171" s="2"/>
    </row>
    <row r="1172" spans="1:22" x14ac:dyDescent="0.35">
      <c r="A1172" s="3" t="s">
        <v>3214</v>
      </c>
      <c r="B1172" s="3" t="s">
        <v>1341</v>
      </c>
      <c r="C1172" s="3" t="s">
        <v>716</v>
      </c>
      <c r="D1172" s="3" t="s">
        <v>3215</v>
      </c>
      <c r="E1172" s="3" t="s">
        <v>58</v>
      </c>
      <c r="F1172" s="3" t="s">
        <v>259</v>
      </c>
      <c r="G1172" s="3" t="s">
        <v>39</v>
      </c>
      <c r="H1172" s="3" t="s">
        <v>527</v>
      </c>
      <c r="I1172" s="3" t="s">
        <v>141</v>
      </c>
      <c r="J1172" s="3">
        <v>41</v>
      </c>
      <c r="K1172" s="3">
        <v>413.46</v>
      </c>
      <c r="L1172" s="3">
        <v>521.35</v>
      </c>
      <c r="M1172" s="3">
        <v>21375.35</v>
      </c>
      <c r="N1172" s="3">
        <v>16951.86</v>
      </c>
      <c r="O1172" s="3">
        <v>4423.49</v>
      </c>
      <c r="P1172" s="3" t="s">
        <v>42</v>
      </c>
      <c r="Q1172" s="3" t="s">
        <v>32</v>
      </c>
      <c r="R1172" s="3">
        <v>9</v>
      </c>
      <c r="S1172" s="3" t="s">
        <v>86</v>
      </c>
      <c r="T1172" s="3">
        <v>4344</v>
      </c>
      <c r="U1172" s="3">
        <v>2</v>
      </c>
      <c r="V1172" s="3"/>
    </row>
    <row r="1173" spans="1:22" x14ac:dyDescent="0.35">
      <c r="A1173" s="2" t="s">
        <v>3216</v>
      </c>
      <c r="B1173" s="2" t="s">
        <v>1670</v>
      </c>
      <c r="C1173" s="2" t="s">
        <v>407</v>
      </c>
      <c r="D1173" s="2" t="s">
        <v>3217</v>
      </c>
      <c r="E1173" s="2" t="s">
        <v>58</v>
      </c>
      <c r="F1173" s="2" t="s">
        <v>116</v>
      </c>
      <c r="G1173" s="2" t="s">
        <v>50</v>
      </c>
      <c r="H1173" s="2" t="s">
        <v>107</v>
      </c>
      <c r="I1173" s="2" t="s">
        <v>191</v>
      </c>
      <c r="J1173" s="2">
        <v>37</v>
      </c>
      <c r="K1173" s="2">
        <v>812.15</v>
      </c>
      <c r="L1173" s="2">
        <v>1298.21</v>
      </c>
      <c r="M1173" s="2">
        <v>48033.77</v>
      </c>
      <c r="N1173" s="2">
        <v>30049.55</v>
      </c>
      <c r="O1173" s="2">
        <v>17984.22</v>
      </c>
      <c r="P1173" s="2" t="s">
        <v>42</v>
      </c>
      <c r="Q1173" s="2" t="s">
        <v>32</v>
      </c>
      <c r="R1173" s="2">
        <v>10</v>
      </c>
      <c r="S1173" s="2" t="s">
        <v>53</v>
      </c>
      <c r="T1173" s="2">
        <v>63</v>
      </c>
      <c r="U1173" s="2">
        <v>0</v>
      </c>
      <c r="V1173" s="2"/>
    </row>
    <row r="1174" spans="1:22" x14ac:dyDescent="0.35">
      <c r="A1174" s="3" t="s">
        <v>3218</v>
      </c>
      <c r="B1174" s="3" t="s">
        <v>2199</v>
      </c>
      <c r="C1174" s="3" t="s">
        <v>564</v>
      </c>
      <c r="D1174" s="3" t="s">
        <v>3219</v>
      </c>
      <c r="E1174" s="3" t="s">
        <v>100</v>
      </c>
      <c r="F1174" s="3" t="s">
        <v>538</v>
      </c>
      <c r="G1174" s="3" t="s">
        <v>60</v>
      </c>
      <c r="H1174" s="3" t="s">
        <v>164</v>
      </c>
      <c r="I1174" s="3" t="s">
        <v>191</v>
      </c>
      <c r="J1174" s="3">
        <v>230</v>
      </c>
      <c r="K1174" s="3">
        <v>841.43</v>
      </c>
      <c r="L1174" s="3">
        <v>1064.72</v>
      </c>
      <c r="M1174" s="3">
        <v>244885.6</v>
      </c>
      <c r="N1174" s="3">
        <v>193528.9</v>
      </c>
      <c r="O1174" s="3">
        <v>51356.7</v>
      </c>
      <c r="P1174" s="3" t="s">
        <v>42</v>
      </c>
      <c r="Q1174" s="3" t="s">
        <v>32</v>
      </c>
      <c r="R1174" s="3">
        <v>9</v>
      </c>
      <c r="S1174" s="3" t="s">
        <v>33</v>
      </c>
      <c r="T1174" s="3">
        <v>1865</v>
      </c>
      <c r="U1174" s="3">
        <v>6</v>
      </c>
      <c r="V1174" s="3"/>
    </row>
    <row r="1175" spans="1:22" x14ac:dyDescent="0.35">
      <c r="A1175" s="2" t="s">
        <v>3220</v>
      </c>
      <c r="B1175" s="2" t="s">
        <v>2015</v>
      </c>
      <c r="C1175" s="2" t="s">
        <v>75</v>
      </c>
      <c r="D1175" s="2" t="s">
        <v>3221</v>
      </c>
      <c r="E1175" s="2" t="s">
        <v>100</v>
      </c>
      <c r="F1175" s="2" t="s">
        <v>106</v>
      </c>
      <c r="G1175" s="2" t="s">
        <v>50</v>
      </c>
      <c r="H1175" s="2" t="s">
        <v>51</v>
      </c>
      <c r="I1175" s="2" t="s">
        <v>124</v>
      </c>
      <c r="J1175" s="2">
        <v>68</v>
      </c>
      <c r="K1175" s="2">
        <v>1018.27</v>
      </c>
      <c r="L1175" s="2">
        <v>1678.04</v>
      </c>
      <c r="M1175" s="2">
        <v>114106.72</v>
      </c>
      <c r="N1175" s="2">
        <v>69242.36</v>
      </c>
      <c r="O1175" s="2">
        <v>44864.36</v>
      </c>
      <c r="P1175" s="2" t="s">
        <v>95</v>
      </c>
      <c r="Q1175" s="2" t="s">
        <v>63</v>
      </c>
      <c r="R1175" s="2">
        <v>3</v>
      </c>
      <c r="S1175" s="2" t="s">
        <v>43</v>
      </c>
      <c r="T1175" s="2">
        <v>1932</v>
      </c>
      <c r="U1175" s="2">
        <v>0</v>
      </c>
      <c r="V1175" s="2"/>
    </row>
    <row r="1176" spans="1:22" x14ac:dyDescent="0.35">
      <c r="A1176" s="3" t="s">
        <v>3222</v>
      </c>
      <c r="B1176" s="3" t="s">
        <v>3223</v>
      </c>
      <c r="C1176" s="3" t="s">
        <v>1776</v>
      </c>
      <c r="D1176" s="3" t="s">
        <v>3224</v>
      </c>
      <c r="E1176" s="3" t="s">
        <v>58</v>
      </c>
      <c r="F1176" s="3" t="s">
        <v>59</v>
      </c>
      <c r="G1176" s="3" t="s">
        <v>189</v>
      </c>
      <c r="H1176" s="3" t="s">
        <v>190</v>
      </c>
      <c r="I1176" s="3" t="s">
        <v>124</v>
      </c>
      <c r="J1176" s="3">
        <v>125</v>
      </c>
      <c r="K1176" s="3">
        <v>592.79999999999995</v>
      </c>
      <c r="L1176" s="3">
        <v>857.85</v>
      </c>
      <c r="M1176" s="3">
        <v>107231.25</v>
      </c>
      <c r="N1176" s="3">
        <v>74100</v>
      </c>
      <c r="O1176" s="3">
        <v>33131.25</v>
      </c>
      <c r="P1176" s="3" t="s">
        <v>31</v>
      </c>
      <c r="Q1176" s="3" t="s">
        <v>32</v>
      </c>
      <c r="R1176" s="3">
        <v>12</v>
      </c>
      <c r="S1176" s="3" t="s">
        <v>112</v>
      </c>
      <c r="T1176" s="3">
        <v>1561</v>
      </c>
      <c r="U1176" s="3">
        <v>0</v>
      </c>
      <c r="V1176" s="3"/>
    </row>
    <row r="1177" spans="1:22" x14ac:dyDescent="0.35">
      <c r="A1177" s="2" t="s">
        <v>3225</v>
      </c>
      <c r="B1177" s="2" t="s">
        <v>454</v>
      </c>
      <c r="C1177" s="2" t="s">
        <v>432</v>
      </c>
      <c r="D1177" s="2" t="s">
        <v>3226</v>
      </c>
      <c r="E1177" s="2" t="s">
        <v>58</v>
      </c>
      <c r="F1177" s="2" t="s">
        <v>3227</v>
      </c>
      <c r="G1177" s="2" t="s">
        <v>60</v>
      </c>
      <c r="H1177" s="2" t="s">
        <v>61</v>
      </c>
      <c r="I1177" s="2" t="s">
        <v>153</v>
      </c>
      <c r="J1177" s="2">
        <v>458</v>
      </c>
      <c r="K1177" s="2">
        <v>597.87</v>
      </c>
      <c r="L1177" s="2">
        <v>913.1</v>
      </c>
      <c r="M1177" s="2">
        <v>418199.8</v>
      </c>
      <c r="N1177" s="2">
        <v>273824.46000000002</v>
      </c>
      <c r="O1177" s="2">
        <v>144375.34</v>
      </c>
      <c r="P1177" s="2" t="s">
        <v>42</v>
      </c>
      <c r="Q1177" s="2" t="s">
        <v>63</v>
      </c>
      <c r="R1177" s="2">
        <v>3</v>
      </c>
      <c r="S1177" s="2" t="s">
        <v>53</v>
      </c>
      <c r="T1177" s="2">
        <v>1863</v>
      </c>
      <c r="U1177" s="2">
        <v>22</v>
      </c>
      <c r="V1177" s="2"/>
    </row>
    <row r="1178" spans="1:22" x14ac:dyDescent="0.35">
      <c r="A1178" s="3" t="s">
        <v>3228</v>
      </c>
      <c r="B1178" s="3" t="s">
        <v>3229</v>
      </c>
      <c r="C1178" s="3" t="s">
        <v>1110</v>
      </c>
      <c r="D1178" s="3" t="s">
        <v>3230</v>
      </c>
      <c r="E1178" s="3" t="s">
        <v>26</v>
      </c>
      <c r="F1178" s="3" t="s">
        <v>38</v>
      </c>
      <c r="G1178" s="3" t="s">
        <v>93</v>
      </c>
      <c r="H1178" s="3" t="s">
        <v>184</v>
      </c>
      <c r="I1178" s="3" t="s">
        <v>293</v>
      </c>
      <c r="J1178" s="3">
        <v>554</v>
      </c>
      <c r="K1178" s="3">
        <v>846.86</v>
      </c>
      <c r="L1178" s="3">
        <v>1193.24</v>
      </c>
      <c r="M1178" s="3">
        <v>661054.96</v>
      </c>
      <c r="N1178" s="3">
        <v>469160.44</v>
      </c>
      <c r="O1178" s="3">
        <v>191894.52</v>
      </c>
      <c r="P1178" s="3" t="s">
        <v>95</v>
      </c>
      <c r="Q1178" s="3" t="s">
        <v>63</v>
      </c>
      <c r="R1178" s="3">
        <v>0</v>
      </c>
      <c r="S1178" s="3" t="s">
        <v>53</v>
      </c>
      <c r="T1178" s="3">
        <v>2956</v>
      </c>
      <c r="U1178" s="3">
        <v>6</v>
      </c>
      <c r="V1178" s="3"/>
    </row>
    <row r="1179" spans="1:22" x14ac:dyDescent="0.35">
      <c r="A1179" s="2" t="s">
        <v>1137</v>
      </c>
      <c r="B1179" s="2" t="s">
        <v>1138</v>
      </c>
      <c r="C1179" s="2" t="s">
        <v>472</v>
      </c>
      <c r="D1179" s="2" t="s">
        <v>469</v>
      </c>
      <c r="E1179" s="2" t="s">
        <v>100</v>
      </c>
      <c r="F1179" s="2" t="s">
        <v>330</v>
      </c>
      <c r="G1179" s="2" t="s">
        <v>60</v>
      </c>
      <c r="H1179" s="2" t="s">
        <v>400</v>
      </c>
      <c r="I1179" s="2" t="s">
        <v>293</v>
      </c>
      <c r="J1179" s="2">
        <v>113</v>
      </c>
      <c r="K1179" s="2">
        <v>551.27</v>
      </c>
      <c r="L1179" s="2">
        <v>784.92</v>
      </c>
      <c r="M1179" s="2">
        <v>88695.96</v>
      </c>
      <c r="N1179" s="2">
        <v>62293.51</v>
      </c>
      <c r="O1179" s="2">
        <v>26402.45</v>
      </c>
      <c r="P1179" s="2" t="s">
        <v>42</v>
      </c>
      <c r="Q1179" s="2" t="s">
        <v>906</v>
      </c>
      <c r="R1179" s="2">
        <v>7</v>
      </c>
      <c r="S1179" s="2" t="s">
        <v>53</v>
      </c>
      <c r="T1179" s="2">
        <v>1015</v>
      </c>
      <c r="U1179" s="2">
        <v>5</v>
      </c>
      <c r="V1179" s="2"/>
    </row>
    <row r="1180" spans="1:22" x14ac:dyDescent="0.35">
      <c r="A1180" s="3" t="s">
        <v>3231</v>
      </c>
      <c r="B1180" s="3" t="s">
        <v>1398</v>
      </c>
      <c r="C1180" s="3" t="s">
        <v>1110</v>
      </c>
      <c r="D1180" s="3" t="s">
        <v>3232</v>
      </c>
      <c r="E1180" s="3" t="s">
        <v>3233</v>
      </c>
      <c r="F1180" s="3" t="s">
        <v>259</v>
      </c>
      <c r="G1180" s="3" t="s">
        <v>129</v>
      </c>
      <c r="H1180" s="3" t="s">
        <v>168</v>
      </c>
      <c r="I1180" s="3" t="s">
        <v>124</v>
      </c>
      <c r="J1180" s="3">
        <v>324</v>
      </c>
      <c r="K1180" s="3">
        <v>162.88999999999999</v>
      </c>
      <c r="L1180" s="3">
        <v>209.63</v>
      </c>
      <c r="M1180" s="3">
        <v>67920.12</v>
      </c>
      <c r="N1180" s="3">
        <v>52776.36</v>
      </c>
      <c r="O1180" s="3">
        <v>15143.76</v>
      </c>
      <c r="P1180" s="3" t="s">
        <v>42</v>
      </c>
      <c r="Q1180" s="3" t="s">
        <v>32</v>
      </c>
      <c r="R1180" s="3">
        <v>14</v>
      </c>
      <c r="S1180" s="3" t="s">
        <v>53</v>
      </c>
      <c r="T1180" s="3">
        <v>4431</v>
      </c>
      <c r="U1180" s="3">
        <v>4</v>
      </c>
      <c r="V1180" s="3"/>
    </row>
    <row r="1181" spans="1:22" x14ac:dyDescent="0.35">
      <c r="A1181" s="2" t="s">
        <v>1506</v>
      </c>
      <c r="B1181" s="2" t="s">
        <v>193</v>
      </c>
      <c r="C1181" s="2" t="s">
        <v>620</v>
      </c>
      <c r="D1181" s="2" t="s">
        <v>1507</v>
      </c>
      <c r="E1181" s="2" t="s">
        <v>68</v>
      </c>
      <c r="F1181" s="2" t="s">
        <v>146</v>
      </c>
      <c r="G1181" s="2" t="s">
        <v>28</v>
      </c>
      <c r="H1181" s="2" t="s">
        <v>29</v>
      </c>
      <c r="I1181" s="2" t="s">
        <v>141</v>
      </c>
      <c r="J1181" s="2">
        <v>383</v>
      </c>
      <c r="K1181" s="2">
        <v>438.86</v>
      </c>
      <c r="L1181" s="2">
        <v>628.41999999999996</v>
      </c>
      <c r="M1181" s="2">
        <v>240684.86</v>
      </c>
      <c r="N1181" s="2">
        <v>168083.38</v>
      </c>
      <c r="O1181" s="2">
        <v>72601.48</v>
      </c>
      <c r="P1181" s="2" t="s">
        <v>42</v>
      </c>
      <c r="Q1181" s="2" t="s">
        <v>63</v>
      </c>
      <c r="R1181" s="2">
        <v>2</v>
      </c>
      <c r="S1181" s="2" t="s">
        <v>112</v>
      </c>
      <c r="T1181" s="2">
        <v>2539</v>
      </c>
      <c r="U1181" s="2">
        <v>15</v>
      </c>
      <c r="V1181" s="2"/>
    </row>
    <row r="1182" spans="1:22" x14ac:dyDescent="0.35">
      <c r="A1182" s="3" t="s">
        <v>3234</v>
      </c>
      <c r="B1182" s="3" t="s">
        <v>3235</v>
      </c>
      <c r="C1182" s="3" t="s">
        <v>1295</v>
      </c>
      <c r="D1182" s="3" t="s">
        <v>1949</v>
      </c>
      <c r="E1182" s="3" t="s">
        <v>68</v>
      </c>
      <c r="F1182" s="3" t="s">
        <v>146</v>
      </c>
      <c r="G1182" s="3" t="s">
        <v>78</v>
      </c>
      <c r="H1182" s="3" t="s">
        <v>178</v>
      </c>
      <c r="I1182" s="3" t="s">
        <v>240</v>
      </c>
      <c r="J1182" s="3">
        <v>347</v>
      </c>
      <c r="K1182" s="3">
        <v>239.4</v>
      </c>
      <c r="L1182" s="3">
        <v>377.31</v>
      </c>
      <c r="M1182" s="3">
        <v>130926.57</v>
      </c>
      <c r="N1182" s="3">
        <v>83071.8</v>
      </c>
      <c r="O1182" s="3">
        <v>47854.77</v>
      </c>
      <c r="P1182" s="3" t="s">
        <v>31</v>
      </c>
      <c r="Q1182" s="3" t="s">
        <v>32</v>
      </c>
      <c r="R1182" s="3">
        <v>13</v>
      </c>
      <c r="S1182" s="3" t="s">
        <v>53</v>
      </c>
      <c r="T1182" s="3">
        <v>941</v>
      </c>
      <c r="U1182" s="3">
        <v>4</v>
      </c>
      <c r="V1182" s="3"/>
    </row>
    <row r="1183" spans="1:22" x14ac:dyDescent="0.35">
      <c r="A1183" s="2" t="s">
        <v>3236</v>
      </c>
      <c r="B1183" s="2" t="s">
        <v>74</v>
      </c>
      <c r="C1183" s="2" t="s">
        <v>3237</v>
      </c>
      <c r="D1183" s="2" t="s">
        <v>3238</v>
      </c>
      <c r="E1183" s="2" t="s">
        <v>68</v>
      </c>
      <c r="F1183" s="2" t="s">
        <v>146</v>
      </c>
      <c r="G1183" s="2" t="s">
        <v>39</v>
      </c>
      <c r="H1183" s="2" t="s">
        <v>477</v>
      </c>
      <c r="I1183" s="2" t="s">
        <v>72</v>
      </c>
      <c r="J1183" s="2">
        <v>264</v>
      </c>
      <c r="K1183" s="2">
        <v>729.36</v>
      </c>
      <c r="L1183" s="2">
        <v>1014.81</v>
      </c>
      <c r="M1183" s="2">
        <v>267909.84000000003</v>
      </c>
      <c r="N1183" s="2">
        <v>192551.04000000001</v>
      </c>
      <c r="O1183" s="2">
        <v>75358.8</v>
      </c>
      <c r="P1183" s="2" t="s">
        <v>42</v>
      </c>
      <c r="Q1183" s="2" t="s">
        <v>32</v>
      </c>
      <c r="R1183" s="2">
        <v>8</v>
      </c>
      <c r="S1183" s="2" t="s">
        <v>53</v>
      </c>
      <c r="T1183" s="2">
        <v>4023</v>
      </c>
      <c r="U1183" s="2">
        <v>12</v>
      </c>
      <c r="V1183" s="2"/>
    </row>
    <row r="1184" spans="1:22" x14ac:dyDescent="0.35">
      <c r="A1184" s="3" t="s">
        <v>3239</v>
      </c>
      <c r="B1184" s="3" t="s">
        <v>1114</v>
      </c>
      <c r="C1184" s="3" t="s">
        <v>1328</v>
      </c>
      <c r="D1184" s="3" t="s">
        <v>3240</v>
      </c>
      <c r="E1184" s="3" t="s">
        <v>68</v>
      </c>
      <c r="F1184" s="3" t="s">
        <v>163</v>
      </c>
      <c r="G1184" s="3" t="s">
        <v>129</v>
      </c>
      <c r="H1184" s="3" t="s">
        <v>130</v>
      </c>
      <c r="I1184" s="3" t="s">
        <v>85</v>
      </c>
      <c r="J1184" s="3">
        <v>47</v>
      </c>
      <c r="K1184" s="3">
        <v>603.87</v>
      </c>
      <c r="L1184" s="3">
        <v>969.68</v>
      </c>
      <c r="M1184" s="3">
        <v>45574.96</v>
      </c>
      <c r="N1184" s="3">
        <v>28381.89</v>
      </c>
      <c r="O1184" s="3">
        <v>17193.07</v>
      </c>
      <c r="P1184" s="3" t="s">
        <v>31</v>
      </c>
      <c r="Q1184" s="3" t="s">
        <v>32</v>
      </c>
      <c r="R1184" s="3">
        <v>8</v>
      </c>
      <c r="S1184" s="3" t="s">
        <v>33</v>
      </c>
      <c r="T1184" s="3">
        <v>4716</v>
      </c>
      <c r="U1184" s="3">
        <v>0</v>
      </c>
      <c r="V1184" s="3"/>
    </row>
    <row r="1185" spans="1:22" x14ac:dyDescent="0.35">
      <c r="A1185" s="2" t="s">
        <v>3241</v>
      </c>
      <c r="B1185" s="2" t="s">
        <v>1037</v>
      </c>
      <c r="C1185" s="2" t="s">
        <v>1471</v>
      </c>
      <c r="D1185" s="2" t="s">
        <v>3242</v>
      </c>
      <c r="E1185" s="2" t="s">
        <v>1932</v>
      </c>
      <c r="F1185" s="2" t="s">
        <v>146</v>
      </c>
      <c r="G1185" s="2" t="s">
        <v>39</v>
      </c>
      <c r="H1185" s="2" t="s">
        <v>354</v>
      </c>
      <c r="I1185" s="2" t="s">
        <v>141</v>
      </c>
      <c r="J1185" s="2">
        <v>326</v>
      </c>
      <c r="K1185" s="2">
        <v>994.54</v>
      </c>
      <c r="L1185" s="2">
        <v>1498.2</v>
      </c>
      <c r="M1185" s="2">
        <v>488413.2</v>
      </c>
      <c r="N1185" s="2">
        <v>324220.03999999998</v>
      </c>
      <c r="O1185" s="2">
        <v>164193.16</v>
      </c>
      <c r="P1185" s="2" t="s">
        <v>31</v>
      </c>
      <c r="Q1185" s="2" t="s">
        <v>32</v>
      </c>
      <c r="R1185" s="2">
        <v>15</v>
      </c>
      <c r="S1185" s="2" t="s">
        <v>158</v>
      </c>
      <c r="T1185" s="2">
        <v>4487</v>
      </c>
      <c r="U1185" s="2">
        <v>13</v>
      </c>
      <c r="V1185" s="2"/>
    </row>
    <row r="1186" spans="1:22" x14ac:dyDescent="0.35">
      <c r="A1186" s="3" t="s">
        <v>3243</v>
      </c>
      <c r="B1186" s="3" t="s">
        <v>198</v>
      </c>
      <c r="C1186" s="3" t="s">
        <v>2726</v>
      </c>
      <c r="D1186" s="3" t="s">
        <v>3244</v>
      </c>
      <c r="E1186" s="3" t="s">
        <v>68</v>
      </c>
      <c r="F1186" s="3" t="s">
        <v>276</v>
      </c>
      <c r="G1186" s="3" t="s">
        <v>28</v>
      </c>
      <c r="H1186" s="3" t="s">
        <v>111</v>
      </c>
      <c r="I1186" s="3" t="s">
        <v>124</v>
      </c>
      <c r="J1186" s="3">
        <v>432</v>
      </c>
      <c r="K1186" s="3">
        <v>630.39</v>
      </c>
      <c r="L1186" s="3">
        <v>1019.78</v>
      </c>
      <c r="M1186" s="3">
        <v>440544.96</v>
      </c>
      <c r="N1186" s="3">
        <v>272328.48</v>
      </c>
      <c r="O1186" s="3">
        <v>168216.48</v>
      </c>
      <c r="P1186" s="3" t="s">
        <v>95</v>
      </c>
      <c r="Q1186" s="3" t="s">
        <v>32</v>
      </c>
      <c r="R1186" s="3">
        <v>11</v>
      </c>
      <c r="S1186" s="3" t="s">
        <v>86</v>
      </c>
      <c r="T1186" s="3">
        <v>2525</v>
      </c>
      <c r="U1186" s="3">
        <v>20</v>
      </c>
      <c r="V1186" s="3"/>
    </row>
    <row r="1187" spans="1:22" x14ac:dyDescent="0.35">
      <c r="A1187" s="2" t="s">
        <v>3245</v>
      </c>
      <c r="B1187" s="2" t="s">
        <v>1189</v>
      </c>
      <c r="C1187" s="2" t="s">
        <v>819</v>
      </c>
      <c r="D1187" s="2" t="s">
        <v>3246</v>
      </c>
      <c r="E1187" s="2" t="s">
        <v>48</v>
      </c>
      <c r="F1187" s="2" t="s">
        <v>281</v>
      </c>
      <c r="G1187" s="2" t="s">
        <v>93</v>
      </c>
      <c r="H1187" s="2" t="s">
        <v>485</v>
      </c>
      <c r="I1187" s="2" t="s">
        <v>141</v>
      </c>
      <c r="J1187" s="2">
        <v>320</v>
      </c>
      <c r="K1187" s="2">
        <v>154.34</v>
      </c>
      <c r="L1187" s="2">
        <v>237.3</v>
      </c>
      <c r="M1187" s="2">
        <v>75936</v>
      </c>
      <c r="N1187" s="2">
        <v>49388.800000000003</v>
      </c>
      <c r="O1187" s="2">
        <v>26547.200000000001</v>
      </c>
      <c r="P1187" s="2" t="s">
        <v>42</v>
      </c>
      <c r="Q1187" s="2" t="s">
        <v>32</v>
      </c>
      <c r="R1187" s="2">
        <v>7</v>
      </c>
      <c r="S1187" s="2" t="s">
        <v>43</v>
      </c>
      <c r="T1187" s="2">
        <v>1324</v>
      </c>
      <c r="U1187" s="2">
        <v>0</v>
      </c>
      <c r="V1187" s="2"/>
    </row>
    <row r="1188" spans="1:22" x14ac:dyDescent="0.35">
      <c r="A1188" s="3" t="s">
        <v>3247</v>
      </c>
      <c r="B1188" s="3" t="s">
        <v>407</v>
      </c>
      <c r="C1188" s="3" t="s">
        <v>242</v>
      </c>
      <c r="D1188" s="3" t="s">
        <v>3248</v>
      </c>
      <c r="E1188" s="3" t="s">
        <v>48</v>
      </c>
      <c r="F1188" s="3" t="s">
        <v>49</v>
      </c>
      <c r="G1188" s="3" t="s">
        <v>28</v>
      </c>
      <c r="H1188" s="3" t="s">
        <v>111</v>
      </c>
      <c r="I1188" s="3" t="s">
        <v>191</v>
      </c>
      <c r="J1188" s="3">
        <v>246</v>
      </c>
      <c r="K1188" s="3">
        <v>655.53</v>
      </c>
      <c r="L1188" s="3">
        <v>1038.47</v>
      </c>
      <c r="M1188" s="3">
        <v>255463.62</v>
      </c>
      <c r="N1188" s="3">
        <v>161260.38</v>
      </c>
      <c r="O1188" s="3">
        <v>94203.24</v>
      </c>
      <c r="P1188" s="3" t="s">
        <v>95</v>
      </c>
      <c r="Q1188" s="3" t="s">
        <v>32</v>
      </c>
      <c r="R1188" s="3">
        <v>15</v>
      </c>
      <c r="S1188" s="3" t="s">
        <v>53</v>
      </c>
      <c r="T1188" s="3">
        <v>3967</v>
      </c>
      <c r="U1188" s="3">
        <v>5</v>
      </c>
      <c r="V1188" s="3"/>
    </row>
    <row r="1189" spans="1:22" x14ac:dyDescent="0.35">
      <c r="A1189" s="2" t="s">
        <v>3249</v>
      </c>
      <c r="B1189" s="2" t="s">
        <v>2569</v>
      </c>
      <c r="C1189" s="2" t="s">
        <v>711</v>
      </c>
      <c r="D1189" s="2" t="s">
        <v>2135</v>
      </c>
      <c r="E1189" s="2" t="s">
        <v>58</v>
      </c>
      <c r="F1189" s="2" t="s">
        <v>59</v>
      </c>
      <c r="G1189" s="2" t="s">
        <v>217</v>
      </c>
      <c r="H1189" s="2" t="s">
        <v>340</v>
      </c>
      <c r="I1189" s="2" t="s">
        <v>41</v>
      </c>
      <c r="J1189" s="2">
        <v>94</v>
      </c>
      <c r="K1189" s="2">
        <v>57.28</v>
      </c>
      <c r="L1189" s="2">
        <v>76.849999999999994</v>
      </c>
      <c r="M1189" s="2">
        <v>7223.9</v>
      </c>
      <c r="N1189" s="2">
        <v>5384.32</v>
      </c>
      <c r="O1189" s="2">
        <v>1839.58</v>
      </c>
      <c r="P1189" s="2" t="s">
        <v>31</v>
      </c>
      <c r="Q1189" s="2" t="s">
        <v>32</v>
      </c>
      <c r="R1189" s="2">
        <v>10</v>
      </c>
      <c r="S1189" s="2" t="s">
        <v>158</v>
      </c>
      <c r="T1189" s="2">
        <v>2569</v>
      </c>
      <c r="U1189" s="2">
        <v>1</v>
      </c>
      <c r="V1189" s="2"/>
    </row>
    <row r="1190" spans="1:22" x14ac:dyDescent="0.35">
      <c r="A1190" s="3" t="s">
        <v>3250</v>
      </c>
      <c r="B1190" s="3" t="s">
        <v>751</v>
      </c>
      <c r="C1190" s="3" t="s">
        <v>1066</v>
      </c>
      <c r="D1190" s="3" t="s">
        <v>3251</v>
      </c>
      <c r="E1190" s="3" t="s">
        <v>48</v>
      </c>
      <c r="F1190" s="3" t="s">
        <v>270</v>
      </c>
      <c r="G1190" s="3" t="s">
        <v>70</v>
      </c>
      <c r="H1190" s="3" t="s">
        <v>822</v>
      </c>
      <c r="I1190" s="4"/>
      <c r="J1190" s="3">
        <v>424</v>
      </c>
      <c r="K1190" s="3">
        <v>115.65</v>
      </c>
      <c r="L1190" s="3">
        <v>171.87</v>
      </c>
      <c r="M1190" s="3">
        <v>72872.88</v>
      </c>
      <c r="N1190" s="3">
        <v>49035.6</v>
      </c>
      <c r="O1190" s="3">
        <v>23837.279999999999</v>
      </c>
      <c r="P1190" s="3" t="s">
        <v>52</v>
      </c>
      <c r="Q1190" s="3" t="s">
        <v>32</v>
      </c>
      <c r="R1190" s="3">
        <v>8</v>
      </c>
      <c r="S1190" s="3" t="s">
        <v>33</v>
      </c>
      <c r="T1190" s="3">
        <v>4448</v>
      </c>
      <c r="U1190" s="3">
        <v>6</v>
      </c>
      <c r="V1190" s="3"/>
    </row>
    <row r="1191" spans="1:22" x14ac:dyDescent="0.35">
      <c r="A1191" s="2" t="s">
        <v>3252</v>
      </c>
      <c r="B1191" s="2" t="s">
        <v>1226</v>
      </c>
      <c r="C1191" s="2" t="s">
        <v>932</v>
      </c>
      <c r="D1191" s="2" t="s">
        <v>3253</v>
      </c>
      <c r="E1191" s="2" t="s">
        <v>58</v>
      </c>
      <c r="F1191" s="2" t="s">
        <v>122</v>
      </c>
      <c r="G1191" s="2" t="s">
        <v>189</v>
      </c>
      <c r="H1191" s="2" t="s">
        <v>190</v>
      </c>
      <c r="I1191" s="2" t="s">
        <v>30</v>
      </c>
      <c r="J1191" s="2">
        <v>631</v>
      </c>
      <c r="K1191" s="2">
        <v>566.48</v>
      </c>
      <c r="L1191" s="2">
        <v>722.93</v>
      </c>
      <c r="M1191" s="2">
        <v>456168.83</v>
      </c>
      <c r="N1191" s="2">
        <v>357448.88</v>
      </c>
      <c r="O1191" s="2">
        <v>98719.95</v>
      </c>
      <c r="P1191" s="2" t="s">
        <v>95</v>
      </c>
      <c r="Q1191" s="2" t="s">
        <v>32</v>
      </c>
      <c r="R1191" s="2">
        <v>9</v>
      </c>
      <c r="S1191" s="2" t="s">
        <v>86</v>
      </c>
      <c r="T1191" s="2">
        <v>2324</v>
      </c>
      <c r="U1191" s="2">
        <v>31</v>
      </c>
      <c r="V1191" s="2"/>
    </row>
    <row r="1192" spans="1:22" x14ac:dyDescent="0.35">
      <c r="A1192" s="3" t="s">
        <v>3254</v>
      </c>
      <c r="B1192" s="3" t="s">
        <v>846</v>
      </c>
      <c r="C1192" s="3" t="s">
        <v>1597</v>
      </c>
      <c r="D1192" s="3" t="s">
        <v>3255</v>
      </c>
      <c r="E1192" s="3" t="s">
        <v>48</v>
      </c>
      <c r="F1192" s="3" t="s">
        <v>183</v>
      </c>
      <c r="G1192" s="3" t="s">
        <v>70</v>
      </c>
      <c r="H1192" s="3" t="s">
        <v>1019</v>
      </c>
      <c r="I1192" s="3" t="s">
        <v>124</v>
      </c>
      <c r="J1192" s="3">
        <v>787</v>
      </c>
      <c r="K1192" s="3">
        <v>1181.78</v>
      </c>
      <c r="L1192" s="3">
        <v>1724.52</v>
      </c>
      <c r="M1192" s="3">
        <v>1357197.24</v>
      </c>
      <c r="N1192" s="3">
        <v>930060.86</v>
      </c>
      <c r="O1192" s="3">
        <v>427136.38</v>
      </c>
      <c r="P1192" s="3" t="s">
        <v>52</v>
      </c>
      <c r="Q1192" s="3" t="s">
        <v>32</v>
      </c>
      <c r="R1192" s="3">
        <v>13</v>
      </c>
      <c r="S1192" s="3" t="s">
        <v>112</v>
      </c>
      <c r="T1192" s="3">
        <v>4730</v>
      </c>
      <c r="U1192" s="3">
        <v>33</v>
      </c>
      <c r="V1192" s="3"/>
    </row>
    <row r="1193" spans="1:22" x14ac:dyDescent="0.35">
      <c r="A1193" s="2" t="s">
        <v>3256</v>
      </c>
      <c r="B1193" s="2" t="s">
        <v>406</v>
      </c>
      <c r="C1193" s="2" t="s">
        <v>954</v>
      </c>
      <c r="D1193" s="2" t="s">
        <v>3257</v>
      </c>
      <c r="E1193" s="2" t="s">
        <v>68</v>
      </c>
      <c r="F1193" s="2" t="s">
        <v>69</v>
      </c>
      <c r="G1193" s="2" t="s">
        <v>28</v>
      </c>
      <c r="H1193" s="2" t="s">
        <v>714</v>
      </c>
      <c r="I1193" s="2" t="s">
        <v>85</v>
      </c>
      <c r="J1193" s="2">
        <v>796</v>
      </c>
      <c r="K1193" s="2">
        <v>522.99</v>
      </c>
      <c r="L1193" s="2">
        <v>730.67</v>
      </c>
      <c r="M1193" s="2">
        <v>581613.31999999995</v>
      </c>
      <c r="N1193" s="2">
        <v>416300.04</v>
      </c>
      <c r="O1193" s="2">
        <v>165313.28</v>
      </c>
      <c r="P1193" s="2" t="s">
        <v>42</v>
      </c>
      <c r="Q1193" s="2" t="s">
        <v>32</v>
      </c>
      <c r="R1193" s="2">
        <v>15</v>
      </c>
      <c r="S1193" s="2" t="s">
        <v>86</v>
      </c>
      <c r="T1193" s="2">
        <v>1802</v>
      </c>
      <c r="U1193" s="2">
        <v>25</v>
      </c>
      <c r="V1193" s="2"/>
    </row>
    <row r="1194" spans="1:22" x14ac:dyDescent="0.35">
      <c r="A1194" s="3" t="s">
        <v>3258</v>
      </c>
      <c r="B1194" s="3" t="s">
        <v>448</v>
      </c>
      <c r="C1194" s="3" t="s">
        <v>1149</v>
      </c>
      <c r="D1194" s="3" t="s">
        <v>1234</v>
      </c>
      <c r="E1194" s="3" t="s">
        <v>48</v>
      </c>
      <c r="F1194" s="3" t="s">
        <v>49</v>
      </c>
      <c r="G1194" s="3" t="s">
        <v>129</v>
      </c>
      <c r="H1194" s="3" t="s">
        <v>152</v>
      </c>
      <c r="I1194" s="3" t="s">
        <v>30</v>
      </c>
      <c r="J1194" s="3">
        <v>433</v>
      </c>
      <c r="K1194" s="3">
        <v>200.86</v>
      </c>
      <c r="L1194" s="3">
        <v>287.87</v>
      </c>
      <c r="M1194" s="3">
        <v>124647.71</v>
      </c>
      <c r="N1194" s="3">
        <v>86972.38</v>
      </c>
      <c r="O1194" s="3">
        <v>37675.33</v>
      </c>
      <c r="P1194" s="3" t="s">
        <v>31</v>
      </c>
      <c r="Q1194" s="3" t="s">
        <v>32</v>
      </c>
      <c r="R1194" s="3">
        <v>10</v>
      </c>
      <c r="S1194" s="3" t="s">
        <v>112</v>
      </c>
      <c r="T1194" s="4"/>
      <c r="U1194" s="3">
        <v>12</v>
      </c>
      <c r="V1194" s="3"/>
    </row>
    <row r="1195" spans="1:22" x14ac:dyDescent="0.35">
      <c r="A1195" s="2" t="s">
        <v>3259</v>
      </c>
      <c r="B1195" s="2" t="s">
        <v>3260</v>
      </c>
      <c r="C1195" s="2" t="s">
        <v>284</v>
      </c>
      <c r="D1195" s="2" t="s">
        <v>3261</v>
      </c>
      <c r="E1195" s="2" t="s">
        <v>58</v>
      </c>
      <c r="F1195" s="2" t="s">
        <v>59</v>
      </c>
      <c r="G1195" s="2" t="s">
        <v>60</v>
      </c>
      <c r="H1195" s="2" t="s">
        <v>539</v>
      </c>
      <c r="I1195" s="2" t="s">
        <v>191</v>
      </c>
      <c r="J1195" s="2">
        <v>412</v>
      </c>
      <c r="K1195" s="2">
        <v>221.16</v>
      </c>
      <c r="L1195" s="2">
        <v>311.05</v>
      </c>
      <c r="M1195" s="2">
        <v>128152.6</v>
      </c>
      <c r="N1195" s="2">
        <v>91117.92</v>
      </c>
      <c r="O1195" s="2">
        <v>37034.68</v>
      </c>
      <c r="P1195" s="2" t="s">
        <v>95</v>
      </c>
      <c r="Q1195" s="2" t="s">
        <v>32</v>
      </c>
      <c r="R1195" s="2">
        <v>14</v>
      </c>
      <c r="S1195" s="2" t="s">
        <v>112</v>
      </c>
      <c r="T1195" s="2">
        <v>2046</v>
      </c>
      <c r="U1195" s="2">
        <v>11</v>
      </c>
      <c r="V1195" s="2"/>
    </row>
    <row r="1196" spans="1:22" x14ac:dyDescent="0.35">
      <c r="A1196" s="3" t="s">
        <v>3262</v>
      </c>
      <c r="B1196" s="3" t="s">
        <v>3263</v>
      </c>
      <c r="C1196" s="3" t="s">
        <v>1948</v>
      </c>
      <c r="D1196" s="3" t="s">
        <v>3264</v>
      </c>
      <c r="E1196" s="3" t="s">
        <v>26</v>
      </c>
      <c r="F1196" s="3" t="s">
        <v>77</v>
      </c>
      <c r="G1196" s="3" t="s">
        <v>217</v>
      </c>
      <c r="H1196" s="3" t="s">
        <v>340</v>
      </c>
      <c r="I1196" s="3" t="s">
        <v>141</v>
      </c>
      <c r="J1196" s="3">
        <v>500</v>
      </c>
      <c r="K1196" s="3">
        <v>352.19</v>
      </c>
      <c r="L1196" s="3">
        <v>398.81</v>
      </c>
      <c r="M1196" s="3">
        <v>199405</v>
      </c>
      <c r="N1196" s="3">
        <v>176095</v>
      </c>
      <c r="O1196" s="3">
        <v>23310</v>
      </c>
      <c r="P1196" s="3" t="s">
        <v>42</v>
      </c>
      <c r="Q1196" s="3" t="s">
        <v>32</v>
      </c>
      <c r="R1196" s="3">
        <v>11</v>
      </c>
      <c r="S1196" s="3" t="s">
        <v>112</v>
      </c>
      <c r="T1196" s="3">
        <v>1684</v>
      </c>
      <c r="U1196" s="3">
        <v>9</v>
      </c>
      <c r="V1196" s="3"/>
    </row>
    <row r="1197" spans="1:22" x14ac:dyDescent="0.35">
      <c r="A1197" s="2" t="s">
        <v>3265</v>
      </c>
      <c r="B1197" s="2" t="s">
        <v>1307</v>
      </c>
      <c r="C1197" s="2" t="s">
        <v>262</v>
      </c>
      <c r="D1197" s="2" t="s">
        <v>3266</v>
      </c>
      <c r="E1197" s="2" t="s">
        <v>26</v>
      </c>
      <c r="F1197" s="2" t="s">
        <v>38</v>
      </c>
      <c r="G1197" s="2" t="s">
        <v>217</v>
      </c>
      <c r="H1197" s="2" t="s">
        <v>494</v>
      </c>
      <c r="I1197" s="2" t="s">
        <v>153</v>
      </c>
      <c r="J1197" s="2">
        <v>441</v>
      </c>
      <c r="K1197" s="2">
        <v>213.85</v>
      </c>
      <c r="L1197" s="2">
        <v>258.36</v>
      </c>
      <c r="M1197" s="2">
        <v>113936.76</v>
      </c>
      <c r="N1197" s="2">
        <v>94307.85</v>
      </c>
      <c r="O1197" s="2">
        <v>19628.91</v>
      </c>
      <c r="P1197" s="2" t="s">
        <v>95</v>
      </c>
      <c r="Q1197" s="2" t="s">
        <v>32</v>
      </c>
      <c r="R1197" s="2">
        <v>7</v>
      </c>
      <c r="S1197" s="2" t="s">
        <v>33</v>
      </c>
      <c r="T1197" s="2">
        <v>4672</v>
      </c>
      <c r="U1197" s="2">
        <v>7</v>
      </c>
      <c r="V1197" s="2"/>
    </row>
    <row r="1198" spans="1:22" x14ac:dyDescent="0.35">
      <c r="A1198" s="3" t="s">
        <v>3267</v>
      </c>
      <c r="B1198" s="3" t="s">
        <v>932</v>
      </c>
      <c r="C1198" s="3" t="s">
        <v>2569</v>
      </c>
      <c r="D1198" s="3" t="s">
        <v>3268</v>
      </c>
      <c r="E1198" s="3" t="s">
        <v>100</v>
      </c>
      <c r="F1198" s="3" t="s">
        <v>106</v>
      </c>
      <c r="G1198" s="3" t="s">
        <v>129</v>
      </c>
      <c r="H1198" s="3" t="s">
        <v>704</v>
      </c>
      <c r="I1198" s="3" t="s">
        <v>72</v>
      </c>
      <c r="J1198" s="3">
        <v>163</v>
      </c>
      <c r="K1198" s="3">
        <v>947.94</v>
      </c>
      <c r="L1198" s="3">
        <v>1462.89</v>
      </c>
      <c r="M1198" s="3">
        <v>238451.07</v>
      </c>
      <c r="N1198" s="3">
        <v>154514.22</v>
      </c>
      <c r="O1198" s="3">
        <v>83936.85</v>
      </c>
      <c r="P1198" s="3" t="s">
        <v>52</v>
      </c>
      <c r="Q1198" s="3" t="s">
        <v>32</v>
      </c>
      <c r="R1198" s="3">
        <v>10</v>
      </c>
      <c r="S1198" s="3" t="s">
        <v>33</v>
      </c>
      <c r="T1198" s="3">
        <v>3891</v>
      </c>
      <c r="U1198" s="3">
        <v>5</v>
      </c>
      <c r="V1198" s="3"/>
    </row>
    <row r="1199" spans="1:22" x14ac:dyDescent="0.35">
      <c r="A1199" s="2" t="s">
        <v>3269</v>
      </c>
      <c r="B1199" s="2" t="s">
        <v>209</v>
      </c>
      <c r="C1199" s="2" t="s">
        <v>82</v>
      </c>
      <c r="D1199" s="2" t="s">
        <v>3270</v>
      </c>
      <c r="E1199" s="2" t="s">
        <v>26</v>
      </c>
      <c r="F1199" s="2" t="s">
        <v>92</v>
      </c>
      <c r="G1199" s="2" t="s">
        <v>93</v>
      </c>
      <c r="H1199" s="2" t="s">
        <v>94</v>
      </c>
      <c r="I1199" s="2" t="s">
        <v>62</v>
      </c>
      <c r="J1199" s="2">
        <v>161</v>
      </c>
      <c r="K1199" s="2">
        <v>82.41</v>
      </c>
      <c r="L1199" s="2">
        <v>108.71</v>
      </c>
      <c r="M1199" s="2">
        <v>17502.310000000001</v>
      </c>
      <c r="N1199" s="2">
        <v>13268.01</v>
      </c>
      <c r="O1199" s="2">
        <v>4234.3</v>
      </c>
      <c r="P1199" s="2" t="s">
        <v>52</v>
      </c>
      <c r="Q1199" s="2" t="s">
        <v>32</v>
      </c>
      <c r="R1199" s="2">
        <v>14</v>
      </c>
      <c r="S1199" s="2" t="s">
        <v>112</v>
      </c>
      <c r="T1199" s="2">
        <v>4300</v>
      </c>
      <c r="U1199" s="2">
        <v>7</v>
      </c>
      <c r="V1199" s="2"/>
    </row>
    <row r="1200" spans="1:22" x14ac:dyDescent="0.35">
      <c r="A1200" s="3" t="s">
        <v>3271</v>
      </c>
      <c r="B1200" s="3" t="s">
        <v>649</v>
      </c>
      <c r="C1200" s="3" t="s">
        <v>309</v>
      </c>
      <c r="D1200" s="3" t="s">
        <v>2750</v>
      </c>
      <c r="E1200" s="3" t="s">
        <v>26</v>
      </c>
      <c r="F1200" s="3" t="s">
        <v>92</v>
      </c>
      <c r="G1200" s="3" t="s">
        <v>78</v>
      </c>
      <c r="H1200" s="3" t="s">
        <v>572</v>
      </c>
      <c r="I1200" s="3" t="s">
        <v>124</v>
      </c>
      <c r="J1200" s="3">
        <v>666</v>
      </c>
      <c r="K1200" s="4"/>
      <c r="L1200" s="3">
        <v>668.91</v>
      </c>
      <c r="M1200" s="3">
        <v>445494.06</v>
      </c>
      <c r="N1200" s="3">
        <v>390102.84</v>
      </c>
      <c r="O1200" s="3">
        <v>55391.22</v>
      </c>
      <c r="P1200" s="3" t="s">
        <v>95</v>
      </c>
      <c r="Q1200" s="3" t="s">
        <v>63</v>
      </c>
      <c r="R1200" s="3">
        <v>4</v>
      </c>
      <c r="S1200" s="3" t="s">
        <v>86</v>
      </c>
      <c r="T1200" s="3">
        <v>3594</v>
      </c>
      <c r="U1200" s="3">
        <v>31</v>
      </c>
      <c r="V1200" s="3"/>
    </row>
    <row r="1201" spans="1:22" x14ac:dyDescent="0.35">
      <c r="A1201" s="2" t="s">
        <v>3272</v>
      </c>
      <c r="B1201" s="2" t="s">
        <v>55</v>
      </c>
      <c r="C1201" s="2" t="s">
        <v>829</v>
      </c>
      <c r="D1201" s="2" t="s">
        <v>3273</v>
      </c>
      <c r="E1201" s="2" t="s">
        <v>68</v>
      </c>
      <c r="F1201" s="2" t="s">
        <v>69</v>
      </c>
      <c r="G1201" s="2" t="s">
        <v>39</v>
      </c>
      <c r="H1201" s="2" t="s">
        <v>647</v>
      </c>
      <c r="I1201" s="2" t="s">
        <v>72</v>
      </c>
      <c r="J1201" s="2">
        <v>163</v>
      </c>
      <c r="K1201" s="2">
        <v>192.9</v>
      </c>
      <c r="L1201" s="2">
        <v>284.73</v>
      </c>
      <c r="M1201" s="2">
        <v>46410.99</v>
      </c>
      <c r="N1201" s="2">
        <v>31442.7</v>
      </c>
      <c r="O1201" s="2">
        <v>14968.29</v>
      </c>
      <c r="P1201" s="2" t="s">
        <v>52</v>
      </c>
      <c r="Q1201" s="2" t="s">
        <v>32</v>
      </c>
      <c r="R1201" s="2">
        <v>15</v>
      </c>
      <c r="S1201" s="2" t="s">
        <v>53</v>
      </c>
      <c r="T1201" s="2">
        <v>4472</v>
      </c>
      <c r="U1201" s="2">
        <v>0</v>
      </c>
      <c r="V1201" s="2"/>
    </row>
    <row r="1202" spans="1:22" x14ac:dyDescent="0.35">
      <c r="A1202" s="3" t="s">
        <v>3274</v>
      </c>
      <c r="B1202" s="3" t="s">
        <v>3275</v>
      </c>
      <c r="C1202" s="3" t="s">
        <v>3170</v>
      </c>
      <c r="D1202" s="3" t="s">
        <v>3276</v>
      </c>
      <c r="E1202" s="3" t="s">
        <v>48</v>
      </c>
      <c r="F1202" s="3" t="s">
        <v>183</v>
      </c>
      <c r="G1202" s="3" t="s">
        <v>217</v>
      </c>
      <c r="H1202" s="3" t="s">
        <v>725</v>
      </c>
      <c r="I1202" s="3" t="s">
        <v>191</v>
      </c>
      <c r="J1202" s="3">
        <v>31</v>
      </c>
      <c r="K1202" s="3">
        <v>503.7</v>
      </c>
      <c r="L1202" s="3">
        <v>580.97</v>
      </c>
      <c r="M1202" s="3">
        <v>18010.07</v>
      </c>
      <c r="N1202" s="3">
        <v>15614.7</v>
      </c>
      <c r="O1202" s="3">
        <v>2395.37</v>
      </c>
      <c r="P1202" s="3" t="s">
        <v>42</v>
      </c>
      <c r="Q1202" s="3" t="s">
        <v>32</v>
      </c>
      <c r="R1202" s="3">
        <v>7</v>
      </c>
      <c r="S1202" s="3" t="s">
        <v>112</v>
      </c>
      <c r="T1202" s="3">
        <v>668</v>
      </c>
      <c r="U1202" s="3">
        <v>0</v>
      </c>
      <c r="V1202" s="3"/>
    </row>
    <row r="1203" spans="1:22" x14ac:dyDescent="0.35">
      <c r="A1203" s="2" t="s">
        <v>3277</v>
      </c>
      <c r="B1203" s="2" t="s">
        <v>1299</v>
      </c>
      <c r="C1203" s="2" t="s">
        <v>382</v>
      </c>
      <c r="D1203" s="2" t="s">
        <v>3278</v>
      </c>
      <c r="E1203" s="2" t="s">
        <v>68</v>
      </c>
      <c r="F1203" s="2" t="s">
        <v>69</v>
      </c>
      <c r="G1203" s="2" t="s">
        <v>78</v>
      </c>
      <c r="H1203" s="2" t="s">
        <v>481</v>
      </c>
      <c r="I1203" s="2" t="s">
        <v>153</v>
      </c>
      <c r="J1203" s="2">
        <v>636</v>
      </c>
      <c r="K1203" s="2">
        <v>805.28</v>
      </c>
      <c r="L1203" s="2">
        <v>1020.35</v>
      </c>
      <c r="M1203" s="2">
        <v>648942.6</v>
      </c>
      <c r="N1203" s="2">
        <v>512158.08</v>
      </c>
      <c r="O1203" s="2">
        <v>136784.51999999999</v>
      </c>
      <c r="P1203" s="2" t="s">
        <v>95</v>
      </c>
      <c r="Q1203" s="2" t="s">
        <v>32</v>
      </c>
      <c r="R1203" s="2">
        <v>10</v>
      </c>
      <c r="S1203" s="2" t="s">
        <v>158</v>
      </c>
      <c r="T1203" s="2">
        <v>789</v>
      </c>
      <c r="U1203" s="2">
        <v>27</v>
      </c>
      <c r="V1203" s="2"/>
    </row>
    <row r="1204" spans="1:22" x14ac:dyDescent="0.35">
      <c r="A1204" s="3" t="s">
        <v>3279</v>
      </c>
      <c r="B1204" s="3" t="s">
        <v>1015</v>
      </c>
      <c r="C1204" s="3" t="s">
        <v>210</v>
      </c>
      <c r="D1204" s="3" t="s">
        <v>3280</v>
      </c>
      <c r="E1204" s="3" t="s">
        <v>48</v>
      </c>
      <c r="F1204" s="3" t="s">
        <v>49</v>
      </c>
      <c r="G1204" s="3" t="s">
        <v>50</v>
      </c>
      <c r="H1204" s="3" t="s">
        <v>734</v>
      </c>
      <c r="I1204" s="3" t="s">
        <v>191</v>
      </c>
      <c r="J1204" s="3">
        <v>68</v>
      </c>
      <c r="K1204" s="3">
        <v>271.64999999999998</v>
      </c>
      <c r="L1204" s="3">
        <v>434.82</v>
      </c>
      <c r="M1204" s="3">
        <v>29567.759999999998</v>
      </c>
      <c r="N1204" s="3">
        <v>18472.2</v>
      </c>
      <c r="O1204" s="3">
        <v>11095.56</v>
      </c>
      <c r="P1204" s="3" t="s">
        <v>42</v>
      </c>
      <c r="Q1204" s="3" t="s">
        <v>63</v>
      </c>
      <c r="R1204" s="3">
        <v>3</v>
      </c>
      <c r="S1204" s="3" t="s">
        <v>158</v>
      </c>
      <c r="T1204" s="3">
        <v>1870</v>
      </c>
      <c r="U1204" s="3">
        <v>3</v>
      </c>
      <c r="V1204" s="3"/>
    </row>
    <row r="1205" spans="1:22" x14ac:dyDescent="0.35">
      <c r="A1205" s="2" t="s">
        <v>3281</v>
      </c>
      <c r="B1205" s="2" t="s">
        <v>510</v>
      </c>
      <c r="C1205" s="2" t="s">
        <v>759</v>
      </c>
      <c r="D1205" s="2" t="s">
        <v>3282</v>
      </c>
      <c r="E1205" s="2" t="s">
        <v>26</v>
      </c>
      <c r="F1205" s="2" t="s">
        <v>38</v>
      </c>
      <c r="G1205" s="2" t="s">
        <v>189</v>
      </c>
      <c r="H1205" s="2" t="s">
        <v>437</v>
      </c>
      <c r="I1205" s="2" t="s">
        <v>41</v>
      </c>
      <c r="J1205" s="2">
        <v>264</v>
      </c>
      <c r="K1205" s="2">
        <v>1032.03</v>
      </c>
      <c r="L1205" s="2">
        <v>1659.24</v>
      </c>
      <c r="M1205" s="2">
        <v>438039.36</v>
      </c>
      <c r="N1205" s="2">
        <v>272455.92</v>
      </c>
      <c r="O1205" s="2">
        <v>165583.44</v>
      </c>
      <c r="P1205" s="2" t="s">
        <v>52</v>
      </c>
      <c r="Q1205" s="2" t="s">
        <v>32</v>
      </c>
      <c r="R1205" s="2">
        <v>14</v>
      </c>
      <c r="S1205" s="2" t="s">
        <v>158</v>
      </c>
      <c r="T1205" s="2">
        <v>1476</v>
      </c>
      <c r="U1205" s="2">
        <v>1</v>
      </c>
      <c r="V1205" s="2"/>
    </row>
    <row r="1206" spans="1:22" x14ac:dyDescent="0.35">
      <c r="A1206" s="3" t="s">
        <v>3283</v>
      </c>
      <c r="B1206" s="3" t="s">
        <v>630</v>
      </c>
      <c r="C1206" s="3" t="s">
        <v>1189</v>
      </c>
      <c r="D1206" s="3" t="s">
        <v>3284</v>
      </c>
      <c r="E1206" s="3" t="s">
        <v>48</v>
      </c>
      <c r="F1206" s="3" t="s">
        <v>270</v>
      </c>
      <c r="G1206" s="3" t="s">
        <v>39</v>
      </c>
      <c r="H1206" s="3" t="s">
        <v>412</v>
      </c>
      <c r="I1206" s="3" t="s">
        <v>118</v>
      </c>
      <c r="J1206" s="3">
        <v>655</v>
      </c>
      <c r="K1206" s="3">
        <v>347.73</v>
      </c>
      <c r="L1206" s="3">
        <v>430.95</v>
      </c>
      <c r="M1206" s="3">
        <v>282272.25</v>
      </c>
      <c r="N1206" s="3">
        <v>227763.15</v>
      </c>
      <c r="O1206" s="3">
        <v>54509.1</v>
      </c>
      <c r="P1206" s="3" t="s">
        <v>31</v>
      </c>
      <c r="Q1206" s="3" t="s">
        <v>32</v>
      </c>
      <c r="R1206" s="3">
        <v>9</v>
      </c>
      <c r="S1206" s="3" t="s">
        <v>53</v>
      </c>
      <c r="T1206" s="3">
        <v>1820</v>
      </c>
      <c r="U1206" s="3">
        <v>26</v>
      </c>
      <c r="V1206" s="3"/>
    </row>
    <row r="1207" spans="1:22" x14ac:dyDescent="0.35">
      <c r="A1207" s="3" t="s">
        <v>3285</v>
      </c>
      <c r="B1207" s="3" t="s">
        <v>1130</v>
      </c>
      <c r="C1207" s="3" t="s">
        <v>1233</v>
      </c>
      <c r="D1207" s="3" t="s">
        <v>1441</v>
      </c>
      <c r="E1207" s="3" t="s">
        <v>58</v>
      </c>
      <c r="F1207" s="3" t="s">
        <v>122</v>
      </c>
      <c r="G1207" s="3" t="s">
        <v>129</v>
      </c>
      <c r="H1207" s="3" t="s">
        <v>811</v>
      </c>
      <c r="I1207" s="3" t="s">
        <v>41</v>
      </c>
      <c r="J1207" s="3">
        <v>274</v>
      </c>
      <c r="K1207" s="3">
        <v>1113.6500000000001</v>
      </c>
      <c r="L1207" s="3">
        <v>1330.59</v>
      </c>
      <c r="M1207" s="3">
        <v>364581.66</v>
      </c>
      <c r="N1207" s="3">
        <v>305140.09999999998</v>
      </c>
      <c r="O1207" s="3">
        <v>59441.56</v>
      </c>
      <c r="P1207" s="3" t="s">
        <v>31</v>
      </c>
      <c r="Q1207" s="3" t="s">
        <v>32</v>
      </c>
      <c r="R1207" s="3">
        <v>15</v>
      </c>
      <c r="S1207" s="3" t="s">
        <v>158</v>
      </c>
      <c r="T1207" s="3">
        <v>4827</v>
      </c>
      <c r="U1207" s="3">
        <v>9</v>
      </c>
      <c r="V1207" s="3"/>
    </row>
    <row r="1208" spans="1:22" x14ac:dyDescent="0.35">
      <c r="A1208" s="2" t="s">
        <v>3286</v>
      </c>
      <c r="B1208" s="2" t="s">
        <v>853</v>
      </c>
      <c r="C1208" s="2" t="s">
        <v>736</v>
      </c>
      <c r="D1208" s="2" t="s">
        <v>3287</v>
      </c>
      <c r="E1208" s="2" t="s">
        <v>100</v>
      </c>
      <c r="F1208" s="2" t="s">
        <v>106</v>
      </c>
      <c r="G1208" s="2" t="s">
        <v>189</v>
      </c>
      <c r="H1208" s="2" t="s">
        <v>190</v>
      </c>
      <c r="I1208" s="2" t="s">
        <v>191</v>
      </c>
      <c r="J1208" s="2">
        <v>468</v>
      </c>
      <c r="K1208" s="2">
        <v>172.05</v>
      </c>
      <c r="L1208" s="2">
        <v>239.26</v>
      </c>
      <c r="M1208" s="4" t="s">
        <v>1893</v>
      </c>
      <c r="N1208" s="2">
        <v>80519.399999999994</v>
      </c>
      <c r="O1208" s="2">
        <v>31454.28</v>
      </c>
      <c r="P1208" s="2" t="s">
        <v>52</v>
      </c>
      <c r="Q1208" s="2" t="s">
        <v>32</v>
      </c>
      <c r="R1208" s="2">
        <v>11</v>
      </c>
      <c r="S1208" s="2" t="s">
        <v>53</v>
      </c>
      <c r="T1208" s="2">
        <v>928</v>
      </c>
      <c r="U1208" s="2">
        <v>21</v>
      </c>
      <c r="V1208" s="2"/>
    </row>
    <row r="1209" spans="1:22" x14ac:dyDescent="0.35">
      <c r="A1209" s="3" t="s">
        <v>3288</v>
      </c>
      <c r="B1209" s="3" t="s">
        <v>2268</v>
      </c>
      <c r="C1209" s="3" t="s">
        <v>246</v>
      </c>
      <c r="D1209" s="3" t="s">
        <v>3289</v>
      </c>
      <c r="E1209" s="3" t="s">
        <v>100</v>
      </c>
      <c r="F1209" s="3" t="s">
        <v>538</v>
      </c>
      <c r="G1209" s="3" t="s">
        <v>60</v>
      </c>
      <c r="H1209" s="3" t="s">
        <v>539</v>
      </c>
      <c r="I1209" s="3" t="s">
        <v>293</v>
      </c>
      <c r="J1209" s="3">
        <v>671</v>
      </c>
      <c r="K1209" s="3">
        <v>781.61</v>
      </c>
      <c r="L1209" s="3">
        <v>898.84</v>
      </c>
      <c r="M1209" s="3">
        <v>603121.64</v>
      </c>
      <c r="N1209" s="3">
        <v>524460.31000000006</v>
      </c>
      <c r="O1209" s="3">
        <v>78661.33</v>
      </c>
      <c r="P1209" s="3" t="s">
        <v>52</v>
      </c>
      <c r="Q1209" s="3" t="s">
        <v>63</v>
      </c>
      <c r="R1209" s="3">
        <v>3</v>
      </c>
      <c r="S1209" s="3" t="s">
        <v>158</v>
      </c>
      <c r="T1209" s="3">
        <v>2412</v>
      </c>
      <c r="U1209" s="3">
        <v>4</v>
      </c>
      <c r="V1209" s="3"/>
    </row>
    <row r="1210" spans="1:22" x14ac:dyDescent="0.35">
      <c r="A1210" s="2" t="s">
        <v>3290</v>
      </c>
      <c r="B1210" s="2" t="s">
        <v>375</v>
      </c>
      <c r="C1210" s="2" t="s">
        <v>1380</v>
      </c>
      <c r="D1210" s="2" t="s">
        <v>3291</v>
      </c>
      <c r="E1210" s="2" t="s">
        <v>48</v>
      </c>
      <c r="F1210" s="2" t="s">
        <v>270</v>
      </c>
      <c r="G1210" s="2" t="s">
        <v>70</v>
      </c>
      <c r="H1210" s="2" t="s">
        <v>822</v>
      </c>
      <c r="I1210" s="2" t="s">
        <v>293</v>
      </c>
      <c r="J1210" s="2">
        <v>491</v>
      </c>
      <c r="K1210" s="2">
        <v>680.24</v>
      </c>
      <c r="L1210" s="2">
        <v>951.64</v>
      </c>
      <c r="M1210" s="2">
        <v>467255.24</v>
      </c>
      <c r="N1210" s="2">
        <v>333997.84000000003</v>
      </c>
      <c r="O1210" s="2">
        <v>133257.4</v>
      </c>
      <c r="P1210" s="2" t="s">
        <v>42</v>
      </c>
      <c r="Q1210" s="2" t="s">
        <v>32</v>
      </c>
      <c r="R1210" s="2">
        <v>10</v>
      </c>
      <c r="S1210" s="2" t="s">
        <v>86</v>
      </c>
      <c r="T1210" s="2">
        <v>1850</v>
      </c>
      <c r="U1210" s="2">
        <v>9</v>
      </c>
      <c r="V1210" s="2"/>
    </row>
    <row r="1211" spans="1:22" x14ac:dyDescent="0.35">
      <c r="A1211" s="3" t="s">
        <v>3292</v>
      </c>
      <c r="B1211" s="3" t="s">
        <v>3293</v>
      </c>
      <c r="C1211" s="3" t="s">
        <v>1165</v>
      </c>
      <c r="D1211" s="3" t="s">
        <v>3294</v>
      </c>
      <c r="E1211" s="3" t="s">
        <v>26</v>
      </c>
      <c r="F1211" s="3" t="s">
        <v>27</v>
      </c>
      <c r="G1211" s="3" t="s">
        <v>70</v>
      </c>
      <c r="H1211" s="3" t="s">
        <v>84</v>
      </c>
      <c r="I1211" s="3" t="s">
        <v>41</v>
      </c>
      <c r="J1211" s="3">
        <v>360</v>
      </c>
      <c r="K1211" s="3">
        <v>1169.5999999999999</v>
      </c>
      <c r="L1211" s="3">
        <v>1584.58</v>
      </c>
      <c r="M1211" s="3">
        <v>570448.80000000005</v>
      </c>
      <c r="N1211" s="3">
        <v>421056</v>
      </c>
      <c r="O1211" s="3">
        <v>149392.79999999999</v>
      </c>
      <c r="P1211" s="3" t="s">
        <v>31</v>
      </c>
      <c r="Q1211" s="3" t="s">
        <v>32</v>
      </c>
      <c r="R1211" s="3">
        <v>10</v>
      </c>
      <c r="S1211" s="3" t="s">
        <v>158</v>
      </c>
      <c r="T1211" s="3">
        <v>604</v>
      </c>
      <c r="U1211" s="3">
        <v>13</v>
      </c>
      <c r="V1211" s="3"/>
    </row>
    <row r="1212" spans="1:22" x14ac:dyDescent="0.35">
      <c r="A1212" s="2" t="s">
        <v>3295</v>
      </c>
      <c r="B1212" s="2" t="s">
        <v>3296</v>
      </c>
      <c r="C1212" s="2" t="s">
        <v>1312</v>
      </c>
      <c r="D1212" s="2" t="s">
        <v>3297</v>
      </c>
      <c r="E1212" s="2" t="s">
        <v>48</v>
      </c>
      <c r="F1212" s="2" t="s">
        <v>49</v>
      </c>
      <c r="G1212" s="2" t="s">
        <v>189</v>
      </c>
      <c r="H1212" s="2" t="s">
        <v>271</v>
      </c>
      <c r="I1212" s="2" t="s">
        <v>85</v>
      </c>
      <c r="J1212" s="2">
        <v>423</v>
      </c>
      <c r="K1212" s="2">
        <v>735.62</v>
      </c>
      <c r="L1212" s="2">
        <v>1112.8399999999999</v>
      </c>
      <c r="M1212" s="2">
        <v>470731.32</v>
      </c>
      <c r="N1212" s="2">
        <v>311167.26</v>
      </c>
      <c r="O1212" s="2">
        <v>159564.06</v>
      </c>
      <c r="P1212" s="2" t="s">
        <v>31</v>
      </c>
      <c r="Q1212" s="2" t="s">
        <v>32</v>
      </c>
      <c r="R1212" s="2">
        <v>9</v>
      </c>
      <c r="S1212" s="2" t="s">
        <v>112</v>
      </c>
      <c r="T1212" s="2">
        <v>4898</v>
      </c>
      <c r="U1212" s="2">
        <v>19</v>
      </c>
      <c r="V1212" s="2"/>
    </row>
    <row r="1213" spans="1:22" x14ac:dyDescent="0.35">
      <c r="A1213" s="3" t="s">
        <v>3298</v>
      </c>
      <c r="B1213" s="3" t="s">
        <v>1522</v>
      </c>
      <c r="C1213" s="3" t="s">
        <v>1632</v>
      </c>
      <c r="D1213" s="3" t="s">
        <v>1807</v>
      </c>
      <c r="E1213" s="3" t="s">
        <v>100</v>
      </c>
      <c r="F1213" s="3" t="s">
        <v>238</v>
      </c>
      <c r="G1213" s="3" t="s">
        <v>93</v>
      </c>
      <c r="H1213" s="3" t="s">
        <v>302</v>
      </c>
      <c r="I1213" s="3" t="s">
        <v>72</v>
      </c>
      <c r="J1213" s="3">
        <v>416</v>
      </c>
      <c r="K1213" s="3">
        <v>851.97</v>
      </c>
      <c r="L1213" s="3">
        <v>1257.3699999999999</v>
      </c>
      <c r="M1213" s="3">
        <v>523065.92</v>
      </c>
      <c r="N1213" s="3">
        <v>354419.52</v>
      </c>
      <c r="O1213" s="3">
        <v>168646.39999999999</v>
      </c>
      <c r="P1213" s="3" t="s">
        <v>31</v>
      </c>
      <c r="Q1213" s="3" t="s">
        <v>63</v>
      </c>
      <c r="R1213" s="3">
        <v>4</v>
      </c>
      <c r="S1213" s="3" t="s">
        <v>86</v>
      </c>
      <c r="T1213" s="3">
        <v>4828</v>
      </c>
      <c r="U1213" s="3">
        <v>3</v>
      </c>
      <c r="V1213" s="3"/>
    </row>
    <row r="1214" spans="1:22" x14ac:dyDescent="0.35">
      <c r="A1214" s="2" t="s">
        <v>3299</v>
      </c>
      <c r="B1214" s="2" t="s">
        <v>144</v>
      </c>
      <c r="C1214" s="2" t="s">
        <v>3300</v>
      </c>
      <c r="D1214" s="2" t="s">
        <v>1457</v>
      </c>
      <c r="E1214" s="2" t="s">
        <v>48</v>
      </c>
      <c r="F1214" s="2" t="s">
        <v>270</v>
      </c>
      <c r="G1214" s="2" t="s">
        <v>189</v>
      </c>
      <c r="H1214" s="2" t="s">
        <v>561</v>
      </c>
      <c r="I1214" s="2" t="s">
        <v>118</v>
      </c>
      <c r="J1214" s="2">
        <v>464</v>
      </c>
      <c r="K1214" s="2">
        <v>86.91</v>
      </c>
      <c r="L1214" s="2">
        <v>139.77000000000001</v>
      </c>
      <c r="M1214" s="2">
        <v>64853.279999999999</v>
      </c>
      <c r="N1214" s="4" t="s">
        <v>1309</v>
      </c>
      <c r="O1214" s="2">
        <v>24527.040000000001</v>
      </c>
      <c r="P1214" s="2" t="s">
        <v>31</v>
      </c>
      <c r="Q1214" s="2" t="s">
        <v>32</v>
      </c>
      <c r="R1214" s="2">
        <v>7</v>
      </c>
      <c r="S1214" s="2" t="s">
        <v>43</v>
      </c>
      <c r="T1214" s="2">
        <v>1250</v>
      </c>
      <c r="U1214" s="2">
        <v>19</v>
      </c>
      <c r="V1214" s="2"/>
    </row>
    <row r="1215" spans="1:22" x14ac:dyDescent="0.35">
      <c r="A1215" s="3" t="s">
        <v>3301</v>
      </c>
      <c r="B1215" s="3" t="s">
        <v>379</v>
      </c>
      <c r="C1215" s="3" t="s">
        <v>1233</v>
      </c>
      <c r="D1215" s="3" t="s">
        <v>3302</v>
      </c>
      <c r="E1215" s="3" t="s">
        <v>48</v>
      </c>
      <c r="F1215" s="3" t="s">
        <v>270</v>
      </c>
      <c r="G1215" s="3" t="s">
        <v>129</v>
      </c>
      <c r="H1215" s="3" t="s">
        <v>704</v>
      </c>
      <c r="I1215" s="3" t="s">
        <v>118</v>
      </c>
      <c r="J1215" s="3">
        <v>563</v>
      </c>
      <c r="K1215" s="3">
        <v>783.64</v>
      </c>
      <c r="L1215" s="3">
        <v>1187.05</v>
      </c>
      <c r="M1215" s="3">
        <v>668309.15</v>
      </c>
      <c r="N1215" s="3">
        <v>441189.32</v>
      </c>
      <c r="O1215" s="3">
        <v>227119.83</v>
      </c>
      <c r="P1215" s="3" t="s">
        <v>95</v>
      </c>
      <c r="Q1215" s="3" t="s">
        <v>32</v>
      </c>
      <c r="R1215" s="3">
        <v>14</v>
      </c>
      <c r="S1215" s="3" t="s">
        <v>53</v>
      </c>
      <c r="T1215" s="3">
        <v>1219</v>
      </c>
      <c r="U1215" s="3">
        <v>11</v>
      </c>
      <c r="V1215" s="3"/>
    </row>
    <row r="1216" spans="1:22" x14ac:dyDescent="0.35">
      <c r="A1216" s="2" t="s">
        <v>3303</v>
      </c>
      <c r="B1216" s="2" t="s">
        <v>559</v>
      </c>
      <c r="C1216" s="2" t="s">
        <v>856</v>
      </c>
      <c r="D1216" s="2" t="s">
        <v>3304</v>
      </c>
      <c r="E1216" s="2" t="s">
        <v>48</v>
      </c>
      <c r="F1216" s="2" t="s">
        <v>270</v>
      </c>
      <c r="G1216" s="2" t="s">
        <v>60</v>
      </c>
      <c r="H1216" s="2" t="s">
        <v>539</v>
      </c>
      <c r="I1216" s="2" t="s">
        <v>30</v>
      </c>
      <c r="J1216" s="2">
        <v>555</v>
      </c>
      <c r="K1216" s="2">
        <v>280.43</v>
      </c>
      <c r="L1216" s="2">
        <v>445.94</v>
      </c>
      <c r="M1216" s="2">
        <v>247496.7</v>
      </c>
      <c r="N1216" s="2">
        <v>155638.65</v>
      </c>
      <c r="O1216" s="2">
        <v>91858.05</v>
      </c>
      <c r="P1216" s="2" t="s">
        <v>95</v>
      </c>
      <c r="Q1216" s="2" t="s">
        <v>63</v>
      </c>
      <c r="R1216" s="2">
        <v>1</v>
      </c>
      <c r="S1216" s="2" t="s">
        <v>33</v>
      </c>
      <c r="T1216" s="2">
        <v>1809</v>
      </c>
      <c r="U1216" s="2">
        <v>4</v>
      </c>
      <c r="V1216" s="2"/>
    </row>
    <row r="1217" spans="1:22" x14ac:dyDescent="0.35">
      <c r="A1217" s="3" t="s">
        <v>3305</v>
      </c>
      <c r="B1217" s="3" t="s">
        <v>672</v>
      </c>
      <c r="C1217" s="3" t="s">
        <v>3306</v>
      </c>
      <c r="D1217" s="3" t="s">
        <v>3307</v>
      </c>
      <c r="E1217" s="3" t="s">
        <v>58</v>
      </c>
      <c r="F1217" s="3" t="s">
        <v>116</v>
      </c>
      <c r="G1217" s="3" t="s">
        <v>189</v>
      </c>
      <c r="H1217" s="3" t="s">
        <v>561</v>
      </c>
      <c r="I1217" s="3" t="s">
        <v>240</v>
      </c>
      <c r="J1217" s="3">
        <v>122</v>
      </c>
      <c r="K1217" s="3">
        <v>414.17</v>
      </c>
      <c r="L1217" s="3">
        <v>584.37</v>
      </c>
      <c r="M1217" s="3">
        <v>71293.14</v>
      </c>
      <c r="N1217" s="3">
        <v>50528.74</v>
      </c>
      <c r="O1217" s="3">
        <v>20764.400000000001</v>
      </c>
      <c r="P1217" s="3" t="s">
        <v>95</v>
      </c>
      <c r="Q1217" s="3" t="s">
        <v>32</v>
      </c>
      <c r="R1217" s="3">
        <v>12</v>
      </c>
      <c r="S1217" s="3" t="s">
        <v>53</v>
      </c>
      <c r="T1217" s="3">
        <v>3962</v>
      </c>
      <c r="U1217" s="3">
        <v>2</v>
      </c>
      <c r="V1217" s="3"/>
    </row>
    <row r="1218" spans="1:22" x14ac:dyDescent="0.35">
      <c r="A1218" s="2" t="s">
        <v>3308</v>
      </c>
      <c r="B1218" s="2" t="s">
        <v>176</v>
      </c>
      <c r="C1218" s="2" t="s">
        <v>379</v>
      </c>
      <c r="D1218" s="2" t="s">
        <v>3309</v>
      </c>
      <c r="E1218" s="4"/>
      <c r="F1218" s="2" t="s">
        <v>538</v>
      </c>
      <c r="G1218" s="2" t="s">
        <v>93</v>
      </c>
      <c r="H1218" s="2" t="s">
        <v>184</v>
      </c>
      <c r="I1218" s="2" t="s">
        <v>72</v>
      </c>
      <c r="J1218" s="2">
        <v>110</v>
      </c>
      <c r="K1218" s="2">
        <v>884.97</v>
      </c>
      <c r="L1218" s="2">
        <v>1111.9100000000001</v>
      </c>
      <c r="M1218" s="2">
        <v>122310.1</v>
      </c>
      <c r="N1218" s="2">
        <v>97346.7</v>
      </c>
      <c r="O1218" s="2">
        <v>24963.4</v>
      </c>
      <c r="P1218" s="2" t="s">
        <v>52</v>
      </c>
      <c r="Q1218" s="2" t="s">
        <v>63</v>
      </c>
      <c r="R1218" s="2">
        <v>3</v>
      </c>
      <c r="S1218" s="2" t="s">
        <v>43</v>
      </c>
      <c r="T1218" s="2">
        <v>1725</v>
      </c>
      <c r="U1218" s="2">
        <v>1</v>
      </c>
      <c r="V1218" s="2"/>
    </row>
    <row r="1219" spans="1:22" x14ac:dyDescent="0.35">
      <c r="A1219" s="3" t="s">
        <v>3310</v>
      </c>
      <c r="B1219" s="3" t="s">
        <v>820</v>
      </c>
      <c r="C1219" s="3" t="s">
        <v>82</v>
      </c>
      <c r="D1219" s="3" t="s">
        <v>3311</v>
      </c>
      <c r="E1219" s="3" t="s">
        <v>26</v>
      </c>
      <c r="F1219" s="3" t="s">
        <v>77</v>
      </c>
      <c r="G1219" s="3" t="s">
        <v>93</v>
      </c>
      <c r="H1219" s="3" t="s">
        <v>485</v>
      </c>
      <c r="I1219" s="3" t="s">
        <v>293</v>
      </c>
      <c r="J1219" s="3">
        <v>718</v>
      </c>
      <c r="K1219" s="3">
        <v>99.92</v>
      </c>
      <c r="L1219" s="3">
        <v>146.09</v>
      </c>
      <c r="M1219" s="3">
        <v>104892.62</v>
      </c>
      <c r="N1219" s="3">
        <v>71742.559999999998</v>
      </c>
      <c r="O1219" s="3">
        <v>33150.06</v>
      </c>
      <c r="P1219" s="3" t="s">
        <v>52</v>
      </c>
      <c r="Q1219" s="3" t="s">
        <v>32</v>
      </c>
      <c r="R1219" s="3">
        <v>15</v>
      </c>
      <c r="S1219" s="3" t="s">
        <v>86</v>
      </c>
      <c r="T1219" s="3">
        <v>3671</v>
      </c>
      <c r="U1219" s="3">
        <v>9</v>
      </c>
      <c r="V1219" s="3"/>
    </row>
    <row r="1220" spans="1:22" x14ac:dyDescent="0.35">
      <c r="A1220" s="2" t="s">
        <v>3312</v>
      </c>
      <c r="B1220" s="2" t="s">
        <v>1380</v>
      </c>
      <c r="C1220" s="2" t="s">
        <v>1360</v>
      </c>
      <c r="D1220" s="2" t="s">
        <v>3313</v>
      </c>
      <c r="E1220" s="2" t="s">
        <v>68</v>
      </c>
      <c r="F1220" s="2" t="s">
        <v>146</v>
      </c>
      <c r="G1220" s="2" t="s">
        <v>39</v>
      </c>
      <c r="H1220" s="2" t="s">
        <v>647</v>
      </c>
      <c r="I1220" s="2" t="s">
        <v>41</v>
      </c>
      <c r="J1220" s="2">
        <v>398</v>
      </c>
      <c r="K1220" s="2">
        <v>991.32</v>
      </c>
      <c r="L1220" s="2">
        <v>1197.92</v>
      </c>
      <c r="M1220" s="2">
        <v>476772.16</v>
      </c>
      <c r="N1220" s="2">
        <v>394545.36</v>
      </c>
      <c r="O1220" s="2">
        <v>82226.8</v>
      </c>
      <c r="P1220" s="2" t="s">
        <v>95</v>
      </c>
      <c r="Q1220" s="2" t="s">
        <v>32</v>
      </c>
      <c r="R1220" s="2">
        <v>8</v>
      </c>
      <c r="S1220" s="2" t="s">
        <v>158</v>
      </c>
      <c r="T1220" s="2">
        <v>3256</v>
      </c>
      <c r="U1220" s="2">
        <v>8</v>
      </c>
      <c r="V1220" s="2"/>
    </row>
    <row r="1221" spans="1:22" x14ac:dyDescent="0.35">
      <c r="A1221" s="3" t="s">
        <v>3314</v>
      </c>
      <c r="B1221" s="3" t="s">
        <v>2665</v>
      </c>
      <c r="C1221" s="3" t="s">
        <v>611</v>
      </c>
      <c r="D1221" s="3" t="s">
        <v>3315</v>
      </c>
      <c r="E1221" s="3" t="s">
        <v>68</v>
      </c>
      <c r="F1221" s="3" t="s">
        <v>69</v>
      </c>
      <c r="G1221" s="3" t="s">
        <v>217</v>
      </c>
      <c r="H1221" s="3" t="s">
        <v>684</v>
      </c>
      <c r="I1221" s="3" t="s">
        <v>293</v>
      </c>
      <c r="J1221" s="3">
        <v>673</v>
      </c>
      <c r="K1221" s="3">
        <v>1069.7</v>
      </c>
      <c r="L1221" s="3">
        <v>1383.18</v>
      </c>
      <c r="M1221" s="3">
        <v>930880.14</v>
      </c>
      <c r="N1221" s="3">
        <v>719908.1</v>
      </c>
      <c r="O1221" s="3">
        <v>210972.04</v>
      </c>
      <c r="P1221" s="3" t="s">
        <v>42</v>
      </c>
      <c r="Q1221" s="3" t="s">
        <v>63</v>
      </c>
      <c r="R1221" s="3">
        <v>2</v>
      </c>
      <c r="S1221" s="3" t="s">
        <v>53</v>
      </c>
      <c r="T1221" s="3">
        <v>111</v>
      </c>
      <c r="U1221" s="3">
        <v>7</v>
      </c>
      <c r="V1221" s="3"/>
    </row>
    <row r="1222" spans="1:22" x14ac:dyDescent="0.35">
      <c r="A1222" s="3" t="s">
        <v>3316</v>
      </c>
      <c r="B1222" s="3" t="s">
        <v>390</v>
      </c>
      <c r="C1222" s="3" t="s">
        <v>1670</v>
      </c>
      <c r="D1222" s="3" t="s">
        <v>2906</v>
      </c>
      <c r="E1222" s="3" t="s">
        <v>2599</v>
      </c>
      <c r="F1222" s="3" t="s">
        <v>538</v>
      </c>
      <c r="G1222" s="3" t="s">
        <v>70</v>
      </c>
      <c r="H1222" s="3" t="s">
        <v>84</v>
      </c>
      <c r="I1222" s="3" t="s">
        <v>72</v>
      </c>
      <c r="J1222" s="3">
        <v>429</v>
      </c>
      <c r="K1222" s="3">
        <v>367.17</v>
      </c>
      <c r="L1222" s="3">
        <v>483.27</v>
      </c>
      <c r="M1222" s="3">
        <v>207322.83</v>
      </c>
      <c r="N1222" s="3">
        <v>157515.93</v>
      </c>
      <c r="O1222" s="3">
        <v>49806.9</v>
      </c>
      <c r="P1222" s="3" t="s">
        <v>42</v>
      </c>
      <c r="Q1222" s="3" t="s">
        <v>63</v>
      </c>
      <c r="R1222" s="3">
        <v>1</v>
      </c>
      <c r="S1222" s="3" t="s">
        <v>86</v>
      </c>
      <c r="T1222" s="3">
        <v>320</v>
      </c>
      <c r="U1222" s="3">
        <v>9</v>
      </c>
      <c r="V1222" s="3"/>
    </row>
    <row r="1223" spans="1:22" x14ac:dyDescent="0.35">
      <c r="A1223" s="2" t="s">
        <v>3317</v>
      </c>
      <c r="B1223" s="2" t="s">
        <v>953</v>
      </c>
      <c r="C1223" s="2" t="s">
        <v>1536</v>
      </c>
      <c r="D1223" s="2" t="s">
        <v>3318</v>
      </c>
      <c r="E1223" s="2" t="s">
        <v>26</v>
      </c>
      <c r="F1223" s="2" t="s">
        <v>38</v>
      </c>
      <c r="G1223" s="2" t="s">
        <v>60</v>
      </c>
      <c r="H1223" s="2" t="s">
        <v>164</v>
      </c>
      <c r="I1223" s="2" t="s">
        <v>72</v>
      </c>
      <c r="J1223" s="2">
        <v>506</v>
      </c>
      <c r="K1223" s="2">
        <v>463.21</v>
      </c>
      <c r="L1223" s="2">
        <v>553.1</v>
      </c>
      <c r="M1223" s="2">
        <v>279868.59999999998</v>
      </c>
      <c r="N1223" s="2">
        <v>234384.26</v>
      </c>
      <c r="O1223" s="2">
        <v>45484.34</v>
      </c>
      <c r="P1223" s="2" t="s">
        <v>31</v>
      </c>
      <c r="Q1223" s="2" t="s">
        <v>63</v>
      </c>
      <c r="R1223" s="2">
        <v>4</v>
      </c>
      <c r="S1223" s="2" t="s">
        <v>86</v>
      </c>
      <c r="T1223" s="2">
        <v>4174</v>
      </c>
      <c r="U1223" s="2">
        <v>14</v>
      </c>
      <c r="V1223" s="2"/>
    </row>
    <row r="1224" spans="1:22" x14ac:dyDescent="0.35">
      <c r="A1224" s="3" t="s">
        <v>3319</v>
      </c>
      <c r="B1224" s="3" t="s">
        <v>1566</v>
      </c>
      <c r="C1224" s="3" t="s">
        <v>56</v>
      </c>
      <c r="D1224" s="3" t="s">
        <v>3320</v>
      </c>
      <c r="E1224" s="3" t="s">
        <v>100</v>
      </c>
      <c r="F1224" s="3" t="s">
        <v>330</v>
      </c>
      <c r="G1224" s="3" t="s">
        <v>70</v>
      </c>
      <c r="H1224" s="3" t="s">
        <v>84</v>
      </c>
      <c r="I1224" s="3" t="s">
        <v>72</v>
      </c>
      <c r="J1224" s="3">
        <v>552</v>
      </c>
      <c r="K1224" s="3">
        <v>99.74</v>
      </c>
      <c r="L1224" s="3">
        <v>139.13</v>
      </c>
      <c r="M1224" s="3">
        <v>76799.759999999995</v>
      </c>
      <c r="N1224" s="3">
        <v>55056.480000000003</v>
      </c>
      <c r="O1224" s="3">
        <v>21743.279999999999</v>
      </c>
      <c r="P1224" s="3" t="s">
        <v>31</v>
      </c>
      <c r="Q1224" s="3" t="s">
        <v>32</v>
      </c>
      <c r="R1224" s="3">
        <v>10</v>
      </c>
      <c r="S1224" s="3" t="s">
        <v>86</v>
      </c>
      <c r="T1224" s="3">
        <v>420</v>
      </c>
      <c r="U1224" s="3">
        <v>11</v>
      </c>
      <c r="V1224" s="3"/>
    </row>
    <row r="1225" spans="1:22" x14ac:dyDescent="0.35">
      <c r="A1225" s="2" t="s">
        <v>3321</v>
      </c>
      <c r="B1225" s="2" t="s">
        <v>114</v>
      </c>
      <c r="C1225" s="2" t="s">
        <v>333</v>
      </c>
      <c r="D1225" s="2" t="s">
        <v>3322</v>
      </c>
      <c r="E1225" s="2" t="s">
        <v>58</v>
      </c>
      <c r="F1225" s="2" t="s">
        <v>417</v>
      </c>
      <c r="G1225" s="2" t="s">
        <v>28</v>
      </c>
      <c r="H1225" s="2" t="s">
        <v>254</v>
      </c>
      <c r="I1225" s="2" t="s">
        <v>141</v>
      </c>
      <c r="J1225" s="2">
        <v>333</v>
      </c>
      <c r="K1225" s="2">
        <v>661.88</v>
      </c>
      <c r="L1225" s="2">
        <v>1044.32</v>
      </c>
      <c r="M1225" s="2">
        <v>347758.56</v>
      </c>
      <c r="N1225" s="2">
        <v>220406.04</v>
      </c>
      <c r="O1225" s="2">
        <v>127352.52</v>
      </c>
      <c r="P1225" s="2" t="s">
        <v>31</v>
      </c>
      <c r="Q1225" s="2" t="s">
        <v>63</v>
      </c>
      <c r="R1225" s="2">
        <v>4</v>
      </c>
      <c r="S1225" s="2" t="s">
        <v>112</v>
      </c>
      <c r="T1225" s="2">
        <v>745</v>
      </c>
      <c r="U1225" s="2">
        <v>15</v>
      </c>
      <c r="V1225" s="2"/>
    </row>
    <row r="1226" spans="1:22" x14ac:dyDescent="0.35">
      <c r="A1226" s="3" t="s">
        <v>3323</v>
      </c>
      <c r="B1226" s="3" t="s">
        <v>1180</v>
      </c>
      <c r="C1226" s="3" t="s">
        <v>3324</v>
      </c>
      <c r="D1226" s="3" t="s">
        <v>3325</v>
      </c>
      <c r="E1226" s="3" t="s">
        <v>100</v>
      </c>
      <c r="F1226" s="3" t="s">
        <v>330</v>
      </c>
      <c r="G1226" s="3" t="s">
        <v>93</v>
      </c>
      <c r="H1226" s="3" t="s">
        <v>184</v>
      </c>
      <c r="I1226" s="3" t="s">
        <v>30</v>
      </c>
      <c r="J1226" s="3">
        <v>540</v>
      </c>
      <c r="K1226" s="3">
        <v>713.69</v>
      </c>
      <c r="L1226" s="3">
        <v>1079.8</v>
      </c>
      <c r="M1226" s="3">
        <v>583092</v>
      </c>
      <c r="N1226" s="3">
        <v>385392.6</v>
      </c>
      <c r="O1226" s="3">
        <v>197699.4</v>
      </c>
      <c r="P1226" s="3" t="s">
        <v>42</v>
      </c>
      <c r="Q1226" s="3" t="s">
        <v>32</v>
      </c>
      <c r="R1226" s="3">
        <v>9</v>
      </c>
      <c r="S1226" s="3" t="s">
        <v>112</v>
      </c>
      <c r="T1226" s="3">
        <v>1536</v>
      </c>
      <c r="U1226" s="3">
        <v>2</v>
      </c>
      <c r="V1226" s="3"/>
    </row>
    <row r="1227" spans="1:22" x14ac:dyDescent="0.35">
      <c r="A1227" s="2" t="s">
        <v>3326</v>
      </c>
      <c r="B1227" s="2" t="s">
        <v>992</v>
      </c>
      <c r="C1227" s="2" t="s">
        <v>1775</v>
      </c>
      <c r="D1227" s="2" t="s">
        <v>3327</v>
      </c>
      <c r="E1227" s="2" t="s">
        <v>48</v>
      </c>
      <c r="F1227" s="2" t="s">
        <v>281</v>
      </c>
      <c r="G1227" s="2" t="s">
        <v>93</v>
      </c>
      <c r="H1227" s="2" t="s">
        <v>140</v>
      </c>
      <c r="I1227" s="2" t="s">
        <v>293</v>
      </c>
      <c r="J1227" s="2">
        <v>92</v>
      </c>
      <c r="K1227" s="2">
        <v>962.26</v>
      </c>
      <c r="L1227" s="2">
        <v>1489.51</v>
      </c>
      <c r="M1227" s="2">
        <v>137034.92000000001</v>
      </c>
      <c r="N1227" s="2">
        <v>88527.92</v>
      </c>
      <c r="O1227" s="2">
        <v>48507</v>
      </c>
      <c r="P1227" s="2" t="s">
        <v>52</v>
      </c>
      <c r="Q1227" s="2" t="s">
        <v>32</v>
      </c>
      <c r="R1227" s="2">
        <v>14</v>
      </c>
      <c r="S1227" s="2" t="s">
        <v>43</v>
      </c>
      <c r="T1227" s="2">
        <v>2678</v>
      </c>
      <c r="U1227" s="2">
        <v>4</v>
      </c>
      <c r="V1227" s="2"/>
    </row>
    <row r="1228" spans="1:22" x14ac:dyDescent="0.35">
      <c r="A1228" s="3" t="s">
        <v>3328</v>
      </c>
      <c r="B1228" s="3" t="s">
        <v>97</v>
      </c>
      <c r="C1228" s="3" t="s">
        <v>176</v>
      </c>
      <c r="D1228" s="3" t="s">
        <v>3329</v>
      </c>
      <c r="E1228" s="3" t="s">
        <v>26</v>
      </c>
      <c r="F1228" s="3" t="s">
        <v>38</v>
      </c>
      <c r="G1228" s="3" t="s">
        <v>39</v>
      </c>
      <c r="H1228" s="3" t="s">
        <v>477</v>
      </c>
      <c r="I1228" s="3" t="s">
        <v>191</v>
      </c>
      <c r="J1228" s="3">
        <v>727</v>
      </c>
      <c r="K1228" s="3">
        <v>17.13</v>
      </c>
      <c r="L1228" s="3">
        <v>26.04</v>
      </c>
      <c r="M1228" s="3">
        <v>18931.080000000002</v>
      </c>
      <c r="N1228" s="3">
        <v>12453.51</v>
      </c>
      <c r="O1228" s="3">
        <v>6477.57</v>
      </c>
      <c r="P1228" s="3" t="s">
        <v>95</v>
      </c>
      <c r="Q1228" s="3" t="s">
        <v>63</v>
      </c>
      <c r="R1228" s="3">
        <v>2</v>
      </c>
      <c r="S1228" s="3" t="s">
        <v>53</v>
      </c>
      <c r="T1228" s="3">
        <v>2672</v>
      </c>
      <c r="U1228" s="3">
        <v>16</v>
      </c>
      <c r="V1228" s="3"/>
    </row>
    <row r="1229" spans="1:22" x14ac:dyDescent="0.35">
      <c r="A1229" s="2" t="s">
        <v>3330</v>
      </c>
      <c r="B1229" s="2" t="s">
        <v>46</v>
      </c>
      <c r="C1229" s="2" t="s">
        <v>314</v>
      </c>
      <c r="D1229" s="2" t="s">
        <v>3331</v>
      </c>
      <c r="E1229" s="2" t="s">
        <v>58</v>
      </c>
      <c r="F1229" s="2" t="s">
        <v>417</v>
      </c>
      <c r="G1229" s="2" t="s">
        <v>129</v>
      </c>
      <c r="H1229" s="2" t="s">
        <v>316</v>
      </c>
      <c r="I1229" s="2" t="s">
        <v>141</v>
      </c>
      <c r="J1229" s="2">
        <v>432</v>
      </c>
      <c r="K1229" s="2">
        <v>659.6</v>
      </c>
      <c r="L1229" s="2">
        <v>914.32</v>
      </c>
      <c r="M1229" s="2">
        <v>394986.23999999999</v>
      </c>
      <c r="N1229" s="2">
        <v>284947.20000000001</v>
      </c>
      <c r="O1229" s="2">
        <v>110039.03999999999</v>
      </c>
      <c r="P1229" s="2" t="s">
        <v>31</v>
      </c>
      <c r="Q1229" s="2" t="s">
        <v>63</v>
      </c>
      <c r="R1229" s="2">
        <v>1</v>
      </c>
      <c r="S1229" s="2" t="s">
        <v>53</v>
      </c>
      <c r="T1229" s="2">
        <v>4061</v>
      </c>
      <c r="U1229" s="2">
        <v>4</v>
      </c>
      <c r="V1229" s="2"/>
    </row>
    <row r="1230" spans="1:22" x14ac:dyDescent="0.35">
      <c r="A1230" s="3" t="s">
        <v>3332</v>
      </c>
      <c r="B1230" s="3" t="s">
        <v>533</v>
      </c>
      <c r="C1230" s="3" t="s">
        <v>309</v>
      </c>
      <c r="D1230" s="3" t="s">
        <v>3333</v>
      </c>
      <c r="E1230" s="3" t="s">
        <v>100</v>
      </c>
      <c r="F1230" s="3" t="s">
        <v>238</v>
      </c>
      <c r="G1230" s="3" t="s">
        <v>78</v>
      </c>
      <c r="H1230" s="3" t="s">
        <v>178</v>
      </c>
      <c r="I1230" s="3" t="s">
        <v>62</v>
      </c>
      <c r="J1230" s="3">
        <v>606</v>
      </c>
      <c r="K1230" s="3">
        <v>589.58000000000004</v>
      </c>
      <c r="L1230" s="3">
        <v>678.4</v>
      </c>
      <c r="M1230" s="3">
        <v>411110.40000000002</v>
      </c>
      <c r="N1230" s="3">
        <v>357285.48</v>
      </c>
      <c r="O1230" s="3">
        <v>53824.92</v>
      </c>
      <c r="P1230" s="3" t="s">
        <v>42</v>
      </c>
      <c r="Q1230" s="3" t="s">
        <v>63</v>
      </c>
      <c r="R1230" s="3">
        <v>2</v>
      </c>
      <c r="S1230" s="3" t="s">
        <v>43</v>
      </c>
      <c r="T1230" s="3">
        <v>3808</v>
      </c>
      <c r="U1230" s="3">
        <v>15</v>
      </c>
      <c r="V1230" s="3"/>
    </row>
    <row r="1231" spans="1:22" x14ac:dyDescent="0.35">
      <c r="A1231" s="2" t="s">
        <v>3334</v>
      </c>
      <c r="B1231" s="2" t="s">
        <v>819</v>
      </c>
      <c r="C1231" s="2" t="s">
        <v>352</v>
      </c>
      <c r="D1231" s="2" t="s">
        <v>3335</v>
      </c>
      <c r="E1231" s="2" t="s">
        <v>58</v>
      </c>
      <c r="F1231" s="2" t="s">
        <v>116</v>
      </c>
      <c r="G1231" s="2" t="s">
        <v>129</v>
      </c>
      <c r="H1231" s="2" t="s">
        <v>811</v>
      </c>
      <c r="I1231" s="4"/>
      <c r="J1231" s="2">
        <v>355</v>
      </c>
      <c r="K1231" s="2">
        <v>654.19000000000005</v>
      </c>
      <c r="L1231" s="2">
        <v>943.85</v>
      </c>
      <c r="M1231" s="2">
        <v>335066.75</v>
      </c>
      <c r="N1231" s="2">
        <v>232237.45</v>
      </c>
      <c r="O1231" s="2">
        <v>102829.3</v>
      </c>
      <c r="P1231" s="2" t="s">
        <v>95</v>
      </c>
      <c r="Q1231" s="2" t="s">
        <v>32</v>
      </c>
      <c r="R1231" s="2">
        <v>11</v>
      </c>
      <c r="S1231" s="2" t="s">
        <v>86</v>
      </c>
      <c r="T1231" s="2">
        <v>3612</v>
      </c>
      <c r="U1231" s="2">
        <v>3</v>
      </c>
      <c r="V1231" s="2"/>
    </row>
    <row r="1232" spans="1:22" x14ac:dyDescent="0.35">
      <c r="A1232" s="2" t="s">
        <v>3336</v>
      </c>
      <c r="B1232" s="2" t="s">
        <v>210</v>
      </c>
      <c r="C1232" s="2" t="s">
        <v>333</v>
      </c>
      <c r="D1232" s="2" t="s">
        <v>3337</v>
      </c>
      <c r="E1232" s="2" t="s">
        <v>100</v>
      </c>
      <c r="F1232" s="2" t="s">
        <v>101</v>
      </c>
      <c r="G1232" s="2" t="s">
        <v>189</v>
      </c>
      <c r="H1232" s="2" t="s">
        <v>271</v>
      </c>
      <c r="I1232" s="2" t="s">
        <v>240</v>
      </c>
      <c r="J1232" s="2">
        <v>635</v>
      </c>
      <c r="K1232" s="2">
        <v>137.71</v>
      </c>
      <c r="L1232" s="2">
        <v>215.18</v>
      </c>
      <c r="M1232" s="2">
        <v>136639.29999999999</v>
      </c>
      <c r="N1232" s="2">
        <v>87445.85</v>
      </c>
      <c r="O1232" s="2">
        <v>49193.45</v>
      </c>
      <c r="P1232" s="2" t="s">
        <v>42</v>
      </c>
      <c r="Q1232" s="2" t="s">
        <v>32</v>
      </c>
      <c r="R1232" s="2">
        <v>15</v>
      </c>
      <c r="S1232" s="2" t="s">
        <v>158</v>
      </c>
      <c r="T1232" s="2">
        <v>2799</v>
      </c>
      <c r="U1232" s="2">
        <v>10</v>
      </c>
      <c r="V1232" s="2"/>
    </row>
    <row r="1233" spans="1:22" x14ac:dyDescent="0.35">
      <c r="A1233" s="3" t="s">
        <v>3338</v>
      </c>
      <c r="B1233" s="3" t="s">
        <v>777</v>
      </c>
      <c r="C1233" s="3" t="s">
        <v>1581</v>
      </c>
      <c r="D1233" s="3" t="s">
        <v>3339</v>
      </c>
      <c r="E1233" s="3" t="s">
        <v>68</v>
      </c>
      <c r="F1233" s="3" t="s">
        <v>146</v>
      </c>
      <c r="G1233" s="3" t="s">
        <v>129</v>
      </c>
      <c r="H1233" s="3" t="s">
        <v>704</v>
      </c>
      <c r="I1233" s="3" t="s">
        <v>72</v>
      </c>
      <c r="J1233" s="3">
        <v>171</v>
      </c>
      <c r="K1233" s="3">
        <v>72.239999999999995</v>
      </c>
      <c r="L1233" s="3">
        <v>113.73</v>
      </c>
      <c r="M1233" s="3">
        <v>19447.830000000002</v>
      </c>
      <c r="N1233" s="3">
        <v>12353.04</v>
      </c>
      <c r="O1233" s="3">
        <v>7094.79</v>
      </c>
      <c r="P1233" s="3" t="s">
        <v>42</v>
      </c>
      <c r="Q1233" s="3" t="s">
        <v>63</v>
      </c>
      <c r="R1233" s="3">
        <v>4</v>
      </c>
      <c r="S1233" s="3" t="s">
        <v>112</v>
      </c>
      <c r="T1233" s="3">
        <v>379</v>
      </c>
      <c r="U1233" s="3">
        <v>1</v>
      </c>
      <c r="V1233" s="3"/>
    </row>
    <row r="1234" spans="1:22" x14ac:dyDescent="0.35">
      <c r="A1234" s="2" t="s">
        <v>3340</v>
      </c>
      <c r="B1234" s="2" t="s">
        <v>81</v>
      </c>
      <c r="C1234" s="2" t="s">
        <v>324</v>
      </c>
      <c r="D1234" s="2" t="s">
        <v>3341</v>
      </c>
      <c r="E1234" s="2" t="s">
        <v>68</v>
      </c>
      <c r="F1234" s="2" t="s">
        <v>69</v>
      </c>
      <c r="G1234" s="2" t="s">
        <v>129</v>
      </c>
      <c r="H1234" s="2" t="s">
        <v>811</v>
      </c>
      <c r="I1234" s="2" t="s">
        <v>85</v>
      </c>
      <c r="J1234" s="2">
        <v>693</v>
      </c>
      <c r="K1234" s="2">
        <v>205.96</v>
      </c>
      <c r="L1234" s="2">
        <v>306.93</v>
      </c>
      <c r="M1234" s="2">
        <v>212702.49</v>
      </c>
      <c r="N1234" s="2">
        <v>142730.28</v>
      </c>
      <c r="O1234" s="2">
        <v>69972.210000000006</v>
      </c>
      <c r="P1234" s="2" t="s">
        <v>52</v>
      </c>
      <c r="Q1234" s="2" t="s">
        <v>63</v>
      </c>
      <c r="R1234" s="2">
        <v>3</v>
      </c>
      <c r="S1234" s="2" t="s">
        <v>33</v>
      </c>
      <c r="T1234" s="2">
        <v>490</v>
      </c>
      <c r="U1234" s="2">
        <v>14</v>
      </c>
      <c r="V1234" s="2"/>
    </row>
    <row r="1235" spans="1:22" x14ac:dyDescent="0.35">
      <c r="A1235" s="3" t="s">
        <v>3342</v>
      </c>
      <c r="B1235" s="3" t="s">
        <v>1483</v>
      </c>
      <c r="C1235" s="3" t="s">
        <v>944</v>
      </c>
      <c r="D1235" s="3" t="s">
        <v>3343</v>
      </c>
      <c r="E1235" s="3" t="s">
        <v>26</v>
      </c>
      <c r="F1235" s="3" t="s">
        <v>92</v>
      </c>
      <c r="G1235" s="3" t="s">
        <v>28</v>
      </c>
      <c r="H1235" s="3" t="s">
        <v>714</v>
      </c>
      <c r="I1235" s="3" t="s">
        <v>62</v>
      </c>
      <c r="J1235" s="3">
        <v>340</v>
      </c>
      <c r="K1235" s="3">
        <v>72.8</v>
      </c>
      <c r="L1235" s="3">
        <v>95.24</v>
      </c>
      <c r="M1235" s="3">
        <v>32381.599999999999</v>
      </c>
      <c r="N1235" s="3">
        <v>24752</v>
      </c>
      <c r="O1235" s="3">
        <v>7629.6</v>
      </c>
      <c r="P1235" s="3" t="s">
        <v>31</v>
      </c>
      <c r="Q1235" s="3" t="s">
        <v>32</v>
      </c>
      <c r="R1235" s="3">
        <v>15</v>
      </c>
      <c r="S1235" s="3" t="s">
        <v>112</v>
      </c>
      <c r="T1235" s="3">
        <v>2426</v>
      </c>
      <c r="U1235" s="3">
        <v>14</v>
      </c>
      <c r="V1235" s="3"/>
    </row>
    <row r="1236" spans="1:22" x14ac:dyDescent="0.35">
      <c r="A1236" s="2" t="s">
        <v>3344</v>
      </c>
      <c r="B1236" s="2" t="s">
        <v>759</v>
      </c>
      <c r="C1236" s="2" t="s">
        <v>1454</v>
      </c>
      <c r="D1236" s="2" t="s">
        <v>3345</v>
      </c>
      <c r="E1236" s="2" t="s">
        <v>48</v>
      </c>
      <c r="F1236" s="2" t="s">
        <v>270</v>
      </c>
      <c r="G1236" s="2" t="s">
        <v>50</v>
      </c>
      <c r="H1236" s="2" t="s">
        <v>260</v>
      </c>
      <c r="I1236" s="2" t="s">
        <v>41</v>
      </c>
      <c r="J1236" s="2">
        <v>434</v>
      </c>
      <c r="K1236" s="2">
        <v>617.74</v>
      </c>
      <c r="L1236" s="2">
        <v>852.2</v>
      </c>
      <c r="M1236" s="2">
        <v>369854.8</v>
      </c>
      <c r="N1236" s="2">
        <v>268099.15999999997</v>
      </c>
      <c r="O1236" s="2">
        <v>101755.64</v>
      </c>
      <c r="P1236" s="2" t="s">
        <v>52</v>
      </c>
      <c r="Q1236" s="2" t="s">
        <v>32</v>
      </c>
      <c r="R1236" s="2">
        <v>12</v>
      </c>
      <c r="S1236" s="2" t="s">
        <v>53</v>
      </c>
      <c r="T1236" s="2">
        <v>2931</v>
      </c>
      <c r="U1236" s="2">
        <v>1</v>
      </c>
      <c r="V1236" s="2"/>
    </row>
    <row r="1237" spans="1:22" x14ac:dyDescent="0.35">
      <c r="A1237" s="3" t="s">
        <v>3346</v>
      </c>
      <c r="B1237" s="3" t="s">
        <v>3347</v>
      </c>
      <c r="C1237" s="3" t="s">
        <v>816</v>
      </c>
      <c r="D1237" s="3" t="s">
        <v>3348</v>
      </c>
      <c r="E1237" s="3" t="s">
        <v>100</v>
      </c>
      <c r="F1237" s="3" t="s">
        <v>538</v>
      </c>
      <c r="G1237" s="3" t="s">
        <v>93</v>
      </c>
      <c r="H1237" s="3" t="s">
        <v>140</v>
      </c>
      <c r="I1237" s="3" t="s">
        <v>30</v>
      </c>
      <c r="J1237" s="3">
        <v>94</v>
      </c>
      <c r="K1237" s="3">
        <v>89.33</v>
      </c>
      <c r="L1237" s="3">
        <v>137.41</v>
      </c>
      <c r="M1237" s="3">
        <v>12916.54</v>
      </c>
      <c r="N1237" s="3">
        <v>8397.02</v>
      </c>
      <c r="O1237" s="3">
        <v>4519.5200000000004</v>
      </c>
      <c r="P1237" s="3" t="s">
        <v>52</v>
      </c>
      <c r="Q1237" s="3" t="s">
        <v>63</v>
      </c>
      <c r="R1237" s="3">
        <v>3</v>
      </c>
      <c r="S1237" s="3" t="s">
        <v>86</v>
      </c>
      <c r="T1237" s="3">
        <v>4635</v>
      </c>
      <c r="U1237" s="3">
        <v>4</v>
      </c>
      <c r="V1237" s="3"/>
    </row>
    <row r="1238" spans="1:22" x14ac:dyDescent="0.35">
      <c r="A1238" s="2" t="s">
        <v>3349</v>
      </c>
      <c r="B1238" s="2" t="s">
        <v>407</v>
      </c>
      <c r="C1238" s="2" t="s">
        <v>231</v>
      </c>
      <c r="D1238" s="2" t="s">
        <v>3350</v>
      </c>
      <c r="E1238" s="2" t="s">
        <v>26</v>
      </c>
      <c r="F1238" s="2" t="s">
        <v>27</v>
      </c>
      <c r="G1238" s="2" t="s">
        <v>217</v>
      </c>
      <c r="H1238" s="2" t="s">
        <v>218</v>
      </c>
      <c r="I1238" s="2" t="s">
        <v>118</v>
      </c>
      <c r="J1238" s="2">
        <v>499</v>
      </c>
      <c r="K1238" s="2">
        <v>360.54</v>
      </c>
      <c r="L1238" s="2">
        <v>516.29999999999995</v>
      </c>
      <c r="M1238" s="2">
        <v>257633.7</v>
      </c>
      <c r="N1238" s="2">
        <v>179909.46</v>
      </c>
      <c r="O1238" s="2">
        <v>77724.240000000005</v>
      </c>
      <c r="P1238" s="2" t="s">
        <v>42</v>
      </c>
      <c r="Q1238" s="2" t="s">
        <v>63</v>
      </c>
      <c r="R1238" s="2">
        <v>1</v>
      </c>
      <c r="S1238" s="2" t="s">
        <v>112</v>
      </c>
      <c r="T1238" s="2">
        <v>177</v>
      </c>
      <c r="U1238" s="2">
        <v>8</v>
      </c>
      <c r="V1238" s="2"/>
    </row>
    <row r="1239" spans="1:22" x14ac:dyDescent="0.35">
      <c r="A1239" s="3" t="s">
        <v>3351</v>
      </c>
      <c r="B1239" s="3" t="s">
        <v>727</v>
      </c>
      <c r="C1239" s="3" t="s">
        <v>1779</v>
      </c>
      <c r="D1239" s="3" t="s">
        <v>3352</v>
      </c>
      <c r="E1239" s="3" t="s">
        <v>100</v>
      </c>
      <c r="F1239" s="3" t="s">
        <v>101</v>
      </c>
      <c r="G1239" s="3" t="s">
        <v>217</v>
      </c>
      <c r="H1239" s="3" t="s">
        <v>494</v>
      </c>
      <c r="I1239" s="3" t="s">
        <v>41</v>
      </c>
      <c r="J1239" s="3">
        <v>102</v>
      </c>
      <c r="K1239" s="3">
        <v>321.62</v>
      </c>
      <c r="L1239" s="3">
        <v>429.89</v>
      </c>
      <c r="M1239" s="3">
        <v>43848.78</v>
      </c>
      <c r="N1239" s="3">
        <v>32805.24</v>
      </c>
      <c r="O1239" s="3">
        <v>11043.54</v>
      </c>
      <c r="P1239" s="3" t="s">
        <v>52</v>
      </c>
      <c r="Q1239" s="3" t="s">
        <v>32</v>
      </c>
      <c r="R1239" s="3">
        <v>-1</v>
      </c>
      <c r="S1239" s="3" t="s">
        <v>158</v>
      </c>
      <c r="T1239" s="3">
        <v>1277</v>
      </c>
      <c r="U1239" s="3">
        <v>0</v>
      </c>
      <c r="V1239" s="3"/>
    </row>
    <row r="1240" spans="1:22" x14ac:dyDescent="0.35">
      <c r="A1240" s="2" t="s">
        <v>3353</v>
      </c>
      <c r="B1240" s="2" t="s">
        <v>449</v>
      </c>
      <c r="C1240" s="2" t="s">
        <v>410</v>
      </c>
      <c r="D1240" s="2" t="s">
        <v>1655</v>
      </c>
      <c r="E1240" s="2" t="s">
        <v>58</v>
      </c>
      <c r="F1240" s="2" t="s">
        <v>417</v>
      </c>
      <c r="G1240" s="2" t="s">
        <v>70</v>
      </c>
      <c r="H1240" s="2" t="s">
        <v>84</v>
      </c>
      <c r="I1240" s="2" t="s">
        <v>2028</v>
      </c>
      <c r="J1240" s="2">
        <v>611</v>
      </c>
      <c r="K1240" s="2">
        <v>101.63</v>
      </c>
      <c r="L1240" s="2">
        <v>125.9</v>
      </c>
      <c r="M1240" s="2">
        <v>76924.899999999994</v>
      </c>
      <c r="N1240" s="2">
        <v>62095.93</v>
      </c>
      <c r="O1240" s="2">
        <v>14828.97</v>
      </c>
      <c r="P1240" s="2" t="s">
        <v>52</v>
      </c>
      <c r="Q1240" s="2" t="s">
        <v>32</v>
      </c>
      <c r="R1240" s="2">
        <v>11</v>
      </c>
      <c r="S1240" s="2" t="s">
        <v>112</v>
      </c>
      <c r="T1240" s="2">
        <v>3658</v>
      </c>
      <c r="U1240" s="2">
        <v>29</v>
      </c>
      <c r="V1240" s="2"/>
    </row>
    <row r="1241" spans="1:22" x14ac:dyDescent="0.35">
      <c r="A1241" s="3" t="s">
        <v>3354</v>
      </c>
      <c r="B1241" s="3" t="s">
        <v>1143</v>
      </c>
      <c r="C1241" s="3" t="s">
        <v>3355</v>
      </c>
      <c r="D1241" s="3" t="s">
        <v>3356</v>
      </c>
      <c r="E1241" s="3" t="s">
        <v>68</v>
      </c>
      <c r="F1241" s="3" t="s">
        <v>146</v>
      </c>
      <c r="G1241" s="3" t="s">
        <v>189</v>
      </c>
      <c r="H1241" s="3" t="s">
        <v>369</v>
      </c>
      <c r="I1241" s="3" t="s">
        <v>118</v>
      </c>
      <c r="J1241" s="3">
        <v>579</v>
      </c>
      <c r="K1241" s="3">
        <v>528.59</v>
      </c>
      <c r="L1241" s="3">
        <v>601.39</v>
      </c>
      <c r="M1241" s="3">
        <v>348204.81</v>
      </c>
      <c r="N1241" s="3">
        <v>306053.61</v>
      </c>
      <c r="O1241" s="3">
        <v>42151.199999999997</v>
      </c>
      <c r="P1241" s="3" t="s">
        <v>52</v>
      </c>
      <c r="Q1241" s="3" t="s">
        <v>63</v>
      </c>
      <c r="R1241" s="3">
        <v>2</v>
      </c>
      <c r="S1241" s="3" t="s">
        <v>53</v>
      </c>
      <c r="T1241" s="3">
        <v>3029</v>
      </c>
      <c r="U1241" s="3">
        <v>11</v>
      </c>
      <c r="V1241" s="3"/>
    </row>
    <row r="1242" spans="1:22" x14ac:dyDescent="0.35">
      <c r="A1242" s="2" t="s">
        <v>3357</v>
      </c>
      <c r="B1242" s="2" t="s">
        <v>577</v>
      </c>
      <c r="C1242" s="2" t="s">
        <v>332</v>
      </c>
      <c r="D1242" s="2" t="s">
        <v>3358</v>
      </c>
      <c r="E1242" s="2" t="s">
        <v>68</v>
      </c>
      <c r="F1242" s="2" t="s">
        <v>249</v>
      </c>
      <c r="G1242" s="2" t="s">
        <v>28</v>
      </c>
      <c r="H1242" s="2" t="s">
        <v>579</v>
      </c>
      <c r="I1242" s="2" t="s">
        <v>72</v>
      </c>
      <c r="J1242" s="2">
        <v>789</v>
      </c>
      <c r="K1242" s="2">
        <v>515.47</v>
      </c>
      <c r="L1242" s="2">
        <v>822.83</v>
      </c>
      <c r="M1242" s="2">
        <v>649212.87</v>
      </c>
      <c r="N1242" s="2">
        <v>406705.83</v>
      </c>
      <c r="O1242" s="2">
        <v>242507.04</v>
      </c>
      <c r="P1242" s="2" t="s">
        <v>31</v>
      </c>
      <c r="Q1242" s="2" t="s">
        <v>63</v>
      </c>
      <c r="R1242" s="2">
        <v>4</v>
      </c>
      <c r="S1242" s="2" t="s">
        <v>86</v>
      </c>
      <c r="T1242" s="2">
        <v>3265</v>
      </c>
      <c r="U1242" s="2">
        <v>14</v>
      </c>
      <c r="V1242" s="2"/>
    </row>
    <row r="1243" spans="1:22" x14ac:dyDescent="0.35">
      <c r="A1243" s="3" t="s">
        <v>3359</v>
      </c>
      <c r="B1243" s="3" t="s">
        <v>1612</v>
      </c>
      <c r="C1243" s="3" t="s">
        <v>2620</v>
      </c>
      <c r="D1243" s="3" t="s">
        <v>3360</v>
      </c>
      <c r="E1243" s="3" t="s">
        <v>100</v>
      </c>
      <c r="F1243" s="4"/>
      <c r="G1243" s="3" t="s">
        <v>50</v>
      </c>
      <c r="H1243" s="3" t="s">
        <v>282</v>
      </c>
      <c r="I1243" s="3" t="s">
        <v>85</v>
      </c>
      <c r="J1243" s="3">
        <v>592</v>
      </c>
      <c r="K1243" s="3">
        <v>755.07</v>
      </c>
      <c r="L1243" s="3">
        <v>1040.31</v>
      </c>
      <c r="M1243" s="3">
        <v>615863.52</v>
      </c>
      <c r="N1243" s="3">
        <v>447001.44</v>
      </c>
      <c r="O1243" s="3">
        <v>168862.07999999999</v>
      </c>
      <c r="P1243" s="3" t="s">
        <v>31</v>
      </c>
      <c r="Q1243" s="3" t="s">
        <v>63</v>
      </c>
      <c r="R1243" s="3">
        <v>5</v>
      </c>
      <c r="S1243" s="3" t="s">
        <v>158</v>
      </c>
      <c r="T1243" s="3">
        <v>4856</v>
      </c>
      <c r="U1243" s="3">
        <v>17</v>
      </c>
      <c r="V1243" s="3"/>
    </row>
    <row r="1244" spans="1:22" x14ac:dyDescent="0.35">
      <c r="A1244" s="2" t="s">
        <v>3361</v>
      </c>
      <c r="B1244" s="2" t="s">
        <v>3362</v>
      </c>
      <c r="C1244" s="2" t="s">
        <v>308</v>
      </c>
      <c r="D1244" s="2" t="s">
        <v>3363</v>
      </c>
      <c r="E1244" s="2" t="s">
        <v>26</v>
      </c>
      <c r="F1244" s="2" t="s">
        <v>77</v>
      </c>
      <c r="G1244" s="2" t="s">
        <v>217</v>
      </c>
      <c r="H1244" s="2" t="s">
        <v>340</v>
      </c>
      <c r="I1244" s="2" t="s">
        <v>191</v>
      </c>
      <c r="J1244" s="2">
        <v>623</v>
      </c>
      <c r="K1244" s="2">
        <v>50.05</v>
      </c>
      <c r="L1244" s="2">
        <v>60.08</v>
      </c>
      <c r="M1244" s="2">
        <v>37429.839999999997</v>
      </c>
      <c r="N1244" s="2">
        <v>31181.15</v>
      </c>
      <c r="O1244" s="2">
        <v>6248.69</v>
      </c>
      <c r="P1244" s="2" t="s">
        <v>52</v>
      </c>
      <c r="Q1244" s="2" t="s">
        <v>63</v>
      </c>
      <c r="R1244" s="2">
        <v>4</v>
      </c>
      <c r="S1244" s="2" t="s">
        <v>43</v>
      </c>
      <c r="T1244" s="2">
        <v>642</v>
      </c>
      <c r="U1244" s="2">
        <v>25</v>
      </c>
      <c r="V1244" s="2"/>
    </row>
    <row r="1245" spans="1:22" x14ac:dyDescent="0.35">
      <c r="A1245" s="3" t="s">
        <v>3364</v>
      </c>
      <c r="B1245" s="3" t="s">
        <v>832</v>
      </c>
      <c r="C1245" s="3" t="s">
        <v>533</v>
      </c>
      <c r="D1245" s="3" t="s">
        <v>3365</v>
      </c>
      <c r="E1245" s="3" t="s">
        <v>58</v>
      </c>
      <c r="F1245" s="3" t="s">
        <v>122</v>
      </c>
      <c r="G1245" s="3" t="s">
        <v>78</v>
      </c>
      <c r="H1245" s="3" t="s">
        <v>840</v>
      </c>
      <c r="I1245" s="3" t="s">
        <v>118</v>
      </c>
      <c r="J1245" s="3">
        <v>487</v>
      </c>
      <c r="K1245" s="3">
        <v>502.45</v>
      </c>
      <c r="L1245" s="3">
        <v>763.5</v>
      </c>
      <c r="M1245" s="3">
        <v>371824.5</v>
      </c>
      <c r="N1245" s="3">
        <v>244693.15</v>
      </c>
      <c r="O1245" s="3">
        <v>127131.35</v>
      </c>
      <c r="P1245" s="3" t="s">
        <v>31</v>
      </c>
      <c r="Q1245" s="3" t="s">
        <v>32</v>
      </c>
      <c r="R1245" s="3">
        <v>7</v>
      </c>
      <c r="S1245" s="3" t="s">
        <v>53</v>
      </c>
      <c r="T1245" s="3">
        <v>3830</v>
      </c>
      <c r="U1245" s="3">
        <v>15</v>
      </c>
      <c r="V1245" s="3"/>
    </row>
    <row r="1246" spans="1:22" x14ac:dyDescent="0.35">
      <c r="A1246" s="2" t="s">
        <v>3366</v>
      </c>
      <c r="B1246" s="2" t="s">
        <v>1104</v>
      </c>
      <c r="C1246" s="2" t="s">
        <v>3367</v>
      </c>
      <c r="D1246" s="2" t="s">
        <v>3368</v>
      </c>
      <c r="E1246" s="2" t="s">
        <v>68</v>
      </c>
      <c r="F1246" s="2" t="s">
        <v>249</v>
      </c>
      <c r="G1246" s="2" t="s">
        <v>93</v>
      </c>
      <c r="H1246" s="2" t="s">
        <v>94</v>
      </c>
      <c r="I1246" s="2" t="s">
        <v>153</v>
      </c>
      <c r="J1246" s="2">
        <v>724</v>
      </c>
      <c r="K1246" s="2">
        <v>226.79</v>
      </c>
      <c r="L1246" s="2">
        <v>346.46</v>
      </c>
      <c r="M1246" s="2">
        <v>250837.04</v>
      </c>
      <c r="N1246" s="2">
        <v>164195.96</v>
      </c>
      <c r="O1246" s="2">
        <v>86641.08</v>
      </c>
      <c r="P1246" s="2" t="s">
        <v>42</v>
      </c>
      <c r="Q1246" s="2" t="s">
        <v>32</v>
      </c>
      <c r="R1246" s="2">
        <v>11</v>
      </c>
      <c r="S1246" s="2" t="s">
        <v>43</v>
      </c>
      <c r="T1246" s="2">
        <v>4010</v>
      </c>
      <c r="U1246" s="2">
        <v>7</v>
      </c>
      <c r="V1246" s="2"/>
    </row>
    <row r="1247" spans="1:22" x14ac:dyDescent="0.35">
      <c r="A1247" s="3" t="s">
        <v>3369</v>
      </c>
      <c r="B1247" s="3" t="s">
        <v>588</v>
      </c>
      <c r="C1247" s="3" t="s">
        <v>1090</v>
      </c>
      <c r="D1247" s="3" t="s">
        <v>3370</v>
      </c>
      <c r="E1247" s="3" t="s">
        <v>26</v>
      </c>
      <c r="F1247" s="3" t="s">
        <v>228</v>
      </c>
      <c r="G1247" s="3" t="s">
        <v>39</v>
      </c>
      <c r="H1247" s="3" t="s">
        <v>527</v>
      </c>
      <c r="I1247" s="3" t="s">
        <v>118</v>
      </c>
      <c r="J1247" s="3">
        <v>493</v>
      </c>
      <c r="K1247" s="3">
        <v>299.7</v>
      </c>
      <c r="L1247" s="3">
        <v>359.28</v>
      </c>
      <c r="M1247" s="3">
        <v>177125.04</v>
      </c>
      <c r="N1247" s="3">
        <v>147752.1</v>
      </c>
      <c r="O1247" s="3">
        <v>29372.94</v>
      </c>
      <c r="P1247" s="3" t="s">
        <v>52</v>
      </c>
      <c r="Q1247" s="3" t="s">
        <v>63</v>
      </c>
      <c r="R1247" s="3">
        <v>1</v>
      </c>
      <c r="S1247" s="3" t="s">
        <v>43</v>
      </c>
      <c r="T1247" s="3">
        <v>440</v>
      </c>
      <c r="U1247" s="3">
        <v>22</v>
      </c>
      <c r="V1247" s="3"/>
    </row>
    <row r="1248" spans="1:22" x14ac:dyDescent="0.35">
      <c r="A1248" s="2" t="s">
        <v>3371</v>
      </c>
      <c r="B1248" s="2" t="s">
        <v>588</v>
      </c>
      <c r="C1248" s="2" t="s">
        <v>2677</v>
      </c>
      <c r="D1248" s="2" t="s">
        <v>3372</v>
      </c>
      <c r="E1248" s="2" t="s">
        <v>100</v>
      </c>
      <c r="F1248" s="2" t="s">
        <v>238</v>
      </c>
      <c r="G1248" s="2" t="s">
        <v>78</v>
      </c>
      <c r="H1248" s="2" t="s">
        <v>178</v>
      </c>
      <c r="I1248" s="2" t="s">
        <v>141</v>
      </c>
      <c r="J1248" s="2">
        <v>696</v>
      </c>
      <c r="K1248" s="2">
        <v>614.52</v>
      </c>
      <c r="L1248" s="2">
        <v>691.56</v>
      </c>
      <c r="M1248" s="2">
        <v>481325.76</v>
      </c>
      <c r="N1248" s="2">
        <v>427705.92</v>
      </c>
      <c r="O1248" s="2">
        <v>53619.839999999997</v>
      </c>
      <c r="P1248" s="2" t="s">
        <v>42</v>
      </c>
      <c r="Q1248" s="2" t="s">
        <v>63</v>
      </c>
      <c r="R1248" s="2">
        <v>5</v>
      </c>
      <c r="S1248" s="2" t="s">
        <v>53</v>
      </c>
      <c r="T1248" s="2">
        <v>2292</v>
      </c>
      <c r="U1248" s="2">
        <v>5</v>
      </c>
      <c r="V1248" s="2"/>
    </row>
    <row r="1249" spans="1:22" x14ac:dyDescent="0.35">
      <c r="A1249" s="3" t="s">
        <v>3373</v>
      </c>
      <c r="B1249" s="3" t="s">
        <v>596</v>
      </c>
      <c r="C1249" s="3" t="s">
        <v>1360</v>
      </c>
      <c r="D1249" s="3" t="s">
        <v>3374</v>
      </c>
      <c r="E1249" s="3" t="s">
        <v>100</v>
      </c>
      <c r="F1249" s="3" t="s">
        <v>330</v>
      </c>
      <c r="G1249" s="3" t="s">
        <v>217</v>
      </c>
      <c r="H1249" s="3" t="s">
        <v>684</v>
      </c>
      <c r="I1249" s="3" t="s">
        <v>118</v>
      </c>
      <c r="J1249" s="3">
        <v>442</v>
      </c>
      <c r="K1249" s="3">
        <v>176.55</v>
      </c>
      <c r="L1249" s="3">
        <v>267.27</v>
      </c>
      <c r="M1249" s="3">
        <v>118133.34</v>
      </c>
      <c r="N1249" s="3">
        <v>78035.100000000006</v>
      </c>
      <c r="O1249" s="4"/>
      <c r="P1249" s="3" t="s">
        <v>52</v>
      </c>
      <c r="Q1249" s="3" t="s">
        <v>959</v>
      </c>
      <c r="R1249" s="3">
        <v>7</v>
      </c>
      <c r="S1249" s="3" t="s">
        <v>158</v>
      </c>
      <c r="T1249" s="3">
        <v>220</v>
      </c>
      <c r="U1249" s="3">
        <v>2</v>
      </c>
      <c r="V1249" s="3"/>
    </row>
    <row r="1250" spans="1:22" x14ac:dyDescent="0.35">
      <c r="A1250" s="2" t="s">
        <v>2147</v>
      </c>
      <c r="B1250" s="2" t="s">
        <v>937</v>
      </c>
      <c r="C1250" s="2" t="s">
        <v>160</v>
      </c>
      <c r="D1250" s="2" t="s">
        <v>2148</v>
      </c>
      <c r="E1250" s="2" t="s">
        <v>68</v>
      </c>
      <c r="F1250" s="2" t="s">
        <v>276</v>
      </c>
      <c r="G1250" s="2" t="s">
        <v>78</v>
      </c>
      <c r="H1250" s="2" t="s">
        <v>178</v>
      </c>
      <c r="I1250" s="2" t="s">
        <v>85</v>
      </c>
      <c r="J1250" s="2">
        <v>267</v>
      </c>
      <c r="K1250" s="2">
        <v>796.91</v>
      </c>
      <c r="L1250" s="2">
        <v>1178.76</v>
      </c>
      <c r="M1250" s="4" t="s">
        <v>1893</v>
      </c>
      <c r="N1250" s="2">
        <v>212774.97</v>
      </c>
      <c r="O1250" s="2">
        <v>101953.95</v>
      </c>
      <c r="P1250" s="2" t="s">
        <v>95</v>
      </c>
      <c r="Q1250" s="2" t="s">
        <v>63</v>
      </c>
      <c r="R1250" s="2">
        <v>1</v>
      </c>
      <c r="S1250" s="2" t="s">
        <v>158</v>
      </c>
      <c r="T1250" s="2">
        <v>4853</v>
      </c>
      <c r="U1250" s="2">
        <v>6</v>
      </c>
      <c r="V1250" s="2"/>
    </row>
    <row r="1251" spans="1:22" x14ac:dyDescent="0.35">
      <c r="A1251" s="3" t="s">
        <v>3375</v>
      </c>
      <c r="B1251" s="3" t="s">
        <v>3376</v>
      </c>
      <c r="C1251" s="3" t="s">
        <v>201</v>
      </c>
      <c r="D1251" s="3" t="s">
        <v>3377</v>
      </c>
      <c r="E1251" s="3" t="s">
        <v>58</v>
      </c>
      <c r="F1251" s="3" t="s">
        <v>417</v>
      </c>
      <c r="G1251" s="3" t="s">
        <v>70</v>
      </c>
      <c r="H1251" s="3" t="s">
        <v>446</v>
      </c>
      <c r="I1251" s="3" t="s">
        <v>191</v>
      </c>
      <c r="J1251" s="3">
        <v>393</v>
      </c>
      <c r="K1251" s="3">
        <v>775.22</v>
      </c>
      <c r="L1251" s="3">
        <v>1154.75</v>
      </c>
      <c r="M1251" s="3">
        <v>453816.75</v>
      </c>
      <c r="N1251" s="3">
        <v>304661.46000000002</v>
      </c>
      <c r="O1251" s="3">
        <v>149155.29</v>
      </c>
      <c r="P1251" s="3" t="s">
        <v>95</v>
      </c>
      <c r="Q1251" s="3" t="s">
        <v>32</v>
      </c>
      <c r="R1251" s="3">
        <v>9</v>
      </c>
      <c r="S1251" s="3" t="s">
        <v>158</v>
      </c>
      <c r="T1251" s="3">
        <v>4918</v>
      </c>
      <c r="U1251" s="3">
        <v>10</v>
      </c>
      <c r="V1251" s="3"/>
    </row>
    <row r="1252" spans="1:22" x14ac:dyDescent="0.35">
      <c r="A1252" s="2" t="s">
        <v>3378</v>
      </c>
      <c r="B1252" s="2" t="s">
        <v>533</v>
      </c>
      <c r="C1252" s="2" t="s">
        <v>468</v>
      </c>
      <c r="D1252" s="2" t="s">
        <v>3379</v>
      </c>
      <c r="E1252" s="2" t="s">
        <v>58</v>
      </c>
      <c r="F1252" s="2" t="s">
        <v>417</v>
      </c>
      <c r="G1252" s="2" t="s">
        <v>217</v>
      </c>
      <c r="H1252" s="2" t="s">
        <v>292</v>
      </c>
      <c r="I1252" s="2" t="s">
        <v>293</v>
      </c>
      <c r="J1252" s="2">
        <v>664</v>
      </c>
      <c r="K1252" s="2">
        <v>894.09</v>
      </c>
      <c r="L1252" s="2">
        <v>1127.04</v>
      </c>
      <c r="M1252" s="2">
        <v>748354.56000000006</v>
      </c>
      <c r="N1252" s="2">
        <v>593675.76</v>
      </c>
      <c r="O1252" s="4"/>
      <c r="P1252" s="2" t="s">
        <v>95</v>
      </c>
      <c r="Q1252" s="2" t="s">
        <v>32</v>
      </c>
      <c r="R1252" s="2">
        <v>9</v>
      </c>
      <c r="S1252" s="2" t="s">
        <v>53</v>
      </c>
      <c r="T1252" s="2">
        <v>495</v>
      </c>
      <c r="U1252" s="2">
        <v>18</v>
      </c>
      <c r="V1252" s="2"/>
    </row>
    <row r="1253" spans="1:22" x14ac:dyDescent="0.35">
      <c r="A1253" s="3" t="s">
        <v>3380</v>
      </c>
      <c r="B1253" s="3" t="s">
        <v>242</v>
      </c>
      <c r="C1253" s="3" t="s">
        <v>1119</v>
      </c>
      <c r="D1253" s="3" t="s">
        <v>3381</v>
      </c>
      <c r="E1253" s="3" t="s">
        <v>100</v>
      </c>
      <c r="F1253" s="3" t="s">
        <v>101</v>
      </c>
      <c r="G1253" s="3" t="s">
        <v>50</v>
      </c>
      <c r="H1253" s="3" t="s">
        <v>282</v>
      </c>
      <c r="I1253" s="3" t="s">
        <v>191</v>
      </c>
      <c r="J1253" s="3">
        <v>739</v>
      </c>
      <c r="K1253" s="3">
        <v>438.58</v>
      </c>
      <c r="L1253" s="3">
        <v>629.04</v>
      </c>
      <c r="M1253" s="3">
        <v>464860.56</v>
      </c>
      <c r="N1253" s="3">
        <v>324110.62</v>
      </c>
      <c r="O1253" s="3">
        <v>140749.94</v>
      </c>
      <c r="P1253" s="3" t="s">
        <v>42</v>
      </c>
      <c r="Q1253" s="3" t="s">
        <v>32</v>
      </c>
      <c r="R1253" s="3">
        <v>9</v>
      </c>
      <c r="S1253" s="3" t="s">
        <v>86</v>
      </c>
      <c r="T1253" s="3">
        <v>3826</v>
      </c>
      <c r="U1253" s="3">
        <v>18</v>
      </c>
      <c r="V1253" s="3"/>
    </row>
    <row r="1254" spans="1:22" x14ac:dyDescent="0.35">
      <c r="A1254" s="2" t="s">
        <v>3382</v>
      </c>
      <c r="B1254" s="2" t="s">
        <v>1775</v>
      </c>
      <c r="C1254" s="2" t="s">
        <v>1380</v>
      </c>
      <c r="D1254" s="2" t="s">
        <v>3383</v>
      </c>
      <c r="E1254" s="2" t="s">
        <v>100</v>
      </c>
      <c r="F1254" s="2" t="s">
        <v>101</v>
      </c>
      <c r="G1254" s="2" t="s">
        <v>217</v>
      </c>
      <c r="H1254" s="2" t="s">
        <v>340</v>
      </c>
      <c r="I1254" s="2" t="s">
        <v>124</v>
      </c>
      <c r="J1254" s="2">
        <v>-20</v>
      </c>
      <c r="K1254" s="2">
        <v>913.64</v>
      </c>
      <c r="L1254" s="2">
        <v>1366.11</v>
      </c>
      <c r="M1254" s="2">
        <v>244533.69</v>
      </c>
      <c r="N1254" s="2">
        <v>163541.56</v>
      </c>
      <c r="O1254" s="2">
        <v>80992.13</v>
      </c>
      <c r="P1254" s="2" t="s">
        <v>31</v>
      </c>
      <c r="Q1254" s="2" t="s">
        <v>32</v>
      </c>
      <c r="R1254" s="2">
        <v>6</v>
      </c>
      <c r="S1254" s="2" t="s">
        <v>33</v>
      </c>
      <c r="T1254" s="2">
        <v>1703</v>
      </c>
      <c r="U1254" s="2">
        <v>0</v>
      </c>
      <c r="V1254" s="2"/>
    </row>
    <row r="1255" spans="1:22" x14ac:dyDescent="0.35">
      <c r="A1255" s="3" t="s">
        <v>3384</v>
      </c>
      <c r="B1255" s="3" t="s">
        <v>978</v>
      </c>
      <c r="C1255" s="3" t="s">
        <v>120</v>
      </c>
      <c r="D1255" s="3" t="s">
        <v>2692</v>
      </c>
      <c r="E1255" s="3" t="s">
        <v>58</v>
      </c>
      <c r="F1255" s="3" t="s">
        <v>417</v>
      </c>
      <c r="G1255" s="3" t="s">
        <v>189</v>
      </c>
      <c r="H1255" s="3" t="s">
        <v>311</v>
      </c>
      <c r="I1255" s="3" t="s">
        <v>153</v>
      </c>
      <c r="J1255" s="3">
        <v>152</v>
      </c>
      <c r="K1255" s="3">
        <v>350.19</v>
      </c>
      <c r="L1255" s="3">
        <v>418.71</v>
      </c>
      <c r="M1255" s="3">
        <v>63643.92</v>
      </c>
      <c r="N1255" s="3">
        <v>53228.88</v>
      </c>
      <c r="O1255" s="3">
        <v>10415.040000000001</v>
      </c>
      <c r="P1255" s="3" t="s">
        <v>52</v>
      </c>
      <c r="Q1255" s="3" t="s">
        <v>63</v>
      </c>
      <c r="R1255" s="3">
        <v>1</v>
      </c>
      <c r="S1255" s="3" t="s">
        <v>53</v>
      </c>
      <c r="T1255" s="3">
        <v>2361</v>
      </c>
      <c r="U1255" s="3">
        <v>6</v>
      </c>
      <c r="V1255" s="3"/>
    </row>
    <row r="1256" spans="1:22" x14ac:dyDescent="0.35">
      <c r="A1256" s="2" t="s">
        <v>3385</v>
      </c>
      <c r="B1256" s="2" t="s">
        <v>2428</v>
      </c>
      <c r="C1256" s="2" t="s">
        <v>395</v>
      </c>
      <c r="D1256" s="2" t="s">
        <v>3386</v>
      </c>
      <c r="E1256" s="2" t="s">
        <v>58</v>
      </c>
      <c r="F1256" s="2" t="s">
        <v>116</v>
      </c>
      <c r="G1256" s="2" t="s">
        <v>50</v>
      </c>
      <c r="H1256" s="2" t="s">
        <v>734</v>
      </c>
      <c r="I1256" s="2" t="s">
        <v>41</v>
      </c>
      <c r="J1256" s="2">
        <v>56</v>
      </c>
      <c r="K1256" s="2">
        <v>940.71</v>
      </c>
      <c r="L1256" s="2">
        <v>1217.1099999999999</v>
      </c>
      <c r="M1256" s="2">
        <v>68158.16</v>
      </c>
      <c r="N1256" s="2">
        <v>52679.76</v>
      </c>
      <c r="O1256" s="2">
        <v>15478.4</v>
      </c>
      <c r="P1256" s="2" t="s">
        <v>31</v>
      </c>
      <c r="Q1256" s="2" t="s">
        <v>63</v>
      </c>
      <c r="R1256" s="2">
        <v>1</v>
      </c>
      <c r="S1256" s="2" t="s">
        <v>33</v>
      </c>
      <c r="T1256" s="2">
        <v>3170</v>
      </c>
      <c r="U1256" s="2">
        <v>1</v>
      </c>
      <c r="V1256" s="2"/>
    </row>
    <row r="1257" spans="1:22" x14ac:dyDescent="0.35">
      <c r="A1257" s="3" t="s">
        <v>3387</v>
      </c>
      <c r="B1257" s="3" t="s">
        <v>2008</v>
      </c>
      <c r="C1257" s="3" t="s">
        <v>1398</v>
      </c>
      <c r="D1257" s="3" t="s">
        <v>3388</v>
      </c>
      <c r="E1257" s="3" t="s">
        <v>26</v>
      </c>
      <c r="F1257" s="3" t="s">
        <v>92</v>
      </c>
      <c r="G1257" s="3" t="s">
        <v>129</v>
      </c>
      <c r="H1257" s="3" t="s">
        <v>704</v>
      </c>
      <c r="I1257" s="3" t="s">
        <v>30</v>
      </c>
      <c r="J1257" s="3">
        <v>130</v>
      </c>
      <c r="K1257" s="3">
        <v>71.31</v>
      </c>
      <c r="L1257" s="3">
        <v>110.86</v>
      </c>
      <c r="M1257" s="3">
        <v>14411.8</v>
      </c>
      <c r="N1257" s="3">
        <v>9270.2999999999993</v>
      </c>
      <c r="O1257" s="3">
        <v>5141.5</v>
      </c>
      <c r="P1257" s="3" t="s">
        <v>31</v>
      </c>
      <c r="Q1257" s="3" t="s">
        <v>63</v>
      </c>
      <c r="R1257" s="3">
        <v>4</v>
      </c>
      <c r="S1257" s="3" t="s">
        <v>53</v>
      </c>
      <c r="T1257" s="3">
        <v>3207</v>
      </c>
      <c r="U1257" s="3">
        <v>5</v>
      </c>
      <c r="V1257" s="3"/>
    </row>
    <row r="1258" spans="1:22" x14ac:dyDescent="0.35">
      <c r="A1258" s="2" t="s">
        <v>1947</v>
      </c>
      <c r="B1258" s="2" t="s">
        <v>1948</v>
      </c>
      <c r="C1258" s="2" t="s">
        <v>56</v>
      </c>
      <c r="D1258" s="2" t="s">
        <v>1949</v>
      </c>
      <c r="E1258" s="2" t="s">
        <v>68</v>
      </c>
      <c r="F1258" s="2" t="s">
        <v>276</v>
      </c>
      <c r="G1258" s="2" t="s">
        <v>70</v>
      </c>
      <c r="H1258" s="2" t="s">
        <v>384</v>
      </c>
      <c r="I1258" s="2" t="s">
        <v>293</v>
      </c>
      <c r="J1258" s="2">
        <v>632</v>
      </c>
      <c r="K1258" s="2">
        <v>103.35</v>
      </c>
      <c r="L1258" s="2">
        <v>147.43</v>
      </c>
      <c r="M1258" s="2">
        <v>93175.76</v>
      </c>
      <c r="N1258" s="2">
        <v>65317.2</v>
      </c>
      <c r="O1258" s="2">
        <v>27858.560000000001</v>
      </c>
      <c r="P1258" s="2" t="s">
        <v>42</v>
      </c>
      <c r="Q1258" s="2" t="s">
        <v>63</v>
      </c>
      <c r="R1258" s="2">
        <v>4</v>
      </c>
      <c r="S1258" s="2" t="s">
        <v>43</v>
      </c>
      <c r="T1258" s="2">
        <v>2652</v>
      </c>
      <c r="U1258" s="4"/>
      <c r="V1258" s="2"/>
    </row>
    <row r="1259" spans="1:22" x14ac:dyDescent="0.35">
      <c r="A1259" s="3" t="s">
        <v>3389</v>
      </c>
      <c r="B1259" s="3" t="s">
        <v>1002</v>
      </c>
      <c r="C1259" s="3" t="s">
        <v>279</v>
      </c>
      <c r="D1259" s="3" t="s">
        <v>3390</v>
      </c>
      <c r="E1259" s="3" t="s">
        <v>58</v>
      </c>
      <c r="F1259" s="3" t="s">
        <v>116</v>
      </c>
      <c r="G1259" s="3" t="s">
        <v>28</v>
      </c>
      <c r="H1259" s="3" t="s">
        <v>674</v>
      </c>
      <c r="I1259" s="3" t="s">
        <v>72</v>
      </c>
      <c r="J1259" s="3">
        <v>438</v>
      </c>
      <c r="K1259" s="3">
        <v>1165.19</v>
      </c>
      <c r="L1259" s="3">
        <v>1362.26</v>
      </c>
      <c r="M1259" s="3">
        <v>596669.88</v>
      </c>
      <c r="N1259" s="3">
        <v>510353.22</v>
      </c>
      <c r="O1259" s="3">
        <v>86316.66</v>
      </c>
      <c r="P1259" s="3" t="s">
        <v>42</v>
      </c>
      <c r="Q1259" s="3" t="s">
        <v>32</v>
      </c>
      <c r="R1259" s="3">
        <v>6</v>
      </c>
      <c r="S1259" s="3" t="s">
        <v>86</v>
      </c>
      <c r="T1259" s="3">
        <v>4579</v>
      </c>
      <c r="U1259" s="3">
        <v>12</v>
      </c>
      <c r="V1259" s="3"/>
    </row>
    <row r="1260" spans="1:22" x14ac:dyDescent="0.35">
      <c r="A1260" s="2" t="s">
        <v>3391</v>
      </c>
      <c r="B1260" s="2" t="s">
        <v>1130</v>
      </c>
      <c r="C1260" s="2" t="s">
        <v>46</v>
      </c>
      <c r="D1260" s="2" t="s">
        <v>3392</v>
      </c>
      <c r="E1260" s="2" t="s">
        <v>68</v>
      </c>
      <c r="F1260" s="2" t="s">
        <v>249</v>
      </c>
      <c r="G1260" s="2" t="s">
        <v>50</v>
      </c>
      <c r="H1260" s="2" t="s">
        <v>117</v>
      </c>
      <c r="I1260" s="2" t="s">
        <v>153</v>
      </c>
      <c r="J1260" s="2">
        <v>585</v>
      </c>
      <c r="K1260" s="2">
        <v>1094.3499999999999</v>
      </c>
      <c r="L1260" s="2">
        <v>1587.46</v>
      </c>
      <c r="M1260" s="2">
        <v>928664.1</v>
      </c>
      <c r="N1260" s="2">
        <v>640194.75</v>
      </c>
      <c r="O1260" s="2">
        <v>288469.34999999998</v>
      </c>
      <c r="P1260" s="2" t="s">
        <v>42</v>
      </c>
      <c r="Q1260" s="2" t="s">
        <v>32</v>
      </c>
      <c r="R1260" s="2">
        <v>10</v>
      </c>
      <c r="S1260" s="2" t="s">
        <v>86</v>
      </c>
      <c r="T1260" s="2">
        <v>2195</v>
      </c>
      <c r="U1260" s="2">
        <v>21</v>
      </c>
      <c r="V1260" s="2"/>
    </row>
    <row r="1261" spans="1:22" x14ac:dyDescent="0.35">
      <c r="A1261" s="3" t="s">
        <v>3393</v>
      </c>
      <c r="B1261" s="3" t="s">
        <v>657</v>
      </c>
      <c r="C1261" s="3" t="s">
        <v>1483</v>
      </c>
      <c r="D1261" s="3" t="s">
        <v>3394</v>
      </c>
      <c r="E1261" s="3" t="s">
        <v>68</v>
      </c>
      <c r="F1261" s="3" t="s">
        <v>146</v>
      </c>
      <c r="G1261" s="3" t="s">
        <v>70</v>
      </c>
      <c r="H1261" s="3" t="s">
        <v>623</v>
      </c>
      <c r="I1261" s="3" t="s">
        <v>191</v>
      </c>
      <c r="J1261" s="3">
        <v>601</v>
      </c>
      <c r="K1261" s="3">
        <v>75.47</v>
      </c>
      <c r="L1261" s="3">
        <v>114.62</v>
      </c>
      <c r="M1261" s="3">
        <v>68886.62</v>
      </c>
      <c r="N1261" s="3">
        <v>45357.47</v>
      </c>
      <c r="O1261" s="3">
        <v>23529.15</v>
      </c>
      <c r="P1261" s="3" t="s">
        <v>31</v>
      </c>
      <c r="Q1261" s="3" t="s">
        <v>32</v>
      </c>
      <c r="R1261" s="3">
        <v>15</v>
      </c>
      <c r="S1261" s="3" t="s">
        <v>33</v>
      </c>
      <c r="T1261" s="3">
        <v>4317</v>
      </c>
      <c r="U1261" s="3">
        <v>9</v>
      </c>
      <c r="V1261" s="3"/>
    </row>
    <row r="1262" spans="1:22" x14ac:dyDescent="0.35">
      <c r="A1262" s="2" t="s">
        <v>3395</v>
      </c>
      <c r="B1262" s="2" t="s">
        <v>1053</v>
      </c>
      <c r="C1262" s="2" t="s">
        <v>1216</v>
      </c>
      <c r="D1262" s="2" t="s">
        <v>3396</v>
      </c>
      <c r="E1262" s="2" t="s">
        <v>48</v>
      </c>
      <c r="F1262" s="2" t="s">
        <v>753</v>
      </c>
      <c r="G1262" s="2" t="s">
        <v>93</v>
      </c>
      <c r="H1262" s="2" t="s">
        <v>321</v>
      </c>
      <c r="I1262" s="2" t="s">
        <v>85</v>
      </c>
      <c r="J1262" s="2">
        <v>584</v>
      </c>
      <c r="K1262" s="2">
        <v>908.26</v>
      </c>
      <c r="L1262" s="2">
        <v>1278.55</v>
      </c>
      <c r="M1262" s="2">
        <v>746673.2</v>
      </c>
      <c r="N1262" s="2">
        <v>530423.84</v>
      </c>
      <c r="O1262" s="2">
        <v>216249.36</v>
      </c>
      <c r="P1262" s="2" t="s">
        <v>42</v>
      </c>
      <c r="Q1262" s="2" t="s">
        <v>32</v>
      </c>
      <c r="R1262" s="2">
        <v>11</v>
      </c>
      <c r="S1262" s="2" t="s">
        <v>158</v>
      </c>
      <c r="T1262" s="2">
        <v>2994</v>
      </c>
      <c r="U1262" s="2">
        <v>25</v>
      </c>
      <c r="V1262" s="2"/>
    </row>
    <row r="1263" spans="1:22" x14ac:dyDescent="0.35">
      <c r="A1263" s="3" t="s">
        <v>3397</v>
      </c>
      <c r="B1263" s="3" t="s">
        <v>649</v>
      </c>
      <c r="C1263" s="3" t="s">
        <v>1612</v>
      </c>
      <c r="D1263" s="3" t="s">
        <v>3398</v>
      </c>
      <c r="E1263" s="3" t="s">
        <v>48</v>
      </c>
      <c r="F1263" s="3" t="s">
        <v>223</v>
      </c>
      <c r="G1263" s="3" t="s">
        <v>70</v>
      </c>
      <c r="H1263" s="3" t="s">
        <v>623</v>
      </c>
      <c r="I1263" s="3" t="s">
        <v>62</v>
      </c>
      <c r="J1263" s="3">
        <v>615</v>
      </c>
      <c r="K1263" s="3">
        <v>758.2</v>
      </c>
      <c r="L1263" s="3">
        <v>1080.4000000000001</v>
      </c>
      <c r="M1263" s="3">
        <v>664446</v>
      </c>
      <c r="N1263" s="3">
        <v>466293</v>
      </c>
      <c r="O1263" s="3">
        <v>198153</v>
      </c>
      <c r="P1263" s="3" t="s">
        <v>31</v>
      </c>
      <c r="Q1263" s="3" t="s">
        <v>32</v>
      </c>
      <c r="R1263" s="3">
        <v>12</v>
      </c>
      <c r="S1263" s="3" t="s">
        <v>33</v>
      </c>
      <c r="T1263" s="3">
        <v>4826</v>
      </c>
      <c r="U1263" s="3">
        <v>29</v>
      </c>
      <c r="V1263" s="3"/>
    </row>
    <row r="1264" spans="1:22" x14ac:dyDescent="0.35">
      <c r="A1264" s="2" t="s">
        <v>3399</v>
      </c>
      <c r="B1264" s="2" t="s">
        <v>3400</v>
      </c>
      <c r="C1264" s="2" t="s">
        <v>1824</v>
      </c>
      <c r="D1264" s="2" t="s">
        <v>3401</v>
      </c>
      <c r="E1264" s="2" t="s">
        <v>68</v>
      </c>
      <c r="F1264" s="2" t="s">
        <v>146</v>
      </c>
      <c r="G1264" s="2" t="s">
        <v>189</v>
      </c>
      <c r="H1264" s="2" t="s">
        <v>360</v>
      </c>
      <c r="I1264" s="2" t="s">
        <v>118</v>
      </c>
      <c r="J1264" s="2">
        <v>79</v>
      </c>
      <c r="K1264" s="2">
        <v>432.48</v>
      </c>
      <c r="L1264" s="2">
        <v>609.11</v>
      </c>
      <c r="M1264" s="2">
        <v>48119.69</v>
      </c>
      <c r="N1264" s="2">
        <v>34165.919999999998</v>
      </c>
      <c r="O1264" s="2">
        <v>13953.77</v>
      </c>
      <c r="P1264" s="2" t="s">
        <v>95</v>
      </c>
      <c r="Q1264" s="2" t="s">
        <v>32</v>
      </c>
      <c r="R1264" s="2">
        <v>10</v>
      </c>
      <c r="S1264" s="2" t="s">
        <v>53</v>
      </c>
      <c r="T1264" s="2">
        <v>843</v>
      </c>
      <c r="U1264" s="2">
        <v>2</v>
      </c>
      <c r="V1264" s="2"/>
    </row>
    <row r="1265" spans="1:22" x14ac:dyDescent="0.35">
      <c r="A1265" s="3" t="s">
        <v>3402</v>
      </c>
      <c r="B1265" s="3" t="s">
        <v>338</v>
      </c>
      <c r="C1265" s="3" t="s">
        <v>186</v>
      </c>
      <c r="D1265" s="3" t="s">
        <v>505</v>
      </c>
      <c r="E1265" s="3" t="s">
        <v>68</v>
      </c>
      <c r="F1265" s="3" t="s">
        <v>249</v>
      </c>
      <c r="G1265" s="3" t="s">
        <v>39</v>
      </c>
      <c r="H1265" s="3" t="s">
        <v>147</v>
      </c>
      <c r="I1265" s="3" t="s">
        <v>1660</v>
      </c>
      <c r="J1265" s="3">
        <v>698</v>
      </c>
      <c r="K1265" s="3">
        <v>477.87</v>
      </c>
      <c r="L1265" s="3">
        <v>690.13</v>
      </c>
      <c r="M1265" s="3">
        <v>481710.74</v>
      </c>
      <c r="N1265" s="3">
        <v>333553.26</v>
      </c>
      <c r="O1265" s="3">
        <v>148157.48000000001</v>
      </c>
      <c r="P1265" s="3" t="s">
        <v>42</v>
      </c>
      <c r="Q1265" s="3" t="s">
        <v>32</v>
      </c>
      <c r="R1265" s="3">
        <v>10</v>
      </c>
      <c r="S1265" s="3" t="s">
        <v>112</v>
      </c>
      <c r="T1265" s="3">
        <v>4095</v>
      </c>
      <c r="U1265" s="3">
        <v>26</v>
      </c>
      <c r="V1265" s="3"/>
    </row>
    <row r="1266" spans="1:22" x14ac:dyDescent="0.35">
      <c r="A1266" s="2" t="s">
        <v>3403</v>
      </c>
      <c r="B1266" s="2" t="s">
        <v>819</v>
      </c>
      <c r="C1266" s="2" t="s">
        <v>459</v>
      </c>
      <c r="D1266" s="2" t="s">
        <v>3404</v>
      </c>
      <c r="E1266" s="2" t="s">
        <v>100</v>
      </c>
      <c r="F1266" s="2" t="s">
        <v>1403</v>
      </c>
      <c r="G1266" s="2" t="s">
        <v>129</v>
      </c>
      <c r="H1266" s="2" t="s">
        <v>811</v>
      </c>
      <c r="I1266" s="2" t="s">
        <v>240</v>
      </c>
      <c r="J1266" s="2">
        <v>679</v>
      </c>
      <c r="K1266" s="2">
        <v>1083.1500000000001</v>
      </c>
      <c r="L1266" s="2">
        <v>1220.5</v>
      </c>
      <c r="M1266" s="2">
        <v>828719.5</v>
      </c>
      <c r="N1266" s="2">
        <v>735458.85</v>
      </c>
      <c r="O1266" s="2">
        <v>93260.65</v>
      </c>
      <c r="P1266" s="2" t="s">
        <v>31</v>
      </c>
      <c r="Q1266" s="2" t="s">
        <v>63</v>
      </c>
      <c r="R1266" s="2">
        <v>4</v>
      </c>
      <c r="S1266" s="2" t="s">
        <v>158</v>
      </c>
      <c r="T1266" s="2">
        <v>1846</v>
      </c>
      <c r="U1266" s="2">
        <v>14</v>
      </c>
      <c r="V1266" s="2"/>
    </row>
    <row r="1267" spans="1:22" x14ac:dyDescent="0.35">
      <c r="A1267" s="3" t="s">
        <v>3405</v>
      </c>
      <c r="B1267" s="3" t="s">
        <v>937</v>
      </c>
      <c r="C1267" s="3" t="s">
        <v>3170</v>
      </c>
      <c r="D1267" s="3" t="s">
        <v>3406</v>
      </c>
      <c r="E1267" s="3" t="s">
        <v>68</v>
      </c>
      <c r="F1267" s="3" t="s">
        <v>276</v>
      </c>
      <c r="G1267" s="3" t="s">
        <v>93</v>
      </c>
      <c r="H1267" s="3" t="s">
        <v>1442</v>
      </c>
      <c r="I1267" s="3" t="s">
        <v>85</v>
      </c>
      <c r="J1267" s="3">
        <v>609</v>
      </c>
      <c r="K1267" s="3">
        <v>777.44</v>
      </c>
      <c r="L1267" s="3">
        <v>1230.68</v>
      </c>
      <c r="M1267" s="3">
        <v>749484.12</v>
      </c>
      <c r="N1267" s="3">
        <v>473460.96</v>
      </c>
      <c r="O1267" s="3">
        <v>276023.15999999997</v>
      </c>
      <c r="P1267" s="3" t="s">
        <v>52</v>
      </c>
      <c r="Q1267" s="3" t="s">
        <v>32</v>
      </c>
      <c r="R1267" s="3">
        <v>6</v>
      </c>
      <c r="S1267" s="3" t="s">
        <v>33</v>
      </c>
      <c r="T1267" s="3">
        <v>4557</v>
      </c>
      <c r="U1267" s="3">
        <v>13</v>
      </c>
      <c r="V1267" s="3"/>
    </row>
    <row r="1268" spans="1:22" x14ac:dyDescent="0.35">
      <c r="A1268" s="2" t="s">
        <v>3407</v>
      </c>
      <c r="B1268" s="2" t="s">
        <v>1797</v>
      </c>
      <c r="C1268" s="2" t="s">
        <v>3408</v>
      </c>
      <c r="D1268" s="2" t="s">
        <v>2800</v>
      </c>
      <c r="E1268" s="2" t="s">
        <v>26</v>
      </c>
      <c r="F1268" s="2" t="s">
        <v>92</v>
      </c>
      <c r="G1268" s="2" t="s">
        <v>78</v>
      </c>
      <c r="H1268" s="2" t="s">
        <v>840</v>
      </c>
      <c r="I1268" s="2" t="s">
        <v>141</v>
      </c>
      <c r="J1268" s="2">
        <v>652</v>
      </c>
      <c r="K1268" s="2">
        <v>881.9</v>
      </c>
      <c r="L1268" s="2">
        <v>1229.94</v>
      </c>
      <c r="M1268" s="2">
        <v>801920.88</v>
      </c>
      <c r="N1268" s="2">
        <v>574998.80000000005</v>
      </c>
      <c r="O1268" s="2">
        <v>226922.08</v>
      </c>
      <c r="P1268" s="2" t="s">
        <v>31</v>
      </c>
      <c r="Q1268" s="2" t="s">
        <v>63</v>
      </c>
      <c r="R1268" s="2">
        <v>5</v>
      </c>
      <c r="S1268" s="2" t="s">
        <v>86</v>
      </c>
      <c r="T1268" s="2">
        <v>2162</v>
      </c>
      <c r="U1268" s="2">
        <v>19</v>
      </c>
      <c r="V1268" s="2"/>
    </row>
    <row r="1269" spans="1:22" x14ac:dyDescent="0.35">
      <c r="A1269" s="3" t="s">
        <v>3409</v>
      </c>
      <c r="B1269" s="3" t="s">
        <v>596</v>
      </c>
      <c r="C1269" s="3" t="s">
        <v>1474</v>
      </c>
      <c r="D1269" s="3" t="s">
        <v>3410</v>
      </c>
      <c r="E1269" s="3" t="s">
        <v>68</v>
      </c>
      <c r="F1269" s="3" t="s">
        <v>69</v>
      </c>
      <c r="G1269" s="3" t="s">
        <v>50</v>
      </c>
      <c r="H1269" s="3" t="s">
        <v>173</v>
      </c>
      <c r="I1269" s="3" t="s">
        <v>240</v>
      </c>
      <c r="J1269" s="3">
        <v>550</v>
      </c>
      <c r="K1269" s="3">
        <v>1103.94</v>
      </c>
      <c r="L1269" s="3">
        <v>1667.77</v>
      </c>
      <c r="M1269" s="3">
        <v>917273.5</v>
      </c>
      <c r="N1269" s="3">
        <v>607167</v>
      </c>
      <c r="O1269" s="3">
        <v>310106.5</v>
      </c>
      <c r="P1269" s="3" t="s">
        <v>95</v>
      </c>
      <c r="Q1269" s="3" t="s">
        <v>32</v>
      </c>
      <c r="R1269" s="3">
        <v>6</v>
      </c>
      <c r="S1269" s="3" t="s">
        <v>112</v>
      </c>
      <c r="T1269" s="3">
        <v>2370</v>
      </c>
      <c r="U1269" s="3">
        <v>11</v>
      </c>
      <c r="V1269" s="3"/>
    </row>
    <row r="1270" spans="1:22" x14ac:dyDescent="0.35">
      <c r="A1270" s="2" t="s">
        <v>3411</v>
      </c>
      <c r="B1270" s="2" t="s">
        <v>333</v>
      </c>
      <c r="C1270" s="2" t="s">
        <v>2015</v>
      </c>
      <c r="D1270" s="2" t="s">
        <v>2423</v>
      </c>
      <c r="E1270" s="2" t="s">
        <v>48</v>
      </c>
      <c r="F1270" s="2" t="s">
        <v>223</v>
      </c>
      <c r="G1270" s="2" t="s">
        <v>28</v>
      </c>
      <c r="H1270" s="2" t="s">
        <v>254</v>
      </c>
      <c r="I1270" s="2" t="s">
        <v>240</v>
      </c>
      <c r="J1270" s="2">
        <v>663</v>
      </c>
      <c r="K1270" s="2">
        <v>16.18</v>
      </c>
      <c r="L1270" s="2">
        <v>22.77</v>
      </c>
      <c r="M1270" s="2">
        <v>15096.51</v>
      </c>
      <c r="N1270" s="2">
        <v>10727.34</v>
      </c>
      <c r="O1270" s="2">
        <v>4369.17</v>
      </c>
      <c r="P1270" s="2" t="s">
        <v>95</v>
      </c>
      <c r="Q1270" s="2" t="s">
        <v>63</v>
      </c>
      <c r="R1270" s="2">
        <v>5</v>
      </c>
      <c r="S1270" s="2" t="s">
        <v>43</v>
      </c>
      <c r="T1270" s="2">
        <v>2065</v>
      </c>
      <c r="U1270" s="2">
        <v>0</v>
      </c>
      <c r="V1270" s="2"/>
    </row>
    <row r="1271" spans="1:22" x14ac:dyDescent="0.35">
      <c r="A1271" s="3" t="s">
        <v>3412</v>
      </c>
      <c r="B1271" s="3" t="s">
        <v>274</v>
      </c>
      <c r="C1271" s="3" t="s">
        <v>2192</v>
      </c>
      <c r="D1271" s="3" t="s">
        <v>3413</v>
      </c>
      <c r="E1271" s="3" t="s">
        <v>68</v>
      </c>
      <c r="F1271" s="3" t="s">
        <v>146</v>
      </c>
      <c r="G1271" s="3" t="s">
        <v>217</v>
      </c>
      <c r="H1271" s="3" t="s">
        <v>292</v>
      </c>
      <c r="I1271" s="3" t="s">
        <v>41</v>
      </c>
      <c r="J1271" s="3">
        <v>382</v>
      </c>
      <c r="K1271" s="3">
        <v>396.91</v>
      </c>
      <c r="L1271" s="3">
        <v>562.59</v>
      </c>
      <c r="M1271" s="3">
        <v>214909.38</v>
      </c>
      <c r="N1271" s="3">
        <v>151619.62</v>
      </c>
      <c r="O1271" s="3">
        <v>63289.760000000002</v>
      </c>
      <c r="P1271" s="3" t="s">
        <v>52</v>
      </c>
      <c r="Q1271" s="3" t="s">
        <v>32</v>
      </c>
      <c r="R1271" s="3">
        <v>9</v>
      </c>
      <c r="S1271" s="3" t="s">
        <v>86</v>
      </c>
      <c r="T1271" s="3">
        <v>3595</v>
      </c>
      <c r="U1271" s="3">
        <v>16</v>
      </c>
      <c r="V1271" s="3"/>
    </row>
    <row r="1272" spans="1:22" x14ac:dyDescent="0.35">
      <c r="A1272" s="2" t="s">
        <v>3414</v>
      </c>
      <c r="B1272" s="2" t="s">
        <v>1233</v>
      </c>
      <c r="C1272" s="2" t="s">
        <v>884</v>
      </c>
      <c r="D1272" s="2" t="s">
        <v>3415</v>
      </c>
      <c r="E1272" s="2" t="s">
        <v>58</v>
      </c>
      <c r="F1272" s="2" t="s">
        <v>417</v>
      </c>
      <c r="G1272" s="2" t="s">
        <v>50</v>
      </c>
      <c r="H1272" s="2" t="s">
        <v>117</v>
      </c>
      <c r="I1272" s="2" t="s">
        <v>30</v>
      </c>
      <c r="J1272" s="2">
        <v>799</v>
      </c>
      <c r="K1272" s="2">
        <v>1115.82</v>
      </c>
      <c r="L1272" s="2">
        <v>1814.65</v>
      </c>
      <c r="M1272" s="2">
        <v>1449905.35</v>
      </c>
      <c r="N1272" s="2">
        <v>891540.18</v>
      </c>
      <c r="O1272" s="2">
        <v>558365.17000000004</v>
      </c>
      <c r="P1272" s="2" t="s">
        <v>31</v>
      </c>
      <c r="Q1272" s="2" t="s">
        <v>63</v>
      </c>
      <c r="R1272" s="2">
        <v>5</v>
      </c>
      <c r="S1272" s="2" t="s">
        <v>86</v>
      </c>
      <c r="T1272" s="2">
        <v>1124</v>
      </c>
      <c r="U1272" s="2">
        <v>29</v>
      </c>
      <c r="V1272" s="2"/>
    </row>
    <row r="1273" spans="1:22" x14ac:dyDescent="0.35">
      <c r="A1273" s="3" t="s">
        <v>3416</v>
      </c>
      <c r="B1273" s="3" t="s">
        <v>308</v>
      </c>
      <c r="C1273" s="3" t="s">
        <v>1037</v>
      </c>
      <c r="D1273" s="3" t="s">
        <v>3417</v>
      </c>
      <c r="E1273" s="3" t="s">
        <v>26</v>
      </c>
      <c r="F1273" s="3" t="s">
        <v>27</v>
      </c>
      <c r="G1273" s="3" t="s">
        <v>50</v>
      </c>
      <c r="H1273" s="3" t="s">
        <v>107</v>
      </c>
      <c r="I1273" s="3" t="s">
        <v>85</v>
      </c>
      <c r="J1273" s="3">
        <v>212</v>
      </c>
      <c r="K1273" s="3">
        <v>499.17</v>
      </c>
      <c r="L1273" s="3">
        <v>565.66</v>
      </c>
      <c r="M1273" s="3">
        <v>119919.92</v>
      </c>
      <c r="N1273" s="3">
        <v>105824.04</v>
      </c>
      <c r="O1273" s="3">
        <v>14095.88</v>
      </c>
      <c r="P1273" s="3" t="s">
        <v>95</v>
      </c>
      <c r="Q1273" s="3" t="s">
        <v>32</v>
      </c>
      <c r="R1273" s="3">
        <v>9</v>
      </c>
      <c r="S1273" s="3" t="s">
        <v>53</v>
      </c>
      <c r="T1273" s="3">
        <v>3130</v>
      </c>
      <c r="U1273" s="3">
        <v>2</v>
      </c>
      <c r="V1273" s="3"/>
    </row>
    <row r="1274" spans="1:22" x14ac:dyDescent="0.35">
      <c r="A1274" s="2" t="s">
        <v>3418</v>
      </c>
      <c r="B1274" s="2" t="s">
        <v>232</v>
      </c>
      <c r="C1274" s="2" t="s">
        <v>3419</v>
      </c>
      <c r="D1274" s="2" t="s">
        <v>3420</v>
      </c>
      <c r="E1274" s="2" t="s">
        <v>100</v>
      </c>
      <c r="F1274" s="2" t="s">
        <v>106</v>
      </c>
      <c r="G1274" s="2" t="s">
        <v>129</v>
      </c>
      <c r="H1274" s="2" t="s">
        <v>168</v>
      </c>
      <c r="I1274" s="2" t="s">
        <v>41</v>
      </c>
      <c r="J1274" s="2">
        <v>782</v>
      </c>
      <c r="K1274" s="2">
        <v>786.89</v>
      </c>
      <c r="L1274" s="2">
        <v>1094.6600000000001</v>
      </c>
      <c r="M1274" s="2">
        <v>856024.12</v>
      </c>
      <c r="N1274" s="2">
        <v>615347.98</v>
      </c>
      <c r="O1274" s="2">
        <v>240676.14</v>
      </c>
      <c r="P1274" s="2" t="s">
        <v>95</v>
      </c>
      <c r="Q1274" s="2" t="s">
        <v>63</v>
      </c>
      <c r="R1274" s="2">
        <v>3</v>
      </c>
      <c r="S1274" s="2" t="s">
        <v>33</v>
      </c>
      <c r="T1274" s="2">
        <v>2944</v>
      </c>
      <c r="U1274" s="2">
        <v>30</v>
      </c>
      <c r="V1274" s="2"/>
    </row>
    <row r="1275" spans="1:22" x14ac:dyDescent="0.35">
      <c r="A1275" s="3" t="s">
        <v>3421</v>
      </c>
      <c r="B1275" s="3" t="s">
        <v>1217</v>
      </c>
      <c r="C1275" s="3" t="s">
        <v>1130</v>
      </c>
      <c r="D1275" s="3" t="s">
        <v>3422</v>
      </c>
      <c r="E1275" s="3" t="s">
        <v>58</v>
      </c>
      <c r="F1275" s="3" t="s">
        <v>259</v>
      </c>
      <c r="G1275" s="3" t="s">
        <v>189</v>
      </c>
      <c r="H1275" s="3" t="s">
        <v>271</v>
      </c>
      <c r="I1275" s="3" t="s">
        <v>85</v>
      </c>
      <c r="J1275" s="3">
        <v>202</v>
      </c>
      <c r="K1275" s="3">
        <v>195.24</v>
      </c>
      <c r="L1275" s="3">
        <v>258.04000000000002</v>
      </c>
      <c r="M1275" s="3">
        <v>52124.08</v>
      </c>
      <c r="N1275" s="3">
        <v>39438.480000000003</v>
      </c>
      <c r="O1275" s="3">
        <v>12685.6</v>
      </c>
      <c r="P1275" s="3" t="s">
        <v>52</v>
      </c>
      <c r="Q1275" s="3" t="s">
        <v>63</v>
      </c>
      <c r="R1275" s="3">
        <v>3</v>
      </c>
      <c r="S1275" s="3" t="s">
        <v>86</v>
      </c>
      <c r="T1275" s="3">
        <v>2462</v>
      </c>
      <c r="U1275" s="3">
        <v>3</v>
      </c>
      <c r="V1275" s="3"/>
    </row>
    <row r="1276" spans="1:22" x14ac:dyDescent="0.35">
      <c r="A1276" s="2" t="s">
        <v>3423</v>
      </c>
      <c r="B1276" s="2" t="s">
        <v>1499</v>
      </c>
      <c r="C1276" s="2" t="s">
        <v>1765</v>
      </c>
      <c r="D1276" s="2" t="s">
        <v>3424</v>
      </c>
      <c r="E1276" s="2" t="s">
        <v>48</v>
      </c>
      <c r="F1276" s="2" t="s">
        <v>183</v>
      </c>
      <c r="G1276" s="2" t="s">
        <v>39</v>
      </c>
      <c r="H1276" s="2" t="s">
        <v>147</v>
      </c>
      <c r="I1276" s="2" t="s">
        <v>153</v>
      </c>
      <c r="J1276" s="2">
        <v>147</v>
      </c>
      <c r="K1276" s="2">
        <v>1133.31</v>
      </c>
      <c r="L1276" s="2">
        <v>1783.04</v>
      </c>
      <c r="M1276" s="2">
        <v>262106.88</v>
      </c>
      <c r="N1276" s="2">
        <v>166596.57</v>
      </c>
      <c r="O1276" s="2">
        <v>95510.31</v>
      </c>
      <c r="P1276" s="2" t="s">
        <v>42</v>
      </c>
      <c r="Q1276" s="2" t="s">
        <v>32</v>
      </c>
      <c r="R1276" s="2">
        <v>12</v>
      </c>
      <c r="S1276" s="2" t="s">
        <v>86</v>
      </c>
      <c r="T1276" s="2">
        <v>4114</v>
      </c>
      <c r="U1276" s="2">
        <v>4</v>
      </c>
      <c r="V1276" s="2"/>
    </row>
    <row r="1277" spans="1:22" x14ac:dyDescent="0.35">
      <c r="A1277" s="3" t="s">
        <v>3425</v>
      </c>
      <c r="B1277" s="3" t="s">
        <v>1536</v>
      </c>
      <c r="C1277" s="3" t="s">
        <v>137</v>
      </c>
      <c r="D1277" s="3" t="s">
        <v>3426</v>
      </c>
      <c r="E1277" s="3" t="s">
        <v>68</v>
      </c>
      <c r="F1277" s="3" t="s">
        <v>249</v>
      </c>
      <c r="G1277" s="3" t="s">
        <v>28</v>
      </c>
      <c r="H1277" s="3" t="s">
        <v>254</v>
      </c>
      <c r="I1277" s="3" t="s">
        <v>30</v>
      </c>
      <c r="J1277" s="3">
        <v>672</v>
      </c>
      <c r="K1277" s="3">
        <v>668.61</v>
      </c>
      <c r="L1277" s="3">
        <v>1051</v>
      </c>
      <c r="M1277" s="3">
        <v>706272</v>
      </c>
      <c r="N1277" s="3">
        <v>449305.92</v>
      </c>
      <c r="O1277" s="3">
        <v>256966.08</v>
      </c>
      <c r="P1277" s="3" t="s">
        <v>3118</v>
      </c>
      <c r="Q1277" s="3" t="s">
        <v>63</v>
      </c>
      <c r="R1277" s="3">
        <v>1</v>
      </c>
      <c r="S1277" s="3" t="s">
        <v>86</v>
      </c>
      <c r="T1277" s="3">
        <v>3006</v>
      </c>
      <c r="U1277" s="3">
        <v>20</v>
      </c>
      <c r="V1277" s="3"/>
    </row>
    <row r="1278" spans="1:22" x14ac:dyDescent="0.35">
      <c r="A1278" s="2" t="s">
        <v>3427</v>
      </c>
      <c r="B1278" s="2" t="s">
        <v>1174</v>
      </c>
      <c r="C1278" s="2" t="s">
        <v>1709</v>
      </c>
      <c r="D1278" s="2" t="s">
        <v>3428</v>
      </c>
      <c r="E1278" s="2" t="s">
        <v>58</v>
      </c>
      <c r="F1278" s="2" t="s">
        <v>122</v>
      </c>
      <c r="G1278" s="2" t="s">
        <v>189</v>
      </c>
      <c r="H1278" s="2" t="s">
        <v>311</v>
      </c>
      <c r="I1278" s="2" t="s">
        <v>191</v>
      </c>
      <c r="J1278" s="2">
        <v>765</v>
      </c>
      <c r="K1278" s="2">
        <v>484.64</v>
      </c>
      <c r="L1278" s="2">
        <v>553.44000000000005</v>
      </c>
      <c r="M1278" s="2">
        <v>423381.6</v>
      </c>
      <c r="N1278" s="2">
        <v>370749.6</v>
      </c>
      <c r="O1278" s="2">
        <v>52632</v>
      </c>
      <c r="P1278" s="2" t="s">
        <v>95</v>
      </c>
      <c r="Q1278" s="2" t="s">
        <v>32</v>
      </c>
      <c r="R1278" s="2">
        <v>14</v>
      </c>
      <c r="S1278" s="2" t="s">
        <v>43</v>
      </c>
      <c r="T1278" s="2">
        <v>1867</v>
      </c>
      <c r="U1278" s="2">
        <v>10</v>
      </c>
      <c r="V1278" s="2"/>
    </row>
    <row r="1279" spans="1:22" x14ac:dyDescent="0.35">
      <c r="A1279" s="3" t="s">
        <v>3429</v>
      </c>
      <c r="B1279" s="3" t="s">
        <v>187</v>
      </c>
      <c r="C1279" s="3" t="s">
        <v>1804</v>
      </c>
      <c r="D1279" s="3" t="s">
        <v>3430</v>
      </c>
      <c r="E1279" s="3" t="s">
        <v>26</v>
      </c>
      <c r="F1279" s="3" t="s">
        <v>38</v>
      </c>
      <c r="G1279" s="3" t="s">
        <v>60</v>
      </c>
      <c r="H1279" s="3" t="s">
        <v>229</v>
      </c>
      <c r="I1279" s="3" t="s">
        <v>293</v>
      </c>
      <c r="J1279" s="3">
        <v>281</v>
      </c>
      <c r="K1279" s="3">
        <v>630.08000000000004</v>
      </c>
      <c r="L1279" s="3">
        <v>759.2</v>
      </c>
      <c r="M1279" s="3">
        <v>213335.2</v>
      </c>
      <c r="N1279" s="3">
        <v>177052.48</v>
      </c>
      <c r="O1279" s="3">
        <v>36282.720000000001</v>
      </c>
      <c r="P1279" s="3" t="s">
        <v>52</v>
      </c>
      <c r="Q1279" s="3" t="s">
        <v>32</v>
      </c>
      <c r="R1279" s="3">
        <v>13</v>
      </c>
      <c r="S1279" s="3" t="s">
        <v>43</v>
      </c>
      <c r="T1279" s="3">
        <v>4959</v>
      </c>
      <c r="U1279" s="3">
        <v>7</v>
      </c>
      <c r="V1279" s="3"/>
    </row>
    <row r="1280" spans="1:22" x14ac:dyDescent="0.35">
      <c r="A1280" s="2" t="s">
        <v>3431</v>
      </c>
      <c r="B1280" s="2" t="s">
        <v>1737</v>
      </c>
      <c r="C1280" s="2" t="s">
        <v>3170</v>
      </c>
      <c r="D1280" s="2" t="s">
        <v>3432</v>
      </c>
      <c r="E1280" s="2" t="s">
        <v>58</v>
      </c>
      <c r="F1280" s="2" t="s">
        <v>122</v>
      </c>
      <c r="G1280" s="2" t="s">
        <v>39</v>
      </c>
      <c r="H1280" s="2" t="s">
        <v>147</v>
      </c>
      <c r="I1280" s="2" t="s">
        <v>41</v>
      </c>
      <c r="J1280" s="2">
        <v>420</v>
      </c>
      <c r="K1280" s="2">
        <v>789.32</v>
      </c>
      <c r="L1280" s="2">
        <v>1105.18</v>
      </c>
      <c r="M1280" s="2">
        <v>464175.6</v>
      </c>
      <c r="N1280" s="2">
        <v>331514.40000000002</v>
      </c>
      <c r="O1280" s="2">
        <v>132661.20000000001</v>
      </c>
      <c r="P1280" s="2" t="s">
        <v>52</v>
      </c>
      <c r="Q1280" s="2" t="s">
        <v>32</v>
      </c>
      <c r="R1280" s="2">
        <v>15</v>
      </c>
      <c r="S1280" s="2" t="s">
        <v>43</v>
      </c>
      <c r="T1280" s="2">
        <v>2278</v>
      </c>
      <c r="U1280" s="2">
        <v>4</v>
      </c>
      <c r="V1280" s="2"/>
    </row>
    <row r="1281" spans="1:22" x14ac:dyDescent="0.35">
      <c r="A1281" s="3" t="s">
        <v>3433</v>
      </c>
      <c r="B1281" s="3" t="s">
        <v>284</v>
      </c>
      <c r="C1281" s="3" t="s">
        <v>2517</v>
      </c>
      <c r="D1281" s="3" t="s">
        <v>3434</v>
      </c>
      <c r="E1281" s="3" t="s">
        <v>58</v>
      </c>
      <c r="F1281" s="3" t="s">
        <v>259</v>
      </c>
      <c r="G1281" s="3" t="s">
        <v>50</v>
      </c>
      <c r="H1281" s="3" t="s">
        <v>107</v>
      </c>
      <c r="I1281" s="3" t="s">
        <v>30</v>
      </c>
      <c r="J1281" s="3">
        <v>467</v>
      </c>
      <c r="K1281" s="3">
        <v>568.15</v>
      </c>
      <c r="L1281" s="3">
        <v>738.59</v>
      </c>
      <c r="M1281" s="3">
        <v>344921.53</v>
      </c>
      <c r="N1281" s="3">
        <v>265326.05</v>
      </c>
      <c r="O1281" s="3">
        <v>79595.48</v>
      </c>
      <c r="P1281" s="3" t="s">
        <v>95</v>
      </c>
      <c r="Q1281" s="3" t="s">
        <v>63</v>
      </c>
      <c r="R1281" s="3">
        <v>2</v>
      </c>
      <c r="S1281" s="3" t="s">
        <v>158</v>
      </c>
      <c r="T1281" s="3">
        <v>4130</v>
      </c>
      <c r="U1281" s="3">
        <v>10</v>
      </c>
      <c r="V1281" s="3"/>
    </row>
    <row r="1282" spans="1:22" x14ac:dyDescent="0.35">
      <c r="A1282" s="2" t="s">
        <v>3435</v>
      </c>
      <c r="B1282" s="2" t="s">
        <v>427</v>
      </c>
      <c r="C1282" s="2" t="s">
        <v>898</v>
      </c>
      <c r="D1282" s="2" t="s">
        <v>3436</v>
      </c>
      <c r="E1282" s="2" t="s">
        <v>58</v>
      </c>
      <c r="F1282" s="2" t="s">
        <v>122</v>
      </c>
      <c r="G1282" s="2" t="s">
        <v>28</v>
      </c>
      <c r="H1282" s="2" t="s">
        <v>714</v>
      </c>
      <c r="I1282" s="2" t="s">
        <v>41</v>
      </c>
      <c r="J1282" s="2">
        <v>68</v>
      </c>
      <c r="K1282" s="2">
        <v>839.28</v>
      </c>
      <c r="L1282" s="2">
        <v>1045.3499999999999</v>
      </c>
      <c r="M1282" s="2">
        <v>71083.8</v>
      </c>
      <c r="N1282" s="2">
        <v>57071.040000000001</v>
      </c>
      <c r="O1282" s="2">
        <v>14012.76</v>
      </c>
      <c r="P1282" s="2" t="s">
        <v>95</v>
      </c>
      <c r="Q1282" s="2" t="s">
        <v>63</v>
      </c>
      <c r="R1282" s="2">
        <v>5</v>
      </c>
      <c r="S1282" s="2" t="s">
        <v>86</v>
      </c>
      <c r="T1282" s="2">
        <v>1626</v>
      </c>
      <c r="U1282" s="2">
        <v>3</v>
      </c>
      <c r="V1282" s="2"/>
    </row>
    <row r="1283" spans="1:22" x14ac:dyDescent="0.35">
      <c r="A1283" s="3" t="s">
        <v>3437</v>
      </c>
      <c r="B1283" s="3" t="s">
        <v>2301</v>
      </c>
      <c r="C1283" s="3" t="s">
        <v>406</v>
      </c>
      <c r="D1283" s="3" t="s">
        <v>1035</v>
      </c>
      <c r="E1283" s="3" t="s">
        <v>100</v>
      </c>
      <c r="F1283" s="3" t="s">
        <v>106</v>
      </c>
      <c r="G1283" s="3" t="s">
        <v>129</v>
      </c>
      <c r="H1283" s="3" t="s">
        <v>704</v>
      </c>
      <c r="I1283" s="3" t="s">
        <v>62</v>
      </c>
      <c r="J1283" s="3">
        <v>588</v>
      </c>
      <c r="K1283" s="3">
        <v>523.71</v>
      </c>
      <c r="L1283" s="3">
        <v>854.56</v>
      </c>
      <c r="M1283" s="3">
        <v>502481.28</v>
      </c>
      <c r="N1283" s="3">
        <v>307941.48</v>
      </c>
      <c r="O1283" s="3">
        <v>194539.8</v>
      </c>
      <c r="P1283" s="3" t="s">
        <v>95</v>
      </c>
      <c r="Q1283" s="3" t="s">
        <v>63</v>
      </c>
      <c r="R1283" s="3">
        <v>2</v>
      </c>
      <c r="S1283" s="3" t="s">
        <v>112</v>
      </c>
      <c r="T1283" s="3">
        <v>3677</v>
      </c>
      <c r="U1283" s="3">
        <v>24</v>
      </c>
      <c r="V1283" s="3"/>
    </row>
    <row r="1284" spans="1:22" x14ac:dyDescent="0.35">
      <c r="A1284" s="2" t="s">
        <v>3438</v>
      </c>
      <c r="B1284" s="2" t="s">
        <v>2620</v>
      </c>
      <c r="C1284" s="2" t="s">
        <v>978</v>
      </c>
      <c r="D1284" s="2" t="s">
        <v>3439</v>
      </c>
      <c r="E1284" s="2" t="s">
        <v>48</v>
      </c>
      <c r="F1284" s="2" t="s">
        <v>223</v>
      </c>
      <c r="G1284" s="2" t="s">
        <v>28</v>
      </c>
      <c r="H1284" s="2" t="s">
        <v>212</v>
      </c>
      <c r="I1284" s="2" t="s">
        <v>41</v>
      </c>
      <c r="J1284" s="2">
        <v>254</v>
      </c>
      <c r="K1284" s="2">
        <v>342.96</v>
      </c>
      <c r="L1284" s="2">
        <v>483.75</v>
      </c>
      <c r="M1284" s="2">
        <v>122872.5</v>
      </c>
      <c r="N1284" s="2">
        <v>87111.84</v>
      </c>
      <c r="O1284" s="2">
        <v>35760.660000000003</v>
      </c>
      <c r="P1284" s="2" t="s">
        <v>31</v>
      </c>
      <c r="Q1284" s="2" t="s">
        <v>63</v>
      </c>
      <c r="R1284" s="2">
        <v>2</v>
      </c>
      <c r="S1284" s="2" t="s">
        <v>112</v>
      </c>
      <c r="T1284" s="2">
        <v>761</v>
      </c>
      <c r="U1284" s="2">
        <v>4</v>
      </c>
      <c r="V1284" s="2"/>
    </row>
    <row r="1285" spans="1:22" x14ac:dyDescent="0.35">
      <c r="A1285" s="3" t="s">
        <v>3440</v>
      </c>
      <c r="B1285" s="3" t="s">
        <v>3441</v>
      </c>
      <c r="C1285" s="3" t="s">
        <v>941</v>
      </c>
      <c r="D1285" s="3" t="s">
        <v>3442</v>
      </c>
      <c r="E1285" s="3" t="s">
        <v>58</v>
      </c>
      <c r="F1285" s="3" t="s">
        <v>259</v>
      </c>
      <c r="G1285" s="3" t="s">
        <v>78</v>
      </c>
      <c r="H1285" s="3" t="s">
        <v>123</v>
      </c>
      <c r="I1285" s="3" t="s">
        <v>293</v>
      </c>
      <c r="J1285" s="3">
        <v>516</v>
      </c>
      <c r="K1285" s="3">
        <v>1143.8399999999999</v>
      </c>
      <c r="L1285" s="3">
        <v>1387.2</v>
      </c>
      <c r="M1285" s="3">
        <v>715795.2</v>
      </c>
      <c r="N1285" s="3">
        <v>590221.43999999994</v>
      </c>
      <c r="O1285" s="3">
        <v>125573.75999999999</v>
      </c>
      <c r="P1285" s="3" t="s">
        <v>95</v>
      </c>
      <c r="Q1285" s="3" t="s">
        <v>32</v>
      </c>
      <c r="R1285" s="3">
        <v>7</v>
      </c>
      <c r="S1285" s="3" t="s">
        <v>33</v>
      </c>
      <c r="T1285" s="3">
        <v>4127</v>
      </c>
      <c r="U1285" s="3">
        <v>1</v>
      </c>
      <c r="V1285" s="3"/>
    </row>
    <row r="1286" spans="1:22" x14ac:dyDescent="0.35">
      <c r="A1286" s="2" t="s">
        <v>3443</v>
      </c>
      <c r="B1286" s="2" t="s">
        <v>2569</v>
      </c>
      <c r="C1286" s="2" t="s">
        <v>1353</v>
      </c>
      <c r="D1286" s="2" t="s">
        <v>3444</v>
      </c>
      <c r="E1286" s="2" t="s">
        <v>48</v>
      </c>
      <c r="F1286" s="2" t="s">
        <v>281</v>
      </c>
      <c r="G1286" s="2" t="s">
        <v>129</v>
      </c>
      <c r="H1286" s="2" t="s">
        <v>316</v>
      </c>
      <c r="I1286" s="2" t="s">
        <v>293</v>
      </c>
      <c r="J1286" s="2">
        <v>196</v>
      </c>
      <c r="K1286" s="2">
        <v>1130.5999999999999</v>
      </c>
      <c r="L1286" s="2">
        <v>1625.58</v>
      </c>
      <c r="M1286" s="2">
        <v>318613.68</v>
      </c>
      <c r="N1286" s="2">
        <v>221597.6</v>
      </c>
      <c r="O1286" s="2">
        <v>97016.08</v>
      </c>
      <c r="P1286" s="2" t="s">
        <v>42</v>
      </c>
      <c r="Q1286" s="2" t="s">
        <v>32</v>
      </c>
      <c r="R1286" s="2">
        <v>15</v>
      </c>
      <c r="S1286" s="2" t="s">
        <v>112</v>
      </c>
      <c r="T1286" s="2">
        <v>776</v>
      </c>
      <c r="U1286" s="2">
        <v>9</v>
      </c>
      <c r="V1286" s="2"/>
    </row>
    <row r="1287" spans="1:22" x14ac:dyDescent="0.35">
      <c r="A1287" s="3" t="s">
        <v>3445</v>
      </c>
      <c r="B1287" s="3" t="s">
        <v>1291</v>
      </c>
      <c r="C1287" s="3" t="s">
        <v>464</v>
      </c>
      <c r="D1287" s="3" t="s">
        <v>3446</v>
      </c>
      <c r="E1287" s="3" t="s">
        <v>48</v>
      </c>
      <c r="F1287" s="3" t="s">
        <v>49</v>
      </c>
      <c r="G1287" s="3" t="s">
        <v>70</v>
      </c>
      <c r="H1287" s="3" t="s">
        <v>84</v>
      </c>
      <c r="I1287" s="3" t="s">
        <v>72</v>
      </c>
      <c r="J1287" s="3">
        <v>150</v>
      </c>
      <c r="K1287" s="3">
        <v>610.28</v>
      </c>
      <c r="L1287" s="3">
        <v>754.26</v>
      </c>
      <c r="M1287" s="3">
        <v>113139</v>
      </c>
      <c r="N1287" s="3">
        <v>91542</v>
      </c>
      <c r="O1287" s="3">
        <v>21597</v>
      </c>
      <c r="P1287" s="3" t="s">
        <v>42</v>
      </c>
      <c r="Q1287" s="3" t="s">
        <v>63</v>
      </c>
      <c r="R1287" s="3">
        <v>4</v>
      </c>
      <c r="S1287" s="3" t="s">
        <v>158</v>
      </c>
      <c r="T1287" s="4"/>
      <c r="U1287" s="3">
        <v>6</v>
      </c>
      <c r="V1287" s="3"/>
    </row>
    <row r="1288" spans="1:22" x14ac:dyDescent="0.35">
      <c r="A1288" s="2" t="s">
        <v>3447</v>
      </c>
      <c r="B1288" s="2" t="s">
        <v>423</v>
      </c>
      <c r="C1288" s="2" t="s">
        <v>1291</v>
      </c>
      <c r="D1288" s="2" t="s">
        <v>3448</v>
      </c>
      <c r="E1288" s="2" t="s">
        <v>100</v>
      </c>
      <c r="F1288" s="2" t="s">
        <v>106</v>
      </c>
      <c r="G1288" s="2" t="s">
        <v>50</v>
      </c>
      <c r="H1288" s="2" t="s">
        <v>135</v>
      </c>
      <c r="I1288" s="2" t="s">
        <v>240</v>
      </c>
      <c r="J1288" s="2">
        <v>614</v>
      </c>
      <c r="K1288" s="2">
        <v>1061.52</v>
      </c>
      <c r="L1288" s="2">
        <v>1573.38</v>
      </c>
      <c r="M1288" s="2">
        <v>966055.32</v>
      </c>
      <c r="N1288" s="2">
        <v>651773.28</v>
      </c>
      <c r="O1288" s="2">
        <v>314282.03999999998</v>
      </c>
      <c r="P1288" s="2" t="s">
        <v>95</v>
      </c>
      <c r="Q1288" s="2" t="s">
        <v>63</v>
      </c>
      <c r="R1288" s="2">
        <v>3</v>
      </c>
      <c r="S1288" s="2" t="s">
        <v>33</v>
      </c>
      <c r="T1288" s="2">
        <v>4563</v>
      </c>
      <c r="U1288" s="2">
        <v>6</v>
      </c>
      <c r="V1288" s="2"/>
    </row>
    <row r="1289" spans="1:22" x14ac:dyDescent="0.35">
      <c r="A1289" s="3" t="s">
        <v>3449</v>
      </c>
      <c r="B1289" s="3" t="s">
        <v>226</v>
      </c>
      <c r="C1289" s="3" t="s">
        <v>337</v>
      </c>
      <c r="D1289" s="3" t="s">
        <v>3450</v>
      </c>
      <c r="E1289" s="3" t="s">
        <v>68</v>
      </c>
      <c r="F1289" s="3" t="s">
        <v>249</v>
      </c>
      <c r="G1289" s="3" t="s">
        <v>93</v>
      </c>
      <c r="H1289" s="3" t="s">
        <v>184</v>
      </c>
      <c r="I1289" s="3" t="s">
        <v>72</v>
      </c>
      <c r="J1289" s="3">
        <v>622</v>
      </c>
      <c r="K1289" s="3">
        <v>649.02</v>
      </c>
      <c r="L1289" s="3">
        <v>1023.52</v>
      </c>
      <c r="M1289" s="3">
        <v>636629.43999999994</v>
      </c>
      <c r="N1289" s="3">
        <v>403690.44</v>
      </c>
      <c r="O1289" s="3">
        <v>232939</v>
      </c>
      <c r="P1289" s="3" t="s">
        <v>95</v>
      </c>
      <c r="Q1289" s="3" t="s">
        <v>32</v>
      </c>
      <c r="R1289" s="3">
        <v>7</v>
      </c>
      <c r="S1289" s="3" t="s">
        <v>33</v>
      </c>
      <c r="T1289" s="3">
        <v>242</v>
      </c>
      <c r="U1289" s="3">
        <v>29</v>
      </c>
      <c r="V1289" s="3"/>
    </row>
    <row r="1290" spans="1:22" x14ac:dyDescent="0.35">
      <c r="A1290" s="2" t="s">
        <v>3451</v>
      </c>
      <c r="B1290" s="2" t="s">
        <v>1090</v>
      </c>
      <c r="C1290" s="2" t="s">
        <v>712</v>
      </c>
      <c r="D1290" s="2" t="s">
        <v>3452</v>
      </c>
      <c r="E1290" s="2" t="s">
        <v>100</v>
      </c>
      <c r="F1290" s="2" t="s">
        <v>238</v>
      </c>
      <c r="G1290" s="2" t="s">
        <v>217</v>
      </c>
      <c r="H1290" s="2" t="s">
        <v>684</v>
      </c>
      <c r="I1290" s="2" t="s">
        <v>141</v>
      </c>
      <c r="J1290" s="2">
        <v>436</v>
      </c>
      <c r="K1290" s="2">
        <v>1032.43</v>
      </c>
      <c r="L1290" s="2">
        <v>1396.78</v>
      </c>
      <c r="M1290" s="2">
        <v>608996.07999999996</v>
      </c>
      <c r="N1290" s="2">
        <v>450139.48</v>
      </c>
      <c r="O1290" s="2">
        <v>158856.6</v>
      </c>
      <c r="P1290" s="2" t="s">
        <v>95</v>
      </c>
      <c r="Q1290" s="2" t="s">
        <v>32</v>
      </c>
      <c r="R1290" s="2">
        <v>14</v>
      </c>
      <c r="S1290" s="2" t="s">
        <v>112</v>
      </c>
      <c r="T1290" s="2">
        <v>2797</v>
      </c>
      <c r="U1290" s="2">
        <v>2</v>
      </c>
      <c r="V1290" s="2"/>
    </row>
    <row r="1291" spans="1:22" x14ac:dyDescent="0.35">
      <c r="A1291" s="3" t="s">
        <v>3453</v>
      </c>
      <c r="B1291" s="3" t="s">
        <v>786</v>
      </c>
      <c r="C1291" s="3" t="s">
        <v>748</v>
      </c>
      <c r="D1291" s="3" t="s">
        <v>3454</v>
      </c>
      <c r="E1291" s="3" t="s">
        <v>68</v>
      </c>
      <c r="F1291" s="3" t="s">
        <v>276</v>
      </c>
      <c r="G1291" s="3" t="s">
        <v>28</v>
      </c>
      <c r="H1291" s="3" t="s">
        <v>507</v>
      </c>
      <c r="I1291" s="3" t="s">
        <v>191</v>
      </c>
      <c r="J1291" s="3">
        <v>42</v>
      </c>
      <c r="K1291" s="3">
        <v>492.69</v>
      </c>
      <c r="L1291" s="3">
        <v>552.76</v>
      </c>
      <c r="M1291" s="3">
        <v>23215.919999999998</v>
      </c>
      <c r="N1291" s="3">
        <v>20692.98</v>
      </c>
      <c r="O1291" s="3">
        <v>2522.94</v>
      </c>
      <c r="P1291" s="3" t="s">
        <v>31</v>
      </c>
      <c r="Q1291" s="3" t="s">
        <v>63</v>
      </c>
      <c r="R1291" s="3">
        <v>4</v>
      </c>
      <c r="S1291" s="3" t="s">
        <v>33</v>
      </c>
      <c r="T1291" s="3">
        <v>2873</v>
      </c>
      <c r="U1291" s="3">
        <v>2</v>
      </c>
      <c r="V1291" s="3"/>
    </row>
    <row r="1292" spans="1:22" x14ac:dyDescent="0.35">
      <c r="A1292" s="3" t="s">
        <v>3455</v>
      </c>
      <c r="B1292" s="3" t="s">
        <v>395</v>
      </c>
      <c r="C1292" s="3" t="s">
        <v>777</v>
      </c>
      <c r="D1292" s="3" t="s">
        <v>3456</v>
      </c>
      <c r="E1292" s="3" t="s">
        <v>48</v>
      </c>
      <c r="F1292" s="3" t="s">
        <v>183</v>
      </c>
      <c r="G1292" s="3" t="s">
        <v>217</v>
      </c>
      <c r="H1292" s="3" t="s">
        <v>335</v>
      </c>
      <c r="I1292" s="3" t="s">
        <v>293</v>
      </c>
      <c r="J1292" s="3">
        <v>753</v>
      </c>
      <c r="K1292" s="3">
        <v>1022.38</v>
      </c>
      <c r="L1292" s="3">
        <v>1615</v>
      </c>
      <c r="M1292" s="3">
        <v>1216095</v>
      </c>
      <c r="N1292" s="3">
        <v>769852.14</v>
      </c>
      <c r="O1292" s="3">
        <v>446242.86</v>
      </c>
      <c r="P1292" s="3" t="s">
        <v>42</v>
      </c>
      <c r="Q1292" s="3" t="s">
        <v>63</v>
      </c>
      <c r="R1292" s="3">
        <v>2</v>
      </c>
      <c r="S1292" s="3" t="s">
        <v>112</v>
      </c>
      <c r="T1292" s="3">
        <v>964</v>
      </c>
      <c r="U1292" s="3">
        <v>7</v>
      </c>
      <c r="V1292" s="3"/>
    </row>
    <row r="1293" spans="1:22" x14ac:dyDescent="0.35">
      <c r="A1293" s="2" t="s">
        <v>3457</v>
      </c>
      <c r="B1293" s="2" t="s">
        <v>1483</v>
      </c>
      <c r="C1293" s="2" t="s">
        <v>2015</v>
      </c>
      <c r="D1293" s="2" t="s">
        <v>3458</v>
      </c>
      <c r="E1293" s="2" t="s">
        <v>26</v>
      </c>
      <c r="F1293" s="2" t="s">
        <v>228</v>
      </c>
      <c r="G1293" s="2" t="s">
        <v>28</v>
      </c>
      <c r="H1293" s="2" t="s">
        <v>507</v>
      </c>
      <c r="I1293" s="2" t="s">
        <v>153</v>
      </c>
      <c r="J1293" s="2">
        <v>751</v>
      </c>
      <c r="K1293" s="2">
        <v>548.99</v>
      </c>
      <c r="L1293" s="2">
        <v>668.33</v>
      </c>
      <c r="M1293" s="2">
        <v>501915.83</v>
      </c>
      <c r="N1293" s="2">
        <v>412291.49</v>
      </c>
      <c r="O1293" s="2">
        <v>89624.34</v>
      </c>
      <c r="P1293" s="2" t="s">
        <v>42</v>
      </c>
      <c r="Q1293" s="2" t="s">
        <v>32</v>
      </c>
      <c r="R1293" s="2">
        <v>12</v>
      </c>
      <c r="S1293" s="2" t="s">
        <v>33</v>
      </c>
      <c r="T1293" s="2">
        <v>3580</v>
      </c>
      <c r="U1293" s="2">
        <v>0</v>
      </c>
      <c r="V1293" s="2"/>
    </row>
    <row r="1294" spans="1:22" x14ac:dyDescent="0.35">
      <c r="A1294" s="3" t="s">
        <v>3459</v>
      </c>
      <c r="B1294" s="3" t="s">
        <v>1285</v>
      </c>
      <c r="C1294" s="3" t="s">
        <v>1617</v>
      </c>
      <c r="D1294" s="3" t="s">
        <v>1190</v>
      </c>
      <c r="E1294" s="3" t="s">
        <v>48</v>
      </c>
      <c r="F1294" s="3" t="s">
        <v>49</v>
      </c>
      <c r="G1294" s="3" t="s">
        <v>78</v>
      </c>
      <c r="H1294" s="3" t="s">
        <v>178</v>
      </c>
      <c r="I1294" s="3" t="s">
        <v>153</v>
      </c>
      <c r="J1294" s="3">
        <v>463</v>
      </c>
      <c r="K1294" s="3">
        <v>249.68</v>
      </c>
      <c r="L1294" s="3">
        <v>365.24</v>
      </c>
      <c r="M1294" s="3">
        <v>169106.12</v>
      </c>
      <c r="N1294" s="3">
        <v>115601.84</v>
      </c>
      <c r="O1294" s="3">
        <v>53504.28</v>
      </c>
      <c r="P1294" s="3" t="s">
        <v>31</v>
      </c>
      <c r="Q1294" s="3" t="s">
        <v>32</v>
      </c>
      <c r="R1294" s="3">
        <v>8</v>
      </c>
      <c r="S1294" s="3" t="s">
        <v>33</v>
      </c>
      <c r="T1294" s="3">
        <v>1748</v>
      </c>
      <c r="U1294" s="3">
        <v>15</v>
      </c>
      <c r="V1294" s="3"/>
    </row>
    <row r="1295" spans="1:22" x14ac:dyDescent="0.35">
      <c r="A1295" s="2" t="s">
        <v>3460</v>
      </c>
      <c r="B1295" s="2" t="s">
        <v>1597</v>
      </c>
      <c r="C1295" s="2" t="s">
        <v>464</v>
      </c>
      <c r="D1295" s="2" t="s">
        <v>3313</v>
      </c>
      <c r="E1295" s="2" t="s">
        <v>100</v>
      </c>
      <c r="F1295" s="2" t="s">
        <v>538</v>
      </c>
      <c r="G1295" s="2" t="s">
        <v>28</v>
      </c>
      <c r="H1295" s="2" t="s">
        <v>579</v>
      </c>
      <c r="I1295" s="2" t="s">
        <v>62</v>
      </c>
      <c r="J1295" s="2">
        <v>403</v>
      </c>
      <c r="K1295" s="2">
        <v>914.16</v>
      </c>
      <c r="L1295" s="2">
        <v>1433.73</v>
      </c>
      <c r="M1295" s="2">
        <v>577793.18999999994</v>
      </c>
      <c r="N1295" s="2">
        <v>368406.48</v>
      </c>
      <c r="O1295" s="2">
        <v>209386.71</v>
      </c>
      <c r="P1295" s="2" t="s">
        <v>31</v>
      </c>
      <c r="Q1295" s="2" t="s">
        <v>32</v>
      </c>
      <c r="R1295" s="2">
        <v>9</v>
      </c>
      <c r="S1295" s="2" t="s">
        <v>43</v>
      </c>
      <c r="T1295" s="2">
        <v>1594</v>
      </c>
      <c r="U1295" s="2">
        <v>4</v>
      </c>
      <c r="V1295" s="2"/>
    </row>
    <row r="1296" spans="1:22" x14ac:dyDescent="0.35">
      <c r="A1296" s="3" t="s">
        <v>3461</v>
      </c>
      <c r="B1296" s="3" t="s">
        <v>1375</v>
      </c>
      <c r="C1296" s="3" t="s">
        <v>706</v>
      </c>
      <c r="D1296" s="3" t="s">
        <v>3462</v>
      </c>
      <c r="E1296" s="3" t="s">
        <v>68</v>
      </c>
      <c r="F1296" s="3" t="s">
        <v>146</v>
      </c>
      <c r="G1296" s="3" t="s">
        <v>78</v>
      </c>
      <c r="H1296" s="3" t="s">
        <v>628</v>
      </c>
      <c r="I1296" s="3" t="s">
        <v>240</v>
      </c>
      <c r="J1296" s="3">
        <v>538</v>
      </c>
      <c r="K1296" s="3">
        <v>925.41</v>
      </c>
      <c r="L1296" s="3">
        <v>1289.98</v>
      </c>
      <c r="M1296" s="3">
        <v>694009.24</v>
      </c>
      <c r="N1296" s="3">
        <v>497870.58</v>
      </c>
      <c r="O1296" s="3">
        <v>196138.66</v>
      </c>
      <c r="P1296" s="3" t="s">
        <v>42</v>
      </c>
      <c r="Q1296" s="3" t="s">
        <v>32</v>
      </c>
      <c r="R1296" s="3">
        <v>14</v>
      </c>
      <c r="S1296" s="3" t="s">
        <v>53</v>
      </c>
      <c r="T1296" s="3">
        <v>4918</v>
      </c>
      <c r="U1296" s="3">
        <v>24</v>
      </c>
      <c r="V1296" s="3"/>
    </row>
    <row r="1297" spans="1:22" x14ac:dyDescent="0.35">
      <c r="A1297" s="2" t="s">
        <v>3463</v>
      </c>
      <c r="B1297" s="2" t="s">
        <v>2947</v>
      </c>
      <c r="C1297" s="2" t="s">
        <v>3464</v>
      </c>
      <c r="D1297" s="2" t="s">
        <v>3465</v>
      </c>
      <c r="E1297" s="2" t="s">
        <v>48</v>
      </c>
      <c r="F1297" s="2" t="s">
        <v>281</v>
      </c>
      <c r="G1297" s="2" t="s">
        <v>129</v>
      </c>
      <c r="H1297" s="2" t="s">
        <v>811</v>
      </c>
      <c r="I1297" s="2" t="s">
        <v>62</v>
      </c>
      <c r="J1297" s="2">
        <v>596</v>
      </c>
      <c r="K1297" s="2">
        <v>1114.29</v>
      </c>
      <c r="L1297" s="2">
        <v>1830.55</v>
      </c>
      <c r="M1297" s="2">
        <v>1091007.8</v>
      </c>
      <c r="N1297" s="2">
        <v>664116.84</v>
      </c>
      <c r="O1297" s="2">
        <v>426890.96</v>
      </c>
      <c r="P1297" s="2" t="s">
        <v>95</v>
      </c>
      <c r="Q1297" s="2" t="s">
        <v>63</v>
      </c>
      <c r="R1297" s="2">
        <v>2</v>
      </c>
      <c r="S1297" s="2" t="s">
        <v>158</v>
      </c>
      <c r="T1297" s="2">
        <v>4440</v>
      </c>
      <c r="U1297" s="2">
        <v>1</v>
      </c>
      <c r="V1297" s="2"/>
    </row>
    <row r="1298" spans="1:22" x14ac:dyDescent="0.35">
      <c r="A1298" s="3" t="s">
        <v>3466</v>
      </c>
      <c r="B1298" s="3" t="s">
        <v>802</v>
      </c>
      <c r="C1298" s="3" t="s">
        <v>1298</v>
      </c>
      <c r="D1298" s="3" t="s">
        <v>3467</v>
      </c>
      <c r="E1298" s="3" t="s">
        <v>100</v>
      </c>
      <c r="F1298" s="3" t="s">
        <v>106</v>
      </c>
      <c r="G1298" s="3" t="s">
        <v>93</v>
      </c>
      <c r="H1298" s="4"/>
      <c r="I1298" s="3" t="s">
        <v>1086</v>
      </c>
      <c r="J1298" s="3">
        <v>221</v>
      </c>
      <c r="K1298" s="3">
        <v>533.24</v>
      </c>
      <c r="L1298" s="3">
        <v>751.39</v>
      </c>
      <c r="M1298" s="3">
        <v>166057.19</v>
      </c>
      <c r="N1298" s="3">
        <v>117846.04</v>
      </c>
      <c r="O1298" s="3">
        <v>48211.15</v>
      </c>
      <c r="P1298" s="3" t="s">
        <v>31</v>
      </c>
      <c r="Q1298" s="3" t="s">
        <v>32</v>
      </c>
      <c r="R1298" s="3">
        <v>6</v>
      </c>
      <c r="S1298" s="3" t="s">
        <v>53</v>
      </c>
      <c r="T1298" s="3">
        <v>3900</v>
      </c>
      <c r="U1298" s="3">
        <v>0</v>
      </c>
      <c r="V1298" s="3"/>
    </row>
    <row r="1299" spans="1:22" x14ac:dyDescent="0.35">
      <c r="A1299" s="2" t="s">
        <v>3468</v>
      </c>
      <c r="B1299" s="2" t="s">
        <v>3469</v>
      </c>
      <c r="C1299" s="2" t="s">
        <v>175</v>
      </c>
      <c r="D1299" s="2" t="s">
        <v>3470</v>
      </c>
      <c r="E1299" s="2" t="s">
        <v>26</v>
      </c>
      <c r="F1299" s="2" t="s">
        <v>38</v>
      </c>
      <c r="G1299" s="2" t="s">
        <v>70</v>
      </c>
      <c r="H1299" s="2" t="s">
        <v>822</v>
      </c>
      <c r="I1299" s="2" t="s">
        <v>85</v>
      </c>
      <c r="J1299" s="2">
        <v>328</v>
      </c>
      <c r="K1299" s="2">
        <v>434.41</v>
      </c>
      <c r="L1299" s="2">
        <v>672.83</v>
      </c>
      <c r="M1299" s="2">
        <v>220688.24</v>
      </c>
      <c r="N1299" s="2">
        <v>142486.48000000001</v>
      </c>
      <c r="O1299" s="2">
        <v>78201.759999999995</v>
      </c>
      <c r="P1299" s="2" t="s">
        <v>42</v>
      </c>
      <c r="Q1299" s="2" t="s">
        <v>32</v>
      </c>
      <c r="R1299" s="2">
        <v>12</v>
      </c>
      <c r="S1299" s="2" t="s">
        <v>33</v>
      </c>
      <c r="T1299" s="2">
        <v>1951</v>
      </c>
      <c r="U1299" s="2">
        <v>16</v>
      </c>
      <c r="V1299" s="2"/>
    </row>
    <row r="1300" spans="1:22" x14ac:dyDescent="0.35">
      <c r="A1300" s="3" t="s">
        <v>3471</v>
      </c>
      <c r="B1300" s="3" t="s">
        <v>1776</v>
      </c>
      <c r="C1300" s="3" t="s">
        <v>3472</v>
      </c>
      <c r="D1300" s="3" t="s">
        <v>3473</v>
      </c>
      <c r="E1300" s="3" t="s">
        <v>58</v>
      </c>
      <c r="F1300" s="3" t="s">
        <v>122</v>
      </c>
      <c r="G1300" s="3" t="s">
        <v>70</v>
      </c>
      <c r="H1300" s="3" t="s">
        <v>623</v>
      </c>
      <c r="I1300" s="3" t="s">
        <v>191</v>
      </c>
      <c r="J1300" s="3">
        <v>648</v>
      </c>
      <c r="K1300" s="3">
        <v>617.02</v>
      </c>
      <c r="L1300" s="3">
        <v>839.78</v>
      </c>
      <c r="M1300" s="3">
        <v>544177.43999999994</v>
      </c>
      <c r="N1300" s="3">
        <v>399828.96</v>
      </c>
      <c r="O1300" s="3">
        <v>144348.48000000001</v>
      </c>
      <c r="P1300" s="3" t="s">
        <v>95</v>
      </c>
      <c r="Q1300" s="4"/>
      <c r="R1300" s="3">
        <v>3</v>
      </c>
      <c r="S1300" s="3" t="s">
        <v>86</v>
      </c>
      <c r="T1300" s="3">
        <v>2502</v>
      </c>
      <c r="U1300" s="3">
        <v>1</v>
      </c>
      <c r="V1300" s="3"/>
    </row>
    <row r="1301" spans="1:22" x14ac:dyDescent="0.35">
      <c r="A1301" s="2" t="s">
        <v>3474</v>
      </c>
      <c r="B1301" s="2" t="s">
        <v>522</v>
      </c>
      <c r="C1301" s="2" t="s">
        <v>448</v>
      </c>
      <c r="D1301" s="2" t="s">
        <v>3475</v>
      </c>
      <c r="E1301" s="2" t="s">
        <v>48</v>
      </c>
      <c r="F1301" s="2" t="s">
        <v>2892</v>
      </c>
      <c r="G1301" s="2" t="s">
        <v>60</v>
      </c>
      <c r="H1301" s="2" t="s">
        <v>400</v>
      </c>
      <c r="I1301" s="2" t="s">
        <v>30</v>
      </c>
      <c r="J1301" s="2">
        <v>282</v>
      </c>
      <c r="K1301" s="2">
        <v>1139.7</v>
      </c>
      <c r="L1301" s="2">
        <v>1846.78</v>
      </c>
      <c r="M1301" s="2">
        <v>520791.96</v>
      </c>
      <c r="N1301" s="2">
        <v>321395.40000000002</v>
      </c>
      <c r="O1301" s="2">
        <v>199396.56</v>
      </c>
      <c r="P1301" s="2" t="s">
        <v>95</v>
      </c>
      <c r="Q1301" s="2" t="s">
        <v>32</v>
      </c>
      <c r="R1301" s="2">
        <v>12</v>
      </c>
      <c r="S1301" s="2" t="s">
        <v>158</v>
      </c>
      <c r="T1301" s="2">
        <v>2776</v>
      </c>
      <c r="U1301" s="2">
        <v>12</v>
      </c>
      <c r="V1301" s="2"/>
    </row>
    <row r="1302" spans="1:22" x14ac:dyDescent="0.35">
      <c r="A1302" s="3" t="s">
        <v>3476</v>
      </c>
      <c r="B1302" s="3" t="s">
        <v>440</v>
      </c>
      <c r="C1302" s="3" t="s">
        <v>422</v>
      </c>
      <c r="D1302" s="3" t="s">
        <v>3477</v>
      </c>
      <c r="E1302" s="3" t="s">
        <v>26</v>
      </c>
      <c r="F1302" s="3" t="s">
        <v>92</v>
      </c>
      <c r="G1302" s="3" t="s">
        <v>50</v>
      </c>
      <c r="H1302" s="3" t="s">
        <v>117</v>
      </c>
      <c r="I1302" s="3" t="s">
        <v>118</v>
      </c>
      <c r="J1302" s="3">
        <v>86</v>
      </c>
      <c r="K1302" s="3">
        <v>884.13</v>
      </c>
      <c r="L1302" s="3">
        <v>1233.81</v>
      </c>
      <c r="M1302" s="3">
        <v>106107.66</v>
      </c>
      <c r="N1302" s="3">
        <v>76035.179999999993</v>
      </c>
      <c r="O1302" s="3">
        <v>30072.48</v>
      </c>
      <c r="P1302" s="3" t="s">
        <v>42</v>
      </c>
      <c r="Q1302" s="3" t="s">
        <v>32</v>
      </c>
      <c r="R1302" s="3">
        <v>8</v>
      </c>
      <c r="S1302" s="3" t="s">
        <v>53</v>
      </c>
      <c r="T1302" s="3">
        <v>2436</v>
      </c>
      <c r="U1302" s="4"/>
      <c r="V1302" s="3"/>
    </row>
    <row r="1303" spans="1:22" x14ac:dyDescent="0.35">
      <c r="A1303" s="2" t="s">
        <v>3478</v>
      </c>
      <c r="B1303" s="2" t="s">
        <v>431</v>
      </c>
      <c r="C1303" s="2" t="s">
        <v>262</v>
      </c>
      <c r="D1303" s="2" t="s">
        <v>3479</v>
      </c>
      <c r="E1303" s="2" t="s">
        <v>68</v>
      </c>
      <c r="F1303" s="2" t="s">
        <v>146</v>
      </c>
      <c r="G1303" s="2" t="s">
        <v>28</v>
      </c>
      <c r="H1303" s="2" t="s">
        <v>714</v>
      </c>
      <c r="I1303" s="2" t="s">
        <v>124</v>
      </c>
      <c r="J1303" s="2">
        <v>326</v>
      </c>
      <c r="K1303" s="2">
        <v>455.54</v>
      </c>
      <c r="L1303" s="2">
        <v>628.74</v>
      </c>
      <c r="M1303" s="2">
        <v>204969.24</v>
      </c>
      <c r="N1303" s="2">
        <v>148506.04</v>
      </c>
      <c r="O1303" s="2">
        <v>56463.199999999997</v>
      </c>
      <c r="P1303" s="2" t="s">
        <v>52</v>
      </c>
      <c r="Q1303" s="2" t="s">
        <v>32</v>
      </c>
      <c r="R1303" s="2">
        <v>12</v>
      </c>
      <c r="S1303" s="2" t="s">
        <v>33</v>
      </c>
      <c r="T1303" s="2">
        <v>2892</v>
      </c>
      <c r="U1303" s="2">
        <v>14</v>
      </c>
      <c r="V1303" s="2"/>
    </row>
    <row r="1304" spans="1:22" x14ac:dyDescent="0.35">
      <c r="A1304" s="3" t="s">
        <v>3480</v>
      </c>
      <c r="B1304" s="3" t="s">
        <v>1536</v>
      </c>
      <c r="C1304" s="3" t="s">
        <v>649</v>
      </c>
      <c r="D1304" s="3" t="s">
        <v>3481</v>
      </c>
      <c r="E1304" s="3" t="s">
        <v>58</v>
      </c>
      <c r="F1304" s="3" t="s">
        <v>59</v>
      </c>
      <c r="G1304" s="3" t="s">
        <v>50</v>
      </c>
      <c r="H1304" s="3" t="s">
        <v>51</v>
      </c>
      <c r="I1304" s="3" t="s">
        <v>118</v>
      </c>
      <c r="J1304" s="3">
        <v>748</v>
      </c>
      <c r="K1304" s="3">
        <v>439.35</v>
      </c>
      <c r="L1304" s="3">
        <v>529.16</v>
      </c>
      <c r="M1304" s="3">
        <v>395811.68</v>
      </c>
      <c r="N1304" s="3">
        <v>328633.8</v>
      </c>
      <c r="O1304" s="3">
        <v>67177.88</v>
      </c>
      <c r="P1304" s="3" t="s">
        <v>52</v>
      </c>
      <c r="Q1304" s="3" t="s">
        <v>63</v>
      </c>
      <c r="R1304" s="3">
        <v>3</v>
      </c>
      <c r="S1304" s="3" t="s">
        <v>53</v>
      </c>
      <c r="T1304" s="3">
        <v>2499</v>
      </c>
      <c r="U1304" s="3">
        <v>33</v>
      </c>
      <c r="V1304" s="3"/>
    </row>
    <row r="1305" spans="1:22" x14ac:dyDescent="0.35">
      <c r="A1305" s="2" t="s">
        <v>3482</v>
      </c>
      <c r="B1305" s="2" t="s">
        <v>1509</v>
      </c>
      <c r="C1305" s="2" t="s">
        <v>2773</v>
      </c>
      <c r="D1305" s="2" t="s">
        <v>1094</v>
      </c>
      <c r="E1305" s="2" t="s">
        <v>68</v>
      </c>
      <c r="F1305" s="2" t="s">
        <v>249</v>
      </c>
      <c r="G1305" s="2" t="s">
        <v>217</v>
      </c>
      <c r="H1305" s="2" t="s">
        <v>340</v>
      </c>
      <c r="I1305" s="2" t="s">
        <v>124</v>
      </c>
      <c r="J1305" s="2">
        <v>375</v>
      </c>
      <c r="K1305" s="2">
        <v>345.76</v>
      </c>
      <c r="L1305" s="2">
        <v>450.58</v>
      </c>
      <c r="M1305" s="2">
        <v>168967.5</v>
      </c>
      <c r="N1305" s="2">
        <v>129660</v>
      </c>
      <c r="O1305" s="2">
        <v>39307.5</v>
      </c>
      <c r="P1305" s="2" t="s">
        <v>95</v>
      </c>
      <c r="Q1305" s="2" t="s">
        <v>63</v>
      </c>
      <c r="R1305" s="2">
        <v>3</v>
      </c>
      <c r="S1305" s="2" t="s">
        <v>33</v>
      </c>
      <c r="T1305" s="2">
        <v>397</v>
      </c>
      <c r="U1305" s="2">
        <v>8</v>
      </c>
      <c r="V1305" s="2"/>
    </row>
    <row r="1306" spans="1:22" x14ac:dyDescent="0.35">
      <c r="A1306" s="3" t="s">
        <v>3483</v>
      </c>
      <c r="B1306" s="3" t="s">
        <v>3139</v>
      </c>
      <c r="C1306" s="3" t="s">
        <v>1096</v>
      </c>
      <c r="D1306" s="3" t="s">
        <v>3484</v>
      </c>
      <c r="E1306" s="3" t="s">
        <v>48</v>
      </c>
      <c r="F1306" s="3" t="s">
        <v>223</v>
      </c>
      <c r="G1306" s="3" t="s">
        <v>189</v>
      </c>
      <c r="H1306" s="3" t="s">
        <v>437</v>
      </c>
      <c r="I1306" s="3" t="s">
        <v>153</v>
      </c>
      <c r="J1306" s="3">
        <v>557</v>
      </c>
      <c r="K1306" s="3">
        <v>904.64</v>
      </c>
      <c r="L1306" s="3">
        <v>1037.08</v>
      </c>
      <c r="M1306" s="3">
        <v>577653.56000000006</v>
      </c>
      <c r="N1306" s="3">
        <v>503884.48</v>
      </c>
      <c r="O1306" s="3">
        <v>73769.08</v>
      </c>
      <c r="P1306" s="3" t="s">
        <v>52</v>
      </c>
      <c r="Q1306" s="3" t="s">
        <v>63</v>
      </c>
      <c r="R1306" s="3">
        <v>1</v>
      </c>
      <c r="S1306" s="3" t="s">
        <v>158</v>
      </c>
      <c r="T1306" s="3">
        <v>48</v>
      </c>
      <c r="U1306" s="3">
        <v>2</v>
      </c>
      <c r="V1306" s="3"/>
    </row>
    <row r="1307" spans="1:22" x14ac:dyDescent="0.35">
      <c r="A1307" s="2" t="s">
        <v>3485</v>
      </c>
      <c r="B1307" s="2" t="s">
        <v>449</v>
      </c>
      <c r="C1307" s="2" t="s">
        <v>898</v>
      </c>
      <c r="D1307" s="2" t="s">
        <v>3486</v>
      </c>
      <c r="E1307" s="2" t="s">
        <v>48</v>
      </c>
      <c r="F1307" s="2" t="s">
        <v>270</v>
      </c>
      <c r="G1307" s="2" t="s">
        <v>93</v>
      </c>
      <c r="H1307" s="2" t="s">
        <v>94</v>
      </c>
      <c r="I1307" s="2" t="s">
        <v>293</v>
      </c>
      <c r="J1307" s="2">
        <v>189</v>
      </c>
      <c r="K1307" s="2">
        <v>157.85</v>
      </c>
      <c r="L1307" s="2">
        <v>228.98</v>
      </c>
      <c r="M1307" s="2">
        <v>43277.22</v>
      </c>
      <c r="N1307" s="2">
        <v>29833.65</v>
      </c>
      <c r="O1307" s="2">
        <v>13443.57</v>
      </c>
      <c r="P1307" s="2" t="s">
        <v>42</v>
      </c>
      <c r="Q1307" s="2" t="s">
        <v>32</v>
      </c>
      <c r="R1307" s="2">
        <v>15</v>
      </c>
      <c r="S1307" s="2" t="s">
        <v>33</v>
      </c>
      <c r="T1307" s="2">
        <v>2470</v>
      </c>
      <c r="U1307" s="2">
        <v>6</v>
      </c>
      <c r="V1307" s="2"/>
    </row>
    <row r="1308" spans="1:22" x14ac:dyDescent="0.35">
      <c r="A1308" s="3" t="s">
        <v>3487</v>
      </c>
      <c r="B1308" s="3" t="s">
        <v>1597</v>
      </c>
      <c r="C1308" s="3" t="s">
        <v>614</v>
      </c>
      <c r="D1308" s="3" t="s">
        <v>3488</v>
      </c>
      <c r="E1308" s="3" t="s">
        <v>100</v>
      </c>
      <c r="F1308" s="3" t="s">
        <v>538</v>
      </c>
      <c r="G1308" s="3" t="s">
        <v>60</v>
      </c>
      <c r="H1308" s="3" t="s">
        <v>265</v>
      </c>
      <c r="I1308" s="3" t="s">
        <v>293</v>
      </c>
      <c r="J1308" s="3">
        <v>97</v>
      </c>
      <c r="K1308" s="3">
        <v>438.38</v>
      </c>
      <c r="L1308" s="3">
        <v>547.09</v>
      </c>
      <c r="M1308" s="3">
        <v>53067.73</v>
      </c>
      <c r="N1308" s="3">
        <v>42522.86</v>
      </c>
      <c r="O1308" s="3">
        <v>10544.87</v>
      </c>
      <c r="P1308" s="3" t="s">
        <v>31</v>
      </c>
      <c r="Q1308" s="3" t="s">
        <v>32</v>
      </c>
      <c r="R1308" s="3">
        <v>11</v>
      </c>
      <c r="S1308" s="3" t="s">
        <v>53</v>
      </c>
      <c r="T1308" s="3">
        <v>794</v>
      </c>
      <c r="U1308" s="3">
        <v>0</v>
      </c>
      <c r="V1308" s="3"/>
    </row>
    <row r="1309" spans="1:22" x14ac:dyDescent="0.35">
      <c r="A1309" s="2" t="s">
        <v>3489</v>
      </c>
      <c r="B1309" s="2" t="s">
        <v>1027</v>
      </c>
      <c r="C1309" s="2" t="s">
        <v>3187</v>
      </c>
      <c r="D1309" s="2" t="s">
        <v>3490</v>
      </c>
      <c r="E1309" s="2" t="s">
        <v>68</v>
      </c>
      <c r="F1309" s="2" t="s">
        <v>276</v>
      </c>
      <c r="G1309" s="2" t="s">
        <v>93</v>
      </c>
      <c r="H1309" s="2" t="s">
        <v>184</v>
      </c>
      <c r="I1309" s="2" t="s">
        <v>191</v>
      </c>
      <c r="J1309" s="2">
        <v>678</v>
      </c>
      <c r="K1309" s="2">
        <v>500.05</v>
      </c>
      <c r="L1309" s="2">
        <v>744.06</v>
      </c>
      <c r="M1309" s="2">
        <v>504472.68</v>
      </c>
      <c r="N1309" s="2">
        <v>339033.9</v>
      </c>
      <c r="O1309" s="2">
        <v>165438.78</v>
      </c>
      <c r="P1309" s="2" t="s">
        <v>52</v>
      </c>
      <c r="Q1309" s="2" t="s">
        <v>32</v>
      </c>
      <c r="R1309" s="2">
        <v>14</v>
      </c>
      <c r="S1309" s="2" t="s">
        <v>86</v>
      </c>
      <c r="T1309" s="2">
        <v>694</v>
      </c>
      <c r="U1309" s="2">
        <v>26</v>
      </c>
      <c r="V1309" s="2"/>
    </row>
    <row r="1310" spans="1:22" x14ac:dyDescent="0.35">
      <c r="A1310" s="3" t="s">
        <v>3491</v>
      </c>
      <c r="B1310" s="3" t="s">
        <v>853</v>
      </c>
      <c r="C1310" s="3" t="s">
        <v>324</v>
      </c>
      <c r="D1310" s="3" t="s">
        <v>3492</v>
      </c>
      <c r="E1310" s="3" t="s">
        <v>48</v>
      </c>
      <c r="F1310" s="4"/>
      <c r="G1310" s="3" t="s">
        <v>93</v>
      </c>
      <c r="H1310" s="3" t="s">
        <v>1442</v>
      </c>
      <c r="I1310" s="3" t="s">
        <v>141</v>
      </c>
      <c r="J1310" s="3">
        <v>590</v>
      </c>
      <c r="K1310" s="3">
        <v>607.84</v>
      </c>
      <c r="L1310" s="3">
        <v>953.26</v>
      </c>
      <c r="M1310" s="3">
        <v>562423.4</v>
      </c>
      <c r="N1310" s="3">
        <v>358625.6</v>
      </c>
      <c r="O1310" s="3">
        <v>203797.8</v>
      </c>
      <c r="P1310" s="3" t="s">
        <v>52</v>
      </c>
      <c r="Q1310" s="3" t="s">
        <v>32</v>
      </c>
      <c r="R1310" s="3">
        <v>11</v>
      </c>
      <c r="S1310" s="3" t="s">
        <v>158</v>
      </c>
      <c r="T1310" s="3">
        <v>2555</v>
      </c>
      <c r="U1310" s="3">
        <v>20</v>
      </c>
      <c r="V1310" s="3"/>
    </row>
    <row r="1311" spans="1:22" x14ac:dyDescent="0.35">
      <c r="A1311" s="2" t="s">
        <v>3493</v>
      </c>
      <c r="B1311" s="2" t="s">
        <v>2726</v>
      </c>
      <c r="C1311" s="2" t="s">
        <v>2749</v>
      </c>
      <c r="D1311" s="2" t="s">
        <v>3494</v>
      </c>
      <c r="E1311" s="2" t="s">
        <v>58</v>
      </c>
      <c r="F1311" s="2" t="s">
        <v>59</v>
      </c>
      <c r="G1311" s="2" t="s">
        <v>78</v>
      </c>
      <c r="H1311" s="2" t="s">
        <v>481</v>
      </c>
      <c r="I1311" s="2" t="s">
        <v>30</v>
      </c>
      <c r="J1311" s="2">
        <v>491</v>
      </c>
      <c r="K1311" s="2">
        <v>782.14</v>
      </c>
      <c r="L1311" s="2">
        <v>876.88</v>
      </c>
      <c r="M1311" s="2">
        <v>430548.08</v>
      </c>
      <c r="N1311" s="2">
        <v>384030.74</v>
      </c>
      <c r="O1311" s="2">
        <v>46517.34</v>
      </c>
      <c r="P1311" s="2" t="s">
        <v>52</v>
      </c>
      <c r="Q1311" s="2" t="s">
        <v>32</v>
      </c>
      <c r="R1311" s="2">
        <v>9</v>
      </c>
      <c r="S1311" s="2" t="s">
        <v>53</v>
      </c>
      <c r="T1311" s="2">
        <v>2378</v>
      </c>
      <c r="U1311" s="2">
        <v>11</v>
      </c>
      <c r="V1311" s="2"/>
    </row>
    <row r="1312" spans="1:22" x14ac:dyDescent="0.35">
      <c r="A1312" s="3" t="s">
        <v>3495</v>
      </c>
      <c r="B1312" s="3" t="s">
        <v>3496</v>
      </c>
      <c r="C1312" s="3" t="s">
        <v>181</v>
      </c>
      <c r="D1312" s="3" t="s">
        <v>3497</v>
      </c>
      <c r="E1312" s="3" t="s">
        <v>26</v>
      </c>
      <c r="F1312" s="3" t="s">
        <v>27</v>
      </c>
      <c r="G1312" s="3" t="s">
        <v>39</v>
      </c>
      <c r="H1312" s="3" t="s">
        <v>647</v>
      </c>
      <c r="I1312" s="3" t="s">
        <v>30</v>
      </c>
      <c r="J1312" s="3">
        <v>308</v>
      </c>
      <c r="K1312" s="3">
        <v>624.61</v>
      </c>
      <c r="L1312" s="3">
        <v>709.99</v>
      </c>
      <c r="M1312" s="3">
        <v>218676.92</v>
      </c>
      <c r="N1312" s="3">
        <v>192379.88</v>
      </c>
      <c r="O1312" s="3">
        <v>26297.040000000001</v>
      </c>
      <c r="P1312" s="3" t="s">
        <v>95</v>
      </c>
      <c r="Q1312" s="3" t="s">
        <v>63</v>
      </c>
      <c r="R1312" s="3">
        <v>2</v>
      </c>
      <c r="S1312" s="3" t="s">
        <v>158</v>
      </c>
      <c r="T1312" s="3">
        <v>3415</v>
      </c>
      <c r="U1312" s="3">
        <v>9</v>
      </c>
      <c r="V1312" s="3"/>
    </row>
    <row r="1313" spans="1:22" x14ac:dyDescent="0.35">
      <c r="A1313" s="2" t="s">
        <v>3498</v>
      </c>
      <c r="B1313" s="2" t="s">
        <v>592</v>
      </c>
      <c r="C1313" s="2" t="s">
        <v>1632</v>
      </c>
      <c r="D1313" s="2" t="s">
        <v>3499</v>
      </c>
      <c r="E1313" s="2" t="s">
        <v>68</v>
      </c>
      <c r="F1313" s="2" t="s">
        <v>163</v>
      </c>
      <c r="G1313" s="2" t="s">
        <v>70</v>
      </c>
      <c r="H1313" s="2" t="s">
        <v>1019</v>
      </c>
      <c r="I1313" s="2" t="s">
        <v>153</v>
      </c>
      <c r="J1313" s="2">
        <v>109</v>
      </c>
      <c r="K1313" s="2">
        <v>722.84</v>
      </c>
      <c r="L1313" s="2">
        <v>934.62</v>
      </c>
      <c r="M1313" s="2">
        <v>101873.58</v>
      </c>
      <c r="N1313" s="2">
        <v>78789.56</v>
      </c>
      <c r="O1313" s="2">
        <v>23084.02</v>
      </c>
      <c r="P1313" s="2" t="s">
        <v>95</v>
      </c>
      <c r="Q1313" s="2" t="s">
        <v>32</v>
      </c>
      <c r="R1313" s="2">
        <v>9</v>
      </c>
      <c r="S1313" s="2" t="s">
        <v>86</v>
      </c>
      <c r="T1313" s="2">
        <v>420</v>
      </c>
      <c r="U1313" s="2">
        <v>1</v>
      </c>
      <c r="V1313" s="2"/>
    </row>
    <row r="1314" spans="1:22" x14ac:dyDescent="0.35">
      <c r="A1314" s="3" t="s">
        <v>3500</v>
      </c>
      <c r="B1314" s="3" t="s">
        <v>347</v>
      </c>
      <c r="C1314" s="3" t="s">
        <v>1049</v>
      </c>
      <c r="D1314" s="3" t="s">
        <v>3501</v>
      </c>
      <c r="E1314" s="3" t="s">
        <v>26</v>
      </c>
      <c r="F1314" s="3" t="s">
        <v>92</v>
      </c>
      <c r="G1314" s="3" t="s">
        <v>78</v>
      </c>
      <c r="H1314" s="3" t="s">
        <v>572</v>
      </c>
      <c r="I1314" s="3" t="s">
        <v>293</v>
      </c>
      <c r="J1314" s="3">
        <v>286</v>
      </c>
      <c r="K1314" s="3">
        <v>128.29</v>
      </c>
      <c r="L1314" s="3">
        <v>207.8</v>
      </c>
      <c r="M1314" s="3">
        <v>59430.8</v>
      </c>
      <c r="N1314" s="3">
        <v>36690.94</v>
      </c>
      <c r="O1314" s="3">
        <v>22739.86</v>
      </c>
      <c r="P1314" s="3" t="s">
        <v>42</v>
      </c>
      <c r="Q1314" s="3" t="s">
        <v>32</v>
      </c>
      <c r="R1314" s="3">
        <v>10</v>
      </c>
      <c r="S1314" s="3" t="s">
        <v>158</v>
      </c>
      <c r="T1314" s="3">
        <v>2446</v>
      </c>
      <c r="U1314" s="3">
        <v>10</v>
      </c>
      <c r="V1314" s="3"/>
    </row>
    <row r="1315" spans="1:22" x14ac:dyDescent="0.35">
      <c r="A1315" s="2" t="s">
        <v>3502</v>
      </c>
      <c r="B1315" s="2" t="s">
        <v>407</v>
      </c>
      <c r="C1315" s="2" t="s">
        <v>1433</v>
      </c>
      <c r="D1315" s="2" t="s">
        <v>958</v>
      </c>
      <c r="E1315" s="2" t="s">
        <v>100</v>
      </c>
      <c r="F1315" s="2" t="s">
        <v>238</v>
      </c>
      <c r="G1315" s="2" t="s">
        <v>28</v>
      </c>
      <c r="H1315" s="2" t="s">
        <v>254</v>
      </c>
      <c r="I1315" s="2" t="s">
        <v>191</v>
      </c>
      <c r="J1315" s="2">
        <v>89</v>
      </c>
      <c r="K1315" s="2">
        <v>245.4</v>
      </c>
      <c r="L1315" s="2">
        <v>348.77</v>
      </c>
      <c r="M1315" s="2">
        <v>31040.53</v>
      </c>
      <c r="N1315" s="2">
        <v>21840.6</v>
      </c>
      <c r="O1315" s="2">
        <v>9199.93</v>
      </c>
      <c r="P1315" s="2" t="s">
        <v>42</v>
      </c>
      <c r="Q1315" s="2" t="s">
        <v>32</v>
      </c>
      <c r="R1315" s="2">
        <v>15</v>
      </c>
      <c r="S1315" s="2" t="s">
        <v>33</v>
      </c>
      <c r="T1315" s="2">
        <v>2704</v>
      </c>
      <c r="U1315" s="2">
        <v>3</v>
      </c>
      <c r="V1315" s="2"/>
    </row>
    <row r="1316" spans="1:22" x14ac:dyDescent="0.35">
      <c r="A1316" s="3" t="s">
        <v>3503</v>
      </c>
      <c r="B1316" s="3" t="s">
        <v>536</v>
      </c>
      <c r="C1316" s="3" t="s">
        <v>1034</v>
      </c>
      <c r="D1316" s="3" t="s">
        <v>3504</v>
      </c>
      <c r="E1316" s="3" t="s">
        <v>58</v>
      </c>
      <c r="F1316" s="3" t="s">
        <v>122</v>
      </c>
      <c r="G1316" s="3" t="s">
        <v>60</v>
      </c>
      <c r="H1316" s="3" t="s">
        <v>539</v>
      </c>
      <c r="I1316" s="3" t="s">
        <v>41</v>
      </c>
      <c r="J1316" s="3">
        <v>67</v>
      </c>
      <c r="K1316" s="3">
        <v>306.69</v>
      </c>
      <c r="L1316" s="3">
        <v>408.49</v>
      </c>
      <c r="M1316" s="3">
        <v>27368.83</v>
      </c>
      <c r="N1316" s="3">
        <v>20548.23</v>
      </c>
      <c r="O1316" s="3">
        <v>6820.6</v>
      </c>
      <c r="P1316" s="3" t="s">
        <v>42</v>
      </c>
      <c r="Q1316" s="3" t="s">
        <v>32</v>
      </c>
      <c r="R1316" s="3">
        <v>14</v>
      </c>
      <c r="S1316" s="3" t="s">
        <v>86</v>
      </c>
      <c r="T1316" s="3">
        <v>3964</v>
      </c>
      <c r="U1316" s="3">
        <v>0</v>
      </c>
      <c r="V1316" s="3"/>
    </row>
    <row r="1317" spans="1:22" x14ac:dyDescent="0.35">
      <c r="A1317" s="2" t="s">
        <v>3505</v>
      </c>
      <c r="B1317" s="2" t="s">
        <v>1319</v>
      </c>
      <c r="C1317" s="2" t="s">
        <v>333</v>
      </c>
      <c r="D1317" s="2" t="s">
        <v>3506</v>
      </c>
      <c r="E1317" s="2" t="s">
        <v>100</v>
      </c>
      <c r="F1317" s="2" t="s">
        <v>101</v>
      </c>
      <c r="G1317" s="2" t="s">
        <v>93</v>
      </c>
      <c r="H1317" s="2" t="s">
        <v>643</v>
      </c>
      <c r="I1317" s="2" t="s">
        <v>41</v>
      </c>
      <c r="J1317" s="2">
        <v>741</v>
      </c>
      <c r="K1317" s="2">
        <v>1101.6500000000001</v>
      </c>
      <c r="L1317" s="2">
        <v>1380.26</v>
      </c>
      <c r="M1317" s="2">
        <v>1022772.66</v>
      </c>
      <c r="N1317" s="2">
        <v>816322.65</v>
      </c>
      <c r="O1317" s="2">
        <v>206450.01</v>
      </c>
      <c r="P1317" s="2" t="s">
        <v>42</v>
      </c>
      <c r="Q1317" s="2" t="s">
        <v>32</v>
      </c>
      <c r="R1317" s="2">
        <v>10</v>
      </c>
      <c r="S1317" s="2" t="s">
        <v>53</v>
      </c>
      <c r="T1317" s="2">
        <v>970</v>
      </c>
      <c r="U1317" s="4"/>
      <c r="V1317" s="2"/>
    </row>
    <row r="1318" spans="1:22" x14ac:dyDescent="0.35">
      <c r="A1318" s="3" t="s">
        <v>1841</v>
      </c>
      <c r="B1318" s="3" t="s">
        <v>1566</v>
      </c>
      <c r="C1318" s="3" t="s">
        <v>1597</v>
      </c>
      <c r="D1318" s="3" t="s">
        <v>1843</v>
      </c>
      <c r="E1318" s="3" t="s">
        <v>48</v>
      </c>
      <c r="F1318" s="3" t="s">
        <v>49</v>
      </c>
      <c r="G1318" s="3" t="s">
        <v>93</v>
      </c>
      <c r="H1318" s="3" t="s">
        <v>485</v>
      </c>
      <c r="I1318" s="3" t="s">
        <v>85</v>
      </c>
      <c r="J1318" s="3">
        <v>624</v>
      </c>
      <c r="K1318" s="3">
        <v>889.12</v>
      </c>
      <c r="L1318" s="3">
        <v>1070.6500000000001</v>
      </c>
      <c r="M1318" s="3">
        <v>668085.6</v>
      </c>
      <c r="N1318" s="3">
        <v>554810.88</v>
      </c>
      <c r="O1318" s="3">
        <v>113274.72</v>
      </c>
      <c r="P1318" s="3" t="s">
        <v>31</v>
      </c>
      <c r="Q1318" s="3" t="s">
        <v>32</v>
      </c>
      <c r="R1318" s="3">
        <v>9</v>
      </c>
      <c r="S1318" s="3" t="s">
        <v>112</v>
      </c>
      <c r="T1318" s="3">
        <v>2069</v>
      </c>
      <c r="U1318" s="3">
        <v>8</v>
      </c>
      <c r="V1318" s="3"/>
    </row>
    <row r="1319" spans="1:22" x14ac:dyDescent="0.35">
      <c r="A1319" s="2" t="s">
        <v>1321</v>
      </c>
      <c r="B1319" s="2" t="s">
        <v>328</v>
      </c>
      <c r="C1319" s="2" t="s">
        <v>1322</v>
      </c>
      <c r="D1319" s="4"/>
      <c r="E1319" s="2" t="s">
        <v>3507</v>
      </c>
      <c r="F1319" s="2" t="s">
        <v>228</v>
      </c>
      <c r="G1319" s="2" t="s">
        <v>50</v>
      </c>
      <c r="H1319" s="2" t="s">
        <v>51</v>
      </c>
      <c r="I1319" s="2" t="s">
        <v>41</v>
      </c>
      <c r="J1319" s="2">
        <v>697</v>
      </c>
      <c r="K1319" s="2">
        <v>1058.22</v>
      </c>
      <c r="L1319" s="2">
        <v>1376.62</v>
      </c>
      <c r="M1319" s="2">
        <v>959504.14</v>
      </c>
      <c r="N1319" s="2">
        <v>737579.34</v>
      </c>
      <c r="O1319" s="2">
        <v>221924.8</v>
      </c>
      <c r="P1319" s="2" t="s">
        <v>42</v>
      </c>
      <c r="Q1319" s="2" t="s">
        <v>32</v>
      </c>
      <c r="R1319" s="2">
        <v>10</v>
      </c>
      <c r="S1319" s="2" t="s">
        <v>33</v>
      </c>
      <c r="T1319" s="2">
        <v>2603</v>
      </c>
      <c r="U1319" s="2">
        <v>2</v>
      </c>
      <c r="V1319" s="2"/>
    </row>
    <row r="1320" spans="1:22" x14ac:dyDescent="0.35">
      <c r="A1320" s="3" t="s">
        <v>3508</v>
      </c>
      <c r="B1320" s="3" t="s">
        <v>3509</v>
      </c>
      <c r="C1320" s="3" t="s">
        <v>3510</v>
      </c>
      <c r="D1320" s="3" t="s">
        <v>3193</v>
      </c>
      <c r="E1320" s="3" t="s">
        <v>26</v>
      </c>
      <c r="F1320" s="3" t="s">
        <v>77</v>
      </c>
      <c r="G1320" s="3" t="s">
        <v>129</v>
      </c>
      <c r="H1320" s="3" t="s">
        <v>130</v>
      </c>
      <c r="I1320" s="3" t="s">
        <v>118</v>
      </c>
      <c r="J1320" s="3">
        <v>402</v>
      </c>
      <c r="K1320" s="3">
        <v>204.92</v>
      </c>
      <c r="L1320" s="3">
        <v>272.17</v>
      </c>
      <c r="M1320" s="3">
        <v>109412.34</v>
      </c>
      <c r="N1320" s="3">
        <v>82377.84</v>
      </c>
      <c r="O1320" s="3">
        <v>27034.5</v>
      </c>
      <c r="P1320" s="3" t="s">
        <v>42</v>
      </c>
      <c r="Q1320" s="3" t="s">
        <v>32</v>
      </c>
      <c r="R1320" s="3">
        <v>14</v>
      </c>
      <c r="S1320" s="3" t="s">
        <v>53</v>
      </c>
      <c r="T1320" s="3">
        <v>4912</v>
      </c>
      <c r="U1320" s="3">
        <v>12</v>
      </c>
      <c r="V1320" s="3"/>
    </row>
    <row r="1321" spans="1:22" x14ac:dyDescent="0.35">
      <c r="A1321" s="2" t="s">
        <v>3511</v>
      </c>
      <c r="B1321" s="2" t="s">
        <v>1268</v>
      </c>
      <c r="C1321" s="2" t="s">
        <v>1570</v>
      </c>
      <c r="D1321" s="2" t="s">
        <v>3512</v>
      </c>
      <c r="E1321" s="2" t="s">
        <v>100</v>
      </c>
      <c r="F1321" s="2" t="s">
        <v>101</v>
      </c>
      <c r="G1321" s="2" t="s">
        <v>217</v>
      </c>
      <c r="H1321" s="2" t="s">
        <v>725</v>
      </c>
      <c r="I1321" s="2" t="s">
        <v>30</v>
      </c>
      <c r="J1321" s="2">
        <v>529</v>
      </c>
      <c r="K1321" s="2">
        <v>704.73</v>
      </c>
      <c r="L1321" s="2">
        <v>980.24</v>
      </c>
      <c r="M1321" s="2">
        <v>518546.96</v>
      </c>
      <c r="N1321" s="2">
        <v>372802.17</v>
      </c>
      <c r="O1321" s="2">
        <v>145744.79</v>
      </c>
      <c r="P1321" s="2" t="s">
        <v>95</v>
      </c>
      <c r="Q1321" s="4"/>
      <c r="R1321" s="2">
        <v>7</v>
      </c>
      <c r="S1321" s="2" t="s">
        <v>33</v>
      </c>
      <c r="T1321" s="2">
        <v>1889</v>
      </c>
      <c r="U1321" s="2">
        <v>20</v>
      </c>
      <c r="V1321" s="2"/>
    </row>
    <row r="1322" spans="1:22" x14ac:dyDescent="0.35">
      <c r="A1322" s="3" t="s">
        <v>3513</v>
      </c>
      <c r="B1322" s="3" t="s">
        <v>305</v>
      </c>
      <c r="C1322" s="3" t="s">
        <v>1753</v>
      </c>
      <c r="D1322" s="3" t="s">
        <v>3514</v>
      </c>
      <c r="E1322" s="3" t="s">
        <v>48</v>
      </c>
      <c r="F1322" s="3" t="s">
        <v>183</v>
      </c>
      <c r="G1322" s="3" t="s">
        <v>129</v>
      </c>
      <c r="H1322" s="3" t="s">
        <v>520</v>
      </c>
      <c r="I1322" s="3" t="s">
        <v>62</v>
      </c>
      <c r="J1322" s="3">
        <v>592</v>
      </c>
      <c r="K1322" s="3">
        <v>283.02</v>
      </c>
      <c r="L1322" s="3">
        <v>438.06</v>
      </c>
      <c r="M1322" s="3">
        <v>259331.52</v>
      </c>
      <c r="N1322" s="3">
        <v>167547.84</v>
      </c>
      <c r="O1322" s="3">
        <v>91783.679999999993</v>
      </c>
      <c r="P1322" s="3" t="s">
        <v>95</v>
      </c>
      <c r="Q1322" s="3" t="s">
        <v>63</v>
      </c>
      <c r="R1322" s="3">
        <v>4</v>
      </c>
      <c r="S1322" s="3" t="s">
        <v>43</v>
      </c>
      <c r="T1322" s="3">
        <v>2181</v>
      </c>
      <c r="U1322" s="3">
        <v>17</v>
      </c>
      <c r="V1322" s="3"/>
    </row>
    <row r="1323" spans="1:22" x14ac:dyDescent="0.35">
      <c r="A1323" s="2" t="s">
        <v>3515</v>
      </c>
      <c r="B1323" s="2" t="s">
        <v>1813</v>
      </c>
      <c r="C1323" s="2" t="s">
        <v>1195</v>
      </c>
      <c r="D1323" s="2" t="s">
        <v>3516</v>
      </c>
      <c r="E1323" s="2" t="s">
        <v>100</v>
      </c>
      <c r="F1323" s="2" t="s">
        <v>538</v>
      </c>
      <c r="G1323" s="2" t="s">
        <v>93</v>
      </c>
      <c r="H1323" s="2" t="s">
        <v>140</v>
      </c>
      <c r="I1323" s="2" t="s">
        <v>41</v>
      </c>
      <c r="J1323" s="2">
        <v>713</v>
      </c>
      <c r="K1323" s="2">
        <v>618.4</v>
      </c>
      <c r="L1323" s="2">
        <v>825.74</v>
      </c>
      <c r="M1323" s="2">
        <v>588752.62</v>
      </c>
      <c r="N1323" s="2">
        <v>440919.2</v>
      </c>
      <c r="O1323" s="2">
        <v>147833.42000000001</v>
      </c>
      <c r="P1323" s="2" t="s">
        <v>52</v>
      </c>
      <c r="Q1323" s="2" t="s">
        <v>63</v>
      </c>
      <c r="R1323" s="2">
        <v>3</v>
      </c>
      <c r="S1323" s="2" t="s">
        <v>43</v>
      </c>
      <c r="T1323" s="2">
        <v>591</v>
      </c>
      <c r="U1323" s="2">
        <v>8</v>
      </c>
      <c r="V1323" s="2"/>
    </row>
    <row r="1324" spans="1:22" x14ac:dyDescent="0.35">
      <c r="A1324" s="3" t="s">
        <v>3517</v>
      </c>
      <c r="B1324" s="3" t="s">
        <v>1186</v>
      </c>
      <c r="C1324" s="3" t="s">
        <v>242</v>
      </c>
      <c r="D1324" s="3" t="s">
        <v>1751</v>
      </c>
      <c r="E1324" s="3" t="s">
        <v>68</v>
      </c>
      <c r="F1324" s="3" t="s">
        <v>163</v>
      </c>
      <c r="G1324" s="3" t="s">
        <v>70</v>
      </c>
      <c r="H1324" s="3" t="s">
        <v>71</v>
      </c>
      <c r="I1324" s="3" t="s">
        <v>72</v>
      </c>
      <c r="J1324" s="3">
        <v>-12</v>
      </c>
      <c r="K1324" s="3">
        <v>225.04</v>
      </c>
      <c r="L1324" s="3">
        <v>337.01</v>
      </c>
      <c r="M1324" s="3">
        <v>251072.45</v>
      </c>
      <c r="N1324" s="3">
        <v>167654.79999999999</v>
      </c>
      <c r="O1324" s="3">
        <v>83417.649999999994</v>
      </c>
      <c r="P1324" s="3" t="s">
        <v>52</v>
      </c>
      <c r="Q1324" s="3" t="s">
        <v>32</v>
      </c>
      <c r="R1324" s="3">
        <v>6</v>
      </c>
      <c r="S1324" s="3" t="s">
        <v>112</v>
      </c>
      <c r="T1324" s="3">
        <v>3772</v>
      </c>
      <c r="U1324" s="3">
        <v>14</v>
      </c>
      <c r="V1324" s="3"/>
    </row>
    <row r="1325" spans="1:22" x14ac:dyDescent="0.35">
      <c r="A1325" s="2" t="s">
        <v>3518</v>
      </c>
      <c r="B1325" s="2" t="s">
        <v>1253</v>
      </c>
      <c r="C1325" s="2" t="s">
        <v>1597</v>
      </c>
      <c r="D1325" s="2" t="s">
        <v>3519</v>
      </c>
      <c r="E1325" s="2" t="s">
        <v>100</v>
      </c>
      <c r="F1325" s="2" t="s">
        <v>538</v>
      </c>
      <c r="G1325" s="2" t="s">
        <v>60</v>
      </c>
      <c r="H1325" s="2" t="s">
        <v>164</v>
      </c>
      <c r="I1325" s="2" t="s">
        <v>85</v>
      </c>
      <c r="J1325" s="2">
        <v>613</v>
      </c>
      <c r="K1325" s="2">
        <v>790.14</v>
      </c>
      <c r="L1325" s="2">
        <v>1079.22</v>
      </c>
      <c r="M1325" s="2">
        <v>661561.86</v>
      </c>
      <c r="N1325" s="2">
        <v>484355.82</v>
      </c>
      <c r="O1325" s="2">
        <v>177206.04</v>
      </c>
      <c r="P1325" s="2" t="s">
        <v>42</v>
      </c>
      <c r="Q1325" s="2" t="s">
        <v>63</v>
      </c>
      <c r="R1325" s="2">
        <v>2</v>
      </c>
      <c r="S1325" s="2" t="s">
        <v>33</v>
      </c>
      <c r="T1325" s="2">
        <v>2762</v>
      </c>
      <c r="U1325" s="2">
        <v>27</v>
      </c>
      <c r="V1325" s="2"/>
    </row>
    <row r="1326" spans="1:22" x14ac:dyDescent="0.35">
      <c r="A1326" s="3" t="s">
        <v>3520</v>
      </c>
      <c r="B1326" s="3" t="s">
        <v>3521</v>
      </c>
      <c r="C1326" s="3" t="s">
        <v>348</v>
      </c>
      <c r="D1326" s="3" t="s">
        <v>3522</v>
      </c>
      <c r="E1326" s="3" t="s">
        <v>58</v>
      </c>
      <c r="F1326" s="3" t="s">
        <v>116</v>
      </c>
      <c r="G1326" s="3" t="s">
        <v>93</v>
      </c>
      <c r="H1326" s="3" t="s">
        <v>140</v>
      </c>
      <c r="I1326" s="3" t="s">
        <v>191</v>
      </c>
      <c r="J1326" s="3">
        <v>294</v>
      </c>
      <c r="K1326" s="3">
        <v>531.1</v>
      </c>
      <c r="L1326" s="3">
        <v>851.72</v>
      </c>
      <c r="M1326" s="3">
        <v>250405.68</v>
      </c>
      <c r="N1326" s="3">
        <v>156143.4</v>
      </c>
      <c r="O1326" s="3">
        <v>94262.28</v>
      </c>
      <c r="P1326" s="3" t="s">
        <v>31</v>
      </c>
      <c r="Q1326" s="3" t="s">
        <v>32</v>
      </c>
      <c r="R1326" s="3">
        <v>14</v>
      </c>
      <c r="S1326" s="3" t="s">
        <v>112</v>
      </c>
      <c r="T1326" s="3">
        <v>1238</v>
      </c>
      <c r="U1326" s="3">
        <v>12</v>
      </c>
      <c r="V1326" s="3"/>
    </row>
    <row r="1327" spans="1:22" x14ac:dyDescent="0.35">
      <c r="A1327" s="2" t="s">
        <v>3523</v>
      </c>
      <c r="B1327" s="2" t="s">
        <v>3524</v>
      </c>
      <c r="C1327" s="2" t="s">
        <v>215</v>
      </c>
      <c r="D1327" s="2" t="s">
        <v>3525</v>
      </c>
      <c r="E1327" s="2" t="s">
        <v>26</v>
      </c>
      <c r="F1327" s="2" t="s">
        <v>27</v>
      </c>
      <c r="G1327" s="2" t="s">
        <v>93</v>
      </c>
      <c r="H1327" s="2" t="s">
        <v>485</v>
      </c>
      <c r="I1327" s="2" t="s">
        <v>30</v>
      </c>
      <c r="J1327" s="2">
        <v>429</v>
      </c>
      <c r="K1327" s="2">
        <v>750.41</v>
      </c>
      <c r="L1327" s="2">
        <v>1086.46</v>
      </c>
      <c r="M1327" s="2">
        <v>466091.34</v>
      </c>
      <c r="N1327" s="2">
        <v>321925.89</v>
      </c>
      <c r="O1327" s="2">
        <v>144165.45000000001</v>
      </c>
      <c r="P1327" s="2" t="s">
        <v>31</v>
      </c>
      <c r="Q1327" s="2" t="s">
        <v>32</v>
      </c>
      <c r="R1327" s="2">
        <v>15</v>
      </c>
      <c r="S1327" s="2" t="s">
        <v>33</v>
      </c>
      <c r="T1327" s="2">
        <v>834</v>
      </c>
      <c r="U1327" s="2">
        <v>13</v>
      </c>
      <c r="V1327" s="2"/>
    </row>
    <row r="1328" spans="1:22" x14ac:dyDescent="0.35">
      <c r="A1328" s="3" t="s">
        <v>3526</v>
      </c>
      <c r="B1328" s="3" t="s">
        <v>98</v>
      </c>
      <c r="C1328" s="3" t="s">
        <v>1445</v>
      </c>
      <c r="D1328" s="3" t="s">
        <v>3527</v>
      </c>
      <c r="E1328" s="3" t="s">
        <v>48</v>
      </c>
      <c r="F1328" s="3" t="s">
        <v>183</v>
      </c>
      <c r="G1328" s="3" t="s">
        <v>39</v>
      </c>
      <c r="H1328" s="3" t="s">
        <v>40</v>
      </c>
      <c r="I1328" s="3" t="s">
        <v>118</v>
      </c>
      <c r="J1328" s="3">
        <v>206</v>
      </c>
      <c r="K1328" s="3">
        <v>157.01</v>
      </c>
      <c r="L1328" s="3">
        <v>217.04</v>
      </c>
      <c r="M1328" s="3">
        <v>44710.239999999998</v>
      </c>
      <c r="N1328" s="3">
        <v>32344.06</v>
      </c>
      <c r="O1328" s="3">
        <v>12366.18</v>
      </c>
      <c r="P1328" s="3" t="s">
        <v>31</v>
      </c>
      <c r="Q1328" s="3" t="s">
        <v>63</v>
      </c>
      <c r="R1328" s="3">
        <v>3</v>
      </c>
      <c r="S1328" s="3" t="s">
        <v>112</v>
      </c>
      <c r="T1328" s="3">
        <v>2760</v>
      </c>
      <c r="U1328" s="3">
        <v>3</v>
      </c>
      <c r="V1328" s="3"/>
    </row>
    <row r="1329" spans="1:22" x14ac:dyDescent="0.35">
      <c r="A1329" s="2" t="s">
        <v>3528</v>
      </c>
      <c r="B1329" s="2" t="s">
        <v>1454</v>
      </c>
      <c r="C1329" s="2" t="s">
        <v>617</v>
      </c>
      <c r="D1329" s="2" t="s">
        <v>601</v>
      </c>
      <c r="E1329" s="2" t="s">
        <v>100</v>
      </c>
      <c r="F1329" s="2" t="s">
        <v>238</v>
      </c>
      <c r="G1329" s="2" t="s">
        <v>39</v>
      </c>
      <c r="H1329" s="2" t="s">
        <v>647</v>
      </c>
      <c r="I1329" s="2" t="s">
        <v>124</v>
      </c>
      <c r="J1329" s="2">
        <v>305</v>
      </c>
      <c r="K1329" s="2">
        <v>188.26</v>
      </c>
      <c r="L1329" s="2">
        <v>246.89</v>
      </c>
      <c r="M1329" s="2">
        <v>75301.45</v>
      </c>
      <c r="N1329" s="2">
        <v>57419.3</v>
      </c>
      <c r="O1329" s="2">
        <v>17882.150000000001</v>
      </c>
      <c r="P1329" s="2" t="s">
        <v>52</v>
      </c>
      <c r="Q1329" s="2" t="s">
        <v>32</v>
      </c>
      <c r="R1329" s="2">
        <v>9</v>
      </c>
      <c r="S1329" s="2" t="s">
        <v>43</v>
      </c>
      <c r="T1329" s="2">
        <v>410</v>
      </c>
      <c r="U1329" s="2">
        <v>7</v>
      </c>
      <c r="V1329" s="2"/>
    </row>
    <row r="1330" spans="1:22" x14ac:dyDescent="0.35">
      <c r="A1330" s="3" t="s">
        <v>3529</v>
      </c>
      <c r="B1330" s="3" t="s">
        <v>1133</v>
      </c>
      <c r="C1330" s="3" t="s">
        <v>706</v>
      </c>
      <c r="D1330" s="3" t="s">
        <v>3530</v>
      </c>
      <c r="E1330" s="3" t="s">
        <v>100</v>
      </c>
      <c r="F1330" s="3" t="s">
        <v>538</v>
      </c>
      <c r="G1330" s="3" t="s">
        <v>93</v>
      </c>
      <c r="H1330" s="3" t="s">
        <v>140</v>
      </c>
      <c r="I1330" s="3" t="s">
        <v>240</v>
      </c>
      <c r="J1330" s="3">
        <v>552</v>
      </c>
      <c r="K1330" s="3">
        <v>649.91999999999996</v>
      </c>
      <c r="L1330" s="3">
        <v>834.42</v>
      </c>
      <c r="M1330" s="3">
        <v>460599.84</v>
      </c>
      <c r="N1330" s="3">
        <v>358755.84000000003</v>
      </c>
      <c r="O1330" s="3">
        <v>101844</v>
      </c>
      <c r="P1330" s="3" t="s">
        <v>52</v>
      </c>
      <c r="Q1330" s="3" t="s">
        <v>32</v>
      </c>
      <c r="R1330" s="3">
        <v>7</v>
      </c>
      <c r="S1330" s="3" t="s">
        <v>158</v>
      </c>
      <c r="T1330" s="3">
        <v>4929</v>
      </c>
      <c r="U1330" s="3">
        <v>17</v>
      </c>
      <c r="V1330" s="3"/>
    </row>
    <row r="1331" spans="1:22" x14ac:dyDescent="0.35">
      <c r="A1331" s="2" t="s">
        <v>3531</v>
      </c>
      <c r="B1331" s="2" t="s">
        <v>363</v>
      </c>
      <c r="C1331" s="2" t="s">
        <v>243</v>
      </c>
      <c r="D1331" s="2" t="s">
        <v>3532</v>
      </c>
      <c r="E1331" s="2" t="s">
        <v>58</v>
      </c>
      <c r="F1331" s="2" t="s">
        <v>59</v>
      </c>
      <c r="G1331" s="2" t="s">
        <v>78</v>
      </c>
      <c r="H1331" s="2" t="s">
        <v>572</v>
      </c>
      <c r="I1331" s="2" t="s">
        <v>141</v>
      </c>
      <c r="J1331" s="2">
        <v>609</v>
      </c>
      <c r="K1331" s="2">
        <v>574.83000000000004</v>
      </c>
      <c r="L1331" s="2">
        <v>895.34</v>
      </c>
      <c r="M1331" s="2">
        <v>545262.06000000006</v>
      </c>
      <c r="N1331" s="2">
        <v>350071.47</v>
      </c>
      <c r="O1331" s="2">
        <v>195190.59</v>
      </c>
      <c r="P1331" s="2" t="s">
        <v>42</v>
      </c>
      <c r="Q1331" s="2" t="s">
        <v>32</v>
      </c>
      <c r="R1331" s="2">
        <v>7</v>
      </c>
      <c r="S1331" s="2" t="s">
        <v>112</v>
      </c>
      <c r="T1331" s="4"/>
      <c r="U1331" s="2">
        <v>29</v>
      </c>
      <c r="V1331" s="2"/>
    </row>
    <row r="1332" spans="1:22" x14ac:dyDescent="0.35">
      <c r="A1332" s="3" t="s">
        <v>3533</v>
      </c>
      <c r="B1332" s="3" t="s">
        <v>3534</v>
      </c>
      <c r="C1332" s="3" t="s">
        <v>499</v>
      </c>
      <c r="D1332" s="3" t="s">
        <v>3535</v>
      </c>
      <c r="E1332" s="3" t="s">
        <v>100</v>
      </c>
      <c r="F1332" s="3" t="s">
        <v>106</v>
      </c>
      <c r="G1332" s="3" t="s">
        <v>217</v>
      </c>
      <c r="H1332" s="3" t="s">
        <v>218</v>
      </c>
      <c r="I1332" s="3" t="s">
        <v>124</v>
      </c>
      <c r="J1332" s="3">
        <v>157</v>
      </c>
      <c r="K1332" s="3">
        <v>997.82</v>
      </c>
      <c r="L1332" s="3">
        <v>1643.63</v>
      </c>
      <c r="M1332" s="3">
        <v>258049.91</v>
      </c>
      <c r="N1332" s="3">
        <v>156657.74</v>
      </c>
      <c r="O1332" s="3">
        <v>101392.17</v>
      </c>
      <c r="P1332" s="3" t="s">
        <v>31</v>
      </c>
      <c r="Q1332" s="3" t="s">
        <v>32</v>
      </c>
      <c r="R1332" s="3">
        <v>13</v>
      </c>
      <c r="S1332" s="3" t="s">
        <v>53</v>
      </c>
      <c r="T1332" s="3">
        <v>3566</v>
      </c>
      <c r="U1332" s="3">
        <v>5</v>
      </c>
      <c r="V1332" s="3"/>
    </row>
    <row r="1333" spans="1:22" x14ac:dyDescent="0.35">
      <c r="A1333" s="2" t="s">
        <v>3536</v>
      </c>
      <c r="B1333" s="2" t="s">
        <v>1445</v>
      </c>
      <c r="C1333" s="2" t="s">
        <v>1499</v>
      </c>
      <c r="D1333" s="2" t="s">
        <v>3537</v>
      </c>
      <c r="E1333" s="2" t="s">
        <v>26</v>
      </c>
      <c r="F1333" s="2" t="s">
        <v>228</v>
      </c>
      <c r="G1333" s="2" t="s">
        <v>78</v>
      </c>
      <c r="H1333" s="2" t="s">
        <v>481</v>
      </c>
      <c r="I1333" s="2" t="s">
        <v>41</v>
      </c>
      <c r="J1333" s="2">
        <v>340</v>
      </c>
      <c r="K1333" s="2">
        <v>472.37</v>
      </c>
      <c r="L1333" s="2">
        <v>778.75</v>
      </c>
      <c r="M1333" s="2">
        <v>264775</v>
      </c>
      <c r="N1333" s="2">
        <v>160605.79999999999</v>
      </c>
      <c r="O1333" s="2">
        <v>104169.2</v>
      </c>
      <c r="P1333" s="2" t="s">
        <v>95</v>
      </c>
      <c r="Q1333" s="2" t="s">
        <v>32</v>
      </c>
      <c r="R1333" s="2">
        <v>8</v>
      </c>
      <c r="S1333" s="2" t="s">
        <v>86</v>
      </c>
      <c r="T1333" s="2">
        <v>168</v>
      </c>
      <c r="U1333" s="2">
        <v>14</v>
      </c>
      <c r="V1333" s="2"/>
    </row>
    <row r="1334" spans="1:22" x14ac:dyDescent="0.35">
      <c r="A1334" s="3" t="s">
        <v>3538</v>
      </c>
      <c r="B1334" s="3" t="s">
        <v>1237</v>
      </c>
      <c r="C1334" s="3" t="s">
        <v>3400</v>
      </c>
      <c r="D1334" s="3" t="s">
        <v>3539</v>
      </c>
      <c r="E1334" s="3" t="s">
        <v>68</v>
      </c>
      <c r="F1334" s="3" t="s">
        <v>276</v>
      </c>
      <c r="G1334" s="3" t="s">
        <v>78</v>
      </c>
      <c r="H1334" s="3" t="s">
        <v>178</v>
      </c>
      <c r="I1334" s="3" t="s">
        <v>30</v>
      </c>
      <c r="J1334" s="3">
        <v>139</v>
      </c>
      <c r="K1334" s="3">
        <v>297.60000000000002</v>
      </c>
      <c r="L1334" s="3">
        <v>408.13</v>
      </c>
      <c r="M1334" s="3">
        <v>56730.07</v>
      </c>
      <c r="N1334" s="3">
        <v>41366.400000000001</v>
      </c>
      <c r="O1334" s="3">
        <v>15363.67</v>
      </c>
      <c r="P1334" s="3" t="s">
        <v>95</v>
      </c>
      <c r="Q1334" s="3" t="s">
        <v>32</v>
      </c>
      <c r="R1334" s="3">
        <v>13</v>
      </c>
      <c r="S1334" s="3" t="s">
        <v>158</v>
      </c>
      <c r="T1334" s="3">
        <v>1494</v>
      </c>
      <c r="U1334" s="3">
        <v>0</v>
      </c>
      <c r="V1334" s="3"/>
    </row>
    <row r="1335" spans="1:22" x14ac:dyDescent="0.35">
      <c r="A1335" s="2" t="s">
        <v>3540</v>
      </c>
      <c r="B1335" s="2" t="s">
        <v>56</v>
      </c>
      <c r="C1335" s="2" t="s">
        <v>1189</v>
      </c>
      <c r="D1335" s="2" t="s">
        <v>3541</v>
      </c>
      <c r="E1335" s="2" t="s">
        <v>68</v>
      </c>
      <c r="F1335" s="2" t="s">
        <v>249</v>
      </c>
      <c r="G1335" s="2" t="s">
        <v>93</v>
      </c>
      <c r="H1335" s="2" t="s">
        <v>485</v>
      </c>
      <c r="I1335" s="2" t="s">
        <v>240</v>
      </c>
      <c r="J1335" s="2">
        <v>367</v>
      </c>
      <c r="K1335" s="2">
        <v>778.61</v>
      </c>
      <c r="L1335" s="2">
        <v>1091.92</v>
      </c>
      <c r="M1335" s="2">
        <v>400734.64</v>
      </c>
      <c r="N1335" s="2">
        <v>285749.87</v>
      </c>
      <c r="O1335" s="2">
        <v>114984.77</v>
      </c>
      <c r="P1335" s="2" t="s">
        <v>95</v>
      </c>
      <c r="Q1335" s="2" t="s">
        <v>63</v>
      </c>
      <c r="R1335" s="2">
        <v>1</v>
      </c>
      <c r="S1335" s="2" t="s">
        <v>112</v>
      </c>
      <c r="T1335" s="2">
        <v>719</v>
      </c>
      <c r="U1335" s="2">
        <v>13</v>
      </c>
      <c r="V1335" s="2"/>
    </row>
    <row r="1336" spans="1:22" x14ac:dyDescent="0.35">
      <c r="A1336" s="2" t="s">
        <v>2882</v>
      </c>
      <c r="B1336" s="2" t="s">
        <v>98</v>
      </c>
      <c r="C1336" s="2" t="s">
        <v>273</v>
      </c>
      <c r="D1336" s="2" t="s">
        <v>2883</v>
      </c>
      <c r="E1336" s="2" t="s">
        <v>26</v>
      </c>
      <c r="F1336" s="2" t="s">
        <v>228</v>
      </c>
      <c r="G1336" s="2" t="s">
        <v>28</v>
      </c>
      <c r="H1336" s="2" t="s">
        <v>674</v>
      </c>
      <c r="I1336" s="2" t="s">
        <v>141</v>
      </c>
      <c r="J1336" s="2">
        <v>496</v>
      </c>
      <c r="K1336" s="2">
        <v>892.09</v>
      </c>
      <c r="L1336" s="2">
        <v>1038.3800000000001</v>
      </c>
      <c r="M1336" s="2">
        <v>515036.48</v>
      </c>
      <c r="N1336" s="2">
        <v>442476.64</v>
      </c>
      <c r="O1336" s="2">
        <v>72559.839999999997</v>
      </c>
      <c r="P1336" s="2" t="s">
        <v>31</v>
      </c>
      <c r="Q1336" s="2" t="s">
        <v>32</v>
      </c>
      <c r="R1336" s="2">
        <v>12</v>
      </c>
      <c r="S1336" s="2" t="s">
        <v>53</v>
      </c>
      <c r="T1336" s="2">
        <v>3964</v>
      </c>
      <c r="U1336" s="2">
        <v>24</v>
      </c>
      <c r="V1336" s="2"/>
    </row>
    <row r="1337" spans="1:22" x14ac:dyDescent="0.35">
      <c r="A1337" s="3" t="s">
        <v>3542</v>
      </c>
      <c r="B1337" s="3" t="s">
        <v>479</v>
      </c>
      <c r="C1337" s="3" t="s">
        <v>599</v>
      </c>
      <c r="D1337" s="3" t="s">
        <v>3543</v>
      </c>
      <c r="E1337" s="3" t="s">
        <v>58</v>
      </c>
      <c r="F1337" s="3" t="s">
        <v>59</v>
      </c>
      <c r="G1337" s="3" t="s">
        <v>217</v>
      </c>
      <c r="H1337" s="3" t="s">
        <v>340</v>
      </c>
      <c r="I1337" s="3" t="s">
        <v>191</v>
      </c>
      <c r="J1337" s="3">
        <v>566</v>
      </c>
      <c r="K1337" s="3">
        <v>843.97</v>
      </c>
      <c r="L1337" s="3">
        <v>968.48</v>
      </c>
      <c r="M1337" s="3">
        <v>548159.68000000005</v>
      </c>
      <c r="N1337" s="3">
        <v>477687.02</v>
      </c>
      <c r="O1337" s="3">
        <v>70472.66</v>
      </c>
      <c r="P1337" s="3" t="s">
        <v>31</v>
      </c>
      <c r="Q1337" s="3" t="s">
        <v>32</v>
      </c>
      <c r="R1337" s="3">
        <v>8</v>
      </c>
      <c r="S1337" s="3" t="s">
        <v>86</v>
      </c>
      <c r="T1337" s="3">
        <v>4586</v>
      </c>
      <c r="U1337" s="3">
        <v>28</v>
      </c>
      <c r="V1337" s="3"/>
    </row>
    <row r="1338" spans="1:22" x14ac:dyDescent="0.35">
      <c r="A1338" s="2" t="s">
        <v>3544</v>
      </c>
      <c r="B1338" s="2" t="s">
        <v>2428</v>
      </c>
      <c r="C1338" s="2" t="s">
        <v>691</v>
      </c>
      <c r="D1338" s="2" t="s">
        <v>3545</v>
      </c>
      <c r="E1338" s="2" t="s">
        <v>100</v>
      </c>
      <c r="F1338" s="2" t="s">
        <v>106</v>
      </c>
      <c r="G1338" s="2" t="s">
        <v>39</v>
      </c>
      <c r="H1338" s="2" t="s">
        <v>147</v>
      </c>
      <c r="I1338" s="2" t="s">
        <v>85</v>
      </c>
      <c r="J1338" s="2">
        <v>29</v>
      </c>
      <c r="K1338" s="2">
        <v>361.71</v>
      </c>
      <c r="L1338" s="2">
        <v>498.29</v>
      </c>
      <c r="M1338" s="2">
        <v>14450.41</v>
      </c>
      <c r="N1338" s="2">
        <v>10489.59</v>
      </c>
      <c r="O1338" s="2">
        <v>3960.82</v>
      </c>
      <c r="P1338" s="2" t="s">
        <v>31</v>
      </c>
      <c r="Q1338" s="2" t="s">
        <v>32</v>
      </c>
      <c r="R1338" s="2">
        <v>11</v>
      </c>
      <c r="S1338" s="2" t="s">
        <v>53</v>
      </c>
      <c r="T1338" s="2">
        <v>4726</v>
      </c>
      <c r="U1338" s="2">
        <v>0</v>
      </c>
      <c r="V1338" s="2"/>
    </row>
    <row r="1339" spans="1:22" x14ac:dyDescent="0.35">
      <c r="A1339" s="3" t="s">
        <v>3546</v>
      </c>
      <c r="B1339" s="3" t="s">
        <v>314</v>
      </c>
      <c r="C1339" s="3" t="s">
        <v>440</v>
      </c>
      <c r="D1339" s="3" t="s">
        <v>3547</v>
      </c>
      <c r="E1339" s="3" t="s">
        <v>68</v>
      </c>
      <c r="F1339" s="3" t="s">
        <v>249</v>
      </c>
      <c r="G1339" s="3" t="s">
        <v>50</v>
      </c>
      <c r="H1339" s="3" t="s">
        <v>260</v>
      </c>
      <c r="I1339" s="3" t="s">
        <v>62</v>
      </c>
      <c r="J1339" s="3">
        <v>499</v>
      </c>
      <c r="K1339" s="3">
        <v>311.33999999999997</v>
      </c>
      <c r="L1339" s="3">
        <v>501.04</v>
      </c>
      <c r="M1339" s="3">
        <v>250018.96</v>
      </c>
      <c r="N1339" s="3">
        <v>155358.66</v>
      </c>
      <c r="O1339" s="3">
        <v>94660.3</v>
      </c>
      <c r="P1339" s="3" t="s">
        <v>31</v>
      </c>
      <c r="Q1339" s="3" t="s">
        <v>63</v>
      </c>
      <c r="R1339" s="3">
        <v>5</v>
      </c>
      <c r="S1339" s="3" t="s">
        <v>86</v>
      </c>
      <c r="T1339" s="3">
        <v>1916</v>
      </c>
      <c r="U1339" s="3">
        <v>5</v>
      </c>
      <c r="V1339" s="3"/>
    </row>
    <row r="1340" spans="1:22" x14ac:dyDescent="0.35">
      <c r="A1340" s="2" t="s">
        <v>3548</v>
      </c>
      <c r="B1340" s="2" t="s">
        <v>1107</v>
      </c>
      <c r="C1340" s="2" t="s">
        <v>327</v>
      </c>
      <c r="D1340" s="2" t="s">
        <v>3549</v>
      </c>
      <c r="E1340" s="2" t="s">
        <v>68</v>
      </c>
      <c r="F1340" s="2" t="s">
        <v>146</v>
      </c>
      <c r="G1340" s="2" t="s">
        <v>93</v>
      </c>
      <c r="H1340" s="2" t="s">
        <v>321</v>
      </c>
      <c r="I1340" s="2" t="s">
        <v>72</v>
      </c>
      <c r="J1340" s="2">
        <v>414</v>
      </c>
      <c r="K1340" s="2">
        <v>136.19</v>
      </c>
      <c r="L1340" s="2">
        <v>191.77</v>
      </c>
      <c r="M1340" s="2">
        <v>79392.78</v>
      </c>
      <c r="N1340" s="2">
        <v>56382.66</v>
      </c>
      <c r="O1340" s="2">
        <v>23010.12</v>
      </c>
      <c r="P1340" s="2" t="s">
        <v>95</v>
      </c>
      <c r="Q1340" s="2" t="s">
        <v>32</v>
      </c>
      <c r="R1340" s="2">
        <v>6</v>
      </c>
      <c r="S1340" s="2" t="s">
        <v>53</v>
      </c>
      <c r="T1340" s="2">
        <v>1616</v>
      </c>
      <c r="U1340" s="2">
        <v>14</v>
      </c>
      <c r="V1340" s="2"/>
    </row>
    <row r="1341" spans="1:22" x14ac:dyDescent="0.35">
      <c r="A1341" s="3" t="s">
        <v>3550</v>
      </c>
      <c r="B1341" s="3" t="s">
        <v>581</v>
      </c>
      <c r="C1341" s="3" t="s">
        <v>454</v>
      </c>
      <c r="D1341" s="3" t="s">
        <v>3551</v>
      </c>
      <c r="E1341" s="3" t="s">
        <v>26</v>
      </c>
      <c r="F1341" s="3" t="s">
        <v>92</v>
      </c>
      <c r="G1341" s="3" t="s">
        <v>28</v>
      </c>
      <c r="H1341" s="3" t="s">
        <v>254</v>
      </c>
      <c r="I1341" s="3" t="s">
        <v>85</v>
      </c>
      <c r="J1341" s="3">
        <v>621</v>
      </c>
      <c r="K1341" s="3">
        <v>982.3</v>
      </c>
      <c r="L1341" s="3">
        <v>1612.17</v>
      </c>
      <c r="M1341" s="3">
        <v>1001157.57</v>
      </c>
      <c r="N1341" s="3">
        <v>610008.30000000005</v>
      </c>
      <c r="O1341" s="3">
        <v>391149.27</v>
      </c>
      <c r="P1341" s="3" t="s">
        <v>2742</v>
      </c>
      <c r="Q1341" s="3" t="s">
        <v>63</v>
      </c>
      <c r="R1341" s="3">
        <v>4</v>
      </c>
      <c r="S1341" s="3" t="s">
        <v>33</v>
      </c>
      <c r="T1341" s="3">
        <v>1202</v>
      </c>
      <c r="U1341" s="3">
        <v>27</v>
      </c>
      <c r="V1341" s="3"/>
    </row>
    <row r="1342" spans="1:22" x14ac:dyDescent="0.35">
      <c r="A1342" s="2" t="s">
        <v>3552</v>
      </c>
      <c r="B1342" s="2" t="s">
        <v>691</v>
      </c>
      <c r="C1342" s="2" t="s">
        <v>2500</v>
      </c>
      <c r="D1342" s="2" t="s">
        <v>3553</v>
      </c>
      <c r="E1342" s="2" t="s">
        <v>68</v>
      </c>
      <c r="F1342" s="2" t="s">
        <v>69</v>
      </c>
      <c r="G1342" s="2" t="s">
        <v>78</v>
      </c>
      <c r="H1342" s="2" t="s">
        <v>79</v>
      </c>
      <c r="I1342" s="4"/>
      <c r="J1342" s="2">
        <v>523</v>
      </c>
      <c r="K1342" s="2">
        <v>1084.58</v>
      </c>
      <c r="L1342" s="2">
        <v>1526.89</v>
      </c>
      <c r="M1342" s="2">
        <v>798563.47</v>
      </c>
      <c r="N1342" s="2">
        <v>567235.34</v>
      </c>
      <c r="O1342" s="2">
        <v>231328.13</v>
      </c>
      <c r="P1342" s="2" t="s">
        <v>52</v>
      </c>
      <c r="Q1342" s="2" t="s">
        <v>63</v>
      </c>
      <c r="R1342" s="2">
        <v>5</v>
      </c>
      <c r="S1342" s="2" t="s">
        <v>43</v>
      </c>
      <c r="T1342" s="2">
        <v>2601</v>
      </c>
      <c r="U1342" s="2">
        <v>8</v>
      </c>
      <c r="V1342" s="2"/>
    </row>
    <row r="1343" spans="1:22" x14ac:dyDescent="0.35">
      <c r="A1343" s="3" t="s">
        <v>3554</v>
      </c>
      <c r="B1343" s="3" t="s">
        <v>1319</v>
      </c>
      <c r="C1343" s="3" t="s">
        <v>488</v>
      </c>
      <c r="D1343" s="3" t="s">
        <v>3555</v>
      </c>
      <c r="E1343" s="3" t="s">
        <v>58</v>
      </c>
      <c r="F1343" s="3" t="s">
        <v>122</v>
      </c>
      <c r="G1343" s="3" t="s">
        <v>70</v>
      </c>
      <c r="H1343" s="3" t="s">
        <v>84</v>
      </c>
      <c r="I1343" s="3" t="s">
        <v>85</v>
      </c>
      <c r="J1343" s="3">
        <v>304</v>
      </c>
      <c r="K1343" s="3">
        <v>569.41999999999996</v>
      </c>
      <c r="L1343" s="3">
        <v>898.35</v>
      </c>
      <c r="M1343" s="3">
        <v>273098.40000000002</v>
      </c>
      <c r="N1343" s="3">
        <v>173103.68</v>
      </c>
      <c r="O1343" s="3">
        <v>99994.72</v>
      </c>
      <c r="P1343" s="3" t="s">
        <v>42</v>
      </c>
      <c r="Q1343" s="3" t="s">
        <v>32</v>
      </c>
      <c r="R1343" s="3">
        <v>10</v>
      </c>
      <c r="S1343" s="3" t="s">
        <v>86</v>
      </c>
      <c r="T1343" s="3">
        <v>4825</v>
      </c>
      <c r="U1343" s="3">
        <v>10</v>
      </c>
      <c r="V1343" s="3"/>
    </row>
    <row r="1344" spans="1:22" x14ac:dyDescent="0.35">
      <c r="A1344" s="2" t="s">
        <v>3556</v>
      </c>
      <c r="B1344" s="2" t="s">
        <v>3211</v>
      </c>
      <c r="C1344" s="2" t="s">
        <v>838</v>
      </c>
      <c r="D1344" s="2" t="s">
        <v>1809</v>
      </c>
      <c r="E1344" s="2" t="s">
        <v>48</v>
      </c>
      <c r="F1344" s="2" t="s">
        <v>49</v>
      </c>
      <c r="G1344" s="2" t="s">
        <v>60</v>
      </c>
      <c r="H1344" s="2" t="s">
        <v>61</v>
      </c>
      <c r="I1344" s="2" t="s">
        <v>153</v>
      </c>
      <c r="J1344" s="2">
        <v>593</v>
      </c>
      <c r="K1344" s="2">
        <v>198.57</v>
      </c>
      <c r="L1344" s="2">
        <v>230.59</v>
      </c>
      <c r="M1344" s="2">
        <v>136739.87</v>
      </c>
      <c r="N1344" s="2">
        <v>117752.01</v>
      </c>
      <c r="O1344" s="2">
        <v>18987.86</v>
      </c>
      <c r="P1344" s="2" t="s">
        <v>31</v>
      </c>
      <c r="Q1344" s="2" t="s">
        <v>63</v>
      </c>
      <c r="R1344" s="2">
        <v>1</v>
      </c>
      <c r="S1344" s="2" t="s">
        <v>86</v>
      </c>
      <c r="T1344" s="2">
        <v>4634</v>
      </c>
      <c r="U1344" s="2">
        <v>9</v>
      </c>
      <c r="V1344" s="2"/>
    </row>
    <row r="1345" spans="1:22" x14ac:dyDescent="0.35">
      <c r="A1345" s="3" t="s">
        <v>3557</v>
      </c>
      <c r="B1345" s="3" t="s">
        <v>1632</v>
      </c>
      <c r="C1345" s="3" t="s">
        <v>449</v>
      </c>
      <c r="D1345" s="3" t="s">
        <v>3558</v>
      </c>
      <c r="E1345" s="3" t="s">
        <v>58</v>
      </c>
      <c r="F1345" s="3" t="s">
        <v>122</v>
      </c>
      <c r="G1345" s="3" t="s">
        <v>50</v>
      </c>
      <c r="H1345" s="3" t="s">
        <v>107</v>
      </c>
      <c r="I1345" s="3" t="s">
        <v>240</v>
      </c>
      <c r="J1345" s="3">
        <v>45</v>
      </c>
      <c r="K1345" s="3">
        <v>229.69</v>
      </c>
      <c r="L1345" s="3">
        <v>280.68</v>
      </c>
      <c r="M1345" s="3">
        <v>12630.6</v>
      </c>
      <c r="N1345" s="3">
        <v>10336.049999999999</v>
      </c>
      <c r="O1345" s="3">
        <v>2294.5500000000002</v>
      </c>
      <c r="P1345" s="3" t="s">
        <v>42</v>
      </c>
      <c r="Q1345" s="3" t="s">
        <v>32</v>
      </c>
      <c r="R1345" s="3">
        <v>14</v>
      </c>
      <c r="S1345" s="3" t="s">
        <v>33</v>
      </c>
      <c r="T1345" s="3">
        <v>422</v>
      </c>
      <c r="U1345" s="3">
        <v>1</v>
      </c>
      <c r="V1345" s="3"/>
    </row>
    <row r="1346" spans="1:22" x14ac:dyDescent="0.35">
      <c r="A1346" s="2" t="s">
        <v>3559</v>
      </c>
      <c r="B1346" s="2" t="s">
        <v>46</v>
      </c>
      <c r="C1346" s="2" t="s">
        <v>1090</v>
      </c>
      <c r="D1346" s="2" t="s">
        <v>3560</v>
      </c>
      <c r="E1346" s="2" t="s">
        <v>26</v>
      </c>
      <c r="F1346" s="2" t="s">
        <v>77</v>
      </c>
      <c r="G1346" s="2" t="s">
        <v>28</v>
      </c>
      <c r="H1346" s="2" t="s">
        <v>579</v>
      </c>
      <c r="I1346" s="2" t="s">
        <v>293</v>
      </c>
      <c r="J1346" s="2">
        <v>106</v>
      </c>
      <c r="K1346" s="2">
        <v>258.01</v>
      </c>
      <c r="L1346" s="2">
        <v>349.69</v>
      </c>
      <c r="M1346" s="2">
        <v>37067.14</v>
      </c>
      <c r="N1346" s="2">
        <v>27349.06</v>
      </c>
      <c r="O1346" s="2">
        <v>9718.08</v>
      </c>
      <c r="P1346" s="2" t="s">
        <v>52</v>
      </c>
      <c r="Q1346" s="2" t="s">
        <v>32</v>
      </c>
      <c r="R1346" s="2">
        <v>14</v>
      </c>
      <c r="S1346" s="2" t="s">
        <v>53</v>
      </c>
      <c r="T1346" s="2">
        <v>4708</v>
      </c>
      <c r="U1346" s="2">
        <v>5</v>
      </c>
      <c r="V1346" s="2"/>
    </row>
    <row r="1347" spans="1:22" x14ac:dyDescent="0.35">
      <c r="A1347" s="3" t="s">
        <v>3561</v>
      </c>
      <c r="B1347" s="3" t="s">
        <v>318</v>
      </c>
      <c r="C1347" s="3" t="s">
        <v>1460</v>
      </c>
      <c r="D1347" s="3" t="s">
        <v>3562</v>
      </c>
      <c r="E1347" s="3" t="s">
        <v>68</v>
      </c>
      <c r="F1347" s="3" t="s">
        <v>69</v>
      </c>
      <c r="G1347" s="3" t="s">
        <v>129</v>
      </c>
      <c r="H1347" s="3" t="s">
        <v>520</v>
      </c>
      <c r="I1347" s="3" t="s">
        <v>293</v>
      </c>
      <c r="J1347" s="3">
        <v>517</v>
      </c>
      <c r="K1347" s="3">
        <v>858.88</v>
      </c>
      <c r="L1347" s="3">
        <v>1256.55</v>
      </c>
      <c r="M1347" s="3">
        <v>649636.35</v>
      </c>
      <c r="N1347" s="3">
        <v>444040.96000000002</v>
      </c>
      <c r="O1347" s="3">
        <v>205595.39</v>
      </c>
      <c r="P1347" s="3" t="s">
        <v>42</v>
      </c>
      <c r="Q1347" s="3" t="s">
        <v>63</v>
      </c>
      <c r="R1347" s="3">
        <v>4</v>
      </c>
      <c r="S1347" s="3" t="s">
        <v>33</v>
      </c>
      <c r="T1347" s="3">
        <v>2163</v>
      </c>
      <c r="U1347" s="3">
        <v>17</v>
      </c>
      <c r="V1347" s="3"/>
    </row>
    <row r="1348" spans="1:22" x14ac:dyDescent="0.35">
      <c r="A1348" s="2" t="s">
        <v>3563</v>
      </c>
      <c r="B1348" s="2" t="s">
        <v>458</v>
      </c>
      <c r="C1348" s="2" t="s">
        <v>992</v>
      </c>
      <c r="D1348" s="2" t="s">
        <v>3564</v>
      </c>
      <c r="E1348" s="2" t="s">
        <v>100</v>
      </c>
      <c r="F1348" s="2" t="s">
        <v>106</v>
      </c>
      <c r="G1348" s="2" t="s">
        <v>70</v>
      </c>
      <c r="H1348" s="2" t="s">
        <v>84</v>
      </c>
      <c r="I1348" s="2" t="s">
        <v>118</v>
      </c>
      <c r="J1348" s="2">
        <v>161</v>
      </c>
      <c r="K1348" s="2">
        <v>382.63</v>
      </c>
      <c r="L1348" s="4"/>
      <c r="M1348" s="2">
        <v>95564.77</v>
      </c>
      <c r="N1348" s="2">
        <v>61603.43</v>
      </c>
      <c r="O1348" s="2">
        <v>33961.339999999997</v>
      </c>
      <c r="P1348" s="2" t="s">
        <v>42</v>
      </c>
      <c r="Q1348" s="2" t="s">
        <v>32</v>
      </c>
      <c r="R1348" s="2">
        <v>14</v>
      </c>
      <c r="S1348" s="2" t="s">
        <v>112</v>
      </c>
      <c r="T1348" s="2">
        <v>992</v>
      </c>
      <c r="U1348" s="2">
        <v>8</v>
      </c>
      <c r="V1348" s="2"/>
    </row>
    <row r="1349" spans="1:22" x14ac:dyDescent="0.35">
      <c r="A1349" s="3" t="s">
        <v>3565</v>
      </c>
      <c r="B1349" s="3" t="s">
        <v>653</v>
      </c>
      <c r="C1349" s="3" t="s">
        <v>24</v>
      </c>
      <c r="D1349" s="3" t="s">
        <v>3566</v>
      </c>
      <c r="E1349" s="3" t="s">
        <v>100</v>
      </c>
      <c r="F1349" s="3" t="s">
        <v>106</v>
      </c>
      <c r="G1349" s="3" t="s">
        <v>39</v>
      </c>
      <c r="H1349" s="3" t="s">
        <v>40</v>
      </c>
      <c r="I1349" s="3" t="s">
        <v>118</v>
      </c>
      <c r="J1349" s="3">
        <v>304</v>
      </c>
      <c r="K1349" s="3">
        <v>874.64</v>
      </c>
      <c r="L1349" s="3">
        <v>1262.8499999999999</v>
      </c>
      <c r="M1349" s="3">
        <v>383906.4</v>
      </c>
      <c r="N1349" s="3">
        <v>265890.56</v>
      </c>
      <c r="O1349" s="3">
        <v>118015.84</v>
      </c>
      <c r="P1349" s="3" t="s">
        <v>42</v>
      </c>
      <c r="Q1349" s="3" t="s">
        <v>32</v>
      </c>
      <c r="R1349" s="3">
        <v>8</v>
      </c>
      <c r="S1349" s="3" t="s">
        <v>158</v>
      </c>
      <c r="T1349" s="3">
        <v>4650</v>
      </c>
      <c r="U1349" s="3">
        <v>9</v>
      </c>
      <c r="V1349" s="3"/>
    </row>
    <row r="1350" spans="1:22" x14ac:dyDescent="0.35">
      <c r="A1350" s="2" t="s">
        <v>3567</v>
      </c>
      <c r="B1350" s="2" t="s">
        <v>764</v>
      </c>
      <c r="C1350" s="2" t="s">
        <v>314</v>
      </c>
      <c r="D1350" s="2" t="s">
        <v>3568</v>
      </c>
      <c r="E1350" s="2" t="s">
        <v>26</v>
      </c>
      <c r="F1350" s="2" t="s">
        <v>27</v>
      </c>
      <c r="G1350" s="2" t="s">
        <v>28</v>
      </c>
      <c r="H1350" s="2" t="s">
        <v>579</v>
      </c>
      <c r="I1350" s="2" t="s">
        <v>1853</v>
      </c>
      <c r="J1350" s="2">
        <v>145</v>
      </c>
      <c r="K1350" s="2">
        <v>1009.2</v>
      </c>
      <c r="L1350" s="2">
        <v>1551.05</v>
      </c>
      <c r="M1350" s="2">
        <v>224902.25</v>
      </c>
      <c r="N1350" s="2">
        <v>146334</v>
      </c>
      <c r="O1350" s="2">
        <v>78568.25</v>
      </c>
      <c r="P1350" s="2" t="s">
        <v>95</v>
      </c>
      <c r="Q1350" s="2" t="s">
        <v>32</v>
      </c>
      <c r="R1350" s="2">
        <v>14</v>
      </c>
      <c r="S1350" s="2" t="s">
        <v>112</v>
      </c>
      <c r="T1350" s="2">
        <v>4823</v>
      </c>
      <c r="U1350" s="2">
        <v>5</v>
      </c>
      <c r="V1350" s="2"/>
    </row>
    <row r="1351" spans="1:22" x14ac:dyDescent="0.35">
      <c r="A1351" s="3" t="s">
        <v>3569</v>
      </c>
      <c r="B1351" s="3" t="s">
        <v>3570</v>
      </c>
      <c r="C1351" s="3" t="s">
        <v>471</v>
      </c>
      <c r="D1351" s="3" t="s">
        <v>3571</v>
      </c>
      <c r="E1351" s="3" t="s">
        <v>100</v>
      </c>
      <c r="F1351" s="3" t="s">
        <v>238</v>
      </c>
      <c r="G1351" s="3" t="s">
        <v>60</v>
      </c>
      <c r="H1351" s="3" t="s">
        <v>229</v>
      </c>
      <c r="I1351" s="3" t="s">
        <v>62</v>
      </c>
      <c r="J1351" s="3">
        <v>630</v>
      </c>
      <c r="K1351" s="3">
        <v>346.37</v>
      </c>
      <c r="L1351" s="3">
        <v>514.97</v>
      </c>
      <c r="M1351" s="3">
        <v>324431.09999999998</v>
      </c>
      <c r="N1351" s="3">
        <v>218213.1</v>
      </c>
      <c r="O1351" s="3">
        <v>106218</v>
      </c>
      <c r="P1351" s="3" t="s">
        <v>42</v>
      </c>
      <c r="Q1351" s="3" t="s">
        <v>32</v>
      </c>
      <c r="R1351" s="3">
        <v>12</v>
      </c>
      <c r="S1351" s="3" t="s">
        <v>158</v>
      </c>
      <c r="T1351" s="3">
        <v>2265</v>
      </c>
      <c r="U1351" s="3">
        <v>12</v>
      </c>
      <c r="V1351" s="3"/>
    </row>
    <row r="1352" spans="1:22" x14ac:dyDescent="0.35">
      <c r="A1352" s="2" t="s">
        <v>3572</v>
      </c>
      <c r="B1352" s="2" t="s">
        <v>1641</v>
      </c>
      <c r="C1352" s="2" t="s">
        <v>617</v>
      </c>
      <c r="D1352" s="2" t="s">
        <v>3573</v>
      </c>
      <c r="E1352" s="2" t="s">
        <v>100</v>
      </c>
      <c r="F1352" s="2" t="s">
        <v>238</v>
      </c>
      <c r="G1352" s="2" t="s">
        <v>70</v>
      </c>
      <c r="H1352" s="2" t="s">
        <v>384</v>
      </c>
      <c r="I1352" s="2" t="s">
        <v>153</v>
      </c>
      <c r="J1352" s="2">
        <v>624</v>
      </c>
      <c r="K1352" s="2">
        <v>479.99</v>
      </c>
      <c r="L1352" s="2">
        <v>712.62</v>
      </c>
      <c r="M1352" s="2">
        <v>444674.88</v>
      </c>
      <c r="N1352" s="2">
        <v>299513.76</v>
      </c>
      <c r="O1352" s="2">
        <v>145161.12</v>
      </c>
      <c r="P1352" s="2" t="s">
        <v>31</v>
      </c>
      <c r="Q1352" s="2" t="s">
        <v>32</v>
      </c>
      <c r="R1352" s="2">
        <v>12</v>
      </c>
      <c r="S1352" s="2" t="s">
        <v>43</v>
      </c>
      <c r="T1352" s="2">
        <v>754</v>
      </c>
      <c r="U1352" s="2">
        <v>0</v>
      </c>
      <c r="V1352" s="2"/>
    </row>
    <row r="1353" spans="1:22" x14ac:dyDescent="0.35">
      <c r="A1353" s="3" t="s">
        <v>3574</v>
      </c>
      <c r="B1353" s="3" t="s">
        <v>1802</v>
      </c>
      <c r="C1353" s="3" t="s">
        <v>605</v>
      </c>
      <c r="D1353" s="3" t="s">
        <v>3442</v>
      </c>
      <c r="E1353" s="3" t="s">
        <v>58</v>
      </c>
      <c r="F1353" s="3" t="s">
        <v>122</v>
      </c>
      <c r="G1353" s="3" t="s">
        <v>39</v>
      </c>
      <c r="H1353" s="3" t="s">
        <v>664</v>
      </c>
      <c r="I1353" s="3" t="s">
        <v>124</v>
      </c>
      <c r="J1353" s="3">
        <v>369</v>
      </c>
      <c r="K1353" s="3">
        <v>506.91</v>
      </c>
      <c r="L1353" s="3">
        <v>671.85</v>
      </c>
      <c r="M1353" s="3">
        <v>247912.65</v>
      </c>
      <c r="N1353" s="3">
        <v>187049.79</v>
      </c>
      <c r="O1353" s="3">
        <v>60862.86</v>
      </c>
      <c r="P1353" s="3" t="s">
        <v>95</v>
      </c>
      <c r="Q1353" s="3" t="s">
        <v>63</v>
      </c>
      <c r="R1353" s="3">
        <v>2</v>
      </c>
      <c r="S1353" s="3" t="s">
        <v>33</v>
      </c>
      <c r="T1353" s="3">
        <v>1991</v>
      </c>
      <c r="U1353" s="3">
        <v>17</v>
      </c>
      <c r="V1353" s="3"/>
    </row>
    <row r="1354" spans="1:22" x14ac:dyDescent="0.35">
      <c r="A1354" s="2" t="s">
        <v>3575</v>
      </c>
      <c r="B1354" s="2" t="s">
        <v>363</v>
      </c>
      <c r="C1354" s="2" t="s">
        <v>599</v>
      </c>
      <c r="D1354" s="2" t="s">
        <v>3576</v>
      </c>
      <c r="E1354" s="2" t="s">
        <v>68</v>
      </c>
      <c r="F1354" s="2" t="s">
        <v>146</v>
      </c>
      <c r="G1354" s="2" t="s">
        <v>60</v>
      </c>
      <c r="H1354" s="2" t="s">
        <v>539</v>
      </c>
      <c r="I1354" s="2" t="s">
        <v>118</v>
      </c>
      <c r="J1354" s="2">
        <v>286</v>
      </c>
      <c r="K1354" s="2">
        <v>676.03</v>
      </c>
      <c r="L1354" s="2">
        <v>1110.22</v>
      </c>
      <c r="M1354" s="2">
        <v>317522.92</v>
      </c>
      <c r="N1354" s="2">
        <v>193344.58</v>
      </c>
      <c r="O1354" s="2">
        <v>124178.34</v>
      </c>
      <c r="P1354" s="2" t="s">
        <v>42</v>
      </c>
      <c r="Q1354" s="2" t="s">
        <v>63</v>
      </c>
      <c r="R1354" s="2">
        <v>1</v>
      </c>
      <c r="S1354" s="2" t="s">
        <v>112</v>
      </c>
      <c r="T1354" s="2">
        <v>3530</v>
      </c>
      <c r="U1354" s="2">
        <v>9</v>
      </c>
      <c r="V1354" s="2"/>
    </row>
    <row r="1355" spans="1:22" x14ac:dyDescent="0.35">
      <c r="A1355" s="3" t="s">
        <v>3577</v>
      </c>
      <c r="B1355" s="3" t="s">
        <v>313</v>
      </c>
      <c r="C1355" s="3" t="s">
        <v>1662</v>
      </c>
      <c r="D1355" s="3" t="s">
        <v>3578</v>
      </c>
      <c r="E1355" s="3" t="s">
        <v>26</v>
      </c>
      <c r="F1355" s="3" t="s">
        <v>1576</v>
      </c>
      <c r="G1355" s="3" t="s">
        <v>93</v>
      </c>
      <c r="H1355" s="3" t="s">
        <v>302</v>
      </c>
      <c r="I1355" s="3" t="s">
        <v>141</v>
      </c>
      <c r="J1355" s="3">
        <v>473</v>
      </c>
      <c r="K1355" s="3">
        <v>46.46</v>
      </c>
      <c r="L1355" s="3">
        <v>54.7</v>
      </c>
      <c r="M1355" s="3">
        <v>25873.1</v>
      </c>
      <c r="N1355" s="3">
        <v>21975.58</v>
      </c>
      <c r="O1355" s="3">
        <v>3897.52</v>
      </c>
      <c r="P1355" s="3" t="s">
        <v>95</v>
      </c>
      <c r="Q1355" s="3" t="s">
        <v>32</v>
      </c>
      <c r="R1355" s="3">
        <v>10</v>
      </c>
      <c r="S1355" s="3" t="s">
        <v>158</v>
      </c>
      <c r="T1355" s="3">
        <v>1260</v>
      </c>
      <c r="U1355" s="3">
        <v>22</v>
      </c>
      <c r="V1355" s="3"/>
    </row>
    <row r="1356" spans="1:22" x14ac:dyDescent="0.35">
      <c r="A1356" s="2" t="s">
        <v>3579</v>
      </c>
      <c r="B1356" s="2" t="s">
        <v>2649</v>
      </c>
      <c r="C1356" s="2" t="s">
        <v>2734</v>
      </c>
      <c r="D1356" s="2" t="s">
        <v>3580</v>
      </c>
      <c r="E1356" s="2" t="s">
        <v>100</v>
      </c>
      <c r="F1356" s="2" t="s">
        <v>330</v>
      </c>
      <c r="G1356" s="2" t="s">
        <v>129</v>
      </c>
      <c r="H1356" s="2" t="s">
        <v>345</v>
      </c>
      <c r="I1356" s="2" t="s">
        <v>240</v>
      </c>
      <c r="J1356" s="2">
        <v>591</v>
      </c>
      <c r="K1356" s="2">
        <v>581.57000000000005</v>
      </c>
      <c r="L1356" s="2">
        <v>671.8</v>
      </c>
      <c r="M1356" s="2">
        <v>397033.8</v>
      </c>
      <c r="N1356" s="2">
        <v>343707.87</v>
      </c>
      <c r="O1356" s="2">
        <v>53325.93</v>
      </c>
      <c r="P1356" s="2" t="s">
        <v>42</v>
      </c>
      <c r="Q1356" s="2" t="s">
        <v>63</v>
      </c>
      <c r="R1356" s="2">
        <v>2</v>
      </c>
      <c r="S1356" s="2" t="s">
        <v>86</v>
      </c>
      <c r="T1356" s="2">
        <v>2926</v>
      </c>
      <c r="U1356" s="2">
        <v>1</v>
      </c>
      <c r="V1356" s="2"/>
    </row>
    <row r="1357" spans="1:22" x14ac:dyDescent="0.35">
      <c r="A1357" s="3" t="s">
        <v>3581</v>
      </c>
      <c r="B1357" s="3" t="s">
        <v>3582</v>
      </c>
      <c r="C1357" s="3" t="s">
        <v>114</v>
      </c>
      <c r="D1357" s="3" t="s">
        <v>2016</v>
      </c>
      <c r="E1357" s="3" t="s">
        <v>48</v>
      </c>
      <c r="F1357" s="3" t="s">
        <v>49</v>
      </c>
      <c r="G1357" s="3" t="s">
        <v>189</v>
      </c>
      <c r="H1357" s="3" t="s">
        <v>561</v>
      </c>
      <c r="I1357" s="3" t="s">
        <v>124</v>
      </c>
      <c r="J1357" s="3">
        <v>764</v>
      </c>
      <c r="K1357" s="3">
        <v>955.63</v>
      </c>
      <c r="L1357" s="3">
        <v>1146.3399999999999</v>
      </c>
      <c r="M1357" s="3">
        <v>875803.76</v>
      </c>
      <c r="N1357" s="3">
        <v>730101.32</v>
      </c>
      <c r="O1357" s="3">
        <v>145702.44</v>
      </c>
      <c r="P1357" s="3" t="s">
        <v>42</v>
      </c>
      <c r="Q1357" s="3" t="s">
        <v>823</v>
      </c>
      <c r="R1357" s="3">
        <v>13</v>
      </c>
      <c r="S1357" s="3" t="s">
        <v>112</v>
      </c>
      <c r="T1357" s="3">
        <v>1857</v>
      </c>
      <c r="U1357" s="3">
        <v>26</v>
      </c>
      <c r="V1357" s="3"/>
    </row>
    <row r="1358" spans="1:22" x14ac:dyDescent="0.35">
      <c r="A1358" s="2" t="s">
        <v>3583</v>
      </c>
      <c r="B1358" s="2" t="s">
        <v>323</v>
      </c>
      <c r="C1358" s="2" t="s">
        <v>1474</v>
      </c>
      <c r="D1358" s="2" t="s">
        <v>3584</v>
      </c>
      <c r="E1358" s="2" t="s">
        <v>48</v>
      </c>
      <c r="F1358" s="2" t="s">
        <v>281</v>
      </c>
      <c r="G1358" s="2" t="s">
        <v>129</v>
      </c>
      <c r="H1358" s="2" t="s">
        <v>811</v>
      </c>
      <c r="I1358" s="2" t="s">
        <v>62</v>
      </c>
      <c r="J1358" s="2">
        <v>173</v>
      </c>
      <c r="K1358" s="2">
        <v>92.43</v>
      </c>
      <c r="L1358" s="2">
        <v>110.69</v>
      </c>
      <c r="M1358" s="2">
        <v>19149.37</v>
      </c>
      <c r="N1358" s="2">
        <v>15990.39</v>
      </c>
      <c r="O1358" s="2">
        <v>3158.98</v>
      </c>
      <c r="P1358" s="2" t="s">
        <v>52</v>
      </c>
      <c r="Q1358" s="2" t="s">
        <v>32</v>
      </c>
      <c r="R1358" s="2">
        <v>9</v>
      </c>
      <c r="S1358" s="2" t="s">
        <v>33</v>
      </c>
      <c r="T1358" s="2">
        <v>2387</v>
      </c>
      <c r="U1358" s="2">
        <v>4</v>
      </c>
      <c r="V1358" s="2"/>
    </row>
    <row r="1359" spans="1:22" x14ac:dyDescent="0.35">
      <c r="A1359" s="3" t="s">
        <v>3585</v>
      </c>
      <c r="B1359" s="3" t="s">
        <v>2031</v>
      </c>
      <c r="C1359" s="3" t="s">
        <v>2337</v>
      </c>
      <c r="D1359" s="3" t="s">
        <v>3586</v>
      </c>
      <c r="E1359" s="3" t="s">
        <v>68</v>
      </c>
      <c r="F1359" s="3" t="s">
        <v>163</v>
      </c>
      <c r="G1359" s="3" t="s">
        <v>60</v>
      </c>
      <c r="H1359" s="3" t="s">
        <v>229</v>
      </c>
      <c r="I1359" s="3" t="s">
        <v>30</v>
      </c>
      <c r="J1359" s="3">
        <v>169</v>
      </c>
      <c r="K1359" s="3">
        <v>980.94</v>
      </c>
      <c r="L1359" s="3">
        <v>1194.54</v>
      </c>
      <c r="M1359" s="3">
        <v>201877.26</v>
      </c>
      <c r="N1359" s="3">
        <v>165778.85999999999</v>
      </c>
      <c r="O1359" s="3">
        <v>36098.400000000001</v>
      </c>
      <c r="P1359" s="3" t="s">
        <v>95</v>
      </c>
      <c r="Q1359" s="3" t="s">
        <v>32</v>
      </c>
      <c r="R1359" s="3">
        <v>13</v>
      </c>
      <c r="S1359" s="3" t="s">
        <v>86</v>
      </c>
      <c r="T1359" s="3">
        <v>2387</v>
      </c>
      <c r="U1359" s="3">
        <v>3</v>
      </c>
      <c r="V1359" s="3"/>
    </row>
    <row r="1360" spans="1:22" x14ac:dyDescent="0.35">
      <c r="A1360" s="2" t="s">
        <v>3587</v>
      </c>
      <c r="B1360" s="2" t="s">
        <v>348</v>
      </c>
      <c r="C1360" s="2" t="s">
        <v>1050</v>
      </c>
      <c r="D1360" s="2" t="s">
        <v>3588</v>
      </c>
      <c r="E1360" s="2" t="s">
        <v>48</v>
      </c>
      <c r="F1360" s="2" t="s">
        <v>270</v>
      </c>
      <c r="G1360" s="2" t="s">
        <v>93</v>
      </c>
      <c r="H1360" s="2" t="s">
        <v>184</v>
      </c>
      <c r="I1360" s="2" t="s">
        <v>153</v>
      </c>
      <c r="J1360" s="2">
        <v>724</v>
      </c>
      <c r="K1360" s="2">
        <v>1043.83</v>
      </c>
      <c r="L1360" s="2">
        <v>1620.64</v>
      </c>
      <c r="M1360" s="2">
        <v>1173343.3600000001</v>
      </c>
      <c r="N1360" s="2">
        <v>755732.92</v>
      </c>
      <c r="O1360" s="2">
        <v>417610.44</v>
      </c>
      <c r="P1360" s="2" t="s">
        <v>95</v>
      </c>
      <c r="Q1360" s="2" t="s">
        <v>32</v>
      </c>
      <c r="R1360" s="2">
        <v>11</v>
      </c>
      <c r="S1360" s="2" t="s">
        <v>86</v>
      </c>
      <c r="T1360" s="2">
        <v>2363</v>
      </c>
      <c r="U1360" s="2">
        <v>5</v>
      </c>
      <c r="V1360" s="2"/>
    </row>
    <row r="1361" spans="1:22" x14ac:dyDescent="0.35">
      <c r="A1361" s="3" t="s">
        <v>3589</v>
      </c>
      <c r="B1361" s="3" t="s">
        <v>36</v>
      </c>
      <c r="C1361" s="3" t="s">
        <v>458</v>
      </c>
      <c r="D1361" s="3" t="s">
        <v>2937</v>
      </c>
      <c r="E1361" s="3" t="s">
        <v>58</v>
      </c>
      <c r="F1361" s="3" t="s">
        <v>417</v>
      </c>
      <c r="G1361" s="3" t="s">
        <v>3590</v>
      </c>
      <c r="H1361" s="3" t="s">
        <v>507</v>
      </c>
      <c r="I1361" s="3" t="s">
        <v>124</v>
      </c>
      <c r="J1361" s="3">
        <v>359</v>
      </c>
      <c r="K1361" s="3">
        <v>362.76</v>
      </c>
      <c r="L1361" s="3">
        <v>564.21</v>
      </c>
      <c r="M1361" s="3">
        <v>202551.39</v>
      </c>
      <c r="N1361" s="3">
        <v>130230.84</v>
      </c>
      <c r="O1361" s="3">
        <v>72320.55</v>
      </c>
      <c r="P1361" s="3" t="s">
        <v>31</v>
      </c>
      <c r="Q1361" s="3" t="s">
        <v>32</v>
      </c>
      <c r="R1361" s="3">
        <v>12</v>
      </c>
      <c r="S1361" s="3" t="s">
        <v>112</v>
      </c>
      <c r="T1361" s="3">
        <v>5</v>
      </c>
      <c r="U1361" s="3">
        <v>7</v>
      </c>
      <c r="V1361" s="3"/>
    </row>
    <row r="1362" spans="1:22" x14ac:dyDescent="0.35">
      <c r="A1362" s="2" t="s">
        <v>3591</v>
      </c>
      <c r="B1362" s="2" t="s">
        <v>103</v>
      </c>
      <c r="C1362" s="2" t="s">
        <v>3592</v>
      </c>
      <c r="D1362" s="2" t="s">
        <v>3593</v>
      </c>
      <c r="E1362" s="2" t="s">
        <v>68</v>
      </c>
      <c r="F1362" s="2" t="s">
        <v>146</v>
      </c>
      <c r="G1362" s="2" t="s">
        <v>93</v>
      </c>
      <c r="H1362" s="2" t="s">
        <v>321</v>
      </c>
      <c r="I1362" s="2" t="s">
        <v>293</v>
      </c>
      <c r="J1362" s="2">
        <v>24</v>
      </c>
      <c r="K1362" s="2">
        <v>325.27999999999997</v>
      </c>
      <c r="L1362" s="2">
        <v>478.42</v>
      </c>
      <c r="M1362" s="2">
        <v>11482.08</v>
      </c>
      <c r="N1362" s="2">
        <v>7806.72</v>
      </c>
      <c r="O1362" s="2">
        <v>3675.36</v>
      </c>
      <c r="P1362" s="2" t="s">
        <v>42</v>
      </c>
      <c r="Q1362" s="2" t="s">
        <v>32</v>
      </c>
      <c r="R1362" s="2">
        <v>9</v>
      </c>
      <c r="S1362" s="2" t="s">
        <v>43</v>
      </c>
      <c r="T1362" s="2">
        <v>4479</v>
      </c>
      <c r="U1362" s="2">
        <v>1</v>
      </c>
      <c r="V1362" s="2"/>
    </row>
    <row r="1363" spans="1:22" x14ac:dyDescent="0.35">
      <c r="A1363" s="3" t="s">
        <v>3594</v>
      </c>
      <c r="B1363" s="3" t="s">
        <v>395</v>
      </c>
      <c r="C1363" s="3" t="s">
        <v>794</v>
      </c>
      <c r="D1363" s="3" t="s">
        <v>3595</v>
      </c>
      <c r="E1363" s="3" t="s">
        <v>26</v>
      </c>
      <c r="F1363" s="3" t="s">
        <v>228</v>
      </c>
      <c r="G1363" s="3" t="s">
        <v>60</v>
      </c>
      <c r="H1363" s="3" t="s">
        <v>834</v>
      </c>
      <c r="I1363" s="3" t="s">
        <v>85</v>
      </c>
      <c r="J1363" s="3">
        <v>214</v>
      </c>
      <c r="K1363" s="3">
        <v>160.96</v>
      </c>
      <c r="L1363" s="3">
        <v>192.15</v>
      </c>
      <c r="M1363" s="3">
        <v>41120.1</v>
      </c>
      <c r="N1363" s="3">
        <v>34445.440000000002</v>
      </c>
      <c r="O1363" s="3">
        <v>6674.66</v>
      </c>
      <c r="P1363" s="3" t="s">
        <v>42</v>
      </c>
      <c r="Q1363" s="3" t="s">
        <v>32</v>
      </c>
      <c r="R1363" s="3">
        <v>12</v>
      </c>
      <c r="S1363" s="3" t="s">
        <v>53</v>
      </c>
      <c r="T1363" s="3">
        <v>2995</v>
      </c>
      <c r="U1363" s="3">
        <v>2</v>
      </c>
      <c r="V1363" s="3"/>
    </row>
    <row r="1364" spans="1:22" x14ac:dyDescent="0.35">
      <c r="A1364" s="2" t="s">
        <v>3596</v>
      </c>
      <c r="B1364" s="2" t="s">
        <v>522</v>
      </c>
      <c r="C1364" s="2" t="s">
        <v>691</v>
      </c>
      <c r="D1364" s="2" t="s">
        <v>3597</v>
      </c>
      <c r="E1364" s="2" t="s">
        <v>48</v>
      </c>
      <c r="F1364" s="2" t="s">
        <v>281</v>
      </c>
      <c r="G1364" s="2" t="s">
        <v>39</v>
      </c>
      <c r="H1364" s="2" t="s">
        <v>477</v>
      </c>
      <c r="I1364" s="2" t="s">
        <v>2409</v>
      </c>
      <c r="J1364" s="2">
        <v>222</v>
      </c>
      <c r="K1364" s="2">
        <v>124.15</v>
      </c>
      <c r="L1364" s="2">
        <v>158.08000000000001</v>
      </c>
      <c r="M1364" s="2">
        <v>35093.760000000002</v>
      </c>
      <c r="N1364" s="2">
        <v>27561.3</v>
      </c>
      <c r="O1364" s="2">
        <v>7532.46</v>
      </c>
      <c r="P1364" s="2" t="s">
        <v>31</v>
      </c>
      <c r="Q1364" s="2" t="s">
        <v>63</v>
      </c>
      <c r="R1364" s="2">
        <v>5</v>
      </c>
      <c r="S1364" s="2" t="s">
        <v>33</v>
      </c>
      <c r="T1364" s="2">
        <v>222</v>
      </c>
      <c r="U1364" s="2">
        <v>0</v>
      </c>
      <c r="V1364" s="2"/>
    </row>
    <row r="1365" spans="1:22" x14ac:dyDescent="0.35">
      <c r="A1365" s="3" t="s">
        <v>3598</v>
      </c>
      <c r="B1365" s="3" t="s">
        <v>1149</v>
      </c>
      <c r="C1365" s="3" t="s">
        <v>1967</v>
      </c>
      <c r="D1365" s="3" t="s">
        <v>1339</v>
      </c>
      <c r="E1365" s="3" t="s">
        <v>58</v>
      </c>
      <c r="F1365" s="4"/>
      <c r="G1365" s="3" t="s">
        <v>39</v>
      </c>
      <c r="H1365" s="3" t="s">
        <v>40</v>
      </c>
      <c r="I1365" s="3" t="s">
        <v>3599</v>
      </c>
      <c r="J1365" s="3">
        <v>679</v>
      </c>
      <c r="K1365" s="3">
        <v>467.06</v>
      </c>
      <c r="L1365" s="3">
        <v>736.71</v>
      </c>
      <c r="M1365" s="3">
        <v>500226.09</v>
      </c>
      <c r="N1365" s="3">
        <v>317133.74</v>
      </c>
      <c r="O1365" s="3">
        <v>183092.35</v>
      </c>
      <c r="P1365" s="3" t="s">
        <v>52</v>
      </c>
      <c r="Q1365" s="3" t="s">
        <v>32</v>
      </c>
      <c r="R1365" s="3">
        <v>14</v>
      </c>
      <c r="S1365" s="3" t="s">
        <v>112</v>
      </c>
      <c r="T1365" s="3">
        <v>3216</v>
      </c>
      <c r="U1365" s="3">
        <v>33</v>
      </c>
      <c r="V1365" s="3"/>
    </row>
    <row r="1366" spans="1:22" x14ac:dyDescent="0.35">
      <c r="A1366" s="2" t="s">
        <v>3600</v>
      </c>
      <c r="B1366" s="2" t="s">
        <v>1169</v>
      </c>
      <c r="C1366" s="2" t="s">
        <v>3170</v>
      </c>
      <c r="D1366" s="2" t="s">
        <v>3601</v>
      </c>
      <c r="E1366" s="2" t="s">
        <v>68</v>
      </c>
      <c r="F1366" s="2" t="s">
        <v>249</v>
      </c>
      <c r="G1366" s="2" t="s">
        <v>70</v>
      </c>
      <c r="H1366" s="2" t="s">
        <v>239</v>
      </c>
      <c r="I1366" s="2" t="s">
        <v>62</v>
      </c>
      <c r="J1366" s="2">
        <v>702</v>
      </c>
      <c r="K1366" s="2">
        <v>5.51</v>
      </c>
      <c r="L1366" s="2">
        <v>8.5500000000000007</v>
      </c>
      <c r="M1366" s="2">
        <v>6002.1</v>
      </c>
      <c r="N1366" s="2">
        <v>3868.02</v>
      </c>
      <c r="O1366" s="2">
        <v>2134.08</v>
      </c>
      <c r="P1366" s="2" t="s">
        <v>52</v>
      </c>
      <c r="Q1366" s="2" t="s">
        <v>32</v>
      </c>
      <c r="R1366" s="2">
        <v>10</v>
      </c>
      <c r="S1366" s="2" t="s">
        <v>43</v>
      </c>
      <c r="T1366" s="2">
        <v>363</v>
      </c>
      <c r="U1366" s="2">
        <v>4</v>
      </c>
      <c r="V1366" s="2"/>
    </row>
    <row r="1367" spans="1:22" x14ac:dyDescent="0.35">
      <c r="A1367" s="3" t="s">
        <v>3602</v>
      </c>
      <c r="B1367" s="3" t="s">
        <v>3603</v>
      </c>
      <c r="C1367" s="3" t="s">
        <v>279</v>
      </c>
      <c r="D1367" s="3" t="s">
        <v>3604</v>
      </c>
      <c r="E1367" s="3" t="s">
        <v>100</v>
      </c>
      <c r="F1367" s="3" t="s">
        <v>330</v>
      </c>
      <c r="G1367" s="3" t="s">
        <v>70</v>
      </c>
      <c r="H1367" s="3" t="s">
        <v>446</v>
      </c>
      <c r="I1367" s="3" t="s">
        <v>30</v>
      </c>
      <c r="J1367" s="3">
        <v>478</v>
      </c>
      <c r="K1367" s="3">
        <v>495.35</v>
      </c>
      <c r="L1367" s="3">
        <v>781.74</v>
      </c>
      <c r="M1367" s="3">
        <v>373671.72</v>
      </c>
      <c r="N1367" s="3">
        <v>236777.3</v>
      </c>
      <c r="O1367" s="3">
        <v>136894.42000000001</v>
      </c>
      <c r="P1367" s="3" t="s">
        <v>42</v>
      </c>
      <c r="Q1367" s="3" t="s">
        <v>63</v>
      </c>
      <c r="R1367" s="3">
        <v>5</v>
      </c>
      <c r="S1367" s="3" t="s">
        <v>112</v>
      </c>
      <c r="T1367" s="3">
        <v>1413</v>
      </c>
      <c r="U1367" s="3">
        <v>12</v>
      </c>
      <c r="V1367" s="3"/>
    </row>
    <row r="1368" spans="1:22" x14ac:dyDescent="0.35">
      <c r="A1368" s="2" t="s">
        <v>3605</v>
      </c>
      <c r="B1368" s="2" t="s">
        <v>1107</v>
      </c>
      <c r="C1368" s="2" t="s">
        <v>181</v>
      </c>
      <c r="D1368" s="2" t="s">
        <v>3606</v>
      </c>
      <c r="E1368" s="2" t="s">
        <v>68</v>
      </c>
      <c r="F1368" s="2" t="s">
        <v>146</v>
      </c>
      <c r="G1368" s="2" t="s">
        <v>93</v>
      </c>
      <c r="H1368" s="2" t="s">
        <v>302</v>
      </c>
      <c r="I1368" s="2" t="s">
        <v>72</v>
      </c>
      <c r="J1368" s="2">
        <v>37</v>
      </c>
      <c r="K1368" s="2">
        <v>943.74</v>
      </c>
      <c r="L1368" s="2">
        <v>1500.68</v>
      </c>
      <c r="M1368" s="2">
        <v>55525.16</v>
      </c>
      <c r="N1368" s="2">
        <v>34918.379999999997</v>
      </c>
      <c r="O1368" s="2">
        <v>20606.78</v>
      </c>
      <c r="P1368" s="2" t="s">
        <v>52</v>
      </c>
      <c r="Q1368" s="2" t="s">
        <v>32</v>
      </c>
      <c r="R1368" s="2">
        <v>12</v>
      </c>
      <c r="S1368" s="2" t="s">
        <v>86</v>
      </c>
      <c r="T1368" s="2">
        <v>3440</v>
      </c>
      <c r="U1368" s="2">
        <v>1</v>
      </c>
      <c r="V1368" s="2"/>
    </row>
    <row r="1369" spans="1:22" x14ac:dyDescent="0.35">
      <c r="A1369" s="3" t="s">
        <v>3607</v>
      </c>
      <c r="B1369" s="3" t="s">
        <v>529</v>
      </c>
      <c r="C1369" s="3" t="s">
        <v>1471</v>
      </c>
      <c r="D1369" s="3" t="s">
        <v>334</v>
      </c>
      <c r="E1369" s="4"/>
      <c r="F1369" s="3" t="s">
        <v>276</v>
      </c>
      <c r="G1369" s="3" t="s">
        <v>129</v>
      </c>
      <c r="H1369" s="3" t="s">
        <v>345</v>
      </c>
      <c r="I1369" s="3" t="s">
        <v>72</v>
      </c>
      <c r="J1369" s="3">
        <v>555</v>
      </c>
      <c r="K1369" s="3">
        <v>1027.46</v>
      </c>
      <c r="L1369" s="3">
        <v>1307.8499999999999</v>
      </c>
      <c r="M1369" s="3">
        <v>725856.75</v>
      </c>
      <c r="N1369" s="3">
        <v>570240.30000000005</v>
      </c>
      <c r="O1369" s="3">
        <v>155616.45000000001</v>
      </c>
      <c r="P1369" s="3" t="s">
        <v>95</v>
      </c>
      <c r="Q1369" s="3" t="s">
        <v>32</v>
      </c>
      <c r="R1369" s="3">
        <v>11</v>
      </c>
      <c r="S1369" s="3" t="s">
        <v>43</v>
      </c>
      <c r="T1369" s="3">
        <v>775</v>
      </c>
      <c r="U1369" s="3">
        <v>17</v>
      </c>
      <c r="V1369" s="3"/>
    </row>
    <row r="1370" spans="1:22" x14ac:dyDescent="0.35">
      <c r="A1370" s="2" t="s">
        <v>3608</v>
      </c>
      <c r="B1370" s="2" t="s">
        <v>3609</v>
      </c>
      <c r="C1370" s="2" t="s">
        <v>3610</v>
      </c>
      <c r="D1370" s="2" t="s">
        <v>3611</v>
      </c>
      <c r="E1370" s="2" t="s">
        <v>58</v>
      </c>
      <c r="F1370" s="2" t="s">
        <v>59</v>
      </c>
      <c r="G1370" s="2" t="s">
        <v>78</v>
      </c>
      <c r="H1370" s="2" t="s">
        <v>178</v>
      </c>
      <c r="I1370" s="2" t="s">
        <v>153</v>
      </c>
      <c r="J1370" s="2">
        <v>712</v>
      </c>
      <c r="K1370" s="2">
        <v>802.02</v>
      </c>
      <c r="L1370" s="2">
        <v>1099.8499999999999</v>
      </c>
      <c r="M1370" s="2">
        <v>783093.2</v>
      </c>
      <c r="N1370" s="2">
        <v>571038.24</v>
      </c>
      <c r="O1370" s="2">
        <v>212054.96</v>
      </c>
      <c r="P1370" s="2" t="s">
        <v>52</v>
      </c>
      <c r="Q1370" s="2" t="s">
        <v>32</v>
      </c>
      <c r="R1370" s="2">
        <v>15</v>
      </c>
      <c r="S1370" s="2" t="s">
        <v>86</v>
      </c>
      <c r="T1370" s="2">
        <v>3228</v>
      </c>
      <c r="U1370" s="2">
        <v>23</v>
      </c>
      <c r="V1370" s="2"/>
    </row>
    <row r="1371" spans="1:22" x14ac:dyDescent="0.35">
      <c r="A1371" s="3" t="s">
        <v>3612</v>
      </c>
      <c r="B1371" s="3" t="s">
        <v>1125</v>
      </c>
      <c r="C1371" s="3" t="s">
        <v>694</v>
      </c>
      <c r="D1371" s="4"/>
      <c r="E1371" s="3" t="s">
        <v>68</v>
      </c>
      <c r="F1371" s="3" t="s">
        <v>249</v>
      </c>
      <c r="G1371" s="3" t="s">
        <v>50</v>
      </c>
      <c r="H1371" s="3" t="s">
        <v>51</v>
      </c>
      <c r="I1371" s="3" t="s">
        <v>1686</v>
      </c>
      <c r="J1371" s="3">
        <v>499</v>
      </c>
      <c r="K1371" s="3">
        <v>335.82</v>
      </c>
      <c r="L1371" s="3">
        <v>511.08</v>
      </c>
      <c r="M1371" s="3">
        <v>255028.92</v>
      </c>
      <c r="N1371" s="3">
        <v>167574.18</v>
      </c>
      <c r="O1371" s="3">
        <v>87454.74</v>
      </c>
      <c r="P1371" s="3" t="s">
        <v>42</v>
      </c>
      <c r="Q1371" s="3" t="s">
        <v>32</v>
      </c>
      <c r="R1371" s="3">
        <v>-1</v>
      </c>
      <c r="S1371" s="3" t="s">
        <v>33</v>
      </c>
      <c r="T1371" s="3">
        <v>1885</v>
      </c>
      <c r="U1371" s="3">
        <v>4</v>
      </c>
      <c r="V1371" s="3"/>
    </row>
    <row r="1372" spans="1:22" x14ac:dyDescent="0.35">
      <c r="A1372" s="2" t="s">
        <v>3613</v>
      </c>
      <c r="B1372" s="2" t="s">
        <v>1265</v>
      </c>
      <c r="C1372" s="2" t="s">
        <v>765</v>
      </c>
      <c r="D1372" s="2" t="s">
        <v>3614</v>
      </c>
      <c r="E1372" s="2" t="s">
        <v>48</v>
      </c>
      <c r="F1372" s="2" t="s">
        <v>281</v>
      </c>
      <c r="G1372" s="2" t="s">
        <v>28</v>
      </c>
      <c r="H1372" s="2" t="s">
        <v>507</v>
      </c>
      <c r="I1372" s="2" t="s">
        <v>191</v>
      </c>
      <c r="J1372" s="2">
        <v>783</v>
      </c>
      <c r="K1372" s="4"/>
      <c r="L1372" s="2">
        <v>731.08</v>
      </c>
      <c r="M1372" s="2">
        <v>572435.64</v>
      </c>
      <c r="N1372" s="2">
        <v>400645.44</v>
      </c>
      <c r="O1372" s="2">
        <v>171790.2</v>
      </c>
      <c r="P1372" s="2" t="s">
        <v>31</v>
      </c>
      <c r="Q1372" s="2" t="s">
        <v>32</v>
      </c>
      <c r="R1372" s="2">
        <v>9</v>
      </c>
      <c r="S1372" s="2" t="s">
        <v>112</v>
      </c>
      <c r="T1372" s="2">
        <v>3413</v>
      </c>
      <c r="U1372" s="2">
        <v>4</v>
      </c>
      <c r="V1372" s="2"/>
    </row>
    <row r="1373" spans="1:22" x14ac:dyDescent="0.35">
      <c r="A1373" s="3" t="s">
        <v>3615</v>
      </c>
      <c r="B1373" s="3" t="s">
        <v>1192</v>
      </c>
      <c r="C1373" s="3" t="s">
        <v>1130</v>
      </c>
      <c r="D1373" s="3" t="s">
        <v>3616</v>
      </c>
      <c r="E1373" s="3" t="s">
        <v>100</v>
      </c>
      <c r="F1373" s="3" t="s">
        <v>238</v>
      </c>
      <c r="G1373" s="3" t="s">
        <v>39</v>
      </c>
      <c r="H1373" s="3" t="s">
        <v>412</v>
      </c>
      <c r="I1373" s="3" t="s">
        <v>124</v>
      </c>
      <c r="J1373" s="3">
        <v>361</v>
      </c>
      <c r="K1373" s="3">
        <v>1098.31</v>
      </c>
      <c r="L1373" s="3">
        <v>1282.49</v>
      </c>
      <c r="M1373" s="3">
        <v>462978.89</v>
      </c>
      <c r="N1373" s="3">
        <v>396489.91</v>
      </c>
      <c r="O1373" s="3">
        <v>66488.98</v>
      </c>
      <c r="P1373" s="3" t="s">
        <v>52</v>
      </c>
      <c r="Q1373" s="3" t="s">
        <v>32</v>
      </c>
      <c r="R1373" s="3">
        <v>12</v>
      </c>
      <c r="S1373" s="3" t="s">
        <v>86</v>
      </c>
      <c r="T1373" s="3">
        <v>2044</v>
      </c>
      <c r="U1373" s="3">
        <v>6</v>
      </c>
      <c r="V1373" s="3"/>
    </row>
    <row r="1374" spans="1:22" x14ac:dyDescent="0.35">
      <c r="A1374" s="2" t="s">
        <v>3617</v>
      </c>
      <c r="B1374" s="2" t="s">
        <v>1873</v>
      </c>
      <c r="C1374" s="2" t="s">
        <v>707</v>
      </c>
      <c r="D1374" s="2" t="s">
        <v>3618</v>
      </c>
      <c r="E1374" s="2" t="s">
        <v>68</v>
      </c>
      <c r="F1374" s="2" t="s">
        <v>163</v>
      </c>
      <c r="G1374" s="2" t="s">
        <v>28</v>
      </c>
      <c r="H1374" s="2" t="s">
        <v>579</v>
      </c>
      <c r="I1374" s="2" t="s">
        <v>41</v>
      </c>
      <c r="J1374" s="2">
        <v>-12</v>
      </c>
      <c r="K1374" s="2">
        <v>311.72000000000003</v>
      </c>
      <c r="L1374" s="2">
        <v>506.7</v>
      </c>
      <c r="M1374" s="2">
        <v>392692.5</v>
      </c>
      <c r="N1374" s="2">
        <v>241583</v>
      </c>
      <c r="O1374" s="2">
        <v>151109.5</v>
      </c>
      <c r="P1374" s="2" t="s">
        <v>52</v>
      </c>
      <c r="Q1374" s="2" t="s">
        <v>32</v>
      </c>
      <c r="R1374" s="2">
        <v>12</v>
      </c>
      <c r="S1374" s="2" t="s">
        <v>33</v>
      </c>
      <c r="T1374" s="2">
        <v>2238</v>
      </c>
      <c r="U1374" s="2">
        <v>16</v>
      </c>
      <c r="V1374" s="2"/>
    </row>
    <row r="1375" spans="1:22" x14ac:dyDescent="0.35">
      <c r="A1375" s="3" t="s">
        <v>3619</v>
      </c>
      <c r="B1375" s="3" t="s">
        <v>419</v>
      </c>
      <c r="C1375" s="3" t="s">
        <v>1948</v>
      </c>
      <c r="D1375" s="3" t="s">
        <v>3620</v>
      </c>
      <c r="E1375" s="3" t="s">
        <v>68</v>
      </c>
      <c r="F1375" s="3" t="s">
        <v>249</v>
      </c>
      <c r="G1375" s="3" t="s">
        <v>50</v>
      </c>
      <c r="H1375" s="3" t="s">
        <v>734</v>
      </c>
      <c r="I1375" s="3" t="s">
        <v>62</v>
      </c>
      <c r="J1375" s="3">
        <v>244</v>
      </c>
      <c r="K1375" s="3">
        <v>360.66</v>
      </c>
      <c r="L1375" s="3">
        <v>438.94</v>
      </c>
      <c r="M1375" s="3">
        <v>107101.36</v>
      </c>
      <c r="N1375" s="3">
        <v>88001.04</v>
      </c>
      <c r="O1375" s="3">
        <v>19100.32</v>
      </c>
      <c r="P1375" s="3" t="s">
        <v>52</v>
      </c>
      <c r="Q1375" s="3" t="s">
        <v>63</v>
      </c>
      <c r="R1375" s="3">
        <v>5</v>
      </c>
      <c r="S1375" s="3" t="s">
        <v>158</v>
      </c>
      <c r="T1375" s="3">
        <v>150</v>
      </c>
      <c r="U1375" s="3">
        <v>5</v>
      </c>
      <c r="V1375" s="3"/>
    </row>
    <row r="1376" spans="1:22" x14ac:dyDescent="0.35">
      <c r="A1376" s="2" t="s">
        <v>3621</v>
      </c>
      <c r="B1376" s="2" t="s">
        <v>215</v>
      </c>
      <c r="C1376" s="2" t="s">
        <v>1967</v>
      </c>
      <c r="D1376" s="2" t="s">
        <v>3622</v>
      </c>
      <c r="E1376" s="2" t="s">
        <v>58</v>
      </c>
      <c r="F1376" s="2" t="s">
        <v>122</v>
      </c>
      <c r="G1376" s="2" t="s">
        <v>217</v>
      </c>
      <c r="H1376" s="2" t="s">
        <v>524</v>
      </c>
      <c r="I1376" s="2" t="s">
        <v>124</v>
      </c>
      <c r="J1376" s="2">
        <v>253</v>
      </c>
      <c r="K1376" s="2">
        <v>873.26</v>
      </c>
      <c r="L1376" s="2">
        <v>1148.5999999999999</v>
      </c>
      <c r="M1376" s="2">
        <v>290595.8</v>
      </c>
      <c r="N1376" s="2">
        <v>220934.78</v>
      </c>
      <c r="O1376" s="2">
        <v>69661.02</v>
      </c>
      <c r="P1376" s="2" t="s">
        <v>52</v>
      </c>
      <c r="Q1376" s="2" t="s">
        <v>32</v>
      </c>
      <c r="R1376" s="2">
        <v>11</v>
      </c>
      <c r="S1376" s="2" t="s">
        <v>33</v>
      </c>
      <c r="T1376" s="2">
        <v>4439</v>
      </c>
      <c r="U1376" s="2">
        <v>8</v>
      </c>
      <c r="V1376" s="2"/>
    </row>
    <row r="1377" spans="1:22" x14ac:dyDescent="0.35">
      <c r="A1377" s="3" t="s">
        <v>3623</v>
      </c>
      <c r="B1377" s="3" t="s">
        <v>1797</v>
      </c>
      <c r="C1377" s="3" t="s">
        <v>488</v>
      </c>
      <c r="D1377" s="3" t="s">
        <v>3624</v>
      </c>
      <c r="E1377" s="3" t="s">
        <v>68</v>
      </c>
      <c r="F1377" s="3" t="s">
        <v>249</v>
      </c>
      <c r="G1377" s="3" t="s">
        <v>60</v>
      </c>
      <c r="H1377" s="3" t="s">
        <v>780</v>
      </c>
      <c r="I1377" s="3" t="s">
        <v>72</v>
      </c>
      <c r="J1377" s="3">
        <v>215</v>
      </c>
      <c r="K1377" s="3">
        <v>541.84</v>
      </c>
      <c r="L1377" s="3">
        <v>736.8</v>
      </c>
      <c r="M1377" s="3">
        <v>158412</v>
      </c>
      <c r="N1377" s="3">
        <v>116495.6</v>
      </c>
      <c r="O1377" s="3">
        <v>41916.400000000001</v>
      </c>
      <c r="P1377" s="3" t="s">
        <v>42</v>
      </c>
      <c r="Q1377" s="3" t="s">
        <v>32</v>
      </c>
      <c r="R1377" s="3">
        <v>12</v>
      </c>
      <c r="S1377" s="3" t="s">
        <v>33</v>
      </c>
      <c r="T1377" s="3">
        <v>2505</v>
      </c>
      <c r="U1377" s="3">
        <v>4</v>
      </c>
      <c r="V1377" s="3"/>
    </row>
    <row r="1378" spans="1:22" x14ac:dyDescent="0.35">
      <c r="A1378" s="2" t="s">
        <v>3625</v>
      </c>
      <c r="B1378" s="2" t="s">
        <v>850</v>
      </c>
      <c r="C1378" s="2" t="s">
        <v>1522</v>
      </c>
      <c r="D1378" s="2" t="s">
        <v>3626</v>
      </c>
      <c r="E1378" s="2" t="s">
        <v>100</v>
      </c>
      <c r="F1378" s="2" t="s">
        <v>538</v>
      </c>
      <c r="G1378" s="2" t="s">
        <v>93</v>
      </c>
      <c r="H1378" s="2" t="s">
        <v>643</v>
      </c>
      <c r="I1378" s="2" t="s">
        <v>72</v>
      </c>
      <c r="J1378" s="2">
        <v>127</v>
      </c>
      <c r="K1378" s="2">
        <v>264.58</v>
      </c>
      <c r="L1378" s="2">
        <v>424.76</v>
      </c>
      <c r="M1378" s="2">
        <v>53944.52</v>
      </c>
      <c r="N1378" s="2">
        <v>33601.660000000003</v>
      </c>
      <c r="O1378" s="2">
        <v>20342.86</v>
      </c>
      <c r="P1378" s="2" t="s">
        <v>42</v>
      </c>
      <c r="Q1378" s="2" t="s">
        <v>63</v>
      </c>
      <c r="R1378" s="2">
        <v>1</v>
      </c>
      <c r="S1378" s="2" t="s">
        <v>112</v>
      </c>
      <c r="T1378" s="2">
        <v>3783</v>
      </c>
      <c r="U1378" s="2">
        <v>0</v>
      </c>
      <c r="V1378" s="2"/>
    </row>
    <row r="1379" spans="1:22" x14ac:dyDescent="0.35">
      <c r="A1379" s="3" t="s">
        <v>3627</v>
      </c>
      <c r="B1379" s="3" t="s">
        <v>2087</v>
      </c>
      <c r="C1379" s="3" t="s">
        <v>595</v>
      </c>
      <c r="D1379" s="3" t="s">
        <v>3628</v>
      </c>
      <c r="E1379" s="3" t="s">
        <v>58</v>
      </c>
      <c r="F1379" s="3" t="s">
        <v>122</v>
      </c>
      <c r="G1379" s="3" t="s">
        <v>78</v>
      </c>
      <c r="H1379" s="3" t="s">
        <v>425</v>
      </c>
      <c r="I1379" s="3" t="s">
        <v>41</v>
      </c>
      <c r="J1379" s="3">
        <v>375</v>
      </c>
      <c r="K1379" s="3">
        <v>540.20000000000005</v>
      </c>
      <c r="L1379" s="3">
        <v>615.83000000000004</v>
      </c>
      <c r="M1379" s="3">
        <v>230936.25</v>
      </c>
      <c r="N1379" s="3">
        <v>202575</v>
      </c>
      <c r="O1379" s="3">
        <v>28361.25</v>
      </c>
      <c r="P1379" s="3" t="s">
        <v>95</v>
      </c>
      <c r="Q1379" s="3" t="s">
        <v>32</v>
      </c>
      <c r="R1379" s="3">
        <v>12</v>
      </c>
      <c r="S1379" s="3" t="s">
        <v>33</v>
      </c>
      <c r="T1379" s="3">
        <v>1098</v>
      </c>
      <c r="U1379" s="3">
        <v>7</v>
      </c>
      <c r="V1379" s="3"/>
    </row>
    <row r="1380" spans="1:22" x14ac:dyDescent="0.35">
      <c r="A1380" s="2" t="s">
        <v>3629</v>
      </c>
      <c r="B1380" s="2" t="s">
        <v>637</v>
      </c>
      <c r="C1380" s="2" t="s">
        <v>978</v>
      </c>
      <c r="D1380" s="2" t="s">
        <v>3630</v>
      </c>
      <c r="E1380" s="2" t="s">
        <v>100</v>
      </c>
      <c r="F1380" s="2" t="s">
        <v>101</v>
      </c>
      <c r="G1380" s="2" t="s">
        <v>60</v>
      </c>
      <c r="H1380" s="2" t="s">
        <v>780</v>
      </c>
      <c r="I1380" s="2" t="s">
        <v>293</v>
      </c>
      <c r="J1380" s="2">
        <v>677</v>
      </c>
      <c r="K1380" s="2">
        <v>747.67</v>
      </c>
      <c r="L1380" s="2">
        <v>1133.5</v>
      </c>
      <c r="M1380" s="2">
        <v>767379.5</v>
      </c>
      <c r="N1380" s="2">
        <v>506172.59</v>
      </c>
      <c r="O1380" s="2">
        <v>261206.91</v>
      </c>
      <c r="P1380" s="2" t="s">
        <v>31</v>
      </c>
      <c r="Q1380" s="2" t="s">
        <v>32</v>
      </c>
      <c r="R1380" s="2">
        <v>8</v>
      </c>
      <c r="S1380" s="2" t="s">
        <v>86</v>
      </c>
      <c r="T1380" s="2">
        <v>4847</v>
      </c>
      <c r="U1380" s="2">
        <v>9</v>
      </c>
      <c r="V1380" s="2"/>
    </row>
    <row r="1381" spans="1:22" x14ac:dyDescent="0.35">
      <c r="A1381" s="3" t="s">
        <v>3631</v>
      </c>
      <c r="B1381" s="3" t="s">
        <v>3632</v>
      </c>
      <c r="C1381" s="3" t="s">
        <v>1223</v>
      </c>
      <c r="D1381" s="3" t="s">
        <v>3633</v>
      </c>
      <c r="E1381" s="3" t="s">
        <v>26</v>
      </c>
      <c r="F1381" s="3" t="s">
        <v>92</v>
      </c>
      <c r="G1381" s="3" t="s">
        <v>78</v>
      </c>
      <c r="H1381" s="3" t="s">
        <v>79</v>
      </c>
      <c r="I1381" s="3" t="s">
        <v>30</v>
      </c>
      <c r="J1381" s="3">
        <v>710</v>
      </c>
      <c r="K1381" s="3">
        <v>206.37</v>
      </c>
      <c r="L1381" s="3">
        <v>271.52999999999997</v>
      </c>
      <c r="M1381" s="4" t="s">
        <v>980</v>
      </c>
      <c r="N1381" s="3">
        <v>146522.70000000001</v>
      </c>
      <c r="O1381" s="3">
        <v>46263.6</v>
      </c>
      <c r="P1381" s="3" t="s">
        <v>52</v>
      </c>
      <c r="Q1381" s="3" t="s">
        <v>63</v>
      </c>
      <c r="R1381" s="3">
        <v>3</v>
      </c>
      <c r="S1381" s="3" t="s">
        <v>43</v>
      </c>
      <c r="T1381" s="3">
        <v>1044</v>
      </c>
      <c r="U1381" s="3">
        <v>27</v>
      </c>
      <c r="V1381" s="3"/>
    </row>
    <row r="1382" spans="1:22" x14ac:dyDescent="0.35">
      <c r="A1382" s="2" t="s">
        <v>3634</v>
      </c>
      <c r="B1382" s="2" t="s">
        <v>2604</v>
      </c>
      <c r="C1382" s="2" t="s">
        <v>372</v>
      </c>
      <c r="D1382" s="2" t="s">
        <v>3635</v>
      </c>
      <c r="E1382" s="2" t="s">
        <v>26</v>
      </c>
      <c r="F1382" s="2" t="s">
        <v>228</v>
      </c>
      <c r="G1382" s="2" t="s">
        <v>28</v>
      </c>
      <c r="H1382" s="2" t="s">
        <v>579</v>
      </c>
      <c r="I1382" s="2" t="s">
        <v>41</v>
      </c>
      <c r="J1382" s="2">
        <v>714</v>
      </c>
      <c r="K1382" s="2">
        <v>289.33</v>
      </c>
      <c r="L1382" s="2">
        <v>388.95</v>
      </c>
      <c r="M1382" s="2">
        <v>277710.3</v>
      </c>
      <c r="N1382" s="2">
        <v>206581.62</v>
      </c>
      <c r="O1382" s="2">
        <v>71128.679999999993</v>
      </c>
      <c r="P1382" s="2" t="s">
        <v>95</v>
      </c>
      <c r="Q1382" s="2" t="s">
        <v>32</v>
      </c>
      <c r="R1382" s="2">
        <v>10</v>
      </c>
      <c r="S1382" s="2" t="s">
        <v>33</v>
      </c>
      <c r="T1382" s="2">
        <v>3568</v>
      </c>
      <c r="U1382" s="2">
        <v>12</v>
      </c>
      <c r="V1382" s="2"/>
    </row>
    <row r="1383" spans="1:22" x14ac:dyDescent="0.35">
      <c r="A1383" s="3" t="s">
        <v>3636</v>
      </c>
      <c r="B1383" s="3" t="s">
        <v>314</v>
      </c>
      <c r="C1383" s="3" t="s">
        <v>751</v>
      </c>
      <c r="D1383" s="3" t="s">
        <v>3637</v>
      </c>
      <c r="E1383" s="3" t="s">
        <v>48</v>
      </c>
      <c r="F1383" s="3" t="s">
        <v>281</v>
      </c>
      <c r="G1383" s="3" t="s">
        <v>28</v>
      </c>
      <c r="H1383" s="3" t="s">
        <v>674</v>
      </c>
      <c r="I1383" s="3" t="s">
        <v>153</v>
      </c>
      <c r="J1383" s="3">
        <v>246</v>
      </c>
      <c r="K1383" s="3">
        <v>28.42</v>
      </c>
      <c r="L1383" s="3">
        <v>40.94</v>
      </c>
      <c r="M1383" s="3">
        <v>10071.24</v>
      </c>
      <c r="N1383" s="3">
        <v>6991.32</v>
      </c>
      <c r="O1383" s="3">
        <v>3079.92</v>
      </c>
      <c r="P1383" s="3" t="s">
        <v>95</v>
      </c>
      <c r="Q1383" s="3" t="s">
        <v>32</v>
      </c>
      <c r="R1383" s="3">
        <v>13</v>
      </c>
      <c r="S1383" s="3" t="s">
        <v>53</v>
      </c>
      <c r="T1383" s="3">
        <v>3393</v>
      </c>
      <c r="U1383" s="3">
        <v>9</v>
      </c>
      <c r="V1383" s="3"/>
    </row>
    <row r="1384" spans="1:22" x14ac:dyDescent="0.35">
      <c r="A1384" s="2" t="s">
        <v>3638</v>
      </c>
      <c r="B1384" s="2" t="s">
        <v>328</v>
      </c>
      <c r="C1384" s="2" t="s">
        <v>932</v>
      </c>
      <c r="D1384" s="2" t="s">
        <v>3639</v>
      </c>
      <c r="E1384" s="2" t="s">
        <v>48</v>
      </c>
      <c r="F1384" s="2" t="s">
        <v>270</v>
      </c>
      <c r="G1384" s="2" t="s">
        <v>129</v>
      </c>
      <c r="H1384" s="2" t="s">
        <v>345</v>
      </c>
      <c r="I1384" s="2" t="s">
        <v>141</v>
      </c>
      <c r="J1384" s="2">
        <v>97</v>
      </c>
      <c r="K1384" s="2">
        <v>761.67</v>
      </c>
      <c r="L1384" s="2">
        <v>1082.55</v>
      </c>
      <c r="M1384" s="2">
        <v>105007.35</v>
      </c>
      <c r="N1384" s="2">
        <v>73881.990000000005</v>
      </c>
      <c r="O1384" s="2">
        <v>31125.360000000001</v>
      </c>
      <c r="P1384" s="2" t="s">
        <v>31</v>
      </c>
      <c r="Q1384" s="2" t="s">
        <v>63</v>
      </c>
      <c r="R1384" s="2">
        <v>2</v>
      </c>
      <c r="S1384" s="2" t="s">
        <v>53</v>
      </c>
      <c r="T1384" s="2">
        <v>562</v>
      </c>
      <c r="U1384" s="2">
        <v>2</v>
      </c>
      <c r="V1384" s="2"/>
    </row>
    <row r="1385" spans="1:22" x14ac:dyDescent="0.35">
      <c r="A1385" s="3" t="s">
        <v>3640</v>
      </c>
      <c r="B1385" s="3" t="s">
        <v>332</v>
      </c>
      <c r="C1385" s="3" t="s">
        <v>1789</v>
      </c>
      <c r="D1385" s="3" t="s">
        <v>3641</v>
      </c>
      <c r="E1385" s="3" t="s">
        <v>100</v>
      </c>
      <c r="F1385" s="3" t="s">
        <v>330</v>
      </c>
      <c r="G1385" s="3" t="s">
        <v>189</v>
      </c>
      <c r="H1385" s="3" t="s">
        <v>437</v>
      </c>
      <c r="I1385" s="3" t="s">
        <v>85</v>
      </c>
      <c r="J1385" s="3">
        <v>488</v>
      </c>
      <c r="K1385" s="3">
        <v>1065.6099999999999</v>
      </c>
      <c r="L1385" s="3">
        <v>1724.81</v>
      </c>
      <c r="M1385" s="3">
        <v>841707.28</v>
      </c>
      <c r="N1385" s="3">
        <v>520017.68</v>
      </c>
      <c r="O1385" s="3">
        <v>321689.59999999998</v>
      </c>
      <c r="P1385" s="3" t="s">
        <v>52</v>
      </c>
      <c r="Q1385" s="3" t="s">
        <v>63</v>
      </c>
      <c r="R1385" s="3">
        <v>5</v>
      </c>
      <c r="S1385" s="3" t="s">
        <v>112</v>
      </c>
      <c r="T1385" s="3">
        <v>4735</v>
      </c>
      <c r="U1385" s="3">
        <v>24</v>
      </c>
      <c r="V1385" s="3"/>
    </row>
    <row r="1386" spans="1:22" x14ac:dyDescent="0.35">
      <c r="A1386" s="2" t="s">
        <v>397</v>
      </c>
      <c r="B1386" s="2" t="s">
        <v>215</v>
      </c>
      <c r="C1386" s="2" t="s">
        <v>398</v>
      </c>
      <c r="D1386" s="2" t="s">
        <v>399</v>
      </c>
      <c r="E1386" s="2" t="s">
        <v>68</v>
      </c>
      <c r="F1386" s="2" t="s">
        <v>276</v>
      </c>
      <c r="G1386" s="2" t="s">
        <v>60</v>
      </c>
      <c r="H1386" s="2" t="s">
        <v>400</v>
      </c>
      <c r="I1386" s="2" t="s">
        <v>85</v>
      </c>
      <c r="J1386" s="2">
        <v>551</v>
      </c>
      <c r="K1386" s="2">
        <v>291.83</v>
      </c>
      <c r="L1386" s="2">
        <v>451.32</v>
      </c>
      <c r="M1386" s="2">
        <v>248677.32</v>
      </c>
      <c r="N1386" s="2">
        <v>160798.32999999999</v>
      </c>
      <c r="O1386" s="2">
        <v>87878.99</v>
      </c>
      <c r="P1386" s="2" t="s">
        <v>52</v>
      </c>
      <c r="Q1386" s="2" t="s">
        <v>32</v>
      </c>
      <c r="R1386" s="2">
        <v>8</v>
      </c>
      <c r="S1386" s="2" t="s">
        <v>33</v>
      </c>
      <c r="T1386" s="2">
        <v>3415</v>
      </c>
      <c r="U1386" s="2">
        <v>11</v>
      </c>
      <c r="V1386" s="2"/>
    </row>
    <row r="1387" spans="1:22" x14ac:dyDescent="0.35">
      <c r="A1387" s="3" t="s">
        <v>3642</v>
      </c>
      <c r="B1387" s="3" t="s">
        <v>2916</v>
      </c>
      <c r="C1387" s="3" t="s">
        <v>1460</v>
      </c>
      <c r="D1387" s="3" t="s">
        <v>3643</v>
      </c>
      <c r="E1387" s="3" t="s">
        <v>68</v>
      </c>
      <c r="F1387" s="3" t="s">
        <v>163</v>
      </c>
      <c r="G1387" s="3" t="s">
        <v>60</v>
      </c>
      <c r="H1387" s="3" t="s">
        <v>400</v>
      </c>
      <c r="I1387" s="3" t="s">
        <v>62</v>
      </c>
      <c r="J1387" s="3">
        <v>245</v>
      </c>
      <c r="K1387" s="3">
        <v>694.45</v>
      </c>
      <c r="L1387" s="3">
        <v>1051.26</v>
      </c>
      <c r="M1387" s="3">
        <v>257558.7</v>
      </c>
      <c r="N1387" s="4" t="s">
        <v>87</v>
      </c>
      <c r="O1387" s="3">
        <v>87418.45</v>
      </c>
      <c r="P1387" s="3" t="s">
        <v>31</v>
      </c>
      <c r="Q1387" s="3" t="s">
        <v>32</v>
      </c>
      <c r="R1387" s="3">
        <v>15</v>
      </c>
      <c r="S1387" s="3" t="s">
        <v>43</v>
      </c>
      <c r="T1387" s="3">
        <v>1177</v>
      </c>
      <c r="U1387" s="3">
        <v>2</v>
      </c>
      <c r="V1387" s="3"/>
    </row>
    <row r="1388" spans="1:22" x14ac:dyDescent="0.35">
      <c r="A1388" s="2" t="s">
        <v>3644</v>
      </c>
      <c r="B1388" s="2" t="s">
        <v>581</v>
      </c>
      <c r="C1388" s="2" t="s">
        <v>2199</v>
      </c>
      <c r="D1388" s="2" t="s">
        <v>3645</v>
      </c>
      <c r="E1388" s="2" t="s">
        <v>26</v>
      </c>
      <c r="F1388" s="2" t="s">
        <v>77</v>
      </c>
      <c r="G1388" s="2" t="s">
        <v>60</v>
      </c>
      <c r="H1388" s="2" t="s">
        <v>780</v>
      </c>
      <c r="I1388" s="2" t="s">
        <v>118</v>
      </c>
      <c r="J1388" s="2">
        <v>104</v>
      </c>
      <c r="K1388" s="2">
        <v>800.02</v>
      </c>
      <c r="L1388" s="2">
        <v>954.3</v>
      </c>
      <c r="M1388" s="2">
        <v>99247.2</v>
      </c>
      <c r="N1388" s="2">
        <v>83202.080000000002</v>
      </c>
      <c r="O1388" s="2">
        <v>16045.12</v>
      </c>
      <c r="P1388" s="2" t="s">
        <v>52</v>
      </c>
      <c r="Q1388" s="2" t="s">
        <v>63</v>
      </c>
      <c r="R1388" s="2">
        <v>4</v>
      </c>
      <c r="S1388" s="2" t="s">
        <v>112</v>
      </c>
      <c r="T1388" s="2">
        <v>1985</v>
      </c>
      <c r="U1388" s="2">
        <v>1</v>
      </c>
      <c r="V1388" s="2"/>
    </row>
    <row r="1389" spans="1:22" x14ac:dyDescent="0.35">
      <c r="A1389" s="3" t="s">
        <v>3646</v>
      </c>
      <c r="B1389" s="3" t="s">
        <v>553</v>
      </c>
      <c r="C1389" s="3" t="s">
        <v>1312</v>
      </c>
      <c r="D1389" s="3" t="s">
        <v>1958</v>
      </c>
      <c r="E1389" s="3" t="s">
        <v>100</v>
      </c>
      <c r="F1389" s="3" t="s">
        <v>238</v>
      </c>
      <c r="G1389" s="3" t="s">
        <v>50</v>
      </c>
      <c r="H1389" s="3" t="s">
        <v>173</v>
      </c>
      <c r="I1389" s="3" t="s">
        <v>293</v>
      </c>
      <c r="J1389" s="3">
        <v>382</v>
      </c>
      <c r="K1389" s="3">
        <v>169.12</v>
      </c>
      <c r="L1389" s="3">
        <v>251.44</v>
      </c>
      <c r="M1389" s="3">
        <v>96050.08</v>
      </c>
      <c r="N1389" s="3">
        <v>64603.839999999997</v>
      </c>
      <c r="O1389" s="3">
        <v>31446.240000000002</v>
      </c>
      <c r="P1389" s="3" t="s">
        <v>95</v>
      </c>
      <c r="Q1389" s="3" t="s">
        <v>867</v>
      </c>
      <c r="R1389" s="3">
        <v>6</v>
      </c>
      <c r="S1389" s="3" t="s">
        <v>86</v>
      </c>
      <c r="T1389" s="3">
        <v>4236</v>
      </c>
      <c r="U1389" s="3">
        <v>1</v>
      </c>
      <c r="V1389" s="3"/>
    </row>
    <row r="1390" spans="1:22" x14ac:dyDescent="0.35">
      <c r="A1390" s="2" t="s">
        <v>3647</v>
      </c>
      <c r="B1390" s="2" t="s">
        <v>1483</v>
      </c>
      <c r="C1390" s="2" t="s">
        <v>410</v>
      </c>
      <c r="D1390" s="2" t="s">
        <v>1489</v>
      </c>
      <c r="E1390" s="2" t="s">
        <v>58</v>
      </c>
      <c r="F1390" s="2" t="s">
        <v>259</v>
      </c>
      <c r="G1390" s="2" t="s">
        <v>28</v>
      </c>
      <c r="H1390" s="2" t="s">
        <v>29</v>
      </c>
      <c r="I1390" s="2" t="s">
        <v>85</v>
      </c>
      <c r="J1390" s="2">
        <v>331</v>
      </c>
      <c r="K1390" s="2">
        <v>717.59</v>
      </c>
      <c r="L1390" s="4"/>
      <c r="M1390" s="2">
        <v>288403.61</v>
      </c>
      <c r="N1390" s="2">
        <v>237522.29</v>
      </c>
      <c r="O1390" s="2">
        <v>50881.32</v>
      </c>
      <c r="P1390" s="2" t="s">
        <v>95</v>
      </c>
      <c r="Q1390" s="2" t="s">
        <v>63</v>
      </c>
      <c r="R1390" s="2">
        <v>3</v>
      </c>
      <c r="S1390" s="2" t="s">
        <v>43</v>
      </c>
      <c r="T1390" s="2">
        <v>1761</v>
      </c>
      <c r="U1390" s="2">
        <v>5</v>
      </c>
      <c r="V1390" s="2"/>
    </row>
    <row r="1391" spans="1:22" x14ac:dyDescent="0.35">
      <c r="A1391" s="3" t="s">
        <v>3648</v>
      </c>
      <c r="B1391" s="3" t="s">
        <v>581</v>
      </c>
      <c r="C1391" s="3" t="s">
        <v>509</v>
      </c>
      <c r="D1391" s="3" t="s">
        <v>3649</v>
      </c>
      <c r="E1391" s="3" t="s">
        <v>58</v>
      </c>
      <c r="F1391" s="3" t="s">
        <v>259</v>
      </c>
      <c r="G1391" s="3" t="s">
        <v>70</v>
      </c>
      <c r="H1391" s="3" t="s">
        <v>84</v>
      </c>
      <c r="I1391" s="3" t="s">
        <v>85</v>
      </c>
      <c r="J1391" s="3">
        <v>743</v>
      </c>
      <c r="K1391" s="3">
        <v>258.91000000000003</v>
      </c>
      <c r="L1391" s="3">
        <v>299.27</v>
      </c>
      <c r="M1391" s="3">
        <v>222357.61</v>
      </c>
      <c r="N1391" s="3">
        <v>192370.13</v>
      </c>
      <c r="O1391" s="3">
        <v>29987.48</v>
      </c>
      <c r="P1391" s="3" t="s">
        <v>42</v>
      </c>
      <c r="Q1391" s="3" t="s">
        <v>32</v>
      </c>
      <c r="R1391" s="3">
        <v>11</v>
      </c>
      <c r="S1391" s="3" t="s">
        <v>53</v>
      </c>
      <c r="T1391" s="3">
        <v>4206</v>
      </c>
      <c r="U1391" s="3">
        <v>15</v>
      </c>
      <c r="V1391" s="3"/>
    </row>
    <row r="1392" spans="1:22" x14ac:dyDescent="0.35">
      <c r="A1392" s="2" t="s">
        <v>3650</v>
      </c>
      <c r="B1392" s="2" t="s">
        <v>2310</v>
      </c>
      <c r="C1392" s="2" t="s">
        <v>3651</v>
      </c>
      <c r="D1392" s="2" t="s">
        <v>3652</v>
      </c>
      <c r="E1392" s="2" t="s">
        <v>58</v>
      </c>
      <c r="F1392" s="2" t="s">
        <v>59</v>
      </c>
      <c r="G1392" s="2" t="s">
        <v>28</v>
      </c>
      <c r="H1392" s="2" t="s">
        <v>254</v>
      </c>
      <c r="I1392" s="2" t="s">
        <v>72</v>
      </c>
      <c r="J1392" s="2">
        <v>255</v>
      </c>
      <c r="K1392" s="2">
        <v>1005.78</v>
      </c>
      <c r="L1392" s="2">
        <v>1389.74</v>
      </c>
      <c r="M1392" s="2">
        <v>354383.7</v>
      </c>
      <c r="N1392" s="2">
        <v>256473.9</v>
      </c>
      <c r="O1392" s="2">
        <v>97909.8</v>
      </c>
      <c r="P1392" s="2" t="s">
        <v>31</v>
      </c>
      <c r="Q1392" s="2" t="s">
        <v>32</v>
      </c>
      <c r="R1392" s="2">
        <v>10</v>
      </c>
      <c r="S1392" s="2" t="s">
        <v>112</v>
      </c>
      <c r="T1392" s="2">
        <v>3471</v>
      </c>
      <c r="U1392" s="2">
        <v>8</v>
      </c>
      <c r="V1392" s="2"/>
    </row>
    <row r="1393" spans="1:22" x14ac:dyDescent="0.35">
      <c r="A1393" s="3" t="s">
        <v>3653</v>
      </c>
      <c r="B1393" s="3" t="s">
        <v>1776</v>
      </c>
      <c r="C1393" s="3" t="s">
        <v>274</v>
      </c>
      <c r="D1393" s="3" t="s">
        <v>3639</v>
      </c>
      <c r="E1393" s="3" t="s">
        <v>48</v>
      </c>
      <c r="F1393" s="3" t="s">
        <v>270</v>
      </c>
      <c r="G1393" s="3" t="s">
        <v>129</v>
      </c>
      <c r="H1393" s="3" t="s">
        <v>345</v>
      </c>
      <c r="I1393" s="3" t="s">
        <v>153</v>
      </c>
      <c r="J1393" s="3">
        <v>401</v>
      </c>
      <c r="K1393" s="3">
        <v>179.5</v>
      </c>
      <c r="L1393" s="3">
        <v>232.99</v>
      </c>
      <c r="M1393" s="3">
        <v>93428.99</v>
      </c>
      <c r="N1393" s="3">
        <v>71979.5</v>
      </c>
      <c r="O1393" s="3">
        <v>21449.49</v>
      </c>
      <c r="P1393" s="3" t="s">
        <v>42</v>
      </c>
      <c r="Q1393" s="3" t="s">
        <v>2144</v>
      </c>
      <c r="R1393" s="3">
        <v>15</v>
      </c>
      <c r="S1393" s="3" t="s">
        <v>158</v>
      </c>
      <c r="T1393" s="3">
        <v>1727</v>
      </c>
      <c r="U1393" s="3">
        <v>11</v>
      </c>
      <c r="V1393" s="3"/>
    </row>
    <row r="1394" spans="1:22" x14ac:dyDescent="0.35">
      <c r="A1394" s="2" t="s">
        <v>3654</v>
      </c>
      <c r="B1394" s="2" t="s">
        <v>209</v>
      </c>
      <c r="C1394" s="2" t="s">
        <v>794</v>
      </c>
      <c r="D1394" s="2" t="s">
        <v>3655</v>
      </c>
      <c r="E1394" s="2" t="s">
        <v>48</v>
      </c>
      <c r="F1394" s="2" t="s">
        <v>223</v>
      </c>
      <c r="G1394" s="2" t="s">
        <v>60</v>
      </c>
      <c r="H1394" s="2" t="s">
        <v>780</v>
      </c>
      <c r="I1394" s="2" t="s">
        <v>118</v>
      </c>
      <c r="J1394" s="2">
        <v>75</v>
      </c>
      <c r="K1394" s="2">
        <v>422.67</v>
      </c>
      <c r="L1394" s="2">
        <v>595.83000000000004</v>
      </c>
      <c r="M1394" s="2">
        <v>44687.25</v>
      </c>
      <c r="N1394" s="2">
        <v>31700.25</v>
      </c>
      <c r="O1394" s="2">
        <v>12987</v>
      </c>
      <c r="P1394" s="2" t="s">
        <v>52</v>
      </c>
      <c r="Q1394" s="2" t="s">
        <v>63</v>
      </c>
      <c r="R1394" s="2">
        <v>4</v>
      </c>
      <c r="S1394" s="2" t="s">
        <v>43</v>
      </c>
      <c r="T1394" s="2">
        <v>670</v>
      </c>
      <c r="U1394" s="2">
        <v>3</v>
      </c>
      <c r="V1394" s="2"/>
    </row>
    <row r="1395" spans="1:22" x14ac:dyDescent="0.35">
      <c r="A1395" s="3" t="s">
        <v>3656</v>
      </c>
      <c r="B1395" s="3" t="s">
        <v>926</v>
      </c>
      <c r="C1395" s="3" t="s">
        <v>2939</v>
      </c>
      <c r="D1395" s="3" t="s">
        <v>3657</v>
      </c>
      <c r="E1395" s="3" t="s">
        <v>58</v>
      </c>
      <c r="F1395" s="3" t="s">
        <v>122</v>
      </c>
      <c r="G1395" s="3" t="s">
        <v>93</v>
      </c>
      <c r="H1395" s="3" t="s">
        <v>643</v>
      </c>
      <c r="I1395" s="3" t="s">
        <v>240</v>
      </c>
      <c r="J1395" s="3">
        <v>180</v>
      </c>
      <c r="K1395" s="3">
        <v>1104.53</v>
      </c>
      <c r="L1395" s="3">
        <v>1494.92</v>
      </c>
      <c r="M1395" s="3">
        <v>269085.59999999998</v>
      </c>
      <c r="N1395" s="3">
        <v>198815.4</v>
      </c>
      <c r="O1395" s="3">
        <v>70270.2</v>
      </c>
      <c r="P1395" s="3" t="s">
        <v>95</v>
      </c>
      <c r="Q1395" s="3" t="s">
        <v>32</v>
      </c>
      <c r="R1395" s="3">
        <v>10</v>
      </c>
      <c r="S1395" s="3" t="s">
        <v>53</v>
      </c>
      <c r="T1395" s="3">
        <v>913</v>
      </c>
      <c r="U1395" s="3">
        <v>7</v>
      </c>
      <c r="V1395" s="3"/>
    </row>
    <row r="1396" spans="1:22" x14ac:dyDescent="0.35">
      <c r="A1396" s="2" t="s">
        <v>3658</v>
      </c>
      <c r="B1396" s="2" t="s">
        <v>390</v>
      </c>
      <c r="C1396" s="2" t="s">
        <v>427</v>
      </c>
      <c r="D1396" s="2" t="s">
        <v>3659</v>
      </c>
      <c r="E1396" s="2" t="s">
        <v>48</v>
      </c>
      <c r="F1396" s="2" t="s">
        <v>183</v>
      </c>
      <c r="G1396" s="2" t="s">
        <v>189</v>
      </c>
      <c r="H1396" s="2" t="s">
        <v>360</v>
      </c>
      <c r="I1396" s="2" t="s">
        <v>1712</v>
      </c>
      <c r="J1396" s="2">
        <v>386</v>
      </c>
      <c r="K1396" s="2">
        <v>456.64</v>
      </c>
      <c r="L1396" s="2">
        <v>559.19000000000005</v>
      </c>
      <c r="M1396" s="2">
        <v>215847.34</v>
      </c>
      <c r="N1396" s="2">
        <v>176263.04000000001</v>
      </c>
      <c r="O1396" s="2">
        <v>39584.300000000003</v>
      </c>
      <c r="P1396" s="2" t="s">
        <v>31</v>
      </c>
      <c r="Q1396" s="2" t="s">
        <v>32</v>
      </c>
      <c r="R1396" s="2">
        <v>8</v>
      </c>
      <c r="S1396" s="2" t="s">
        <v>158</v>
      </c>
      <c r="T1396" s="2">
        <v>1461</v>
      </c>
      <c r="U1396" s="2">
        <v>13</v>
      </c>
      <c r="V1396" s="2"/>
    </row>
    <row r="1397" spans="1:22" x14ac:dyDescent="0.35">
      <c r="A1397" s="3" t="s">
        <v>3660</v>
      </c>
      <c r="B1397" s="3" t="s">
        <v>577</v>
      </c>
      <c r="C1397" s="3" t="s">
        <v>427</v>
      </c>
      <c r="D1397" s="3" t="s">
        <v>3661</v>
      </c>
      <c r="E1397" s="3" t="s">
        <v>58</v>
      </c>
      <c r="F1397" s="3" t="s">
        <v>116</v>
      </c>
      <c r="G1397" s="3" t="s">
        <v>189</v>
      </c>
      <c r="H1397" s="3" t="s">
        <v>561</v>
      </c>
      <c r="I1397" s="3" t="s">
        <v>72</v>
      </c>
      <c r="J1397" s="3">
        <v>720</v>
      </c>
      <c r="K1397" s="3">
        <v>18.25</v>
      </c>
      <c r="L1397" s="3">
        <v>26.02</v>
      </c>
      <c r="M1397" s="3">
        <v>18734.400000000001</v>
      </c>
      <c r="N1397" s="3">
        <v>13140</v>
      </c>
      <c r="O1397" s="3">
        <v>5594.4</v>
      </c>
      <c r="P1397" s="3" t="s">
        <v>95</v>
      </c>
      <c r="Q1397" s="3" t="s">
        <v>32</v>
      </c>
      <c r="R1397" s="3">
        <v>10</v>
      </c>
      <c r="S1397" s="3" t="s">
        <v>53</v>
      </c>
      <c r="T1397" s="3">
        <v>2375</v>
      </c>
      <c r="U1397" s="3">
        <v>7</v>
      </c>
      <c r="V1397" s="3"/>
    </row>
    <row r="1398" spans="1:22" x14ac:dyDescent="0.35">
      <c r="A1398" s="2" t="s">
        <v>3662</v>
      </c>
      <c r="B1398" s="2" t="s">
        <v>284</v>
      </c>
      <c r="C1398" s="2" t="s">
        <v>3663</v>
      </c>
      <c r="D1398" s="2" t="s">
        <v>3664</v>
      </c>
      <c r="E1398" s="2" t="s">
        <v>26</v>
      </c>
      <c r="F1398" s="2" t="s">
        <v>38</v>
      </c>
      <c r="G1398" s="2" t="s">
        <v>93</v>
      </c>
      <c r="H1398" s="2" t="s">
        <v>1442</v>
      </c>
      <c r="I1398" s="2" t="s">
        <v>124</v>
      </c>
      <c r="J1398" s="2">
        <v>365</v>
      </c>
      <c r="K1398" s="2">
        <v>1150.48</v>
      </c>
      <c r="L1398" s="2">
        <v>1361.53</v>
      </c>
      <c r="M1398" s="2">
        <v>496958.45</v>
      </c>
      <c r="N1398" s="2">
        <v>419925.2</v>
      </c>
      <c r="O1398" s="2">
        <v>77033.25</v>
      </c>
      <c r="P1398" s="2" t="s">
        <v>31</v>
      </c>
      <c r="Q1398" s="2" t="s">
        <v>63</v>
      </c>
      <c r="R1398" s="2">
        <v>3</v>
      </c>
      <c r="S1398" s="2" t="s">
        <v>158</v>
      </c>
      <c r="T1398" s="2">
        <v>2236</v>
      </c>
      <c r="U1398" s="2">
        <v>18</v>
      </c>
      <c r="V1398" s="2"/>
    </row>
    <row r="1399" spans="1:22" x14ac:dyDescent="0.35">
      <c r="A1399" s="3" t="s">
        <v>3665</v>
      </c>
      <c r="B1399" s="3" t="s">
        <v>1192</v>
      </c>
      <c r="C1399" s="3" t="s">
        <v>279</v>
      </c>
      <c r="D1399" s="3" t="s">
        <v>3666</v>
      </c>
      <c r="E1399" s="3" t="s">
        <v>48</v>
      </c>
      <c r="F1399" s="3" t="s">
        <v>270</v>
      </c>
      <c r="G1399" s="3" t="s">
        <v>93</v>
      </c>
      <c r="H1399" s="3" t="s">
        <v>485</v>
      </c>
      <c r="I1399" s="3" t="s">
        <v>41</v>
      </c>
      <c r="J1399" s="3">
        <v>203</v>
      </c>
      <c r="K1399" s="3">
        <v>247.47</v>
      </c>
      <c r="L1399" s="3">
        <v>339.98</v>
      </c>
      <c r="M1399" s="3">
        <v>69015.94</v>
      </c>
      <c r="N1399" s="3">
        <v>50236.41</v>
      </c>
      <c r="O1399" s="3">
        <v>18779.53</v>
      </c>
      <c r="P1399" s="3" t="s">
        <v>95</v>
      </c>
      <c r="Q1399" s="3" t="s">
        <v>63</v>
      </c>
      <c r="R1399" s="3">
        <v>4</v>
      </c>
      <c r="S1399" s="3" t="s">
        <v>43</v>
      </c>
      <c r="T1399" s="3">
        <v>1954</v>
      </c>
      <c r="U1399" s="3">
        <v>9</v>
      </c>
      <c r="V1399" s="3"/>
    </row>
    <row r="1400" spans="1:22" x14ac:dyDescent="0.35">
      <c r="A1400" s="2" t="s">
        <v>3667</v>
      </c>
      <c r="B1400" s="2" t="s">
        <v>103</v>
      </c>
      <c r="C1400" s="2" t="s">
        <v>193</v>
      </c>
      <c r="D1400" s="2" t="s">
        <v>3668</v>
      </c>
      <c r="E1400" s="2" t="s">
        <v>100</v>
      </c>
      <c r="F1400" s="2" t="s">
        <v>106</v>
      </c>
      <c r="G1400" s="2" t="s">
        <v>60</v>
      </c>
      <c r="H1400" s="2" t="s">
        <v>780</v>
      </c>
      <c r="I1400" s="2" t="s">
        <v>41</v>
      </c>
      <c r="J1400" s="2">
        <v>186</v>
      </c>
      <c r="K1400" s="2">
        <v>97.82</v>
      </c>
      <c r="L1400" s="2">
        <v>155.55000000000001</v>
      </c>
      <c r="M1400" s="2">
        <v>28932.3</v>
      </c>
      <c r="N1400" s="2">
        <v>18194.52</v>
      </c>
      <c r="O1400" s="2">
        <v>10737.78</v>
      </c>
      <c r="P1400" s="2" t="s">
        <v>95</v>
      </c>
      <c r="Q1400" s="2" t="s">
        <v>32</v>
      </c>
      <c r="R1400" s="2">
        <v>7</v>
      </c>
      <c r="S1400" s="2" t="s">
        <v>43</v>
      </c>
      <c r="T1400" s="2">
        <v>3674</v>
      </c>
      <c r="U1400" s="2">
        <v>9</v>
      </c>
      <c r="V1400" s="2"/>
    </row>
    <row r="1401" spans="1:22" x14ac:dyDescent="0.35">
      <c r="A1401" s="3" t="s">
        <v>3669</v>
      </c>
      <c r="B1401" s="3" t="s">
        <v>82</v>
      </c>
      <c r="C1401" s="3" t="s">
        <v>712</v>
      </c>
      <c r="D1401" s="3" t="s">
        <v>3670</v>
      </c>
      <c r="E1401" s="3" t="s">
        <v>68</v>
      </c>
      <c r="F1401" s="3" t="s">
        <v>3671</v>
      </c>
      <c r="G1401" s="3" t="s">
        <v>28</v>
      </c>
      <c r="H1401" s="3" t="s">
        <v>254</v>
      </c>
      <c r="I1401" s="3" t="s">
        <v>41</v>
      </c>
      <c r="J1401" s="3">
        <v>94</v>
      </c>
      <c r="K1401" s="3">
        <v>683.84</v>
      </c>
      <c r="L1401" s="3">
        <v>869.29</v>
      </c>
      <c r="M1401" s="3">
        <v>81713.259999999995</v>
      </c>
      <c r="N1401" s="3">
        <v>64280.959999999999</v>
      </c>
      <c r="O1401" s="3">
        <v>17432.3</v>
      </c>
      <c r="P1401" s="3" t="s">
        <v>95</v>
      </c>
      <c r="Q1401" s="3" t="s">
        <v>63</v>
      </c>
      <c r="R1401" s="3">
        <v>2</v>
      </c>
      <c r="S1401" s="3" t="s">
        <v>53</v>
      </c>
      <c r="T1401" s="3">
        <v>4812</v>
      </c>
      <c r="U1401" s="3">
        <v>3</v>
      </c>
      <c r="V1401" s="3"/>
    </row>
    <row r="1402" spans="1:22" x14ac:dyDescent="0.35">
      <c r="A1402" s="2" t="s">
        <v>3672</v>
      </c>
      <c r="B1402" s="2" t="s">
        <v>1517</v>
      </c>
      <c r="C1402" s="2" t="s">
        <v>3673</v>
      </c>
      <c r="D1402" s="2" t="s">
        <v>3674</v>
      </c>
      <c r="E1402" s="2" t="s">
        <v>48</v>
      </c>
      <c r="F1402" s="2" t="s">
        <v>281</v>
      </c>
      <c r="G1402" s="2" t="s">
        <v>217</v>
      </c>
      <c r="H1402" s="2" t="s">
        <v>335</v>
      </c>
      <c r="I1402" s="2" t="s">
        <v>3675</v>
      </c>
      <c r="J1402" s="2">
        <v>702</v>
      </c>
      <c r="K1402" s="2">
        <v>304.37</v>
      </c>
      <c r="L1402" s="2">
        <v>373.01</v>
      </c>
      <c r="M1402" s="2">
        <v>261853.02</v>
      </c>
      <c r="N1402" s="2">
        <v>213667.74</v>
      </c>
      <c r="O1402" s="2">
        <v>48185.279999999999</v>
      </c>
      <c r="P1402" s="2" t="s">
        <v>52</v>
      </c>
      <c r="Q1402" s="2" t="s">
        <v>32</v>
      </c>
      <c r="R1402" s="2">
        <v>10</v>
      </c>
      <c r="S1402" s="2" t="s">
        <v>86</v>
      </c>
      <c r="T1402" s="2">
        <v>2105</v>
      </c>
      <c r="U1402" s="2">
        <v>31</v>
      </c>
      <c r="V1402" s="2"/>
    </row>
    <row r="1403" spans="1:22" x14ac:dyDescent="0.35">
      <c r="A1403" s="3" t="s">
        <v>3676</v>
      </c>
      <c r="B1403" s="3" t="s">
        <v>3677</v>
      </c>
      <c r="C1403" s="3" t="s">
        <v>3678</v>
      </c>
      <c r="D1403" s="3" t="s">
        <v>3679</v>
      </c>
      <c r="E1403" s="3" t="s">
        <v>26</v>
      </c>
      <c r="F1403" s="4"/>
      <c r="G1403" s="3" t="s">
        <v>78</v>
      </c>
      <c r="H1403" s="3" t="s">
        <v>425</v>
      </c>
      <c r="I1403" s="3" t="s">
        <v>85</v>
      </c>
      <c r="J1403" s="3">
        <v>380</v>
      </c>
      <c r="K1403" s="3">
        <v>155.11000000000001</v>
      </c>
      <c r="L1403" s="3">
        <v>219.77</v>
      </c>
      <c r="M1403" s="3">
        <v>83512.600000000006</v>
      </c>
      <c r="N1403" s="3">
        <v>58941.8</v>
      </c>
      <c r="O1403" s="3">
        <v>24570.799999999999</v>
      </c>
      <c r="P1403" s="3" t="s">
        <v>95</v>
      </c>
      <c r="Q1403" s="3" t="s">
        <v>32</v>
      </c>
      <c r="R1403" s="3">
        <v>7</v>
      </c>
      <c r="S1403" s="3" t="s">
        <v>43</v>
      </c>
      <c r="T1403" s="3">
        <v>1037</v>
      </c>
      <c r="U1403" s="3">
        <v>2</v>
      </c>
      <c r="V1403" s="3"/>
    </row>
    <row r="1404" spans="1:22" x14ac:dyDescent="0.35">
      <c r="A1404" s="2" t="s">
        <v>3680</v>
      </c>
      <c r="B1404" s="2" t="s">
        <v>662</v>
      </c>
      <c r="C1404" s="2" t="s">
        <v>953</v>
      </c>
      <c r="D1404" s="2" t="s">
        <v>3681</v>
      </c>
      <c r="E1404" s="2" t="s">
        <v>58</v>
      </c>
      <c r="F1404" s="2" t="s">
        <v>122</v>
      </c>
      <c r="G1404" s="2" t="s">
        <v>50</v>
      </c>
      <c r="H1404" s="2" t="s">
        <v>51</v>
      </c>
      <c r="I1404" s="2" t="s">
        <v>1020</v>
      </c>
      <c r="J1404" s="2">
        <v>261</v>
      </c>
      <c r="K1404" s="2">
        <v>1164.3599999999999</v>
      </c>
      <c r="L1404" s="2">
        <v>1696.54</v>
      </c>
      <c r="M1404" s="2">
        <v>442796.94</v>
      </c>
      <c r="N1404" s="2">
        <v>303897.96000000002</v>
      </c>
      <c r="O1404" s="2">
        <v>138898.98000000001</v>
      </c>
      <c r="P1404" s="2" t="s">
        <v>31</v>
      </c>
      <c r="Q1404" s="2" t="s">
        <v>32</v>
      </c>
      <c r="R1404" s="2">
        <v>11</v>
      </c>
      <c r="S1404" s="2" t="s">
        <v>43</v>
      </c>
      <c r="T1404" s="2">
        <v>679</v>
      </c>
      <c r="U1404" s="2">
        <v>7</v>
      </c>
      <c r="V1404" s="2"/>
    </row>
    <row r="1405" spans="1:22" x14ac:dyDescent="0.35">
      <c r="A1405" s="3" t="s">
        <v>3682</v>
      </c>
      <c r="B1405" s="3" t="s">
        <v>479</v>
      </c>
      <c r="C1405" s="3" t="s">
        <v>2041</v>
      </c>
      <c r="D1405" s="3" t="s">
        <v>3683</v>
      </c>
      <c r="E1405" s="3" t="s">
        <v>68</v>
      </c>
      <c r="F1405" s="3" t="s">
        <v>69</v>
      </c>
      <c r="G1405" s="3" t="s">
        <v>189</v>
      </c>
      <c r="H1405" s="3" t="s">
        <v>190</v>
      </c>
      <c r="I1405" s="3" t="s">
        <v>72</v>
      </c>
      <c r="J1405" s="3">
        <v>285</v>
      </c>
      <c r="K1405" s="3">
        <v>480.36</v>
      </c>
      <c r="L1405" s="3">
        <v>729.54</v>
      </c>
      <c r="M1405" s="3">
        <v>207918.9</v>
      </c>
      <c r="N1405" s="3">
        <v>136902.6</v>
      </c>
      <c r="O1405" s="3">
        <v>71016.3</v>
      </c>
      <c r="P1405" s="3" t="s">
        <v>95</v>
      </c>
      <c r="Q1405" s="3" t="s">
        <v>32</v>
      </c>
      <c r="R1405" s="3">
        <v>8</v>
      </c>
      <c r="S1405" s="3" t="s">
        <v>86</v>
      </c>
      <c r="T1405" s="3">
        <v>2592</v>
      </c>
      <c r="U1405" s="3">
        <v>11</v>
      </c>
      <c r="V1405" s="3"/>
    </row>
    <row r="1406" spans="1:22" x14ac:dyDescent="0.35">
      <c r="A1406" s="2" t="s">
        <v>3684</v>
      </c>
      <c r="B1406" s="2" t="s">
        <v>363</v>
      </c>
      <c r="C1406" s="2" t="s">
        <v>912</v>
      </c>
      <c r="D1406" s="2" t="s">
        <v>3685</v>
      </c>
      <c r="E1406" s="2" t="s">
        <v>58</v>
      </c>
      <c r="F1406" s="2" t="s">
        <v>122</v>
      </c>
      <c r="G1406" s="2" t="s">
        <v>50</v>
      </c>
      <c r="H1406" s="2" t="s">
        <v>734</v>
      </c>
      <c r="I1406" s="2" t="s">
        <v>141</v>
      </c>
      <c r="J1406" s="2">
        <v>42</v>
      </c>
      <c r="K1406" s="2">
        <v>394.41</v>
      </c>
      <c r="L1406" s="2">
        <v>637.57000000000005</v>
      </c>
      <c r="M1406" s="2">
        <v>26777.94</v>
      </c>
      <c r="N1406" s="2">
        <v>16565.22</v>
      </c>
      <c r="O1406" s="2">
        <v>10212.719999999999</v>
      </c>
      <c r="P1406" s="2" t="s">
        <v>42</v>
      </c>
      <c r="Q1406" s="2" t="s">
        <v>63</v>
      </c>
      <c r="R1406" s="2">
        <v>3</v>
      </c>
      <c r="S1406" s="2" t="s">
        <v>53</v>
      </c>
      <c r="T1406" s="2">
        <v>638</v>
      </c>
      <c r="U1406" s="2">
        <v>0</v>
      </c>
      <c r="V1406" s="2"/>
    </row>
    <row r="1407" spans="1:22" x14ac:dyDescent="0.35">
      <c r="A1407" s="3" t="s">
        <v>3686</v>
      </c>
      <c r="B1407" s="3" t="s">
        <v>402</v>
      </c>
      <c r="C1407" s="3" t="s">
        <v>1797</v>
      </c>
      <c r="D1407" s="3" t="s">
        <v>3687</v>
      </c>
      <c r="E1407" s="3" t="s">
        <v>68</v>
      </c>
      <c r="F1407" s="3" t="s">
        <v>249</v>
      </c>
      <c r="G1407" s="3" t="s">
        <v>93</v>
      </c>
      <c r="H1407" s="3" t="s">
        <v>140</v>
      </c>
      <c r="I1407" s="3" t="s">
        <v>72</v>
      </c>
      <c r="J1407" s="3">
        <v>324</v>
      </c>
      <c r="K1407" s="3">
        <v>969.84</v>
      </c>
      <c r="L1407" s="3">
        <v>1242.3499999999999</v>
      </c>
      <c r="M1407" s="3">
        <v>402521.4</v>
      </c>
      <c r="N1407" s="3">
        <v>314228.15999999997</v>
      </c>
      <c r="O1407" s="3">
        <v>88293.24</v>
      </c>
      <c r="P1407" s="3" t="s">
        <v>31</v>
      </c>
      <c r="Q1407" s="3" t="s">
        <v>32</v>
      </c>
      <c r="R1407" s="3">
        <v>15</v>
      </c>
      <c r="S1407" s="3" t="s">
        <v>86</v>
      </c>
      <c r="T1407" s="3">
        <v>2723</v>
      </c>
      <c r="U1407" s="3">
        <v>12</v>
      </c>
      <c r="V1407" s="3"/>
    </row>
    <row r="1408" spans="1:22" x14ac:dyDescent="0.35">
      <c r="A1408" s="2" t="s">
        <v>3688</v>
      </c>
      <c r="B1408" s="2" t="s">
        <v>45</v>
      </c>
      <c r="C1408" s="2" t="s">
        <v>953</v>
      </c>
      <c r="D1408" s="2" t="s">
        <v>3689</v>
      </c>
      <c r="E1408" s="2" t="s">
        <v>58</v>
      </c>
      <c r="F1408" s="2" t="s">
        <v>417</v>
      </c>
      <c r="G1408" s="2" t="s">
        <v>217</v>
      </c>
      <c r="H1408" s="2" t="s">
        <v>292</v>
      </c>
      <c r="I1408" s="2" t="s">
        <v>72</v>
      </c>
      <c r="J1408" s="2">
        <v>455</v>
      </c>
      <c r="K1408" s="2">
        <v>481.48</v>
      </c>
      <c r="L1408" s="2">
        <v>671.21</v>
      </c>
      <c r="M1408" s="2">
        <v>305400.55</v>
      </c>
      <c r="N1408" s="2">
        <v>219073.4</v>
      </c>
      <c r="O1408" s="2">
        <v>86327.15</v>
      </c>
      <c r="P1408" s="2" t="s">
        <v>52</v>
      </c>
      <c r="Q1408" s="2" t="s">
        <v>32</v>
      </c>
      <c r="R1408" s="2">
        <v>7</v>
      </c>
      <c r="S1408" s="2" t="s">
        <v>158</v>
      </c>
      <c r="T1408" s="2">
        <v>2851</v>
      </c>
      <c r="U1408" s="2">
        <v>1</v>
      </c>
      <c r="V1408" s="2"/>
    </row>
    <row r="1409" spans="1:22" x14ac:dyDescent="0.35">
      <c r="A1409" s="3" t="s">
        <v>3690</v>
      </c>
      <c r="B1409" s="3" t="s">
        <v>356</v>
      </c>
      <c r="C1409" s="3" t="s">
        <v>24</v>
      </c>
      <c r="D1409" s="3" t="s">
        <v>3691</v>
      </c>
      <c r="E1409" s="3" t="s">
        <v>100</v>
      </c>
      <c r="F1409" s="3" t="s">
        <v>238</v>
      </c>
      <c r="G1409" s="3" t="s">
        <v>70</v>
      </c>
      <c r="H1409" s="3" t="s">
        <v>822</v>
      </c>
      <c r="I1409" s="3" t="s">
        <v>124</v>
      </c>
      <c r="J1409" s="3">
        <v>294</v>
      </c>
      <c r="K1409" s="3">
        <v>874.12</v>
      </c>
      <c r="L1409" s="3">
        <v>1003.97</v>
      </c>
      <c r="M1409" s="3">
        <v>295167.18</v>
      </c>
      <c r="N1409" s="3">
        <v>256991.28</v>
      </c>
      <c r="O1409" s="3">
        <v>38175.9</v>
      </c>
      <c r="P1409" s="3" t="s">
        <v>42</v>
      </c>
      <c r="Q1409" s="3" t="s">
        <v>32</v>
      </c>
      <c r="R1409" s="3">
        <v>10</v>
      </c>
      <c r="S1409" s="3" t="s">
        <v>33</v>
      </c>
      <c r="T1409" s="3">
        <v>1528</v>
      </c>
      <c r="U1409" s="3">
        <v>8</v>
      </c>
      <c r="V1409" s="3"/>
    </row>
    <row r="1410" spans="1:22" x14ac:dyDescent="0.35">
      <c r="A1410" s="2" t="s">
        <v>3692</v>
      </c>
      <c r="B1410" s="2" t="s">
        <v>774</v>
      </c>
      <c r="C1410" s="2" t="s">
        <v>3693</v>
      </c>
      <c r="D1410" s="2" t="s">
        <v>3694</v>
      </c>
      <c r="E1410" s="2" t="s">
        <v>26</v>
      </c>
      <c r="F1410" s="2" t="s">
        <v>27</v>
      </c>
      <c r="G1410" s="2" t="s">
        <v>129</v>
      </c>
      <c r="H1410" s="2" t="s">
        <v>152</v>
      </c>
      <c r="I1410" s="2" t="s">
        <v>191</v>
      </c>
      <c r="J1410" s="2">
        <v>93</v>
      </c>
      <c r="K1410" s="2">
        <v>701.54</v>
      </c>
      <c r="L1410" s="2">
        <v>921.12</v>
      </c>
      <c r="M1410" s="2">
        <v>85664.16</v>
      </c>
      <c r="N1410" s="2">
        <v>65243.22</v>
      </c>
      <c r="O1410" s="2">
        <v>20420.939999999999</v>
      </c>
      <c r="P1410" s="2" t="s">
        <v>31</v>
      </c>
      <c r="Q1410" s="2" t="s">
        <v>32</v>
      </c>
      <c r="R1410" s="2">
        <v>15</v>
      </c>
      <c r="S1410" s="2" t="s">
        <v>33</v>
      </c>
      <c r="T1410" s="2">
        <v>4276</v>
      </c>
      <c r="U1410" s="2">
        <v>3</v>
      </c>
      <c r="V1410" s="2"/>
    </row>
    <row r="1411" spans="1:22" x14ac:dyDescent="0.35">
      <c r="A1411" s="3" t="s">
        <v>3695</v>
      </c>
      <c r="B1411" s="3" t="s">
        <v>348</v>
      </c>
      <c r="C1411" s="3" t="s">
        <v>1375</v>
      </c>
      <c r="D1411" s="3" t="s">
        <v>3696</v>
      </c>
      <c r="E1411" s="3" t="s">
        <v>100</v>
      </c>
      <c r="F1411" s="3" t="s">
        <v>330</v>
      </c>
      <c r="G1411" s="3" t="s">
        <v>28</v>
      </c>
      <c r="H1411" s="3" t="s">
        <v>579</v>
      </c>
      <c r="I1411" s="3" t="s">
        <v>191</v>
      </c>
      <c r="J1411" s="3">
        <v>634</v>
      </c>
      <c r="K1411" s="3">
        <v>552.52</v>
      </c>
      <c r="L1411" s="3">
        <v>763.62</v>
      </c>
      <c r="M1411" s="3">
        <v>484135.08</v>
      </c>
      <c r="N1411" s="3">
        <v>350297.68</v>
      </c>
      <c r="O1411" s="3">
        <v>133837.4</v>
      </c>
      <c r="P1411" s="3" t="s">
        <v>31</v>
      </c>
      <c r="Q1411" s="3" t="s">
        <v>63</v>
      </c>
      <c r="R1411" s="3">
        <v>1</v>
      </c>
      <c r="S1411" s="3" t="s">
        <v>112</v>
      </c>
      <c r="T1411" s="3">
        <v>1066</v>
      </c>
      <c r="U1411" s="3">
        <v>18</v>
      </c>
      <c r="V1411" s="3"/>
    </row>
    <row r="1412" spans="1:22" x14ac:dyDescent="0.35">
      <c r="A1412" s="2" t="s">
        <v>3697</v>
      </c>
      <c r="B1412" s="2" t="s">
        <v>809</v>
      </c>
      <c r="C1412" s="2" t="s">
        <v>1195</v>
      </c>
      <c r="D1412" s="2" t="s">
        <v>3698</v>
      </c>
      <c r="E1412" s="2" t="s">
        <v>26</v>
      </c>
      <c r="F1412" s="4"/>
      <c r="G1412" s="2" t="s">
        <v>39</v>
      </c>
      <c r="H1412" s="2" t="s">
        <v>527</v>
      </c>
      <c r="I1412" s="2" t="s">
        <v>124</v>
      </c>
      <c r="J1412" s="2">
        <v>195</v>
      </c>
      <c r="K1412" s="2">
        <v>1077.1400000000001</v>
      </c>
      <c r="L1412" s="2">
        <v>1263.58</v>
      </c>
      <c r="M1412" s="2">
        <v>246398.1</v>
      </c>
      <c r="N1412" s="2">
        <v>210042.3</v>
      </c>
      <c r="O1412" s="2">
        <v>36355.800000000003</v>
      </c>
      <c r="P1412" s="2" t="s">
        <v>95</v>
      </c>
      <c r="Q1412" s="2" t="s">
        <v>32</v>
      </c>
      <c r="R1412" s="2">
        <v>9</v>
      </c>
      <c r="S1412" s="2" t="s">
        <v>53</v>
      </c>
      <c r="T1412" s="2">
        <v>1469</v>
      </c>
      <c r="U1412" s="2">
        <v>2</v>
      </c>
      <c r="V1412" s="2"/>
    </row>
    <row r="1413" spans="1:22" x14ac:dyDescent="0.35">
      <c r="A1413" s="3" t="s">
        <v>3699</v>
      </c>
      <c r="B1413" s="3" t="s">
        <v>332</v>
      </c>
      <c r="C1413" s="3" t="s">
        <v>483</v>
      </c>
      <c r="D1413" s="3" t="s">
        <v>1178</v>
      </c>
      <c r="E1413" s="3" t="s">
        <v>26</v>
      </c>
      <c r="F1413" s="3" t="s">
        <v>38</v>
      </c>
      <c r="G1413" s="3" t="s">
        <v>78</v>
      </c>
      <c r="H1413" s="3" t="s">
        <v>840</v>
      </c>
      <c r="I1413" s="3" t="s">
        <v>62</v>
      </c>
      <c r="J1413" s="3">
        <v>727</v>
      </c>
      <c r="K1413" s="3">
        <v>161.6</v>
      </c>
      <c r="L1413" s="3">
        <v>254.46</v>
      </c>
      <c r="M1413" s="3">
        <v>184992.42</v>
      </c>
      <c r="N1413" s="3">
        <v>117483.2</v>
      </c>
      <c r="O1413" s="3">
        <v>67509.22</v>
      </c>
      <c r="P1413" s="3" t="s">
        <v>95</v>
      </c>
      <c r="Q1413" s="3" t="s">
        <v>32</v>
      </c>
      <c r="R1413" s="3">
        <v>13</v>
      </c>
      <c r="S1413" s="3" t="s">
        <v>86</v>
      </c>
      <c r="T1413" s="3">
        <v>4843</v>
      </c>
      <c r="U1413" s="3">
        <v>18</v>
      </c>
      <c r="V1413" s="3"/>
    </row>
    <row r="1414" spans="1:22" x14ac:dyDescent="0.35">
      <c r="A1414" s="2" t="s">
        <v>3700</v>
      </c>
      <c r="B1414" s="2" t="s">
        <v>390</v>
      </c>
      <c r="C1414" s="2" t="s">
        <v>1174</v>
      </c>
      <c r="D1414" s="2" t="s">
        <v>3701</v>
      </c>
      <c r="E1414" s="2" t="s">
        <v>48</v>
      </c>
      <c r="F1414" s="2" t="s">
        <v>270</v>
      </c>
      <c r="G1414" s="2" t="s">
        <v>129</v>
      </c>
      <c r="H1414" s="2" t="s">
        <v>168</v>
      </c>
      <c r="I1414" s="2" t="s">
        <v>30</v>
      </c>
      <c r="J1414" s="2">
        <v>454</v>
      </c>
      <c r="K1414" s="2">
        <v>215.98</v>
      </c>
      <c r="L1414" s="2">
        <v>347.14</v>
      </c>
      <c r="M1414" s="2">
        <v>157601.56</v>
      </c>
      <c r="N1414" s="2">
        <v>98054.92</v>
      </c>
      <c r="O1414" s="2">
        <v>59546.64</v>
      </c>
      <c r="P1414" s="2" t="s">
        <v>42</v>
      </c>
      <c r="Q1414" s="2" t="s">
        <v>63</v>
      </c>
      <c r="R1414" s="2">
        <v>4</v>
      </c>
      <c r="S1414" s="2" t="s">
        <v>53</v>
      </c>
      <c r="T1414" s="2">
        <v>3631</v>
      </c>
      <c r="U1414" s="2">
        <v>5</v>
      </c>
      <c r="V1414" s="2"/>
    </row>
    <row r="1415" spans="1:22" x14ac:dyDescent="0.35">
      <c r="A1415" s="3" t="s">
        <v>3702</v>
      </c>
      <c r="B1415" s="3" t="s">
        <v>748</v>
      </c>
      <c r="C1415" s="3" t="s">
        <v>1114</v>
      </c>
      <c r="D1415" s="3" t="s">
        <v>3703</v>
      </c>
      <c r="E1415" s="3" t="s">
        <v>26</v>
      </c>
      <c r="F1415" s="3" t="s">
        <v>228</v>
      </c>
      <c r="G1415" s="3" t="s">
        <v>129</v>
      </c>
      <c r="H1415" s="3" t="s">
        <v>345</v>
      </c>
      <c r="I1415" s="3" t="s">
        <v>118</v>
      </c>
      <c r="J1415" s="3">
        <v>603</v>
      </c>
      <c r="K1415" s="3">
        <v>248.05</v>
      </c>
      <c r="L1415" s="3">
        <v>383.95</v>
      </c>
      <c r="M1415" s="3">
        <v>231521.85</v>
      </c>
      <c r="N1415" s="3">
        <v>149574.15</v>
      </c>
      <c r="O1415" s="3">
        <v>81947.7</v>
      </c>
      <c r="P1415" s="3" t="s">
        <v>31</v>
      </c>
      <c r="Q1415" s="3" t="s">
        <v>63</v>
      </c>
      <c r="R1415" s="3">
        <v>5</v>
      </c>
      <c r="S1415" s="3" t="s">
        <v>86</v>
      </c>
      <c r="T1415" s="3">
        <v>1961</v>
      </c>
      <c r="U1415" s="3">
        <v>23</v>
      </c>
      <c r="V1415" s="3"/>
    </row>
    <row r="1416" spans="1:22" x14ac:dyDescent="0.35">
      <c r="A1416" s="2" t="s">
        <v>3704</v>
      </c>
      <c r="B1416" s="2" t="s">
        <v>2002</v>
      </c>
      <c r="C1416" s="2" t="s">
        <v>198</v>
      </c>
      <c r="D1416" s="2" t="s">
        <v>3705</v>
      </c>
      <c r="E1416" s="2" t="s">
        <v>48</v>
      </c>
      <c r="F1416" s="2" t="s">
        <v>49</v>
      </c>
      <c r="G1416" s="2" t="s">
        <v>28</v>
      </c>
      <c r="H1416" s="2" t="s">
        <v>507</v>
      </c>
      <c r="I1416" s="2" t="s">
        <v>62</v>
      </c>
      <c r="J1416" s="2">
        <v>718</v>
      </c>
      <c r="K1416" s="2">
        <v>141.65</v>
      </c>
      <c r="L1416" s="2">
        <v>210.53</v>
      </c>
      <c r="M1416" s="2">
        <v>151160.54</v>
      </c>
      <c r="N1416" s="2">
        <v>101704.7</v>
      </c>
      <c r="O1416" s="2">
        <v>49455.839999999997</v>
      </c>
      <c r="P1416" s="2" t="s">
        <v>52</v>
      </c>
      <c r="Q1416" s="2" t="s">
        <v>32</v>
      </c>
      <c r="R1416" s="2">
        <v>10</v>
      </c>
      <c r="S1416" s="2" t="s">
        <v>158</v>
      </c>
      <c r="T1416" s="2">
        <v>3066</v>
      </c>
      <c r="U1416" s="2">
        <v>2</v>
      </c>
      <c r="V1416" s="2"/>
    </row>
    <row r="1417" spans="1:22" x14ac:dyDescent="0.35">
      <c r="A1417" s="3" t="s">
        <v>3706</v>
      </c>
      <c r="B1417" s="3" t="s">
        <v>1424</v>
      </c>
      <c r="C1417" s="3" t="s">
        <v>3707</v>
      </c>
      <c r="D1417" s="3" t="s">
        <v>3708</v>
      </c>
      <c r="E1417" s="3" t="s">
        <v>58</v>
      </c>
      <c r="F1417" s="3" t="s">
        <v>116</v>
      </c>
      <c r="G1417" s="3" t="s">
        <v>78</v>
      </c>
      <c r="H1417" s="3" t="s">
        <v>178</v>
      </c>
      <c r="I1417" s="3" t="s">
        <v>293</v>
      </c>
      <c r="J1417" s="3">
        <v>277</v>
      </c>
      <c r="K1417" s="3">
        <v>375.57</v>
      </c>
      <c r="L1417" s="3">
        <v>566.74</v>
      </c>
      <c r="M1417" s="3">
        <v>156986.98000000001</v>
      </c>
      <c r="N1417" s="3">
        <v>104032.89</v>
      </c>
      <c r="O1417" s="3">
        <v>52954.09</v>
      </c>
      <c r="P1417" s="3" t="s">
        <v>42</v>
      </c>
      <c r="Q1417" s="3" t="s">
        <v>63</v>
      </c>
      <c r="R1417" s="3">
        <v>4</v>
      </c>
      <c r="S1417" s="3" t="s">
        <v>33</v>
      </c>
      <c r="T1417" s="3">
        <v>1274</v>
      </c>
      <c r="U1417" s="3">
        <v>13</v>
      </c>
      <c r="V1417" s="3"/>
    </row>
    <row r="1418" spans="1:22" x14ac:dyDescent="0.35">
      <c r="A1418" s="2" t="s">
        <v>2359</v>
      </c>
      <c r="B1418" s="2" t="s">
        <v>243</v>
      </c>
      <c r="C1418" s="2" t="s">
        <v>3709</v>
      </c>
      <c r="D1418" s="2" t="s">
        <v>2360</v>
      </c>
      <c r="E1418" s="2" t="s">
        <v>26</v>
      </c>
      <c r="F1418" s="2" t="s">
        <v>92</v>
      </c>
      <c r="G1418" s="2" t="s">
        <v>50</v>
      </c>
      <c r="H1418" s="2" t="s">
        <v>135</v>
      </c>
      <c r="I1418" s="2" t="s">
        <v>293</v>
      </c>
      <c r="J1418" s="2">
        <v>484</v>
      </c>
      <c r="K1418" s="2">
        <v>688.96</v>
      </c>
      <c r="L1418" s="2">
        <v>833.51</v>
      </c>
      <c r="M1418" s="2">
        <v>403418.84</v>
      </c>
      <c r="N1418" s="2">
        <v>333456.64000000001</v>
      </c>
      <c r="O1418" s="2">
        <v>69962.2</v>
      </c>
      <c r="P1418" s="2" t="s">
        <v>31</v>
      </c>
      <c r="Q1418" s="2" t="s">
        <v>32</v>
      </c>
      <c r="R1418" s="2">
        <v>11</v>
      </c>
      <c r="S1418" s="2" t="s">
        <v>43</v>
      </c>
      <c r="T1418" s="4" t="s">
        <v>1893</v>
      </c>
      <c r="U1418" s="2">
        <v>8</v>
      </c>
      <c r="V1418" s="2"/>
    </row>
    <row r="1419" spans="1:22" x14ac:dyDescent="0.35">
      <c r="A1419" s="3" t="s">
        <v>3710</v>
      </c>
      <c r="B1419" s="3" t="s">
        <v>3711</v>
      </c>
      <c r="C1419" s="3" t="s">
        <v>3187</v>
      </c>
      <c r="D1419" s="3" t="s">
        <v>3284</v>
      </c>
      <c r="E1419" s="3" t="s">
        <v>48</v>
      </c>
      <c r="F1419" s="3" t="s">
        <v>223</v>
      </c>
      <c r="G1419" s="3" t="s">
        <v>70</v>
      </c>
      <c r="H1419" s="3" t="s">
        <v>84</v>
      </c>
      <c r="I1419" s="3" t="s">
        <v>191</v>
      </c>
      <c r="J1419" s="3">
        <v>466</v>
      </c>
      <c r="K1419" s="3">
        <v>636.67999999999995</v>
      </c>
      <c r="L1419" s="3">
        <v>850.22</v>
      </c>
      <c r="M1419" s="3">
        <v>396202.52</v>
      </c>
      <c r="N1419" s="3">
        <v>296692.88</v>
      </c>
      <c r="O1419" s="3">
        <v>99509.64</v>
      </c>
      <c r="P1419" s="3" t="s">
        <v>31</v>
      </c>
      <c r="Q1419" s="3" t="s">
        <v>63</v>
      </c>
      <c r="R1419" s="3">
        <v>1</v>
      </c>
      <c r="S1419" s="3" t="s">
        <v>33</v>
      </c>
      <c r="T1419" s="3">
        <v>2127</v>
      </c>
      <c r="U1419" s="3">
        <v>12</v>
      </c>
      <c r="V1419" s="3"/>
    </row>
    <row r="1420" spans="1:22" x14ac:dyDescent="0.35">
      <c r="A1420" s="2" t="s">
        <v>3712</v>
      </c>
      <c r="B1420" s="2" t="s">
        <v>137</v>
      </c>
      <c r="C1420" s="2" t="s">
        <v>1146</v>
      </c>
      <c r="D1420" s="2" t="s">
        <v>1963</v>
      </c>
      <c r="E1420" s="2" t="s">
        <v>58</v>
      </c>
      <c r="F1420" s="2" t="s">
        <v>417</v>
      </c>
      <c r="G1420" s="2" t="s">
        <v>129</v>
      </c>
      <c r="H1420" s="2" t="s">
        <v>152</v>
      </c>
      <c r="I1420" s="2" t="s">
        <v>293</v>
      </c>
      <c r="J1420" s="2">
        <v>252</v>
      </c>
      <c r="K1420" s="2">
        <v>187.89</v>
      </c>
      <c r="L1420" s="2">
        <v>253.56</v>
      </c>
      <c r="M1420" s="2">
        <v>63897.120000000003</v>
      </c>
      <c r="N1420" s="2">
        <v>47348.28</v>
      </c>
      <c r="O1420" s="2">
        <v>16548.84</v>
      </c>
      <c r="P1420" s="2" t="s">
        <v>95</v>
      </c>
      <c r="Q1420" s="2" t="s">
        <v>32</v>
      </c>
      <c r="R1420" s="2">
        <v>15</v>
      </c>
      <c r="S1420" s="2" t="s">
        <v>33</v>
      </c>
      <c r="T1420" s="2">
        <v>3388</v>
      </c>
      <c r="U1420" s="2">
        <v>6</v>
      </c>
      <c r="V1420" s="2"/>
    </row>
    <row r="1421" spans="1:22" x14ac:dyDescent="0.35">
      <c r="A1421" s="3" t="s">
        <v>3713</v>
      </c>
      <c r="B1421" s="3" t="s">
        <v>333</v>
      </c>
      <c r="C1421" s="3" t="s">
        <v>1217</v>
      </c>
      <c r="D1421" s="3" t="s">
        <v>3714</v>
      </c>
      <c r="E1421" s="3" t="s">
        <v>26</v>
      </c>
      <c r="F1421" s="3" t="s">
        <v>92</v>
      </c>
      <c r="G1421" s="3" t="s">
        <v>93</v>
      </c>
      <c r="H1421" s="3" t="s">
        <v>184</v>
      </c>
      <c r="I1421" s="3" t="s">
        <v>240</v>
      </c>
      <c r="J1421" s="3">
        <v>385</v>
      </c>
      <c r="K1421" s="3">
        <v>397.45</v>
      </c>
      <c r="L1421" s="3">
        <v>527.08000000000004</v>
      </c>
      <c r="M1421" s="3">
        <v>202925.8</v>
      </c>
      <c r="N1421" s="3">
        <v>153018.25</v>
      </c>
      <c r="O1421" s="3">
        <v>49907.55</v>
      </c>
      <c r="P1421" s="3" t="s">
        <v>95</v>
      </c>
      <c r="Q1421" s="3" t="s">
        <v>63</v>
      </c>
      <c r="R1421" s="3">
        <v>3</v>
      </c>
      <c r="S1421" s="3" t="s">
        <v>53</v>
      </c>
      <c r="T1421" s="3">
        <v>3386</v>
      </c>
      <c r="U1421" s="3">
        <v>5</v>
      </c>
      <c r="V1421" s="3"/>
    </row>
    <row r="1422" spans="1:22" x14ac:dyDescent="0.35">
      <c r="A1422" s="2" t="s">
        <v>3715</v>
      </c>
      <c r="B1422" s="2" t="s">
        <v>194</v>
      </c>
      <c r="C1422" s="2" t="s">
        <v>510</v>
      </c>
      <c r="D1422" s="2" t="s">
        <v>3716</v>
      </c>
      <c r="E1422" s="2" t="s">
        <v>58</v>
      </c>
      <c r="F1422" s="2" t="s">
        <v>116</v>
      </c>
      <c r="G1422" s="2" t="s">
        <v>189</v>
      </c>
      <c r="H1422" s="2" t="s">
        <v>271</v>
      </c>
      <c r="I1422" s="2" t="s">
        <v>41</v>
      </c>
      <c r="J1422" s="2">
        <v>658</v>
      </c>
      <c r="K1422" s="2">
        <v>86.5</v>
      </c>
      <c r="L1422" s="2">
        <v>103.84</v>
      </c>
      <c r="M1422" s="2">
        <v>68326.720000000001</v>
      </c>
      <c r="N1422" s="2">
        <v>56917</v>
      </c>
      <c r="O1422" s="2">
        <v>11409.72</v>
      </c>
      <c r="P1422" s="2" t="s">
        <v>42</v>
      </c>
      <c r="Q1422" s="2" t="s">
        <v>32</v>
      </c>
      <c r="R1422" s="2">
        <v>9</v>
      </c>
      <c r="S1422" s="2" t="s">
        <v>112</v>
      </c>
      <c r="T1422" s="2">
        <v>1008</v>
      </c>
      <c r="U1422" s="2">
        <v>23</v>
      </c>
      <c r="V1422" s="2"/>
    </row>
    <row r="1423" spans="1:22" x14ac:dyDescent="0.35">
      <c r="A1423" s="3" t="s">
        <v>3717</v>
      </c>
      <c r="B1423" s="3" t="s">
        <v>1213</v>
      </c>
      <c r="C1423" s="3" t="s">
        <v>741</v>
      </c>
      <c r="D1423" s="3" t="s">
        <v>1258</v>
      </c>
      <c r="E1423" s="3" t="s">
        <v>48</v>
      </c>
      <c r="F1423" s="3" t="s">
        <v>281</v>
      </c>
      <c r="G1423" s="3" t="s">
        <v>93</v>
      </c>
      <c r="H1423" s="3" t="s">
        <v>1442</v>
      </c>
      <c r="I1423" s="3" t="s">
        <v>41</v>
      </c>
      <c r="J1423" s="3">
        <v>701</v>
      </c>
      <c r="K1423" s="3">
        <v>67.02</v>
      </c>
      <c r="L1423" s="3">
        <v>95.94</v>
      </c>
      <c r="M1423" s="3">
        <v>67253.94</v>
      </c>
      <c r="N1423" s="3">
        <v>46981.02</v>
      </c>
      <c r="O1423" s="3">
        <v>20272.919999999998</v>
      </c>
      <c r="P1423" s="3" t="s">
        <v>52</v>
      </c>
      <c r="Q1423" s="3" t="s">
        <v>63</v>
      </c>
      <c r="R1423" s="3">
        <v>5</v>
      </c>
      <c r="S1423" s="3" t="s">
        <v>86</v>
      </c>
      <c r="T1423" s="3">
        <v>3879</v>
      </c>
      <c r="U1423" s="3">
        <v>34</v>
      </c>
      <c r="V1423" s="3"/>
    </row>
    <row r="1424" spans="1:22" x14ac:dyDescent="0.35">
      <c r="A1424" s="2" t="s">
        <v>3718</v>
      </c>
      <c r="B1424" s="2" t="s">
        <v>630</v>
      </c>
      <c r="C1424" s="2" t="s">
        <v>2500</v>
      </c>
      <c r="D1424" s="2" t="s">
        <v>3719</v>
      </c>
      <c r="E1424" s="2" t="s">
        <v>100</v>
      </c>
      <c r="F1424" s="2" t="s">
        <v>106</v>
      </c>
      <c r="G1424" s="2" t="s">
        <v>217</v>
      </c>
      <c r="H1424" s="2" t="s">
        <v>335</v>
      </c>
      <c r="I1424" s="2" t="s">
        <v>153</v>
      </c>
      <c r="J1424" s="2">
        <v>444</v>
      </c>
      <c r="K1424" s="2">
        <v>514.21</v>
      </c>
      <c r="L1424" s="2">
        <v>741.81</v>
      </c>
      <c r="M1424" s="2">
        <v>329363.64</v>
      </c>
      <c r="N1424" s="2">
        <v>228309.24</v>
      </c>
      <c r="O1424" s="2">
        <v>101054.39999999999</v>
      </c>
      <c r="P1424" s="2" t="s">
        <v>52</v>
      </c>
      <c r="Q1424" s="2" t="s">
        <v>956</v>
      </c>
      <c r="R1424" s="2">
        <v>14</v>
      </c>
      <c r="S1424" s="2" t="s">
        <v>112</v>
      </c>
      <c r="T1424" s="2">
        <v>4376</v>
      </c>
      <c r="U1424" s="2">
        <v>17</v>
      </c>
      <c r="V1424" s="2"/>
    </row>
    <row r="1425" spans="1:22" x14ac:dyDescent="0.35">
      <c r="A1425" s="3" t="s">
        <v>3720</v>
      </c>
      <c r="B1425" s="3" t="s">
        <v>1130</v>
      </c>
      <c r="C1425" s="3" t="s">
        <v>468</v>
      </c>
      <c r="D1425" s="3" t="s">
        <v>3721</v>
      </c>
      <c r="E1425" s="3" t="s">
        <v>68</v>
      </c>
      <c r="F1425" s="3" t="s">
        <v>163</v>
      </c>
      <c r="G1425" s="3" t="s">
        <v>28</v>
      </c>
      <c r="H1425" s="3" t="s">
        <v>111</v>
      </c>
      <c r="I1425" s="3" t="s">
        <v>41</v>
      </c>
      <c r="J1425" s="3">
        <v>730</v>
      </c>
      <c r="K1425" s="3">
        <v>637.03</v>
      </c>
      <c r="L1425" s="3">
        <v>785.73</v>
      </c>
      <c r="M1425" s="3">
        <v>573582.9</v>
      </c>
      <c r="N1425" s="3">
        <v>465031.9</v>
      </c>
      <c r="O1425" s="3">
        <v>108551</v>
      </c>
      <c r="P1425" s="3" t="s">
        <v>52</v>
      </c>
      <c r="Q1425" s="3" t="s">
        <v>32</v>
      </c>
      <c r="R1425" s="3">
        <v>7</v>
      </c>
      <c r="S1425" s="3" t="s">
        <v>33</v>
      </c>
      <c r="T1425" s="3">
        <v>104</v>
      </c>
      <c r="U1425" s="3">
        <v>6</v>
      </c>
      <c r="V1425" s="3"/>
    </row>
    <row r="1426" spans="1:22" x14ac:dyDescent="0.35">
      <c r="A1426" s="2" t="s">
        <v>3722</v>
      </c>
      <c r="B1426" s="2" t="s">
        <v>3723</v>
      </c>
      <c r="C1426" s="2" t="s">
        <v>1138</v>
      </c>
      <c r="D1426" s="2" t="s">
        <v>3724</v>
      </c>
      <c r="E1426" s="2" t="s">
        <v>100</v>
      </c>
      <c r="F1426" s="2" t="s">
        <v>106</v>
      </c>
      <c r="G1426" s="2" t="s">
        <v>50</v>
      </c>
      <c r="H1426" s="2" t="s">
        <v>117</v>
      </c>
      <c r="I1426" s="2" t="s">
        <v>30</v>
      </c>
      <c r="J1426" s="2">
        <v>671</v>
      </c>
      <c r="K1426" s="2">
        <v>450.58</v>
      </c>
      <c r="L1426" s="2">
        <v>695.53</v>
      </c>
      <c r="M1426" s="2">
        <v>466700.63</v>
      </c>
      <c r="N1426" s="2">
        <v>302339.18</v>
      </c>
      <c r="O1426" s="2">
        <v>164361.45000000001</v>
      </c>
      <c r="P1426" s="2" t="s">
        <v>52</v>
      </c>
      <c r="Q1426" s="2" t="s">
        <v>32</v>
      </c>
      <c r="R1426" s="2">
        <v>15</v>
      </c>
      <c r="S1426" s="2" t="s">
        <v>158</v>
      </c>
      <c r="T1426" s="2">
        <v>1066</v>
      </c>
      <c r="U1426" s="2">
        <v>19</v>
      </c>
      <c r="V1426" s="2"/>
    </row>
    <row r="1427" spans="1:22" x14ac:dyDescent="0.35">
      <c r="A1427" s="2" t="s">
        <v>3725</v>
      </c>
      <c r="B1427" s="2" t="s">
        <v>1049</v>
      </c>
      <c r="C1427" s="2" t="s">
        <v>138</v>
      </c>
      <c r="D1427" s="2" t="s">
        <v>3726</v>
      </c>
      <c r="E1427" s="2" t="s">
        <v>58</v>
      </c>
      <c r="F1427" s="2" t="s">
        <v>59</v>
      </c>
      <c r="G1427" s="2" t="s">
        <v>60</v>
      </c>
      <c r="H1427" s="2" t="s">
        <v>61</v>
      </c>
      <c r="I1427" s="2" t="s">
        <v>293</v>
      </c>
      <c r="J1427" s="2">
        <v>777</v>
      </c>
      <c r="K1427" s="2">
        <v>239.91</v>
      </c>
      <c r="L1427" s="2">
        <v>339.36</v>
      </c>
      <c r="M1427" s="2">
        <v>263682.71999999997</v>
      </c>
      <c r="N1427" s="2">
        <v>186410.07</v>
      </c>
      <c r="O1427" s="2">
        <v>77272.649999999994</v>
      </c>
      <c r="P1427" s="2" t="s">
        <v>31</v>
      </c>
      <c r="Q1427" s="2" t="s">
        <v>63</v>
      </c>
      <c r="R1427" s="2">
        <v>1</v>
      </c>
      <c r="S1427" s="2" t="s">
        <v>43</v>
      </c>
      <c r="T1427" s="2">
        <v>4396</v>
      </c>
      <c r="U1427" s="2">
        <v>20</v>
      </c>
      <c r="V1427" s="2"/>
    </row>
    <row r="1428" spans="1:22" x14ac:dyDescent="0.35">
      <c r="A1428" s="3" t="s">
        <v>3727</v>
      </c>
      <c r="B1428" s="3" t="s">
        <v>912</v>
      </c>
      <c r="C1428" s="3" t="s">
        <v>608</v>
      </c>
      <c r="D1428" s="3" t="s">
        <v>3728</v>
      </c>
      <c r="E1428" s="3" t="s">
        <v>100</v>
      </c>
      <c r="F1428" s="3" t="s">
        <v>101</v>
      </c>
      <c r="G1428" s="3" t="s">
        <v>129</v>
      </c>
      <c r="H1428" s="3" t="s">
        <v>520</v>
      </c>
      <c r="I1428" s="3" t="s">
        <v>191</v>
      </c>
      <c r="J1428" s="3">
        <v>377</v>
      </c>
      <c r="K1428" s="3">
        <v>1096.99</v>
      </c>
      <c r="L1428" s="3">
        <v>1709.47</v>
      </c>
      <c r="M1428" s="3">
        <v>644470.18999999994</v>
      </c>
      <c r="N1428" s="3">
        <v>413565.23</v>
      </c>
      <c r="O1428" s="3">
        <v>230904.95999999999</v>
      </c>
      <c r="P1428" s="3" t="s">
        <v>95</v>
      </c>
      <c r="Q1428" s="3" t="s">
        <v>32</v>
      </c>
      <c r="R1428" s="3">
        <v>9</v>
      </c>
      <c r="S1428" s="3" t="s">
        <v>33</v>
      </c>
      <c r="T1428" s="3">
        <v>3627</v>
      </c>
      <c r="U1428" s="3">
        <v>1</v>
      </c>
      <c r="V1428" s="3"/>
    </row>
    <row r="1429" spans="1:22" x14ac:dyDescent="0.35">
      <c r="A1429" s="2" t="s">
        <v>3729</v>
      </c>
      <c r="B1429" s="2" t="s">
        <v>3730</v>
      </c>
      <c r="C1429" s="2" t="s">
        <v>1710</v>
      </c>
      <c r="D1429" s="2" t="s">
        <v>3731</v>
      </c>
      <c r="E1429" s="2" t="s">
        <v>48</v>
      </c>
      <c r="F1429" s="2" t="s">
        <v>223</v>
      </c>
      <c r="G1429" s="2" t="s">
        <v>189</v>
      </c>
      <c r="H1429" s="2" t="s">
        <v>311</v>
      </c>
      <c r="I1429" s="2" t="s">
        <v>191</v>
      </c>
      <c r="J1429" s="2">
        <v>231</v>
      </c>
      <c r="K1429" s="2">
        <v>1008.37</v>
      </c>
      <c r="L1429" s="2">
        <v>1229.82</v>
      </c>
      <c r="M1429" s="2">
        <v>284088.42</v>
      </c>
      <c r="N1429" s="2">
        <v>232933.47</v>
      </c>
      <c r="O1429" s="2">
        <v>51154.95</v>
      </c>
      <c r="P1429" s="2" t="s">
        <v>95</v>
      </c>
      <c r="Q1429" s="2" t="s">
        <v>63</v>
      </c>
      <c r="R1429" s="2">
        <v>5</v>
      </c>
      <c r="S1429" s="2" t="s">
        <v>112</v>
      </c>
      <c r="T1429" s="2">
        <v>1847</v>
      </c>
      <c r="U1429" s="2">
        <v>2</v>
      </c>
      <c r="V1429" s="2"/>
    </row>
    <row r="1430" spans="1:22" x14ac:dyDescent="0.35">
      <c r="A1430" s="3" t="s">
        <v>3732</v>
      </c>
      <c r="B1430" s="3" t="s">
        <v>1096</v>
      </c>
      <c r="C1430" s="3" t="s">
        <v>3733</v>
      </c>
      <c r="D1430" s="3" t="s">
        <v>3734</v>
      </c>
      <c r="E1430" s="3" t="s">
        <v>26</v>
      </c>
      <c r="F1430" s="3" t="s">
        <v>27</v>
      </c>
      <c r="G1430" s="3" t="s">
        <v>189</v>
      </c>
      <c r="H1430" s="3" t="s">
        <v>311</v>
      </c>
      <c r="I1430" s="3" t="s">
        <v>62</v>
      </c>
      <c r="J1430" s="3">
        <v>707</v>
      </c>
      <c r="K1430" s="3">
        <v>310.06</v>
      </c>
      <c r="L1430" s="3">
        <v>454.32</v>
      </c>
      <c r="M1430" s="3">
        <v>321204.24</v>
      </c>
      <c r="N1430" s="3">
        <v>219212.42</v>
      </c>
      <c r="O1430" s="3">
        <v>101991.82</v>
      </c>
      <c r="P1430" s="3" t="s">
        <v>95</v>
      </c>
      <c r="Q1430" s="3" t="s">
        <v>63</v>
      </c>
      <c r="R1430" s="3">
        <v>4</v>
      </c>
      <c r="S1430" s="3" t="s">
        <v>33</v>
      </c>
      <c r="T1430" s="3">
        <v>4296</v>
      </c>
      <c r="U1430" s="3">
        <v>14</v>
      </c>
      <c r="V1430" s="3"/>
    </row>
    <row r="1431" spans="1:22" x14ac:dyDescent="0.35">
      <c r="A1431" s="2" t="s">
        <v>3735</v>
      </c>
      <c r="B1431" s="2" t="s">
        <v>356</v>
      </c>
      <c r="C1431" s="2" t="s">
        <v>1107</v>
      </c>
      <c r="D1431" s="2" t="s">
        <v>3736</v>
      </c>
      <c r="E1431" s="2" t="s">
        <v>48</v>
      </c>
      <c r="F1431" s="2" t="s">
        <v>281</v>
      </c>
      <c r="G1431" s="2" t="s">
        <v>93</v>
      </c>
      <c r="H1431" s="2" t="s">
        <v>140</v>
      </c>
      <c r="I1431" s="2" t="s">
        <v>30</v>
      </c>
      <c r="J1431" s="2">
        <v>-1</v>
      </c>
      <c r="K1431" s="2">
        <v>409.17</v>
      </c>
      <c r="L1431" s="2">
        <v>493.69</v>
      </c>
      <c r="M1431" s="2">
        <v>140207.96</v>
      </c>
      <c r="N1431" s="2">
        <v>116204.28</v>
      </c>
      <c r="O1431" s="2">
        <v>24003.68</v>
      </c>
      <c r="P1431" s="2" t="s">
        <v>52</v>
      </c>
      <c r="Q1431" s="2" t="s">
        <v>32</v>
      </c>
      <c r="R1431" s="2">
        <v>10</v>
      </c>
      <c r="S1431" s="2" t="s">
        <v>158</v>
      </c>
      <c r="T1431" s="2">
        <v>3880</v>
      </c>
      <c r="U1431" s="2">
        <v>6</v>
      </c>
      <c r="V1431" s="2"/>
    </row>
    <row r="1432" spans="1:22" x14ac:dyDescent="0.35">
      <c r="A1432" s="3" t="s">
        <v>3737</v>
      </c>
      <c r="B1432" s="3" t="s">
        <v>382</v>
      </c>
      <c r="C1432" s="3" t="s">
        <v>46</v>
      </c>
      <c r="D1432" s="3" t="s">
        <v>3738</v>
      </c>
      <c r="E1432" s="3" t="s">
        <v>48</v>
      </c>
      <c r="F1432" s="3" t="s">
        <v>49</v>
      </c>
      <c r="G1432" s="3" t="s">
        <v>78</v>
      </c>
      <c r="H1432" s="3" t="s">
        <v>79</v>
      </c>
      <c r="I1432" s="3" t="s">
        <v>72</v>
      </c>
      <c r="J1432" s="3">
        <v>115</v>
      </c>
      <c r="K1432" s="3">
        <v>451.18</v>
      </c>
      <c r="L1432" s="3">
        <v>548.29999999999995</v>
      </c>
      <c r="M1432" s="3">
        <v>63054.5</v>
      </c>
      <c r="N1432" s="3">
        <v>51885.7</v>
      </c>
      <c r="O1432" s="4"/>
      <c r="P1432" s="3" t="s">
        <v>52</v>
      </c>
      <c r="Q1432" s="3" t="s">
        <v>32</v>
      </c>
      <c r="R1432" s="3">
        <v>6</v>
      </c>
      <c r="S1432" s="3" t="s">
        <v>112</v>
      </c>
      <c r="T1432" s="3">
        <v>2744</v>
      </c>
      <c r="U1432" s="3">
        <v>1</v>
      </c>
      <c r="V1432" s="3"/>
    </row>
    <row r="1433" spans="1:22" x14ac:dyDescent="0.35">
      <c r="A1433" s="2" t="s">
        <v>3739</v>
      </c>
      <c r="B1433" s="2" t="s">
        <v>2916</v>
      </c>
      <c r="C1433" s="2" t="s">
        <v>3740</v>
      </c>
      <c r="D1433" s="2" t="s">
        <v>3741</v>
      </c>
      <c r="E1433" s="2" t="s">
        <v>100</v>
      </c>
      <c r="F1433" s="2" t="s">
        <v>106</v>
      </c>
      <c r="G1433" s="2" t="s">
        <v>28</v>
      </c>
      <c r="H1433" s="2" t="s">
        <v>674</v>
      </c>
      <c r="I1433" s="2" t="s">
        <v>118</v>
      </c>
      <c r="J1433" s="2">
        <v>732</v>
      </c>
      <c r="K1433" s="2">
        <v>50.19</v>
      </c>
      <c r="L1433" s="2">
        <v>65.540000000000006</v>
      </c>
      <c r="M1433" s="2">
        <v>47975.28</v>
      </c>
      <c r="N1433" s="2">
        <v>36739.08</v>
      </c>
      <c r="O1433" s="2">
        <v>11236.2</v>
      </c>
      <c r="P1433" s="2" t="s">
        <v>52</v>
      </c>
      <c r="Q1433" s="2" t="s">
        <v>32</v>
      </c>
      <c r="R1433" s="2">
        <v>13</v>
      </c>
      <c r="S1433" s="2" t="s">
        <v>86</v>
      </c>
      <c r="T1433" s="2">
        <v>1392</v>
      </c>
      <c r="U1433" s="2">
        <v>17</v>
      </c>
      <c r="V1433" s="2"/>
    </row>
    <row r="1434" spans="1:22" x14ac:dyDescent="0.35">
      <c r="A1434" s="3" t="s">
        <v>3742</v>
      </c>
      <c r="B1434" s="3" t="s">
        <v>732</v>
      </c>
      <c r="C1434" s="3" t="s">
        <v>3743</v>
      </c>
      <c r="D1434" s="3" t="s">
        <v>3744</v>
      </c>
      <c r="E1434" s="3" t="s">
        <v>68</v>
      </c>
      <c r="F1434" s="3" t="s">
        <v>163</v>
      </c>
      <c r="G1434" s="3" t="s">
        <v>50</v>
      </c>
      <c r="H1434" s="3" t="s">
        <v>173</v>
      </c>
      <c r="I1434" s="3" t="s">
        <v>240</v>
      </c>
      <c r="J1434" s="3">
        <v>273</v>
      </c>
      <c r="K1434" s="3">
        <v>1137.56</v>
      </c>
      <c r="L1434" s="3">
        <v>1395.53</v>
      </c>
      <c r="M1434" s="3">
        <v>380979.69</v>
      </c>
      <c r="N1434" s="3">
        <v>310553.88</v>
      </c>
      <c r="O1434" s="3">
        <v>70425.81</v>
      </c>
      <c r="P1434" s="3" t="s">
        <v>52</v>
      </c>
      <c r="Q1434" s="3" t="s">
        <v>32</v>
      </c>
      <c r="R1434" s="3">
        <v>12</v>
      </c>
      <c r="S1434" s="3" t="s">
        <v>86</v>
      </c>
      <c r="T1434" s="3">
        <v>2356</v>
      </c>
      <c r="U1434" s="3">
        <v>3</v>
      </c>
      <c r="V1434" s="3"/>
    </row>
    <row r="1435" spans="1:22" x14ac:dyDescent="0.35">
      <c r="A1435" s="2" t="s">
        <v>3745</v>
      </c>
      <c r="B1435" s="2" t="s">
        <v>1046</v>
      </c>
      <c r="C1435" s="2" t="s">
        <v>944</v>
      </c>
      <c r="D1435" s="2" t="s">
        <v>2532</v>
      </c>
      <c r="E1435" s="2" t="s">
        <v>58</v>
      </c>
      <c r="F1435" s="2" t="s">
        <v>259</v>
      </c>
      <c r="G1435" s="2" t="s">
        <v>189</v>
      </c>
      <c r="H1435" s="2" t="s">
        <v>437</v>
      </c>
      <c r="I1435" s="2" t="s">
        <v>41</v>
      </c>
      <c r="J1435" s="2">
        <v>704</v>
      </c>
      <c r="K1435" s="2">
        <v>260.25</v>
      </c>
      <c r="L1435" s="2">
        <v>337.9</v>
      </c>
      <c r="M1435" s="2">
        <v>237881.60000000001</v>
      </c>
      <c r="N1435" s="2">
        <v>183216</v>
      </c>
      <c r="O1435" s="2">
        <v>54665.599999999999</v>
      </c>
      <c r="P1435" s="2" t="s">
        <v>52</v>
      </c>
      <c r="Q1435" s="2" t="s">
        <v>63</v>
      </c>
      <c r="R1435" s="2">
        <v>4</v>
      </c>
      <c r="S1435" s="2" t="s">
        <v>86</v>
      </c>
      <c r="T1435" s="2">
        <v>1737</v>
      </c>
      <c r="U1435" s="2">
        <v>4</v>
      </c>
      <c r="V1435" s="2"/>
    </row>
    <row r="1436" spans="1:22" x14ac:dyDescent="0.35">
      <c r="A1436" s="3" t="s">
        <v>3746</v>
      </c>
      <c r="B1436" s="3" t="s">
        <v>522</v>
      </c>
      <c r="C1436" s="3" t="s">
        <v>706</v>
      </c>
      <c r="D1436" s="3" t="s">
        <v>3747</v>
      </c>
      <c r="E1436" s="3" t="s">
        <v>58</v>
      </c>
      <c r="F1436" s="3" t="s">
        <v>122</v>
      </c>
      <c r="G1436" s="3" t="s">
        <v>217</v>
      </c>
      <c r="H1436" s="3" t="s">
        <v>292</v>
      </c>
      <c r="I1436" s="3" t="s">
        <v>118</v>
      </c>
      <c r="J1436" s="3">
        <v>688</v>
      </c>
      <c r="K1436" s="3">
        <v>769.28</v>
      </c>
      <c r="L1436" s="3">
        <v>905.19</v>
      </c>
      <c r="M1436" s="3">
        <v>622770.72</v>
      </c>
      <c r="N1436" s="3">
        <v>529264.64000000001</v>
      </c>
      <c r="O1436" s="3">
        <v>93506.08</v>
      </c>
      <c r="P1436" s="3" t="s">
        <v>52</v>
      </c>
      <c r="Q1436" s="3" t="s">
        <v>32</v>
      </c>
      <c r="R1436" s="3">
        <v>14</v>
      </c>
      <c r="S1436" s="3" t="s">
        <v>43</v>
      </c>
      <c r="T1436" s="3">
        <v>1500</v>
      </c>
      <c r="U1436" s="3">
        <v>8</v>
      </c>
      <c r="V1436" s="3"/>
    </row>
    <row r="1437" spans="1:22" x14ac:dyDescent="0.35">
      <c r="A1437" s="2" t="s">
        <v>3748</v>
      </c>
      <c r="B1437" s="2" t="s">
        <v>3022</v>
      </c>
      <c r="C1437" s="2" t="s">
        <v>2214</v>
      </c>
      <c r="D1437" s="2" t="s">
        <v>3749</v>
      </c>
      <c r="E1437" s="2" t="s">
        <v>58</v>
      </c>
      <c r="F1437" s="2" t="s">
        <v>116</v>
      </c>
      <c r="G1437" s="2" t="s">
        <v>60</v>
      </c>
      <c r="H1437" s="2" t="s">
        <v>780</v>
      </c>
      <c r="I1437" s="2" t="s">
        <v>85</v>
      </c>
      <c r="J1437" s="2">
        <v>457</v>
      </c>
      <c r="K1437" s="2">
        <v>155.58000000000001</v>
      </c>
      <c r="L1437" s="2">
        <v>192.72</v>
      </c>
      <c r="M1437" s="2">
        <v>88073.04</v>
      </c>
      <c r="N1437" s="2">
        <v>71100.06</v>
      </c>
      <c r="O1437" s="2">
        <v>16972.98</v>
      </c>
      <c r="P1437" s="2" t="s">
        <v>42</v>
      </c>
      <c r="Q1437" s="2" t="s">
        <v>32</v>
      </c>
      <c r="R1437" s="2">
        <v>11</v>
      </c>
      <c r="S1437" s="2" t="s">
        <v>158</v>
      </c>
      <c r="T1437" s="2">
        <v>2081</v>
      </c>
      <c r="U1437" s="2">
        <v>14</v>
      </c>
      <c r="V1437" s="2"/>
    </row>
    <row r="1438" spans="1:22" x14ac:dyDescent="0.35">
      <c r="A1438" s="3" t="s">
        <v>3750</v>
      </c>
      <c r="B1438" s="3" t="s">
        <v>1295</v>
      </c>
      <c r="C1438" s="3" t="s">
        <v>1233</v>
      </c>
      <c r="D1438" s="3" t="s">
        <v>3751</v>
      </c>
      <c r="E1438" s="3" t="s">
        <v>68</v>
      </c>
      <c r="F1438" s="3" t="s">
        <v>276</v>
      </c>
      <c r="G1438" s="3" t="s">
        <v>28</v>
      </c>
      <c r="H1438" s="3" t="s">
        <v>714</v>
      </c>
      <c r="I1438" s="3" t="s">
        <v>85</v>
      </c>
      <c r="J1438" s="3">
        <v>778</v>
      </c>
      <c r="K1438" s="3">
        <v>498.83</v>
      </c>
      <c r="L1438" s="3">
        <v>753.54</v>
      </c>
      <c r="M1438" s="3">
        <v>586254.12</v>
      </c>
      <c r="N1438" s="3">
        <v>388089.74</v>
      </c>
      <c r="O1438" s="3">
        <v>198164.38</v>
      </c>
      <c r="P1438" s="3" t="s">
        <v>42</v>
      </c>
      <c r="Q1438" s="3" t="s">
        <v>32</v>
      </c>
      <c r="R1438" s="3">
        <v>13</v>
      </c>
      <c r="S1438" s="3" t="s">
        <v>43</v>
      </c>
      <c r="T1438" s="3">
        <v>3167</v>
      </c>
      <c r="U1438" s="3">
        <v>23</v>
      </c>
      <c r="V1438" s="3"/>
    </row>
    <row r="1439" spans="1:22" x14ac:dyDescent="0.35">
      <c r="A1439" s="2" t="s">
        <v>3752</v>
      </c>
      <c r="B1439" s="2" t="s">
        <v>742</v>
      </c>
      <c r="C1439" s="2" t="s">
        <v>1765</v>
      </c>
      <c r="D1439" s="2" t="s">
        <v>708</v>
      </c>
      <c r="E1439" s="2" t="s">
        <v>26</v>
      </c>
      <c r="F1439" s="2" t="s">
        <v>92</v>
      </c>
      <c r="G1439" s="2" t="s">
        <v>93</v>
      </c>
      <c r="H1439" s="2" t="s">
        <v>1442</v>
      </c>
      <c r="I1439" s="2" t="s">
        <v>30</v>
      </c>
      <c r="J1439" s="2">
        <v>509</v>
      </c>
      <c r="K1439" s="2">
        <v>1127.3900000000001</v>
      </c>
      <c r="L1439" s="2">
        <v>1343.66</v>
      </c>
      <c r="M1439" s="2">
        <v>683922.94</v>
      </c>
      <c r="N1439" s="2">
        <v>573841.51</v>
      </c>
      <c r="O1439" s="2">
        <v>110081.43</v>
      </c>
      <c r="P1439" s="2" t="s">
        <v>95</v>
      </c>
      <c r="Q1439" s="2" t="s">
        <v>63</v>
      </c>
      <c r="R1439" s="2">
        <v>2</v>
      </c>
      <c r="S1439" s="2" t="s">
        <v>158</v>
      </c>
      <c r="T1439" s="2">
        <v>814</v>
      </c>
      <c r="U1439" s="2">
        <v>6</v>
      </c>
      <c r="V1439" s="2"/>
    </row>
    <row r="1440" spans="1:22" x14ac:dyDescent="0.35">
      <c r="A1440" s="3" t="s">
        <v>3753</v>
      </c>
      <c r="B1440" s="3" t="s">
        <v>23</v>
      </c>
      <c r="C1440" s="3" t="s">
        <v>3754</v>
      </c>
      <c r="D1440" s="3" t="s">
        <v>3755</v>
      </c>
      <c r="E1440" s="3" t="s">
        <v>58</v>
      </c>
      <c r="F1440" s="3" t="s">
        <v>417</v>
      </c>
      <c r="G1440" s="3" t="s">
        <v>39</v>
      </c>
      <c r="H1440" s="3" t="s">
        <v>527</v>
      </c>
      <c r="I1440" s="3" t="s">
        <v>153</v>
      </c>
      <c r="J1440" s="3">
        <v>499</v>
      </c>
      <c r="K1440" s="3">
        <v>172.14</v>
      </c>
      <c r="L1440" s="3">
        <v>276.44</v>
      </c>
      <c r="M1440" s="3">
        <v>137943.56</v>
      </c>
      <c r="N1440" s="3">
        <v>85897.86</v>
      </c>
      <c r="O1440" s="3">
        <v>52045.7</v>
      </c>
      <c r="P1440" s="3" t="s">
        <v>52</v>
      </c>
      <c r="Q1440" s="3" t="s">
        <v>32</v>
      </c>
      <c r="R1440" s="3">
        <v>15</v>
      </c>
      <c r="S1440" s="3" t="s">
        <v>53</v>
      </c>
      <c r="T1440" s="3">
        <v>3383</v>
      </c>
      <c r="U1440" s="3">
        <v>15</v>
      </c>
      <c r="V1440" s="3"/>
    </row>
    <row r="1441" spans="1:22" x14ac:dyDescent="0.35">
      <c r="A1441" s="2" t="s">
        <v>3756</v>
      </c>
      <c r="B1441" s="2" t="s">
        <v>2142</v>
      </c>
      <c r="C1441" s="2" t="s">
        <v>2849</v>
      </c>
      <c r="D1441" s="2" t="s">
        <v>3757</v>
      </c>
      <c r="E1441" s="2" t="s">
        <v>48</v>
      </c>
      <c r="F1441" s="2" t="s">
        <v>49</v>
      </c>
      <c r="G1441" s="2" t="s">
        <v>217</v>
      </c>
      <c r="H1441" s="2" t="s">
        <v>340</v>
      </c>
      <c r="I1441" s="2" t="s">
        <v>118</v>
      </c>
      <c r="J1441" s="2">
        <v>456</v>
      </c>
      <c r="K1441" s="2">
        <v>536.59</v>
      </c>
      <c r="L1441" s="2">
        <v>741</v>
      </c>
      <c r="M1441" s="2">
        <v>337896</v>
      </c>
      <c r="N1441" s="2">
        <v>244685.04</v>
      </c>
      <c r="O1441" s="2">
        <v>93210.96</v>
      </c>
      <c r="P1441" s="2" t="s">
        <v>52</v>
      </c>
      <c r="Q1441" s="2" t="s">
        <v>63</v>
      </c>
      <c r="R1441" s="2">
        <v>3</v>
      </c>
      <c r="S1441" s="2" t="s">
        <v>86</v>
      </c>
      <c r="T1441" s="2">
        <v>1993</v>
      </c>
      <c r="U1441" s="2">
        <v>19</v>
      </c>
      <c r="V1441" s="2"/>
    </row>
    <row r="1442" spans="1:22" x14ac:dyDescent="0.35">
      <c r="A1442" s="3" t="s">
        <v>3758</v>
      </c>
      <c r="B1442" s="3" t="s">
        <v>1322</v>
      </c>
      <c r="C1442" s="3" t="s">
        <v>496</v>
      </c>
      <c r="D1442" s="3" t="s">
        <v>3759</v>
      </c>
      <c r="E1442" s="3" t="s">
        <v>68</v>
      </c>
      <c r="F1442" s="3" t="s">
        <v>163</v>
      </c>
      <c r="G1442" s="3" t="s">
        <v>39</v>
      </c>
      <c r="H1442" s="3" t="s">
        <v>147</v>
      </c>
      <c r="I1442" s="3" t="s">
        <v>41</v>
      </c>
      <c r="J1442" s="3">
        <v>202</v>
      </c>
      <c r="K1442" s="3">
        <v>1038.57</v>
      </c>
      <c r="L1442" s="3">
        <v>1391.35</v>
      </c>
      <c r="M1442" s="3">
        <v>281052.7</v>
      </c>
      <c r="N1442" s="3">
        <v>209791.14</v>
      </c>
      <c r="O1442" s="3">
        <v>71261.56</v>
      </c>
      <c r="P1442" s="3" t="s">
        <v>31</v>
      </c>
      <c r="Q1442" s="3" t="s">
        <v>63</v>
      </c>
      <c r="R1442" s="3">
        <v>3</v>
      </c>
      <c r="S1442" s="3" t="s">
        <v>33</v>
      </c>
      <c r="T1442" s="3">
        <v>1148</v>
      </c>
      <c r="U1442" s="3">
        <v>6</v>
      </c>
      <c r="V1442" s="3"/>
    </row>
    <row r="1443" spans="1:22" x14ac:dyDescent="0.35">
      <c r="A1443" s="2" t="s">
        <v>3760</v>
      </c>
      <c r="B1443" s="2" t="s">
        <v>243</v>
      </c>
      <c r="C1443" s="2" t="s">
        <v>2496</v>
      </c>
      <c r="D1443" s="2" t="s">
        <v>3761</v>
      </c>
      <c r="E1443" s="2" t="s">
        <v>68</v>
      </c>
      <c r="F1443" s="2" t="s">
        <v>276</v>
      </c>
      <c r="G1443" s="2" t="s">
        <v>217</v>
      </c>
      <c r="H1443" s="2" t="s">
        <v>292</v>
      </c>
      <c r="I1443" s="2" t="s">
        <v>191</v>
      </c>
      <c r="J1443" s="2">
        <v>429</v>
      </c>
      <c r="K1443" s="2">
        <v>1147.48</v>
      </c>
      <c r="L1443" s="2">
        <v>1445.7</v>
      </c>
      <c r="M1443" s="2">
        <v>620205.30000000005</v>
      </c>
      <c r="N1443" s="2">
        <v>492268.92</v>
      </c>
      <c r="O1443" s="2">
        <v>127936.38</v>
      </c>
      <c r="P1443" s="2" t="s">
        <v>42</v>
      </c>
      <c r="Q1443" s="2" t="s">
        <v>32</v>
      </c>
      <c r="R1443" s="2">
        <v>8</v>
      </c>
      <c r="S1443" s="2" t="s">
        <v>158</v>
      </c>
      <c r="T1443" s="2">
        <v>3187</v>
      </c>
      <c r="U1443" s="2">
        <v>13</v>
      </c>
      <c r="V1443" s="2"/>
    </row>
    <row r="1444" spans="1:22" x14ac:dyDescent="0.35">
      <c r="A1444" s="3" t="s">
        <v>3762</v>
      </c>
      <c r="B1444" s="3" t="s">
        <v>1077</v>
      </c>
      <c r="C1444" s="3" t="s">
        <v>912</v>
      </c>
      <c r="D1444" s="3" t="s">
        <v>3763</v>
      </c>
      <c r="E1444" s="3" t="s">
        <v>26</v>
      </c>
      <c r="F1444" s="3" t="s">
        <v>92</v>
      </c>
      <c r="G1444" s="3" t="s">
        <v>189</v>
      </c>
      <c r="H1444" s="3" t="s">
        <v>437</v>
      </c>
      <c r="I1444" s="3" t="s">
        <v>118</v>
      </c>
      <c r="J1444" s="3">
        <v>605</v>
      </c>
      <c r="K1444" s="3">
        <v>658.91</v>
      </c>
      <c r="L1444" s="3">
        <v>910.51</v>
      </c>
      <c r="M1444" s="3">
        <v>550858.55000000005</v>
      </c>
      <c r="N1444" s="3">
        <v>398640.55</v>
      </c>
      <c r="O1444" s="3">
        <v>152218</v>
      </c>
      <c r="P1444" s="3" t="s">
        <v>95</v>
      </c>
      <c r="Q1444" s="3" t="s">
        <v>63</v>
      </c>
      <c r="R1444" s="3">
        <v>3</v>
      </c>
      <c r="S1444" s="3" t="s">
        <v>43</v>
      </c>
      <c r="T1444" s="3">
        <v>4338</v>
      </c>
      <c r="U1444" s="3">
        <v>10</v>
      </c>
      <c r="V1444" s="3"/>
    </row>
    <row r="1445" spans="1:22" x14ac:dyDescent="0.35">
      <c r="A1445" s="2" t="s">
        <v>3764</v>
      </c>
      <c r="B1445" s="2" t="s">
        <v>120</v>
      </c>
      <c r="C1445" s="2" t="s">
        <v>1632</v>
      </c>
      <c r="D1445" s="2" t="s">
        <v>3765</v>
      </c>
      <c r="E1445" s="2" t="s">
        <v>68</v>
      </c>
      <c r="F1445" s="2" t="s">
        <v>146</v>
      </c>
      <c r="G1445" s="2" t="s">
        <v>78</v>
      </c>
      <c r="H1445" s="2" t="s">
        <v>425</v>
      </c>
      <c r="I1445" s="2" t="s">
        <v>240</v>
      </c>
      <c r="J1445" s="2">
        <v>471</v>
      </c>
      <c r="K1445" s="2">
        <v>1018.89</v>
      </c>
      <c r="L1445" s="2">
        <v>1597.99</v>
      </c>
      <c r="M1445" s="2">
        <v>752653.29</v>
      </c>
      <c r="N1445" s="2">
        <v>479897.19</v>
      </c>
      <c r="O1445" s="2">
        <v>272756.09999999998</v>
      </c>
      <c r="P1445" s="2" t="s">
        <v>95</v>
      </c>
      <c r="Q1445" s="2" t="s">
        <v>32</v>
      </c>
      <c r="R1445" s="2">
        <v>12</v>
      </c>
      <c r="S1445" s="2" t="s">
        <v>158</v>
      </c>
      <c r="T1445" s="2">
        <v>178</v>
      </c>
      <c r="U1445" s="2">
        <v>8</v>
      </c>
      <c r="V1445" s="2"/>
    </row>
    <row r="1446" spans="1:22" x14ac:dyDescent="0.35">
      <c r="A1446" s="3" t="s">
        <v>3766</v>
      </c>
      <c r="B1446" s="3" t="s">
        <v>3767</v>
      </c>
      <c r="C1446" s="3" t="s">
        <v>1890</v>
      </c>
      <c r="D1446" s="3" t="s">
        <v>3768</v>
      </c>
      <c r="E1446" s="3" t="s">
        <v>26</v>
      </c>
      <c r="F1446" s="3" t="s">
        <v>3037</v>
      </c>
      <c r="G1446" s="3" t="s">
        <v>50</v>
      </c>
      <c r="H1446" s="3" t="s">
        <v>117</v>
      </c>
      <c r="I1446" s="3" t="s">
        <v>41</v>
      </c>
      <c r="J1446" s="3">
        <v>16</v>
      </c>
      <c r="K1446" s="3">
        <v>962.97</v>
      </c>
      <c r="L1446" s="3">
        <v>1388.31</v>
      </c>
      <c r="M1446" s="3">
        <v>22212.959999999999</v>
      </c>
      <c r="N1446" s="3">
        <v>15407.52</v>
      </c>
      <c r="O1446" s="3">
        <v>6805.44</v>
      </c>
      <c r="P1446" s="3" t="s">
        <v>31</v>
      </c>
      <c r="Q1446" s="3" t="s">
        <v>63</v>
      </c>
      <c r="R1446" s="3">
        <v>2</v>
      </c>
      <c r="S1446" s="3" t="s">
        <v>112</v>
      </c>
      <c r="T1446" s="3">
        <v>3095</v>
      </c>
      <c r="U1446" s="3">
        <v>0</v>
      </c>
      <c r="V1446" s="3"/>
    </row>
    <row r="1447" spans="1:22" x14ac:dyDescent="0.35">
      <c r="A1447" s="2" t="s">
        <v>3769</v>
      </c>
      <c r="B1447" s="2" t="s">
        <v>614</v>
      </c>
      <c r="C1447" s="2" t="s">
        <v>513</v>
      </c>
      <c r="D1447" s="2" t="s">
        <v>3770</v>
      </c>
      <c r="E1447" s="2" t="s">
        <v>2528</v>
      </c>
      <c r="F1447" s="2" t="s">
        <v>101</v>
      </c>
      <c r="G1447" s="2" t="s">
        <v>50</v>
      </c>
      <c r="H1447" s="2" t="s">
        <v>260</v>
      </c>
      <c r="I1447" s="2" t="s">
        <v>62</v>
      </c>
      <c r="J1447" s="2">
        <v>499</v>
      </c>
      <c r="K1447" s="2">
        <v>1000.07</v>
      </c>
      <c r="L1447" s="2">
        <v>1368.94</v>
      </c>
      <c r="M1447" s="2">
        <v>683101.06</v>
      </c>
      <c r="N1447" s="2">
        <v>499034.93</v>
      </c>
      <c r="O1447" s="2">
        <v>184066.13</v>
      </c>
      <c r="P1447" s="2" t="s">
        <v>31</v>
      </c>
      <c r="Q1447" s="2" t="s">
        <v>63</v>
      </c>
      <c r="R1447" s="2">
        <v>2</v>
      </c>
      <c r="S1447" s="2" t="s">
        <v>33</v>
      </c>
      <c r="T1447" s="2">
        <v>3140</v>
      </c>
      <c r="U1447" s="2">
        <v>7</v>
      </c>
      <c r="V1447" s="2"/>
    </row>
    <row r="1448" spans="1:22" x14ac:dyDescent="0.35">
      <c r="A1448" s="2" t="s">
        <v>3771</v>
      </c>
      <c r="B1448" s="2" t="s">
        <v>225</v>
      </c>
      <c r="C1448" s="2" t="s">
        <v>97</v>
      </c>
      <c r="D1448" s="2" t="s">
        <v>3772</v>
      </c>
      <c r="E1448" s="2" t="s">
        <v>68</v>
      </c>
      <c r="F1448" s="2" t="s">
        <v>249</v>
      </c>
      <c r="G1448" s="2" t="s">
        <v>217</v>
      </c>
      <c r="H1448" s="2" t="s">
        <v>684</v>
      </c>
      <c r="I1448" s="2" t="s">
        <v>191</v>
      </c>
      <c r="J1448" s="2">
        <v>357</v>
      </c>
      <c r="K1448" s="2">
        <v>968.01</v>
      </c>
      <c r="L1448" s="2">
        <v>1176.78</v>
      </c>
      <c r="M1448" s="2">
        <v>420110.46</v>
      </c>
      <c r="N1448" s="2">
        <v>345579.57</v>
      </c>
      <c r="O1448" s="2">
        <v>74530.89</v>
      </c>
      <c r="P1448" s="2" t="s">
        <v>42</v>
      </c>
      <c r="Q1448" s="2" t="s">
        <v>63</v>
      </c>
      <c r="R1448" s="2">
        <v>2</v>
      </c>
      <c r="S1448" s="2" t="s">
        <v>112</v>
      </c>
      <c r="T1448" s="2">
        <v>3244</v>
      </c>
      <c r="U1448" s="2">
        <v>14</v>
      </c>
      <c r="V1448" s="2"/>
    </row>
    <row r="1449" spans="1:22" x14ac:dyDescent="0.35">
      <c r="A1449" s="3" t="s">
        <v>3773</v>
      </c>
      <c r="B1449" s="3" t="s">
        <v>402</v>
      </c>
      <c r="C1449" s="3" t="s">
        <v>965</v>
      </c>
      <c r="D1449" s="3" t="s">
        <v>3774</v>
      </c>
      <c r="E1449" s="3" t="s">
        <v>26</v>
      </c>
      <c r="F1449" s="3" t="s">
        <v>27</v>
      </c>
      <c r="G1449" s="3" t="s">
        <v>50</v>
      </c>
      <c r="H1449" s="3" t="s">
        <v>135</v>
      </c>
      <c r="I1449" s="3" t="s">
        <v>153</v>
      </c>
      <c r="J1449" s="3">
        <v>601</v>
      </c>
      <c r="K1449" s="3">
        <v>657.17</v>
      </c>
      <c r="L1449" s="3">
        <v>753.63</v>
      </c>
      <c r="M1449" s="3">
        <v>452931.63</v>
      </c>
      <c r="N1449" s="3">
        <v>394959.17</v>
      </c>
      <c r="O1449" s="3">
        <v>57972.46</v>
      </c>
      <c r="P1449" s="3" t="s">
        <v>42</v>
      </c>
      <c r="Q1449" s="3" t="s">
        <v>63</v>
      </c>
      <c r="R1449" s="3">
        <v>4</v>
      </c>
      <c r="S1449" s="3" t="s">
        <v>158</v>
      </c>
      <c r="T1449" s="3">
        <v>4394</v>
      </c>
      <c r="U1449" s="3">
        <v>11</v>
      </c>
      <c r="V1449" s="3"/>
    </row>
    <row r="1450" spans="1:22" x14ac:dyDescent="0.35">
      <c r="A1450" s="2" t="s">
        <v>3775</v>
      </c>
      <c r="B1450" s="2" t="s">
        <v>2939</v>
      </c>
      <c r="C1450" s="2" t="s">
        <v>278</v>
      </c>
      <c r="D1450" s="2" t="s">
        <v>3776</v>
      </c>
      <c r="E1450" s="2" t="s">
        <v>68</v>
      </c>
      <c r="F1450" s="2" t="s">
        <v>276</v>
      </c>
      <c r="G1450" s="2" t="s">
        <v>189</v>
      </c>
      <c r="H1450" s="2" t="s">
        <v>360</v>
      </c>
      <c r="I1450" s="2" t="s">
        <v>118</v>
      </c>
      <c r="J1450" s="2">
        <v>392</v>
      </c>
      <c r="K1450" s="2">
        <v>557.51</v>
      </c>
      <c r="L1450" s="2">
        <v>757.16</v>
      </c>
      <c r="M1450" s="2">
        <v>296806.71999999997</v>
      </c>
      <c r="N1450" s="2">
        <v>218543.92</v>
      </c>
      <c r="O1450" s="2">
        <v>78262.8</v>
      </c>
      <c r="P1450" s="2" t="s">
        <v>95</v>
      </c>
      <c r="Q1450" s="2" t="s">
        <v>32</v>
      </c>
      <c r="R1450" s="2">
        <v>12</v>
      </c>
      <c r="S1450" s="2" t="s">
        <v>33</v>
      </c>
      <c r="T1450" s="2">
        <v>1233</v>
      </c>
      <c r="U1450" s="2">
        <v>17</v>
      </c>
      <c r="V1450" s="2"/>
    </row>
    <row r="1451" spans="1:22" x14ac:dyDescent="0.35">
      <c r="A1451" s="3" t="s">
        <v>3777</v>
      </c>
      <c r="B1451" s="3" t="s">
        <v>166</v>
      </c>
      <c r="C1451" s="3" t="s">
        <v>1444</v>
      </c>
      <c r="D1451" s="3" t="s">
        <v>3778</v>
      </c>
      <c r="E1451" s="3" t="s">
        <v>26</v>
      </c>
      <c r="F1451" s="3" t="s">
        <v>77</v>
      </c>
      <c r="G1451" s="3" t="s">
        <v>70</v>
      </c>
      <c r="H1451" s="3" t="s">
        <v>84</v>
      </c>
      <c r="I1451" s="3" t="s">
        <v>124</v>
      </c>
      <c r="J1451" s="3">
        <v>593</v>
      </c>
      <c r="K1451" s="3">
        <v>265.98</v>
      </c>
      <c r="L1451" s="4" t="s">
        <v>87</v>
      </c>
      <c r="M1451" s="3">
        <v>206583.41</v>
      </c>
      <c r="N1451" s="3">
        <v>157726.14000000001</v>
      </c>
      <c r="O1451" s="3">
        <v>48857.27</v>
      </c>
      <c r="P1451" s="3" t="s">
        <v>31</v>
      </c>
      <c r="Q1451" s="3" t="s">
        <v>32</v>
      </c>
      <c r="R1451" s="3">
        <v>9</v>
      </c>
      <c r="S1451" s="3" t="s">
        <v>158</v>
      </c>
      <c r="T1451" s="3">
        <v>785</v>
      </c>
      <c r="U1451" s="3">
        <v>1</v>
      </c>
      <c r="V1451" s="3"/>
    </row>
    <row r="1452" spans="1:22" x14ac:dyDescent="0.35">
      <c r="A1452" s="2" t="s">
        <v>1374</v>
      </c>
      <c r="B1452" s="2" t="s">
        <v>741</v>
      </c>
      <c r="C1452" s="2" t="s">
        <v>1375</v>
      </c>
      <c r="D1452" s="2" t="s">
        <v>1376</v>
      </c>
      <c r="E1452" s="2" t="s">
        <v>58</v>
      </c>
      <c r="F1452" s="2" t="s">
        <v>59</v>
      </c>
      <c r="G1452" s="2" t="s">
        <v>189</v>
      </c>
      <c r="H1452" s="2" t="s">
        <v>365</v>
      </c>
      <c r="I1452" s="2" t="s">
        <v>153</v>
      </c>
      <c r="J1452" s="2">
        <v>217</v>
      </c>
      <c r="K1452" s="2">
        <v>373.98</v>
      </c>
      <c r="L1452" s="2">
        <v>523.84</v>
      </c>
      <c r="M1452" s="2">
        <v>113673.28</v>
      </c>
      <c r="N1452" s="2">
        <v>81153.66</v>
      </c>
      <c r="O1452" s="2">
        <v>32519.62</v>
      </c>
      <c r="P1452" s="2" t="s">
        <v>52</v>
      </c>
      <c r="Q1452" s="2" t="s">
        <v>3779</v>
      </c>
      <c r="R1452" s="2">
        <v>15</v>
      </c>
      <c r="S1452" s="2" t="s">
        <v>158</v>
      </c>
      <c r="T1452" s="2">
        <v>2317</v>
      </c>
      <c r="U1452" s="2">
        <v>3</v>
      </c>
      <c r="V1452" s="2"/>
    </row>
    <row r="1453" spans="1:22" x14ac:dyDescent="0.35">
      <c r="A1453" s="3" t="s">
        <v>3780</v>
      </c>
      <c r="B1453" s="3" t="s">
        <v>719</v>
      </c>
      <c r="C1453" s="3" t="s">
        <v>853</v>
      </c>
      <c r="D1453" s="3" t="s">
        <v>2512</v>
      </c>
      <c r="E1453" s="3" t="s">
        <v>58</v>
      </c>
      <c r="F1453" s="3" t="s">
        <v>259</v>
      </c>
      <c r="G1453" s="3" t="s">
        <v>217</v>
      </c>
      <c r="H1453" s="3" t="s">
        <v>218</v>
      </c>
      <c r="I1453" s="3" t="s">
        <v>30</v>
      </c>
      <c r="J1453" s="3">
        <v>717</v>
      </c>
      <c r="K1453" s="3">
        <v>352.9</v>
      </c>
      <c r="L1453" s="3">
        <v>579.62</v>
      </c>
      <c r="M1453" s="3">
        <v>415587.54</v>
      </c>
      <c r="N1453" s="3">
        <v>253029.3</v>
      </c>
      <c r="O1453" s="3">
        <v>162558.24</v>
      </c>
      <c r="P1453" s="3" t="s">
        <v>52</v>
      </c>
      <c r="Q1453" s="3" t="s">
        <v>2234</v>
      </c>
      <c r="R1453" s="3">
        <v>12</v>
      </c>
      <c r="S1453" s="3" t="s">
        <v>43</v>
      </c>
      <c r="T1453" s="3">
        <v>3093</v>
      </c>
      <c r="U1453" s="3">
        <v>16</v>
      </c>
      <c r="V1453" s="3"/>
    </row>
    <row r="1454" spans="1:22" x14ac:dyDescent="0.35">
      <c r="A1454" s="2" t="s">
        <v>3781</v>
      </c>
      <c r="B1454" s="2" t="s">
        <v>1360</v>
      </c>
      <c r="C1454" s="2" t="s">
        <v>650</v>
      </c>
      <c r="D1454" s="2" t="s">
        <v>3782</v>
      </c>
      <c r="E1454" s="2" t="s">
        <v>68</v>
      </c>
      <c r="F1454" s="2" t="s">
        <v>69</v>
      </c>
      <c r="G1454" s="2" t="s">
        <v>78</v>
      </c>
      <c r="H1454" s="2" t="s">
        <v>79</v>
      </c>
      <c r="I1454" s="2" t="s">
        <v>41</v>
      </c>
      <c r="J1454" s="2">
        <v>195</v>
      </c>
      <c r="K1454" s="2">
        <v>125.93</v>
      </c>
      <c r="L1454" s="2">
        <v>169.9</v>
      </c>
      <c r="M1454" s="2">
        <v>33130.5</v>
      </c>
      <c r="N1454" s="2">
        <v>24556.35</v>
      </c>
      <c r="O1454" s="2">
        <v>8574.15</v>
      </c>
      <c r="P1454" s="2" t="s">
        <v>31</v>
      </c>
      <c r="Q1454" s="2" t="s">
        <v>32</v>
      </c>
      <c r="R1454" s="2">
        <v>8</v>
      </c>
      <c r="S1454" s="2" t="s">
        <v>33</v>
      </c>
      <c r="T1454" s="2">
        <v>3929</v>
      </c>
      <c r="U1454" s="2">
        <v>8</v>
      </c>
      <c r="V1454" s="2"/>
    </row>
    <row r="1455" spans="1:22" x14ac:dyDescent="0.35">
      <c r="A1455" s="3" t="s">
        <v>3783</v>
      </c>
      <c r="B1455" s="3" t="s">
        <v>712</v>
      </c>
      <c r="C1455" s="3" t="s">
        <v>701</v>
      </c>
      <c r="D1455" s="3" t="s">
        <v>1418</v>
      </c>
      <c r="E1455" s="3" t="s">
        <v>48</v>
      </c>
      <c r="F1455" s="3" t="s">
        <v>270</v>
      </c>
      <c r="G1455" s="3" t="s">
        <v>217</v>
      </c>
      <c r="H1455" s="3" t="s">
        <v>335</v>
      </c>
      <c r="I1455" s="3" t="s">
        <v>153</v>
      </c>
      <c r="J1455" s="3">
        <v>696</v>
      </c>
      <c r="K1455" s="3">
        <v>967.64</v>
      </c>
      <c r="L1455" s="3">
        <v>1147.44</v>
      </c>
      <c r="M1455" s="3">
        <v>798618.24</v>
      </c>
      <c r="N1455" s="3">
        <v>673477.44</v>
      </c>
      <c r="O1455" s="3">
        <v>125140.8</v>
      </c>
      <c r="P1455" s="3" t="s">
        <v>95</v>
      </c>
      <c r="Q1455" s="3" t="s">
        <v>63</v>
      </c>
      <c r="R1455" s="3">
        <v>5</v>
      </c>
      <c r="S1455" s="3" t="s">
        <v>158</v>
      </c>
      <c r="T1455" s="3">
        <v>3590</v>
      </c>
      <c r="U1455" s="3">
        <v>29</v>
      </c>
      <c r="V1455" s="3"/>
    </row>
    <row r="1456" spans="1:22" x14ac:dyDescent="0.35">
      <c r="A1456" s="2" t="s">
        <v>3784</v>
      </c>
      <c r="B1456" s="2" t="s">
        <v>856</v>
      </c>
      <c r="C1456" s="2" t="s">
        <v>186</v>
      </c>
      <c r="D1456" s="2" t="s">
        <v>3785</v>
      </c>
      <c r="E1456" s="2" t="s">
        <v>58</v>
      </c>
      <c r="F1456" s="2" t="s">
        <v>417</v>
      </c>
      <c r="G1456" s="2" t="s">
        <v>70</v>
      </c>
      <c r="H1456" s="2" t="s">
        <v>384</v>
      </c>
      <c r="I1456" s="2" t="s">
        <v>191</v>
      </c>
      <c r="J1456" s="2">
        <v>621</v>
      </c>
      <c r="K1456" s="2">
        <v>389.89</v>
      </c>
      <c r="L1456" s="2">
        <v>454.62</v>
      </c>
      <c r="M1456" s="2">
        <v>282319.02</v>
      </c>
      <c r="N1456" s="4" t="s">
        <v>2634</v>
      </c>
      <c r="O1456" s="2">
        <v>40197.33</v>
      </c>
      <c r="P1456" s="2" t="s">
        <v>95</v>
      </c>
      <c r="Q1456" s="2" t="s">
        <v>32</v>
      </c>
      <c r="R1456" s="2">
        <v>15</v>
      </c>
      <c r="S1456" s="2" t="s">
        <v>43</v>
      </c>
      <c r="T1456" s="2">
        <v>726</v>
      </c>
      <c r="U1456" s="2">
        <v>16</v>
      </c>
      <c r="V1456" s="2"/>
    </row>
    <row r="1457" spans="1:22" x14ac:dyDescent="0.35">
      <c r="A1457" s="3" t="s">
        <v>3786</v>
      </c>
      <c r="B1457" s="3" t="s">
        <v>226</v>
      </c>
      <c r="C1457" s="3" t="s">
        <v>1189</v>
      </c>
      <c r="D1457" s="3" t="s">
        <v>3787</v>
      </c>
      <c r="E1457" s="3" t="s">
        <v>100</v>
      </c>
      <c r="F1457" s="3" t="s">
        <v>101</v>
      </c>
      <c r="G1457" s="3" t="s">
        <v>129</v>
      </c>
      <c r="H1457" s="3" t="s">
        <v>130</v>
      </c>
      <c r="I1457" s="3" t="s">
        <v>141</v>
      </c>
      <c r="J1457" s="3">
        <v>789</v>
      </c>
      <c r="K1457" s="3">
        <v>353.62</v>
      </c>
      <c r="L1457" s="3">
        <v>409.26</v>
      </c>
      <c r="M1457" s="3">
        <v>322906.14</v>
      </c>
      <c r="N1457" s="3">
        <v>279006.18</v>
      </c>
      <c r="O1457" s="3">
        <v>43899.96</v>
      </c>
      <c r="P1457" s="3" t="s">
        <v>52</v>
      </c>
      <c r="Q1457" s="3" t="s">
        <v>32</v>
      </c>
      <c r="R1457" s="3">
        <v>6</v>
      </c>
      <c r="S1457" s="3" t="s">
        <v>43</v>
      </c>
      <c r="T1457" s="3">
        <v>2632</v>
      </c>
      <c r="U1457" s="3">
        <v>12</v>
      </c>
      <c r="V1457" s="3"/>
    </row>
    <row r="1458" spans="1:22" x14ac:dyDescent="0.35">
      <c r="A1458" s="2" t="s">
        <v>3788</v>
      </c>
      <c r="B1458" s="2" t="s">
        <v>954</v>
      </c>
      <c r="C1458" s="2" t="s">
        <v>751</v>
      </c>
      <c r="D1458" s="2" t="s">
        <v>3789</v>
      </c>
      <c r="E1458" s="2" t="s">
        <v>68</v>
      </c>
      <c r="F1458" s="2" t="s">
        <v>163</v>
      </c>
      <c r="G1458" s="2" t="s">
        <v>93</v>
      </c>
      <c r="H1458" s="2" t="s">
        <v>485</v>
      </c>
      <c r="I1458" s="2" t="s">
        <v>1853</v>
      </c>
      <c r="J1458" s="2">
        <v>16</v>
      </c>
      <c r="K1458" s="2">
        <v>590.24</v>
      </c>
      <c r="L1458" s="2">
        <v>919.54</v>
      </c>
      <c r="M1458" s="2">
        <v>14712.64</v>
      </c>
      <c r="N1458" s="2">
        <v>9443.84</v>
      </c>
      <c r="O1458" s="2">
        <v>5268.8</v>
      </c>
      <c r="P1458" s="2" t="s">
        <v>52</v>
      </c>
      <c r="Q1458" s="2" t="s">
        <v>63</v>
      </c>
      <c r="R1458" s="2">
        <v>2</v>
      </c>
      <c r="S1458" s="2" t="s">
        <v>33</v>
      </c>
      <c r="T1458" s="2">
        <v>4475</v>
      </c>
      <c r="U1458" s="2">
        <v>1</v>
      </c>
      <c r="V1458" s="2"/>
    </row>
    <row r="1459" spans="1:22" x14ac:dyDescent="0.35">
      <c r="A1459" s="3" t="s">
        <v>3790</v>
      </c>
      <c r="B1459" s="3" t="s">
        <v>225</v>
      </c>
      <c r="C1459" s="3" t="s">
        <v>226</v>
      </c>
      <c r="D1459" s="3" t="s">
        <v>3791</v>
      </c>
      <c r="E1459" s="3" t="s">
        <v>68</v>
      </c>
      <c r="F1459" s="3" t="s">
        <v>249</v>
      </c>
      <c r="G1459" s="3" t="s">
        <v>50</v>
      </c>
      <c r="H1459" s="3" t="s">
        <v>282</v>
      </c>
      <c r="I1459" s="3" t="s">
        <v>30</v>
      </c>
      <c r="J1459" s="3">
        <v>170</v>
      </c>
      <c r="K1459" s="3">
        <v>23.72</v>
      </c>
      <c r="L1459" s="3">
        <v>27.41</v>
      </c>
      <c r="M1459" s="3">
        <v>4659.7</v>
      </c>
      <c r="N1459" s="3">
        <v>4032.4</v>
      </c>
      <c r="O1459" s="3">
        <v>627.29999999999995</v>
      </c>
      <c r="P1459" s="3" t="s">
        <v>31</v>
      </c>
      <c r="Q1459" s="3" t="s">
        <v>32</v>
      </c>
      <c r="R1459" s="3">
        <v>10</v>
      </c>
      <c r="S1459" s="3" t="s">
        <v>158</v>
      </c>
      <c r="T1459" s="3">
        <v>1517</v>
      </c>
      <c r="U1459" s="3">
        <v>2</v>
      </c>
      <c r="V1459" s="3"/>
    </row>
    <row r="1460" spans="1:22" x14ac:dyDescent="0.35">
      <c r="A1460" s="2" t="s">
        <v>3792</v>
      </c>
      <c r="B1460" s="2" t="s">
        <v>2579</v>
      </c>
      <c r="C1460" s="2" t="s">
        <v>487</v>
      </c>
      <c r="D1460" s="2" t="s">
        <v>2760</v>
      </c>
      <c r="E1460" s="2" t="s">
        <v>100</v>
      </c>
      <c r="F1460" s="2" t="s">
        <v>238</v>
      </c>
      <c r="G1460" s="2" t="s">
        <v>50</v>
      </c>
      <c r="H1460" s="2" t="s">
        <v>260</v>
      </c>
      <c r="I1460" s="2" t="s">
        <v>293</v>
      </c>
      <c r="J1460" s="2">
        <v>117</v>
      </c>
      <c r="K1460" s="2">
        <v>30.89</v>
      </c>
      <c r="L1460" s="2">
        <v>42.35</v>
      </c>
      <c r="M1460" s="2">
        <v>4954.95</v>
      </c>
      <c r="N1460" s="2">
        <v>3614.13</v>
      </c>
      <c r="O1460" s="2">
        <v>1340.82</v>
      </c>
      <c r="P1460" s="2" t="s">
        <v>52</v>
      </c>
      <c r="Q1460" s="2" t="s">
        <v>63</v>
      </c>
      <c r="R1460" s="2">
        <v>2</v>
      </c>
      <c r="S1460" s="2" t="s">
        <v>86</v>
      </c>
      <c r="T1460" s="2">
        <v>704</v>
      </c>
      <c r="U1460" s="2">
        <v>1</v>
      </c>
      <c r="V1460" s="2"/>
    </row>
    <row r="1461" spans="1:22" x14ac:dyDescent="0.35">
      <c r="A1461" s="3" t="s">
        <v>3793</v>
      </c>
      <c r="B1461" s="3" t="s">
        <v>363</v>
      </c>
      <c r="C1461" s="3" t="s">
        <v>114</v>
      </c>
      <c r="D1461" s="3" t="s">
        <v>3794</v>
      </c>
      <c r="E1461" s="3" t="s">
        <v>58</v>
      </c>
      <c r="F1461" s="3" t="s">
        <v>59</v>
      </c>
      <c r="G1461" s="3" t="s">
        <v>78</v>
      </c>
      <c r="H1461" s="3" t="s">
        <v>123</v>
      </c>
      <c r="I1461" s="3" t="s">
        <v>153</v>
      </c>
      <c r="J1461" s="3">
        <v>744</v>
      </c>
      <c r="K1461" s="3">
        <v>297.13</v>
      </c>
      <c r="L1461" s="3">
        <v>400.2</v>
      </c>
      <c r="M1461" s="3">
        <v>297748.8</v>
      </c>
      <c r="N1461" s="3">
        <v>221064.72</v>
      </c>
      <c r="O1461" s="3">
        <v>76684.08</v>
      </c>
      <c r="P1461" s="3" t="s">
        <v>52</v>
      </c>
      <c r="Q1461" s="3" t="s">
        <v>32</v>
      </c>
      <c r="R1461" s="3">
        <v>12</v>
      </c>
      <c r="S1461" s="3" t="s">
        <v>43</v>
      </c>
      <c r="T1461" s="3">
        <v>4287</v>
      </c>
      <c r="U1461" s="3">
        <v>25</v>
      </c>
      <c r="V1461" s="3"/>
    </row>
    <row r="1462" spans="1:22" x14ac:dyDescent="0.35">
      <c r="A1462" s="2" t="s">
        <v>3795</v>
      </c>
      <c r="B1462" s="2" t="s">
        <v>114</v>
      </c>
      <c r="C1462" s="2" t="s">
        <v>1174</v>
      </c>
      <c r="D1462" s="2" t="s">
        <v>1029</v>
      </c>
      <c r="E1462" s="2" t="s">
        <v>100</v>
      </c>
      <c r="F1462" s="2" t="s">
        <v>238</v>
      </c>
      <c r="G1462" s="2" t="s">
        <v>60</v>
      </c>
      <c r="H1462" s="2" t="s">
        <v>265</v>
      </c>
      <c r="I1462" s="2" t="s">
        <v>153</v>
      </c>
      <c r="J1462" s="2">
        <v>709</v>
      </c>
      <c r="K1462" s="2">
        <v>1154.78</v>
      </c>
      <c r="L1462" s="2">
        <v>1893.93</v>
      </c>
      <c r="M1462" s="2">
        <v>1342796.37</v>
      </c>
      <c r="N1462" s="2">
        <v>818739.02</v>
      </c>
      <c r="O1462" s="2">
        <v>524057.35</v>
      </c>
      <c r="P1462" s="2" t="s">
        <v>52</v>
      </c>
      <c r="Q1462" s="2" t="s">
        <v>32</v>
      </c>
      <c r="R1462" s="2">
        <v>13</v>
      </c>
      <c r="S1462" s="2" t="s">
        <v>53</v>
      </c>
      <c r="T1462" s="2">
        <v>4067</v>
      </c>
      <c r="U1462" s="2">
        <v>5</v>
      </c>
      <c r="V1462" s="2"/>
    </row>
    <row r="1463" spans="1:22" x14ac:dyDescent="0.35">
      <c r="A1463" s="3" t="s">
        <v>3796</v>
      </c>
      <c r="B1463" s="3" t="s">
        <v>2508</v>
      </c>
      <c r="C1463" s="3" t="s">
        <v>1820</v>
      </c>
      <c r="D1463" s="3" t="s">
        <v>3797</v>
      </c>
      <c r="E1463" s="3" t="s">
        <v>100</v>
      </c>
      <c r="F1463" s="3" t="s">
        <v>330</v>
      </c>
      <c r="G1463" s="3" t="s">
        <v>93</v>
      </c>
      <c r="H1463" s="3" t="s">
        <v>1442</v>
      </c>
      <c r="I1463" s="3" t="s">
        <v>41</v>
      </c>
      <c r="J1463" s="3">
        <v>216</v>
      </c>
      <c r="K1463" s="3">
        <v>724.14</v>
      </c>
      <c r="L1463" s="3">
        <v>909.25</v>
      </c>
      <c r="M1463" s="3">
        <v>196398</v>
      </c>
      <c r="N1463" s="3">
        <v>156414.24</v>
      </c>
      <c r="O1463" s="3">
        <v>39983.760000000002</v>
      </c>
      <c r="P1463" s="3" t="s">
        <v>95</v>
      </c>
      <c r="Q1463" s="3" t="s">
        <v>32</v>
      </c>
      <c r="R1463" s="3">
        <v>7</v>
      </c>
      <c r="S1463" s="3" t="s">
        <v>43</v>
      </c>
      <c r="T1463" s="3">
        <v>2504</v>
      </c>
      <c r="U1463" s="3">
        <v>7</v>
      </c>
      <c r="V1463" s="3"/>
    </row>
    <row r="1464" spans="1:22" x14ac:dyDescent="0.35">
      <c r="A1464" s="2" t="s">
        <v>3798</v>
      </c>
      <c r="B1464" s="2" t="s">
        <v>3400</v>
      </c>
      <c r="C1464" s="2" t="s">
        <v>782</v>
      </c>
      <c r="D1464" s="2" t="s">
        <v>2446</v>
      </c>
      <c r="E1464" s="2" t="s">
        <v>58</v>
      </c>
      <c r="F1464" s="2" t="s">
        <v>116</v>
      </c>
      <c r="G1464" s="2" t="s">
        <v>93</v>
      </c>
      <c r="H1464" s="2" t="s">
        <v>184</v>
      </c>
      <c r="I1464" s="2" t="s">
        <v>141</v>
      </c>
      <c r="J1464" s="2">
        <v>215</v>
      </c>
      <c r="K1464" s="2">
        <v>1098.94</v>
      </c>
      <c r="L1464" s="2">
        <v>1518.26</v>
      </c>
      <c r="M1464" s="2">
        <v>326425.90000000002</v>
      </c>
      <c r="N1464" s="2">
        <v>236272.1</v>
      </c>
      <c r="O1464" s="2">
        <v>90153.8</v>
      </c>
      <c r="P1464" s="2" t="s">
        <v>52</v>
      </c>
      <c r="Q1464" s="2" t="s">
        <v>63</v>
      </c>
      <c r="R1464" s="2">
        <v>1</v>
      </c>
      <c r="S1464" s="2" t="s">
        <v>1816</v>
      </c>
      <c r="T1464" s="2">
        <v>3364</v>
      </c>
      <c r="U1464" s="2">
        <v>0</v>
      </c>
      <c r="V1464" s="2"/>
    </row>
    <row r="1465" spans="1:22" x14ac:dyDescent="0.35">
      <c r="A1465" s="3" t="s">
        <v>3799</v>
      </c>
      <c r="B1465" s="3" t="s">
        <v>1566</v>
      </c>
      <c r="C1465" s="3" t="s">
        <v>1750</v>
      </c>
      <c r="D1465" s="3" t="s">
        <v>3800</v>
      </c>
      <c r="E1465" s="3" t="s">
        <v>100</v>
      </c>
      <c r="F1465" s="3" t="s">
        <v>538</v>
      </c>
      <c r="G1465" s="3" t="s">
        <v>129</v>
      </c>
      <c r="H1465" s="3" t="s">
        <v>345</v>
      </c>
      <c r="I1465" s="3" t="s">
        <v>118</v>
      </c>
      <c r="J1465" s="3">
        <v>517</v>
      </c>
      <c r="K1465" s="3">
        <v>143.91</v>
      </c>
      <c r="L1465" s="3">
        <v>213.63</v>
      </c>
      <c r="M1465" s="3">
        <v>110446.71</v>
      </c>
      <c r="N1465" s="3">
        <v>74401.47</v>
      </c>
      <c r="O1465" s="3">
        <v>36045.24</v>
      </c>
      <c r="P1465" s="3" t="s">
        <v>42</v>
      </c>
      <c r="Q1465" s="3" t="s">
        <v>32</v>
      </c>
      <c r="R1465" s="3">
        <v>13</v>
      </c>
      <c r="S1465" s="3" t="s">
        <v>86</v>
      </c>
      <c r="T1465" s="3">
        <v>4357</v>
      </c>
      <c r="U1465" s="3">
        <v>10</v>
      </c>
      <c r="V1465" s="3"/>
    </row>
    <row r="1466" spans="1:22" x14ac:dyDescent="0.35">
      <c r="A1466" s="2" t="s">
        <v>3801</v>
      </c>
      <c r="B1466" s="2" t="s">
        <v>186</v>
      </c>
      <c r="C1466" s="2" t="s">
        <v>138</v>
      </c>
      <c r="D1466" s="2" t="s">
        <v>3802</v>
      </c>
      <c r="E1466" s="2" t="s">
        <v>100</v>
      </c>
      <c r="F1466" s="2" t="s">
        <v>538</v>
      </c>
      <c r="G1466" s="2" t="s">
        <v>28</v>
      </c>
      <c r="H1466" s="2" t="s">
        <v>29</v>
      </c>
      <c r="I1466" s="2" t="s">
        <v>3120</v>
      </c>
      <c r="J1466" s="2">
        <v>724</v>
      </c>
      <c r="K1466" s="2">
        <v>965.51</v>
      </c>
      <c r="L1466" s="2">
        <v>1435.18</v>
      </c>
      <c r="M1466" s="2">
        <v>1039070.32</v>
      </c>
      <c r="N1466" s="2">
        <v>699029.24</v>
      </c>
      <c r="O1466" s="2">
        <v>340041.08</v>
      </c>
      <c r="P1466" s="2" t="s">
        <v>31</v>
      </c>
      <c r="Q1466" s="2" t="s">
        <v>32</v>
      </c>
      <c r="R1466" s="2">
        <v>14</v>
      </c>
      <c r="S1466" s="2" t="s">
        <v>86</v>
      </c>
      <c r="T1466" s="2">
        <v>2973</v>
      </c>
      <c r="U1466" s="2">
        <v>19</v>
      </c>
      <c r="V1466" s="2"/>
    </row>
    <row r="1467" spans="1:22" x14ac:dyDescent="0.35">
      <c r="A1467" s="3" t="s">
        <v>3803</v>
      </c>
      <c r="B1467" s="3" t="s">
        <v>2665</v>
      </c>
      <c r="C1467" s="3" t="s">
        <v>175</v>
      </c>
      <c r="D1467" s="3" t="s">
        <v>3804</v>
      </c>
      <c r="E1467" s="3" t="s">
        <v>26</v>
      </c>
      <c r="F1467" s="3" t="s">
        <v>77</v>
      </c>
      <c r="G1467" s="3" t="s">
        <v>39</v>
      </c>
      <c r="H1467" s="3" t="s">
        <v>664</v>
      </c>
      <c r="I1467" s="3" t="s">
        <v>85</v>
      </c>
      <c r="J1467" s="3">
        <v>519</v>
      </c>
      <c r="K1467" s="3">
        <v>159.66</v>
      </c>
      <c r="L1467" s="3">
        <v>197.97</v>
      </c>
      <c r="M1467" s="3">
        <v>102746.43</v>
      </c>
      <c r="N1467" s="3">
        <v>82863.539999999994</v>
      </c>
      <c r="O1467" s="3">
        <v>19882.89</v>
      </c>
      <c r="P1467" s="3" t="s">
        <v>95</v>
      </c>
      <c r="Q1467" s="3" t="s">
        <v>63</v>
      </c>
      <c r="R1467" s="3">
        <v>4</v>
      </c>
      <c r="S1467" s="3" t="s">
        <v>158</v>
      </c>
      <c r="T1467" s="3">
        <v>3904</v>
      </c>
      <c r="U1467" s="3">
        <v>3</v>
      </c>
      <c r="V1467" s="3"/>
    </row>
    <row r="1468" spans="1:22" x14ac:dyDescent="0.35">
      <c r="A1468" s="2" t="s">
        <v>3805</v>
      </c>
      <c r="B1468" s="2" t="s">
        <v>2844</v>
      </c>
      <c r="C1468" s="2" t="s">
        <v>387</v>
      </c>
      <c r="D1468" s="2" t="s">
        <v>3806</v>
      </c>
      <c r="E1468" s="2" t="s">
        <v>26</v>
      </c>
      <c r="F1468" s="2" t="s">
        <v>38</v>
      </c>
      <c r="G1468" s="2" t="s">
        <v>78</v>
      </c>
      <c r="H1468" s="2" t="s">
        <v>425</v>
      </c>
      <c r="I1468" s="2" t="s">
        <v>240</v>
      </c>
      <c r="J1468" s="2">
        <v>85</v>
      </c>
      <c r="K1468" s="2">
        <v>25.74</v>
      </c>
      <c r="L1468" s="2">
        <v>40.57</v>
      </c>
      <c r="M1468" s="2">
        <v>3448.45</v>
      </c>
      <c r="N1468" s="2">
        <v>2187.9</v>
      </c>
      <c r="O1468" s="2">
        <v>1260.55</v>
      </c>
      <c r="P1468" s="2" t="s">
        <v>42</v>
      </c>
      <c r="Q1468" s="2" t="s">
        <v>32</v>
      </c>
      <c r="R1468" s="2">
        <v>13</v>
      </c>
      <c r="S1468" s="2" t="s">
        <v>43</v>
      </c>
      <c r="T1468" s="2">
        <v>3069</v>
      </c>
      <c r="U1468" s="2">
        <v>1</v>
      </c>
      <c r="V1468" s="2"/>
    </row>
    <row r="1469" spans="1:22" x14ac:dyDescent="0.35">
      <c r="A1469" s="3" t="s">
        <v>3807</v>
      </c>
      <c r="B1469" s="3" t="s">
        <v>513</v>
      </c>
      <c r="C1469" s="3" t="s">
        <v>2428</v>
      </c>
      <c r="D1469" s="3" t="s">
        <v>3808</v>
      </c>
      <c r="E1469" s="3" t="s">
        <v>26</v>
      </c>
      <c r="F1469" s="3" t="s">
        <v>77</v>
      </c>
      <c r="G1469" s="3" t="s">
        <v>78</v>
      </c>
      <c r="H1469" s="3" t="s">
        <v>79</v>
      </c>
      <c r="I1469" s="3" t="s">
        <v>191</v>
      </c>
      <c r="J1469" s="3">
        <v>79</v>
      </c>
      <c r="K1469" s="3">
        <v>163.04</v>
      </c>
      <c r="L1469" s="3">
        <v>207.91</v>
      </c>
      <c r="M1469" s="3">
        <v>16424.89</v>
      </c>
      <c r="N1469" s="3">
        <v>12880.16</v>
      </c>
      <c r="O1469" s="3">
        <v>3544.73</v>
      </c>
      <c r="P1469" s="3" t="s">
        <v>31</v>
      </c>
      <c r="Q1469" s="3" t="s">
        <v>32</v>
      </c>
      <c r="R1469" s="3">
        <v>11</v>
      </c>
      <c r="S1469" s="3" t="s">
        <v>43</v>
      </c>
      <c r="T1469" s="3">
        <v>1169</v>
      </c>
      <c r="U1469" s="3">
        <v>2</v>
      </c>
      <c r="V1469" s="3"/>
    </row>
    <row r="1470" spans="1:22" x14ac:dyDescent="0.35">
      <c r="A1470" s="2" t="s">
        <v>3809</v>
      </c>
      <c r="B1470" s="2" t="s">
        <v>581</v>
      </c>
      <c r="C1470" s="2" t="s">
        <v>103</v>
      </c>
      <c r="D1470" s="2" t="s">
        <v>3810</v>
      </c>
      <c r="E1470" s="2" t="s">
        <v>100</v>
      </c>
      <c r="F1470" s="2" t="s">
        <v>330</v>
      </c>
      <c r="G1470" s="2" t="s">
        <v>60</v>
      </c>
      <c r="H1470" s="2" t="s">
        <v>164</v>
      </c>
      <c r="I1470" s="2" t="s">
        <v>293</v>
      </c>
      <c r="J1470" s="2">
        <v>263</v>
      </c>
      <c r="K1470" s="2">
        <v>218.28</v>
      </c>
      <c r="L1470" s="2">
        <v>332.28</v>
      </c>
      <c r="M1470" s="2">
        <v>87389.64</v>
      </c>
      <c r="N1470" s="2">
        <v>57407.64</v>
      </c>
      <c r="O1470" s="2">
        <v>29982</v>
      </c>
      <c r="P1470" s="2" t="s">
        <v>52</v>
      </c>
      <c r="Q1470" s="2" t="s">
        <v>32</v>
      </c>
      <c r="R1470" s="2">
        <v>12</v>
      </c>
      <c r="S1470" s="2" t="s">
        <v>33</v>
      </c>
      <c r="T1470" s="2">
        <v>4063</v>
      </c>
      <c r="U1470" s="2">
        <v>2</v>
      </c>
      <c r="V1470" s="2"/>
    </row>
    <row r="1471" spans="1:22" x14ac:dyDescent="0.35">
      <c r="A1471" s="3" t="s">
        <v>3811</v>
      </c>
      <c r="B1471" s="3" t="s">
        <v>468</v>
      </c>
      <c r="C1471" s="3" t="s">
        <v>1265</v>
      </c>
      <c r="D1471" s="3" t="s">
        <v>3812</v>
      </c>
      <c r="E1471" s="3" t="s">
        <v>58</v>
      </c>
      <c r="F1471" s="3" t="s">
        <v>59</v>
      </c>
      <c r="G1471" s="3" t="s">
        <v>93</v>
      </c>
      <c r="H1471" s="3" t="s">
        <v>302</v>
      </c>
      <c r="I1471" s="3" t="s">
        <v>124</v>
      </c>
      <c r="J1471" s="3">
        <v>391</v>
      </c>
      <c r="K1471" s="3">
        <v>1012.03</v>
      </c>
      <c r="L1471" s="3">
        <v>1458.13</v>
      </c>
      <c r="M1471" s="3">
        <v>570128.82999999996</v>
      </c>
      <c r="N1471" s="3">
        <v>395703.73</v>
      </c>
      <c r="O1471" s="3">
        <v>174425.1</v>
      </c>
      <c r="P1471" s="3" t="s">
        <v>52</v>
      </c>
      <c r="Q1471" s="3" t="s">
        <v>63</v>
      </c>
      <c r="R1471" s="3">
        <v>1</v>
      </c>
      <c r="S1471" s="3" t="s">
        <v>112</v>
      </c>
      <c r="T1471" s="3">
        <v>4562</v>
      </c>
      <c r="U1471" s="3">
        <v>14</v>
      </c>
      <c r="V1471" s="3"/>
    </row>
    <row r="1472" spans="1:22" x14ac:dyDescent="0.35">
      <c r="A1472" s="2" t="s">
        <v>3813</v>
      </c>
      <c r="B1472" s="2" t="s">
        <v>3814</v>
      </c>
      <c r="C1472" s="2" t="s">
        <v>1935</v>
      </c>
      <c r="D1472" s="2" t="s">
        <v>3815</v>
      </c>
      <c r="E1472" s="2" t="s">
        <v>68</v>
      </c>
      <c r="F1472" s="2" t="s">
        <v>69</v>
      </c>
      <c r="G1472" s="2" t="s">
        <v>93</v>
      </c>
      <c r="H1472" s="2" t="s">
        <v>94</v>
      </c>
      <c r="I1472" s="2" t="s">
        <v>62</v>
      </c>
      <c r="J1472" s="2">
        <v>800</v>
      </c>
      <c r="K1472" s="2">
        <v>688.43</v>
      </c>
      <c r="L1472" s="2">
        <v>854.85</v>
      </c>
      <c r="M1472" s="2">
        <v>683880</v>
      </c>
      <c r="N1472" s="2">
        <v>550744</v>
      </c>
      <c r="O1472" s="2">
        <v>133136</v>
      </c>
      <c r="P1472" s="2" t="s">
        <v>52</v>
      </c>
      <c r="Q1472" s="2" t="s">
        <v>63</v>
      </c>
      <c r="R1472" s="2">
        <v>3</v>
      </c>
      <c r="S1472" s="2" t="s">
        <v>43</v>
      </c>
      <c r="T1472" s="2">
        <v>4690</v>
      </c>
      <c r="U1472" s="2">
        <v>38</v>
      </c>
      <c r="V1472" s="2"/>
    </row>
    <row r="1473" spans="1:22" x14ac:dyDescent="0.35">
      <c r="A1473" s="3" t="s">
        <v>3816</v>
      </c>
      <c r="B1473" s="3" t="s">
        <v>1217</v>
      </c>
      <c r="C1473" s="3" t="s">
        <v>479</v>
      </c>
      <c r="D1473" s="3" t="s">
        <v>3817</v>
      </c>
      <c r="E1473" s="3" t="s">
        <v>58</v>
      </c>
      <c r="F1473" s="3" t="s">
        <v>259</v>
      </c>
      <c r="G1473" s="3" t="s">
        <v>39</v>
      </c>
      <c r="H1473" s="3" t="s">
        <v>147</v>
      </c>
      <c r="I1473" s="3" t="s">
        <v>118</v>
      </c>
      <c r="J1473" s="3">
        <v>739</v>
      </c>
      <c r="K1473" s="3">
        <v>531.99</v>
      </c>
      <c r="L1473" s="3">
        <v>609.9</v>
      </c>
      <c r="M1473" s="3">
        <v>450716.1</v>
      </c>
      <c r="N1473" s="3">
        <v>393140.61</v>
      </c>
      <c r="O1473" s="3">
        <v>57575.49</v>
      </c>
      <c r="P1473" s="3" t="s">
        <v>42</v>
      </c>
      <c r="Q1473" s="3" t="s">
        <v>32</v>
      </c>
      <c r="R1473" s="3">
        <v>7</v>
      </c>
      <c r="S1473" s="3" t="s">
        <v>53</v>
      </c>
      <c r="T1473" s="3">
        <v>1317</v>
      </c>
      <c r="U1473" s="3">
        <v>34</v>
      </c>
      <c r="V1473" s="3"/>
    </row>
    <row r="1474" spans="1:22" x14ac:dyDescent="0.35">
      <c r="A1474" s="2" t="s">
        <v>3818</v>
      </c>
      <c r="B1474" s="2" t="s">
        <v>2471</v>
      </c>
      <c r="C1474" s="2" t="s">
        <v>3819</v>
      </c>
      <c r="D1474" s="2" t="s">
        <v>3820</v>
      </c>
      <c r="E1474" s="2" t="s">
        <v>26</v>
      </c>
      <c r="F1474" s="2" t="s">
        <v>77</v>
      </c>
      <c r="G1474" s="2" t="s">
        <v>93</v>
      </c>
      <c r="H1474" s="2" t="s">
        <v>184</v>
      </c>
      <c r="I1474" s="2" t="s">
        <v>72</v>
      </c>
      <c r="J1474" s="2">
        <v>362</v>
      </c>
      <c r="K1474" s="2">
        <v>1092.67</v>
      </c>
      <c r="L1474" s="2">
        <v>1277.6099999999999</v>
      </c>
      <c r="M1474" s="2">
        <v>462494.82</v>
      </c>
      <c r="N1474" s="2">
        <v>395546.54</v>
      </c>
      <c r="O1474" s="2">
        <v>66948.28</v>
      </c>
      <c r="P1474" s="2" t="s">
        <v>42</v>
      </c>
      <c r="Q1474" s="2" t="s">
        <v>32</v>
      </c>
      <c r="R1474" s="2">
        <v>7</v>
      </c>
      <c r="S1474" s="2" t="s">
        <v>158</v>
      </c>
      <c r="T1474" s="2">
        <v>2248</v>
      </c>
      <c r="U1474" s="2">
        <v>11</v>
      </c>
      <c r="V1474" s="2"/>
    </row>
    <row r="1475" spans="1:22" x14ac:dyDescent="0.35">
      <c r="A1475" s="3" t="s">
        <v>3821</v>
      </c>
      <c r="B1475" s="3" t="s">
        <v>194</v>
      </c>
      <c r="C1475" s="3" t="s">
        <v>75</v>
      </c>
      <c r="D1475" s="3" t="s">
        <v>3822</v>
      </c>
      <c r="E1475" s="3" t="s">
        <v>58</v>
      </c>
      <c r="F1475" s="3" t="s">
        <v>116</v>
      </c>
      <c r="G1475" s="3" t="s">
        <v>50</v>
      </c>
      <c r="H1475" s="3" t="s">
        <v>135</v>
      </c>
      <c r="I1475" s="3" t="s">
        <v>191</v>
      </c>
      <c r="J1475" s="3">
        <v>277</v>
      </c>
      <c r="K1475" s="3">
        <v>460.73</v>
      </c>
      <c r="L1475" s="3">
        <v>529.42999999999995</v>
      </c>
      <c r="M1475" s="3">
        <v>146652.10999999999</v>
      </c>
      <c r="N1475" s="3">
        <v>127622.21</v>
      </c>
      <c r="O1475" s="3">
        <v>19029.900000000001</v>
      </c>
      <c r="P1475" s="3" t="s">
        <v>31</v>
      </c>
      <c r="Q1475" s="3" t="s">
        <v>63</v>
      </c>
      <c r="R1475" s="3">
        <v>1</v>
      </c>
      <c r="S1475" s="3" t="s">
        <v>43</v>
      </c>
      <c r="T1475" s="3">
        <v>3375</v>
      </c>
      <c r="U1475" s="3">
        <v>8</v>
      </c>
      <c r="V1475" s="3"/>
    </row>
    <row r="1476" spans="1:22" x14ac:dyDescent="0.35">
      <c r="A1476" s="2" t="s">
        <v>3823</v>
      </c>
      <c r="B1476" s="2" t="s">
        <v>3570</v>
      </c>
      <c r="C1476" s="2" t="s">
        <v>3723</v>
      </c>
      <c r="D1476" s="2" t="s">
        <v>3772</v>
      </c>
      <c r="E1476" s="2" t="s">
        <v>58</v>
      </c>
      <c r="F1476" s="2" t="s">
        <v>59</v>
      </c>
      <c r="G1476" s="2" t="s">
        <v>129</v>
      </c>
      <c r="H1476" s="2" t="s">
        <v>3824</v>
      </c>
      <c r="I1476" s="2" t="s">
        <v>153</v>
      </c>
      <c r="J1476" s="2">
        <v>327</v>
      </c>
      <c r="K1476" s="2">
        <v>179.63</v>
      </c>
      <c r="L1476" s="2">
        <v>213.57</v>
      </c>
      <c r="M1476" s="2">
        <v>69837.39</v>
      </c>
      <c r="N1476" s="2">
        <v>58739.01</v>
      </c>
      <c r="O1476" s="2">
        <v>11098.38</v>
      </c>
      <c r="P1476" s="2" t="s">
        <v>31</v>
      </c>
      <c r="Q1476" s="2" t="s">
        <v>32</v>
      </c>
      <c r="R1476" s="2">
        <v>11</v>
      </c>
      <c r="S1476" s="2" t="s">
        <v>53</v>
      </c>
      <c r="T1476" s="2">
        <v>1579</v>
      </c>
      <c r="U1476" s="2">
        <v>8</v>
      </c>
      <c r="V1476" s="2"/>
    </row>
    <row r="1477" spans="1:22" x14ac:dyDescent="0.35">
      <c r="A1477" s="3" t="s">
        <v>3825</v>
      </c>
      <c r="B1477" s="3" t="s">
        <v>3826</v>
      </c>
      <c r="C1477" s="3" t="s">
        <v>439</v>
      </c>
      <c r="D1477" s="3" t="s">
        <v>2714</v>
      </c>
      <c r="E1477" s="3" t="s">
        <v>58</v>
      </c>
      <c r="F1477" s="3" t="s">
        <v>59</v>
      </c>
      <c r="G1477" s="3" t="s">
        <v>129</v>
      </c>
      <c r="H1477" s="3" t="s">
        <v>152</v>
      </c>
      <c r="I1477" s="3" t="s">
        <v>41</v>
      </c>
      <c r="J1477" s="3">
        <v>754</v>
      </c>
      <c r="K1477" s="3">
        <v>1051.32</v>
      </c>
      <c r="L1477" s="3">
        <v>1541.15</v>
      </c>
      <c r="M1477" s="3">
        <v>1162027.1000000001</v>
      </c>
      <c r="N1477" s="3">
        <v>792695.28</v>
      </c>
      <c r="O1477" s="3">
        <v>369331.82</v>
      </c>
      <c r="P1477" s="3" t="s">
        <v>95</v>
      </c>
      <c r="Q1477" s="3" t="s">
        <v>32</v>
      </c>
      <c r="R1477" s="3">
        <v>9</v>
      </c>
      <c r="S1477" s="3" t="s">
        <v>86</v>
      </c>
      <c r="T1477" s="3">
        <v>107</v>
      </c>
      <c r="U1477" s="3">
        <v>33</v>
      </c>
      <c r="V1477" s="3"/>
    </row>
    <row r="1478" spans="1:22" x14ac:dyDescent="0.35">
      <c r="A1478" s="2" t="s">
        <v>3827</v>
      </c>
      <c r="B1478" s="2" t="s">
        <v>1246</v>
      </c>
      <c r="C1478" s="2" t="s">
        <v>1299</v>
      </c>
      <c r="D1478" s="2" t="s">
        <v>3828</v>
      </c>
      <c r="E1478" s="2" t="s">
        <v>68</v>
      </c>
      <c r="F1478" s="2" t="s">
        <v>249</v>
      </c>
      <c r="G1478" s="2" t="s">
        <v>93</v>
      </c>
      <c r="H1478" s="2" t="s">
        <v>94</v>
      </c>
      <c r="I1478" s="2" t="s">
        <v>118</v>
      </c>
      <c r="J1478" s="2">
        <v>48</v>
      </c>
      <c r="K1478" s="2">
        <v>574.13</v>
      </c>
      <c r="L1478" s="2">
        <v>704.27</v>
      </c>
      <c r="M1478" s="2">
        <v>33804.959999999999</v>
      </c>
      <c r="N1478" s="2">
        <v>27558.240000000002</v>
      </c>
      <c r="O1478" s="2">
        <v>6246.72</v>
      </c>
      <c r="P1478" s="2" t="s">
        <v>31</v>
      </c>
      <c r="Q1478" s="2" t="s">
        <v>32</v>
      </c>
      <c r="R1478" s="2">
        <v>15</v>
      </c>
      <c r="S1478" s="2" t="s">
        <v>158</v>
      </c>
      <c r="T1478" s="2">
        <v>4723</v>
      </c>
      <c r="U1478" s="2">
        <v>2</v>
      </c>
      <c r="V1478" s="2"/>
    </row>
    <row r="1479" spans="1:22" x14ac:dyDescent="0.35">
      <c r="A1479" s="3" t="s">
        <v>3829</v>
      </c>
      <c r="B1479" s="3" t="s">
        <v>2007</v>
      </c>
      <c r="C1479" s="3" t="s">
        <v>937</v>
      </c>
      <c r="D1479" s="3" t="s">
        <v>3830</v>
      </c>
      <c r="E1479" s="3" t="s">
        <v>100</v>
      </c>
      <c r="F1479" s="3" t="s">
        <v>101</v>
      </c>
      <c r="G1479" s="3" t="s">
        <v>70</v>
      </c>
      <c r="H1479" s="3" t="s">
        <v>623</v>
      </c>
      <c r="I1479" s="3" t="s">
        <v>85</v>
      </c>
      <c r="J1479" s="3">
        <v>652</v>
      </c>
      <c r="K1479" s="3">
        <v>176.94</v>
      </c>
      <c r="L1479" s="3">
        <v>272.14999999999998</v>
      </c>
      <c r="M1479" s="3">
        <v>177441.8</v>
      </c>
      <c r="N1479" s="3">
        <v>115364.88</v>
      </c>
      <c r="O1479" s="3">
        <v>62076.92</v>
      </c>
      <c r="P1479" s="3" t="s">
        <v>52</v>
      </c>
      <c r="Q1479" s="3" t="s">
        <v>32</v>
      </c>
      <c r="R1479" s="3">
        <v>8</v>
      </c>
      <c r="S1479" s="3" t="s">
        <v>33</v>
      </c>
      <c r="T1479" s="3">
        <v>1076</v>
      </c>
      <c r="U1479" s="3">
        <v>3</v>
      </c>
      <c r="V1479" s="3"/>
    </row>
    <row r="1480" spans="1:22" x14ac:dyDescent="0.35">
      <c r="A1480" s="2" t="s">
        <v>3831</v>
      </c>
      <c r="B1480" s="2" t="s">
        <v>522</v>
      </c>
      <c r="C1480" s="2" t="s">
        <v>533</v>
      </c>
      <c r="D1480" s="2" t="s">
        <v>237</v>
      </c>
      <c r="E1480" s="2" t="s">
        <v>68</v>
      </c>
      <c r="F1480" s="2" t="s">
        <v>146</v>
      </c>
      <c r="G1480" s="2" t="s">
        <v>60</v>
      </c>
      <c r="H1480" s="2" t="s">
        <v>164</v>
      </c>
      <c r="I1480" s="2" t="s">
        <v>85</v>
      </c>
      <c r="J1480" s="2">
        <v>564</v>
      </c>
      <c r="K1480" s="2">
        <v>552.83000000000004</v>
      </c>
      <c r="L1480" s="2">
        <v>757.82</v>
      </c>
      <c r="M1480" s="2">
        <v>427410.48</v>
      </c>
      <c r="N1480" s="2">
        <v>311796.12</v>
      </c>
      <c r="O1480" s="2">
        <v>115614.36</v>
      </c>
      <c r="P1480" s="2" t="s">
        <v>95</v>
      </c>
      <c r="Q1480" s="2" t="s">
        <v>32</v>
      </c>
      <c r="R1480" s="2">
        <v>10</v>
      </c>
      <c r="S1480" s="2" t="s">
        <v>43</v>
      </c>
      <c r="T1480" s="2">
        <v>3655</v>
      </c>
      <c r="U1480" s="2">
        <v>26</v>
      </c>
      <c r="V1480" s="2"/>
    </row>
    <row r="1481" spans="1:22" x14ac:dyDescent="0.35">
      <c r="A1481" s="3" t="s">
        <v>3832</v>
      </c>
      <c r="B1481" s="3" t="s">
        <v>517</v>
      </c>
      <c r="C1481" s="3" t="s">
        <v>278</v>
      </c>
      <c r="D1481" s="3" t="s">
        <v>3833</v>
      </c>
      <c r="E1481" s="3" t="s">
        <v>100</v>
      </c>
      <c r="F1481" s="3" t="s">
        <v>238</v>
      </c>
      <c r="G1481" s="3" t="s">
        <v>217</v>
      </c>
      <c r="H1481" s="3" t="s">
        <v>218</v>
      </c>
      <c r="I1481" s="3" t="s">
        <v>153</v>
      </c>
      <c r="J1481" s="3">
        <v>43</v>
      </c>
      <c r="K1481" s="3">
        <v>17.32</v>
      </c>
      <c r="L1481" s="3">
        <v>27.29</v>
      </c>
      <c r="M1481" s="3">
        <v>1173.47</v>
      </c>
      <c r="N1481" s="3">
        <v>744.76</v>
      </c>
      <c r="O1481" s="3">
        <v>428.71</v>
      </c>
      <c r="P1481" s="3" t="s">
        <v>31</v>
      </c>
      <c r="Q1481" s="3" t="s">
        <v>32</v>
      </c>
      <c r="R1481" s="3">
        <v>11</v>
      </c>
      <c r="S1481" s="3" t="s">
        <v>33</v>
      </c>
      <c r="T1481" s="3">
        <v>1037</v>
      </c>
      <c r="U1481" s="3">
        <v>0</v>
      </c>
      <c r="V1481" s="3"/>
    </row>
    <row r="1482" spans="1:22" x14ac:dyDescent="0.35">
      <c r="A1482" s="2" t="s">
        <v>3834</v>
      </c>
      <c r="B1482" s="2" t="s">
        <v>150</v>
      </c>
      <c r="C1482" s="2" t="s">
        <v>56</v>
      </c>
      <c r="D1482" s="2" t="s">
        <v>3835</v>
      </c>
      <c r="E1482" s="2" t="s">
        <v>26</v>
      </c>
      <c r="F1482" s="2" t="s">
        <v>77</v>
      </c>
      <c r="G1482" s="2" t="s">
        <v>189</v>
      </c>
      <c r="H1482" s="2" t="s">
        <v>271</v>
      </c>
      <c r="I1482" s="2" t="s">
        <v>30</v>
      </c>
      <c r="J1482" s="2">
        <v>690</v>
      </c>
      <c r="K1482" s="2">
        <v>209.05</v>
      </c>
      <c r="L1482" s="2">
        <v>306.73</v>
      </c>
      <c r="M1482" s="2">
        <v>211643.7</v>
      </c>
      <c r="N1482" s="2">
        <v>144244.5</v>
      </c>
      <c r="O1482" s="2">
        <v>67399.199999999997</v>
      </c>
      <c r="P1482" s="2" t="s">
        <v>52</v>
      </c>
      <c r="Q1482" s="2" t="s">
        <v>32</v>
      </c>
      <c r="R1482" s="2">
        <v>6</v>
      </c>
      <c r="S1482" s="2" t="s">
        <v>43</v>
      </c>
      <c r="T1482" s="2">
        <v>1915</v>
      </c>
      <c r="U1482" s="2">
        <v>33</v>
      </c>
      <c r="V1482" s="2"/>
    </row>
    <row r="1483" spans="1:22" x14ac:dyDescent="0.35">
      <c r="A1483" s="3" t="s">
        <v>3836</v>
      </c>
      <c r="B1483" s="3" t="s">
        <v>1380</v>
      </c>
      <c r="C1483" s="3" t="s">
        <v>2569</v>
      </c>
      <c r="D1483" s="3" t="s">
        <v>3837</v>
      </c>
      <c r="E1483" s="3" t="s">
        <v>26</v>
      </c>
      <c r="F1483" s="3" t="s">
        <v>228</v>
      </c>
      <c r="G1483" s="3" t="s">
        <v>50</v>
      </c>
      <c r="H1483" s="3" t="s">
        <v>107</v>
      </c>
      <c r="I1483" s="3" t="s">
        <v>124</v>
      </c>
      <c r="J1483" s="3">
        <v>30</v>
      </c>
      <c r="K1483" s="3">
        <v>352.47</v>
      </c>
      <c r="L1483" s="3">
        <v>446.37</v>
      </c>
      <c r="M1483" s="3">
        <v>13391.1</v>
      </c>
      <c r="N1483" s="3">
        <v>10574.1</v>
      </c>
      <c r="O1483" s="3">
        <v>2817</v>
      </c>
      <c r="P1483" s="3" t="s">
        <v>31</v>
      </c>
      <c r="Q1483" s="3" t="s">
        <v>63</v>
      </c>
      <c r="R1483" s="3">
        <v>2</v>
      </c>
      <c r="S1483" s="3" t="s">
        <v>112</v>
      </c>
      <c r="T1483" s="3">
        <v>1094</v>
      </c>
      <c r="U1483" s="3">
        <v>1</v>
      </c>
      <c r="V1483" s="3"/>
    </row>
    <row r="1484" spans="1:22" x14ac:dyDescent="0.35">
      <c r="A1484" s="2" t="s">
        <v>3838</v>
      </c>
      <c r="B1484" s="2" t="s">
        <v>1074</v>
      </c>
      <c r="C1484" s="2" t="s">
        <v>3839</v>
      </c>
      <c r="D1484" s="2" t="s">
        <v>3840</v>
      </c>
      <c r="E1484" s="2" t="s">
        <v>100</v>
      </c>
      <c r="F1484" s="2" t="s">
        <v>538</v>
      </c>
      <c r="G1484" s="2" t="s">
        <v>70</v>
      </c>
      <c r="H1484" s="2" t="s">
        <v>239</v>
      </c>
      <c r="I1484" s="2" t="s">
        <v>124</v>
      </c>
      <c r="J1484" s="2">
        <v>511</v>
      </c>
      <c r="K1484" s="2">
        <v>985.97</v>
      </c>
      <c r="L1484" s="2">
        <v>1218.1300000000001</v>
      </c>
      <c r="M1484" s="2">
        <v>622464.43000000005</v>
      </c>
      <c r="N1484" s="2">
        <v>503830.67</v>
      </c>
      <c r="O1484" s="2">
        <v>118633.76</v>
      </c>
      <c r="P1484" s="2" t="s">
        <v>31</v>
      </c>
      <c r="Q1484" s="2" t="s">
        <v>63</v>
      </c>
      <c r="R1484" s="2">
        <v>4</v>
      </c>
      <c r="S1484" s="2" t="s">
        <v>43</v>
      </c>
      <c r="T1484" s="2">
        <v>248</v>
      </c>
      <c r="U1484" s="2">
        <v>17</v>
      </c>
      <c r="V1484" s="2"/>
    </row>
    <row r="1485" spans="1:22" x14ac:dyDescent="0.35">
      <c r="A1485" s="3" t="s">
        <v>3841</v>
      </c>
      <c r="B1485" s="3" t="s">
        <v>599</v>
      </c>
      <c r="C1485" s="3" t="s">
        <v>774</v>
      </c>
      <c r="D1485" s="3" t="s">
        <v>3842</v>
      </c>
      <c r="E1485" s="3" t="s">
        <v>58</v>
      </c>
      <c r="F1485" s="3" t="s">
        <v>116</v>
      </c>
      <c r="G1485" s="3" t="s">
        <v>39</v>
      </c>
      <c r="H1485" s="3" t="s">
        <v>647</v>
      </c>
      <c r="I1485" s="3" t="s">
        <v>118</v>
      </c>
      <c r="J1485" s="3">
        <v>764</v>
      </c>
      <c r="K1485" s="3">
        <v>79.069999999999993</v>
      </c>
      <c r="L1485" s="3">
        <v>111.34</v>
      </c>
      <c r="M1485" s="3">
        <v>85063.76</v>
      </c>
      <c r="N1485" s="3">
        <v>60409.48</v>
      </c>
      <c r="O1485" s="3">
        <v>24654.28</v>
      </c>
      <c r="P1485" s="3" t="s">
        <v>42</v>
      </c>
      <c r="Q1485" s="3" t="s">
        <v>32</v>
      </c>
      <c r="R1485" s="3">
        <v>15</v>
      </c>
      <c r="S1485" s="3" t="s">
        <v>53</v>
      </c>
      <c r="T1485" s="3">
        <v>645</v>
      </c>
      <c r="U1485" s="3">
        <v>23</v>
      </c>
      <c r="V1485" s="3"/>
    </row>
    <row r="1486" spans="1:22" x14ac:dyDescent="0.35">
      <c r="A1486" s="2" t="s">
        <v>3843</v>
      </c>
      <c r="B1486" s="2" t="s">
        <v>402</v>
      </c>
      <c r="C1486" s="2" t="s">
        <v>390</v>
      </c>
      <c r="D1486" s="2" t="s">
        <v>3844</v>
      </c>
      <c r="E1486" s="2" t="s">
        <v>58</v>
      </c>
      <c r="F1486" s="2" t="s">
        <v>116</v>
      </c>
      <c r="G1486" s="2" t="s">
        <v>217</v>
      </c>
      <c r="H1486" s="2" t="s">
        <v>340</v>
      </c>
      <c r="I1486" s="2" t="s">
        <v>124</v>
      </c>
      <c r="J1486" s="2">
        <v>558</v>
      </c>
      <c r="K1486" s="2">
        <v>135.47</v>
      </c>
      <c r="L1486" s="2">
        <v>201.87</v>
      </c>
      <c r="M1486" s="2">
        <v>112643.46</v>
      </c>
      <c r="N1486" s="2">
        <v>75592.259999999995</v>
      </c>
      <c r="O1486" s="2">
        <v>37051.199999999997</v>
      </c>
      <c r="P1486" s="2" t="s">
        <v>42</v>
      </c>
      <c r="Q1486" s="2" t="s">
        <v>32</v>
      </c>
      <c r="R1486" s="2">
        <v>7</v>
      </c>
      <c r="S1486" s="2" t="s">
        <v>158</v>
      </c>
      <c r="T1486" s="2">
        <v>4726</v>
      </c>
      <c r="U1486" s="2">
        <v>5</v>
      </c>
      <c r="V1486" s="2"/>
    </row>
    <row r="1487" spans="1:22" x14ac:dyDescent="0.35">
      <c r="A1487" s="3" t="s">
        <v>3845</v>
      </c>
      <c r="B1487" s="3" t="s">
        <v>2932</v>
      </c>
      <c r="C1487" s="3" t="s">
        <v>2425</v>
      </c>
      <c r="D1487" s="3" t="s">
        <v>3846</v>
      </c>
      <c r="E1487" s="3" t="s">
        <v>68</v>
      </c>
      <c r="F1487" s="3" t="s">
        <v>276</v>
      </c>
      <c r="G1487" s="3" t="s">
        <v>93</v>
      </c>
      <c r="H1487" s="3" t="s">
        <v>643</v>
      </c>
      <c r="I1487" s="3" t="s">
        <v>62</v>
      </c>
      <c r="J1487" s="3">
        <v>137</v>
      </c>
      <c r="K1487" s="3">
        <v>1171.8399999999999</v>
      </c>
      <c r="L1487" s="3">
        <v>1774.11</v>
      </c>
      <c r="M1487" s="3">
        <v>243053.07</v>
      </c>
      <c r="N1487" s="3">
        <v>160542.07999999999</v>
      </c>
      <c r="O1487" s="3">
        <v>82510.990000000005</v>
      </c>
      <c r="P1487" s="3" t="s">
        <v>42</v>
      </c>
      <c r="Q1487" s="3" t="s">
        <v>63</v>
      </c>
      <c r="R1487" s="3">
        <v>4</v>
      </c>
      <c r="S1487" s="3" t="s">
        <v>158</v>
      </c>
      <c r="T1487" s="3">
        <v>4880</v>
      </c>
      <c r="U1487" s="3">
        <v>2</v>
      </c>
      <c r="V1487" s="3"/>
    </row>
    <row r="1488" spans="1:22" x14ac:dyDescent="0.35">
      <c r="A1488" s="2" t="s">
        <v>3847</v>
      </c>
      <c r="B1488" s="2" t="s">
        <v>1236</v>
      </c>
      <c r="C1488" s="2" t="s">
        <v>1934</v>
      </c>
      <c r="D1488" s="2" t="s">
        <v>3848</v>
      </c>
      <c r="E1488" s="2" t="s">
        <v>58</v>
      </c>
      <c r="F1488" s="2" t="s">
        <v>259</v>
      </c>
      <c r="G1488" s="2" t="s">
        <v>70</v>
      </c>
      <c r="H1488" s="2" t="s">
        <v>822</v>
      </c>
      <c r="I1488" s="2" t="s">
        <v>141</v>
      </c>
      <c r="J1488" s="2">
        <v>585</v>
      </c>
      <c r="K1488" s="2">
        <v>300.92</v>
      </c>
      <c r="L1488" s="2">
        <v>387.38</v>
      </c>
      <c r="M1488" s="2">
        <v>226617.3</v>
      </c>
      <c r="N1488" s="2">
        <v>176038.2</v>
      </c>
      <c r="O1488" s="2">
        <v>50579.1</v>
      </c>
      <c r="P1488" s="2" t="s">
        <v>95</v>
      </c>
      <c r="Q1488" s="2" t="s">
        <v>32</v>
      </c>
      <c r="R1488" s="2">
        <v>15</v>
      </c>
      <c r="S1488" s="2" t="s">
        <v>53</v>
      </c>
      <c r="T1488" s="2">
        <v>731</v>
      </c>
      <c r="U1488" s="2">
        <v>19</v>
      </c>
      <c r="V1488" s="2"/>
    </row>
    <row r="1489" spans="1:22" x14ac:dyDescent="0.35">
      <c r="A1489" s="3" t="s">
        <v>3849</v>
      </c>
      <c r="B1489" s="3" t="s">
        <v>1438</v>
      </c>
      <c r="C1489" s="3" t="s">
        <v>1299</v>
      </c>
      <c r="D1489" s="3" t="s">
        <v>3850</v>
      </c>
      <c r="E1489" s="3" t="s">
        <v>58</v>
      </c>
      <c r="F1489" s="3" t="s">
        <v>429</v>
      </c>
      <c r="G1489" s="3" t="s">
        <v>70</v>
      </c>
      <c r="H1489" s="3" t="s">
        <v>1019</v>
      </c>
      <c r="I1489" s="3" t="s">
        <v>153</v>
      </c>
      <c r="J1489" s="3">
        <v>126</v>
      </c>
      <c r="K1489" s="3">
        <v>910.96</v>
      </c>
      <c r="L1489" s="3">
        <v>1303.05</v>
      </c>
      <c r="M1489" s="3">
        <v>164184.29999999999</v>
      </c>
      <c r="N1489" s="3">
        <v>114780.96</v>
      </c>
      <c r="O1489" s="3">
        <v>49403.34</v>
      </c>
      <c r="P1489" s="3" t="s">
        <v>52</v>
      </c>
      <c r="Q1489" s="3" t="s">
        <v>32</v>
      </c>
      <c r="R1489" s="3">
        <v>15</v>
      </c>
      <c r="S1489" s="3" t="s">
        <v>53</v>
      </c>
      <c r="T1489" s="3">
        <v>4936</v>
      </c>
      <c r="U1489" s="3">
        <v>2</v>
      </c>
      <c r="V1489" s="3"/>
    </row>
    <row r="1490" spans="1:22" x14ac:dyDescent="0.35">
      <c r="A1490" s="2" t="s">
        <v>3851</v>
      </c>
      <c r="B1490" s="2" t="s">
        <v>1477</v>
      </c>
      <c r="C1490" s="2" t="s">
        <v>2122</v>
      </c>
      <c r="D1490" s="2" t="s">
        <v>3852</v>
      </c>
      <c r="E1490" s="4"/>
      <c r="F1490" s="2" t="s">
        <v>106</v>
      </c>
      <c r="G1490" s="2" t="s">
        <v>60</v>
      </c>
      <c r="H1490" s="2" t="s">
        <v>3853</v>
      </c>
      <c r="I1490" s="2" t="s">
        <v>118</v>
      </c>
      <c r="J1490" s="2">
        <v>368</v>
      </c>
      <c r="K1490" s="2">
        <v>997.8</v>
      </c>
      <c r="L1490" s="2">
        <v>1179.94</v>
      </c>
      <c r="M1490" s="2">
        <v>434217.92</v>
      </c>
      <c r="N1490" s="2">
        <v>367190.4</v>
      </c>
      <c r="O1490" s="2">
        <v>67027.520000000004</v>
      </c>
      <c r="P1490" s="2" t="s">
        <v>42</v>
      </c>
      <c r="Q1490" s="2" t="s">
        <v>32</v>
      </c>
      <c r="R1490" s="2">
        <v>11</v>
      </c>
      <c r="S1490" s="2" t="s">
        <v>43</v>
      </c>
      <c r="T1490" s="2">
        <v>2435</v>
      </c>
      <c r="U1490" s="2">
        <v>5</v>
      </c>
      <c r="V1490" s="2"/>
    </row>
    <row r="1491" spans="1:22" x14ac:dyDescent="0.35">
      <c r="A1491" s="3" t="s">
        <v>3854</v>
      </c>
      <c r="B1491" s="3" t="s">
        <v>347</v>
      </c>
      <c r="C1491" s="3" t="s">
        <v>423</v>
      </c>
      <c r="D1491" s="3" t="s">
        <v>3855</v>
      </c>
      <c r="E1491" s="3" t="s">
        <v>100</v>
      </c>
      <c r="F1491" s="3" t="s">
        <v>238</v>
      </c>
      <c r="G1491" s="3" t="s">
        <v>189</v>
      </c>
      <c r="H1491" s="3" t="s">
        <v>369</v>
      </c>
      <c r="I1491" s="3" t="s">
        <v>62</v>
      </c>
      <c r="J1491" s="3">
        <v>667</v>
      </c>
      <c r="K1491" s="3">
        <v>1104.96</v>
      </c>
      <c r="L1491" s="3">
        <v>1572.68</v>
      </c>
      <c r="M1491" s="3">
        <v>1048977.56</v>
      </c>
      <c r="N1491" s="3">
        <v>737008.32</v>
      </c>
      <c r="O1491" s="3">
        <v>311969.24</v>
      </c>
      <c r="P1491" s="3" t="s">
        <v>95</v>
      </c>
      <c r="Q1491" s="3" t="s">
        <v>32</v>
      </c>
      <c r="R1491" s="3">
        <v>8</v>
      </c>
      <c r="S1491" s="3" t="s">
        <v>53</v>
      </c>
      <c r="T1491" s="3">
        <v>651</v>
      </c>
      <c r="U1491" s="3">
        <v>18</v>
      </c>
      <c r="V1491" s="3"/>
    </row>
    <row r="1492" spans="1:22" x14ac:dyDescent="0.35">
      <c r="A1492" s="2" t="s">
        <v>3856</v>
      </c>
      <c r="B1492" s="2" t="s">
        <v>3857</v>
      </c>
      <c r="C1492" s="2" t="s">
        <v>82</v>
      </c>
      <c r="D1492" s="2" t="s">
        <v>3858</v>
      </c>
      <c r="E1492" s="2" t="s">
        <v>48</v>
      </c>
      <c r="F1492" s="2" t="s">
        <v>49</v>
      </c>
      <c r="G1492" s="2" t="s">
        <v>28</v>
      </c>
      <c r="H1492" s="2" t="s">
        <v>507</v>
      </c>
      <c r="I1492" s="2" t="s">
        <v>62</v>
      </c>
      <c r="J1492" s="2">
        <v>449</v>
      </c>
      <c r="K1492" s="2">
        <v>1033.76</v>
      </c>
      <c r="L1492" s="2">
        <v>1404.11</v>
      </c>
      <c r="M1492" s="2">
        <v>630445.39</v>
      </c>
      <c r="N1492" s="2">
        <v>464158.24</v>
      </c>
      <c r="O1492" s="2">
        <v>166287.15</v>
      </c>
      <c r="P1492" s="2" t="s">
        <v>95</v>
      </c>
      <c r="Q1492" s="2" t="s">
        <v>2294</v>
      </c>
      <c r="R1492" s="2">
        <v>13</v>
      </c>
      <c r="S1492" s="2" t="s">
        <v>33</v>
      </c>
      <c r="T1492" s="2">
        <v>4761</v>
      </c>
      <c r="U1492" s="2">
        <v>21</v>
      </c>
      <c r="V1492" s="2"/>
    </row>
    <row r="1493" spans="1:22" x14ac:dyDescent="0.35">
      <c r="A1493" s="3" t="s">
        <v>3859</v>
      </c>
      <c r="B1493" s="3" t="s">
        <v>522</v>
      </c>
      <c r="C1493" s="3" t="s">
        <v>2192</v>
      </c>
      <c r="D1493" s="3" t="s">
        <v>3860</v>
      </c>
      <c r="E1493" s="3" t="s">
        <v>58</v>
      </c>
      <c r="F1493" s="3" t="s">
        <v>59</v>
      </c>
      <c r="G1493" s="3" t="s">
        <v>93</v>
      </c>
      <c r="H1493" s="3" t="s">
        <v>302</v>
      </c>
      <c r="I1493" s="3" t="s">
        <v>293</v>
      </c>
      <c r="J1493" s="3">
        <v>59</v>
      </c>
      <c r="K1493" s="3">
        <v>860.96</v>
      </c>
      <c r="L1493" s="3">
        <v>1346.16</v>
      </c>
      <c r="M1493" s="3">
        <v>79423.44</v>
      </c>
      <c r="N1493" s="3">
        <v>50796.639999999999</v>
      </c>
      <c r="O1493" s="3">
        <v>28626.799999999999</v>
      </c>
      <c r="P1493" s="3" t="s">
        <v>42</v>
      </c>
      <c r="Q1493" s="3" t="s">
        <v>32</v>
      </c>
      <c r="R1493" s="3">
        <v>12</v>
      </c>
      <c r="S1493" s="3" t="s">
        <v>43</v>
      </c>
      <c r="T1493" s="3">
        <v>3756</v>
      </c>
      <c r="U1493" s="3">
        <v>0</v>
      </c>
      <c r="V1493" s="3"/>
    </row>
    <row r="1494" spans="1:22" x14ac:dyDescent="0.35">
      <c r="A1494" s="2" t="s">
        <v>3861</v>
      </c>
      <c r="B1494" s="2" t="s">
        <v>347</v>
      </c>
      <c r="C1494" s="2" t="s">
        <v>1080</v>
      </c>
      <c r="D1494" s="2" t="s">
        <v>3862</v>
      </c>
      <c r="E1494" s="2" t="s">
        <v>68</v>
      </c>
      <c r="F1494" s="2" t="s">
        <v>163</v>
      </c>
      <c r="G1494" s="2" t="s">
        <v>28</v>
      </c>
      <c r="H1494" s="2" t="s">
        <v>579</v>
      </c>
      <c r="I1494" s="2" t="s">
        <v>293</v>
      </c>
      <c r="J1494" s="2">
        <v>369</v>
      </c>
      <c r="K1494" s="2">
        <v>1000.72</v>
      </c>
      <c r="L1494" s="2">
        <v>1332.06</v>
      </c>
      <c r="M1494" s="2">
        <v>491530.14</v>
      </c>
      <c r="N1494" s="2">
        <v>369265.68</v>
      </c>
      <c r="O1494" s="2">
        <v>122264.46</v>
      </c>
      <c r="P1494" s="2" t="s">
        <v>42</v>
      </c>
      <c r="Q1494" s="2" t="s">
        <v>32</v>
      </c>
      <c r="R1494" s="2">
        <v>11</v>
      </c>
      <c r="S1494" s="2" t="s">
        <v>43</v>
      </c>
      <c r="T1494" s="2">
        <v>1017</v>
      </c>
      <c r="U1494" s="2">
        <v>10</v>
      </c>
      <c r="V1494" s="2"/>
    </row>
    <row r="1495" spans="1:22" x14ac:dyDescent="0.35">
      <c r="A1495" s="3" t="s">
        <v>3198</v>
      </c>
      <c r="B1495" s="3" t="s">
        <v>919</v>
      </c>
      <c r="C1495" s="3" t="s">
        <v>1232</v>
      </c>
      <c r="D1495" s="3" t="s">
        <v>3162</v>
      </c>
      <c r="E1495" s="3" t="s">
        <v>100</v>
      </c>
      <c r="F1495" s="3" t="s">
        <v>101</v>
      </c>
      <c r="G1495" s="3" t="s">
        <v>70</v>
      </c>
      <c r="H1495" s="3" t="s">
        <v>84</v>
      </c>
      <c r="I1495" s="3" t="s">
        <v>1704</v>
      </c>
      <c r="J1495" s="3">
        <v>574</v>
      </c>
      <c r="K1495" s="3">
        <v>1034.93</v>
      </c>
      <c r="L1495" s="3">
        <v>1188.4100000000001</v>
      </c>
      <c r="M1495" s="3">
        <v>682147.34</v>
      </c>
      <c r="N1495" s="3">
        <v>594049.81999999995</v>
      </c>
      <c r="O1495" s="3">
        <v>88097.52</v>
      </c>
      <c r="P1495" s="3" t="s">
        <v>95</v>
      </c>
      <c r="Q1495" s="3" t="s">
        <v>63</v>
      </c>
      <c r="R1495" s="3">
        <v>5</v>
      </c>
      <c r="S1495" s="3" t="s">
        <v>53</v>
      </c>
      <c r="T1495" s="3">
        <v>934</v>
      </c>
      <c r="U1495" s="3">
        <v>1</v>
      </c>
      <c r="V1495" s="3"/>
    </row>
    <row r="1496" spans="1:22" x14ac:dyDescent="0.35">
      <c r="A1496" s="2" t="s">
        <v>3863</v>
      </c>
      <c r="B1496" s="2" t="s">
        <v>176</v>
      </c>
      <c r="C1496" s="2" t="s">
        <v>382</v>
      </c>
      <c r="D1496" s="2" t="s">
        <v>3864</v>
      </c>
      <c r="E1496" s="2" t="s">
        <v>58</v>
      </c>
      <c r="F1496" s="2" t="s">
        <v>417</v>
      </c>
      <c r="G1496" s="2" t="s">
        <v>39</v>
      </c>
      <c r="H1496" s="2" t="s">
        <v>527</v>
      </c>
      <c r="I1496" s="2" t="s">
        <v>293</v>
      </c>
      <c r="J1496" s="2">
        <v>406</v>
      </c>
      <c r="K1496" s="2">
        <v>972.97</v>
      </c>
      <c r="L1496" s="2">
        <v>1570.42</v>
      </c>
      <c r="M1496" s="2">
        <v>637590.52</v>
      </c>
      <c r="N1496" s="2">
        <v>395025.82</v>
      </c>
      <c r="O1496" s="2">
        <v>242564.7</v>
      </c>
      <c r="P1496" s="2" t="s">
        <v>52</v>
      </c>
      <c r="Q1496" s="2" t="s">
        <v>32</v>
      </c>
      <c r="R1496" s="2">
        <v>7</v>
      </c>
      <c r="S1496" s="2" t="s">
        <v>33</v>
      </c>
      <c r="T1496" s="2">
        <v>4390</v>
      </c>
      <c r="U1496" s="2">
        <v>2</v>
      </c>
      <c r="V1496" s="2"/>
    </row>
    <row r="1497" spans="1:22" x14ac:dyDescent="0.35">
      <c r="A1497" s="3" t="s">
        <v>3865</v>
      </c>
      <c r="B1497" s="3" t="s">
        <v>65</v>
      </c>
      <c r="C1497" s="3" t="s">
        <v>2130</v>
      </c>
      <c r="D1497" s="3" t="s">
        <v>3866</v>
      </c>
      <c r="E1497" s="3" t="s">
        <v>100</v>
      </c>
      <c r="F1497" s="3" t="s">
        <v>106</v>
      </c>
      <c r="G1497" s="3" t="s">
        <v>50</v>
      </c>
      <c r="H1497" s="3" t="s">
        <v>51</v>
      </c>
      <c r="I1497" s="3" t="s">
        <v>141</v>
      </c>
      <c r="J1497" s="3">
        <v>342</v>
      </c>
      <c r="K1497" s="3">
        <v>866.6</v>
      </c>
      <c r="L1497" s="3">
        <v>1067.94</v>
      </c>
      <c r="M1497" s="3">
        <v>365235.48</v>
      </c>
      <c r="N1497" s="3">
        <v>296377.2</v>
      </c>
      <c r="O1497" s="3">
        <v>68858.28</v>
      </c>
      <c r="P1497" s="3" t="s">
        <v>52</v>
      </c>
      <c r="Q1497" s="3" t="s">
        <v>63</v>
      </c>
      <c r="R1497" s="3">
        <v>5</v>
      </c>
      <c r="S1497" s="3" t="s">
        <v>158</v>
      </c>
      <c r="T1497" s="3">
        <v>4907</v>
      </c>
      <c r="U1497" s="3">
        <v>0</v>
      </c>
      <c r="V1497" s="3"/>
    </row>
    <row r="1498" spans="1:22" x14ac:dyDescent="0.35">
      <c r="A1498" s="2" t="s">
        <v>3867</v>
      </c>
      <c r="B1498" s="2" t="s">
        <v>1015</v>
      </c>
      <c r="C1498" s="2" t="s">
        <v>1454</v>
      </c>
      <c r="D1498" s="2" t="s">
        <v>3868</v>
      </c>
      <c r="E1498" s="2" t="s">
        <v>68</v>
      </c>
      <c r="F1498" s="2" t="s">
        <v>3869</v>
      </c>
      <c r="G1498" s="2" t="s">
        <v>129</v>
      </c>
      <c r="H1498" s="2" t="s">
        <v>704</v>
      </c>
      <c r="I1498" s="2" t="s">
        <v>153</v>
      </c>
      <c r="J1498" s="2">
        <v>683</v>
      </c>
      <c r="K1498" s="2">
        <v>91.83</v>
      </c>
      <c r="L1498" s="2">
        <v>133.5</v>
      </c>
      <c r="M1498" s="2">
        <v>91180.5</v>
      </c>
      <c r="N1498" s="2">
        <v>62719.89</v>
      </c>
      <c r="O1498" s="2">
        <v>28460.61</v>
      </c>
      <c r="P1498" s="2" t="s">
        <v>52</v>
      </c>
      <c r="Q1498" s="2" t="s">
        <v>32</v>
      </c>
      <c r="R1498" s="2">
        <v>7</v>
      </c>
      <c r="S1498" s="2" t="s">
        <v>53</v>
      </c>
      <c r="T1498" s="2">
        <v>4065</v>
      </c>
      <c r="U1498" s="2">
        <v>3</v>
      </c>
      <c r="V1498" s="2"/>
    </row>
    <row r="1499" spans="1:22" x14ac:dyDescent="0.35">
      <c r="A1499" s="3" t="s">
        <v>3870</v>
      </c>
      <c r="B1499" s="3" t="s">
        <v>2554</v>
      </c>
      <c r="C1499" s="3" t="s">
        <v>2002</v>
      </c>
      <c r="D1499" s="3" t="s">
        <v>3871</v>
      </c>
      <c r="E1499" s="3" t="s">
        <v>48</v>
      </c>
      <c r="F1499" s="3" t="s">
        <v>49</v>
      </c>
      <c r="G1499" s="3" t="s">
        <v>217</v>
      </c>
      <c r="H1499" s="3" t="s">
        <v>524</v>
      </c>
      <c r="I1499" s="3" t="s">
        <v>118</v>
      </c>
      <c r="J1499" s="3">
        <v>206</v>
      </c>
      <c r="K1499" s="3">
        <v>466.88</v>
      </c>
      <c r="L1499" s="3">
        <v>614.25</v>
      </c>
      <c r="M1499" s="3">
        <v>126535.5</v>
      </c>
      <c r="N1499" s="3">
        <v>96177.279999999999</v>
      </c>
      <c r="O1499" s="3">
        <v>30358.22</v>
      </c>
      <c r="P1499" s="3" t="s">
        <v>31</v>
      </c>
      <c r="Q1499" s="3" t="s">
        <v>63</v>
      </c>
      <c r="R1499" s="3">
        <v>1</v>
      </c>
      <c r="S1499" s="3" t="s">
        <v>43</v>
      </c>
      <c r="T1499" s="3">
        <v>1562</v>
      </c>
      <c r="U1499" s="3">
        <v>4</v>
      </c>
      <c r="V1499" s="3"/>
    </row>
    <row r="1500" spans="1:22" x14ac:dyDescent="0.35">
      <c r="A1500" s="2" t="s">
        <v>3872</v>
      </c>
      <c r="B1500" s="2" t="s">
        <v>1077</v>
      </c>
      <c r="C1500" s="2" t="s">
        <v>1249</v>
      </c>
      <c r="D1500" s="2" t="s">
        <v>2955</v>
      </c>
      <c r="E1500" s="2" t="s">
        <v>48</v>
      </c>
      <c r="F1500" s="2" t="s">
        <v>270</v>
      </c>
      <c r="G1500" s="2" t="s">
        <v>60</v>
      </c>
      <c r="H1500" s="2" t="s">
        <v>834</v>
      </c>
      <c r="I1500" s="2" t="s">
        <v>141</v>
      </c>
      <c r="J1500" s="2">
        <v>114</v>
      </c>
      <c r="K1500" s="2">
        <v>730.92</v>
      </c>
      <c r="L1500" s="2">
        <v>1076.98</v>
      </c>
      <c r="M1500" s="2">
        <v>122775.72</v>
      </c>
      <c r="N1500" s="2">
        <v>83324.88</v>
      </c>
      <c r="O1500" s="2">
        <v>39450.839999999997</v>
      </c>
      <c r="P1500" s="2" t="s">
        <v>52</v>
      </c>
      <c r="Q1500" s="2" t="s">
        <v>32</v>
      </c>
      <c r="R1500" s="2">
        <v>11</v>
      </c>
      <c r="S1500" s="2" t="s">
        <v>43</v>
      </c>
      <c r="T1500" s="2">
        <v>4694</v>
      </c>
      <c r="U1500" s="2">
        <v>1</v>
      </c>
      <c r="V1500" s="2"/>
    </row>
    <row r="1501" spans="1:22" x14ac:dyDescent="0.35">
      <c r="A1501" s="3" t="s">
        <v>3873</v>
      </c>
      <c r="B1501" s="3" t="s">
        <v>577</v>
      </c>
      <c r="C1501" s="3" t="s">
        <v>327</v>
      </c>
      <c r="D1501" s="3" t="s">
        <v>3874</v>
      </c>
      <c r="E1501" s="3" t="s">
        <v>48</v>
      </c>
      <c r="F1501" s="3" t="s">
        <v>49</v>
      </c>
      <c r="G1501" s="3" t="s">
        <v>93</v>
      </c>
      <c r="H1501" s="3" t="s">
        <v>1442</v>
      </c>
      <c r="I1501" s="3" t="s">
        <v>30</v>
      </c>
      <c r="J1501" s="3">
        <v>607</v>
      </c>
      <c r="K1501" s="3">
        <v>1048.81</v>
      </c>
      <c r="L1501" s="3">
        <v>1512.32</v>
      </c>
      <c r="M1501" s="3">
        <v>917978.24</v>
      </c>
      <c r="N1501" s="3">
        <v>636627.67000000004</v>
      </c>
      <c r="O1501" s="3">
        <v>281350.57</v>
      </c>
      <c r="P1501" s="3" t="s">
        <v>31</v>
      </c>
      <c r="Q1501" s="3" t="s">
        <v>823</v>
      </c>
      <c r="R1501" s="3">
        <v>15</v>
      </c>
      <c r="S1501" s="3" t="s">
        <v>53</v>
      </c>
      <c r="T1501" s="3">
        <v>4364</v>
      </c>
      <c r="U1501" s="3">
        <v>2</v>
      </c>
      <c r="V1501" s="3"/>
    </row>
    <row r="1502" spans="1:22" x14ac:dyDescent="0.35">
      <c r="A1502" s="2" t="s">
        <v>3875</v>
      </c>
      <c r="B1502" s="2" t="s">
        <v>371</v>
      </c>
      <c r="C1502" s="2" t="s">
        <v>3730</v>
      </c>
      <c r="D1502" s="2" t="s">
        <v>3876</v>
      </c>
      <c r="E1502" s="2" t="s">
        <v>26</v>
      </c>
      <c r="F1502" s="2" t="s">
        <v>38</v>
      </c>
      <c r="G1502" s="2" t="s">
        <v>217</v>
      </c>
      <c r="H1502" s="2" t="s">
        <v>218</v>
      </c>
      <c r="I1502" s="2" t="s">
        <v>240</v>
      </c>
      <c r="J1502" s="2">
        <v>557</v>
      </c>
      <c r="K1502" s="2">
        <v>401.24</v>
      </c>
      <c r="L1502" s="2">
        <v>481.8</v>
      </c>
      <c r="M1502" s="2">
        <v>268362.59999999998</v>
      </c>
      <c r="N1502" s="2">
        <v>223490.68</v>
      </c>
      <c r="O1502" s="2">
        <v>44871.92</v>
      </c>
      <c r="P1502" s="2" t="s">
        <v>52</v>
      </c>
      <c r="Q1502" s="2" t="s">
        <v>63</v>
      </c>
      <c r="R1502" s="2">
        <v>2</v>
      </c>
      <c r="S1502" s="2" t="s">
        <v>43</v>
      </c>
      <c r="T1502" s="2">
        <v>1938</v>
      </c>
      <c r="U1502" s="2">
        <v>9</v>
      </c>
      <c r="V1502" s="2"/>
    </row>
    <row r="1503" spans="1:22" x14ac:dyDescent="0.35">
      <c r="A1503" s="3" t="s">
        <v>3877</v>
      </c>
      <c r="B1503" s="3" t="s">
        <v>1597</v>
      </c>
      <c r="C1503" s="3" t="s">
        <v>898</v>
      </c>
      <c r="D1503" s="3" t="s">
        <v>3878</v>
      </c>
      <c r="E1503" s="3" t="s">
        <v>100</v>
      </c>
      <c r="F1503" s="3" t="s">
        <v>238</v>
      </c>
      <c r="G1503" s="3" t="s">
        <v>217</v>
      </c>
      <c r="H1503" s="3" t="s">
        <v>218</v>
      </c>
      <c r="I1503" s="3" t="s">
        <v>191</v>
      </c>
      <c r="J1503" s="3">
        <v>439</v>
      </c>
      <c r="K1503" s="3">
        <v>69.23</v>
      </c>
      <c r="L1503" s="3">
        <v>78.81</v>
      </c>
      <c r="M1503" s="3">
        <v>34597.589999999997</v>
      </c>
      <c r="N1503" s="3">
        <v>30391.97</v>
      </c>
      <c r="O1503" s="3">
        <v>4205.62</v>
      </c>
      <c r="P1503" s="3" t="s">
        <v>52</v>
      </c>
      <c r="Q1503" s="3" t="s">
        <v>32</v>
      </c>
      <c r="R1503" s="3">
        <v>9</v>
      </c>
      <c r="S1503" s="3" t="s">
        <v>158</v>
      </c>
      <c r="T1503" s="3">
        <v>4843</v>
      </c>
      <c r="U1503" s="3">
        <v>21</v>
      </c>
      <c r="V1503" s="3"/>
    </row>
    <row r="1504" spans="1:22" x14ac:dyDescent="0.35">
      <c r="A1504" s="2" t="s">
        <v>3879</v>
      </c>
      <c r="B1504" s="2" t="s">
        <v>1913</v>
      </c>
      <c r="C1504" s="2" t="s">
        <v>846</v>
      </c>
      <c r="D1504" s="2" t="s">
        <v>3880</v>
      </c>
      <c r="E1504" s="2" t="s">
        <v>48</v>
      </c>
      <c r="F1504" s="2" t="s">
        <v>49</v>
      </c>
      <c r="G1504" s="2" t="s">
        <v>93</v>
      </c>
      <c r="H1504" s="2" t="s">
        <v>302</v>
      </c>
      <c r="I1504" s="2" t="s">
        <v>240</v>
      </c>
      <c r="J1504" s="2">
        <v>644</v>
      </c>
      <c r="K1504" s="2">
        <v>839.33</v>
      </c>
      <c r="L1504" s="2">
        <v>981.24</v>
      </c>
      <c r="M1504" s="2">
        <v>631918.56000000006</v>
      </c>
      <c r="N1504" s="2">
        <v>540528.52</v>
      </c>
      <c r="O1504" s="2">
        <v>91390.04</v>
      </c>
      <c r="P1504" s="2" t="s">
        <v>52</v>
      </c>
      <c r="Q1504" s="2" t="s">
        <v>63</v>
      </c>
      <c r="R1504" s="2">
        <v>5</v>
      </c>
      <c r="S1504" s="2" t="s">
        <v>86</v>
      </c>
      <c r="T1504" s="2">
        <v>4901</v>
      </c>
      <c r="U1504" s="2">
        <v>6</v>
      </c>
      <c r="V1504" s="2"/>
    </row>
    <row r="1505" spans="1:22" x14ac:dyDescent="0.35">
      <c r="A1505" s="3" t="s">
        <v>3881</v>
      </c>
      <c r="B1505" s="3" t="s">
        <v>362</v>
      </c>
      <c r="C1505" s="3" t="s">
        <v>35</v>
      </c>
      <c r="D1505" s="3" t="s">
        <v>3882</v>
      </c>
      <c r="E1505" s="3" t="s">
        <v>68</v>
      </c>
      <c r="F1505" s="3" t="s">
        <v>276</v>
      </c>
      <c r="G1505" s="3" t="s">
        <v>39</v>
      </c>
      <c r="H1505" s="3" t="s">
        <v>147</v>
      </c>
      <c r="I1505" s="3" t="s">
        <v>85</v>
      </c>
      <c r="J1505" s="3">
        <v>591</v>
      </c>
      <c r="K1505" s="3">
        <v>715.84</v>
      </c>
      <c r="L1505" s="3">
        <v>961.8</v>
      </c>
      <c r="M1505" s="3">
        <v>568423.80000000005</v>
      </c>
      <c r="N1505" s="3">
        <v>423061.44</v>
      </c>
      <c r="O1505" s="3">
        <v>145362.35999999999</v>
      </c>
      <c r="P1505" s="3" t="s">
        <v>31</v>
      </c>
      <c r="Q1505" s="3" t="s">
        <v>63</v>
      </c>
      <c r="R1505" s="3">
        <v>3</v>
      </c>
      <c r="S1505" s="3" t="s">
        <v>53</v>
      </c>
      <c r="T1505" s="3">
        <v>3651</v>
      </c>
      <c r="U1505" s="3">
        <v>16</v>
      </c>
      <c r="V1505" s="3"/>
    </row>
    <row r="1506" spans="1:22" x14ac:dyDescent="0.35">
      <c r="A1506" s="2" t="s">
        <v>3883</v>
      </c>
      <c r="B1506" s="2" t="s">
        <v>1688</v>
      </c>
      <c r="C1506" s="2" t="s">
        <v>748</v>
      </c>
      <c r="D1506" s="2" t="s">
        <v>3884</v>
      </c>
      <c r="E1506" s="2" t="s">
        <v>58</v>
      </c>
      <c r="F1506" s="2" t="s">
        <v>417</v>
      </c>
      <c r="G1506" s="2" t="s">
        <v>217</v>
      </c>
      <c r="H1506" s="2" t="s">
        <v>725</v>
      </c>
      <c r="I1506" s="2" t="s">
        <v>30</v>
      </c>
      <c r="J1506" s="2">
        <v>227</v>
      </c>
      <c r="K1506" s="2">
        <v>357.09</v>
      </c>
      <c r="L1506" s="2">
        <v>432.54</v>
      </c>
      <c r="M1506" s="2">
        <v>98186.58</v>
      </c>
      <c r="N1506" s="2">
        <v>81059.429999999993</v>
      </c>
      <c r="O1506" s="2">
        <v>17127.150000000001</v>
      </c>
      <c r="P1506" s="2" t="s">
        <v>95</v>
      </c>
      <c r="Q1506" s="2" t="s">
        <v>63</v>
      </c>
      <c r="R1506" s="2">
        <v>5</v>
      </c>
      <c r="S1506" s="2" t="s">
        <v>86</v>
      </c>
      <c r="T1506" s="2">
        <v>4718</v>
      </c>
      <c r="U1506" s="2">
        <v>11</v>
      </c>
      <c r="V1506" s="2"/>
    </row>
    <row r="1507" spans="1:22" x14ac:dyDescent="0.35">
      <c r="A1507" s="3" t="s">
        <v>3885</v>
      </c>
      <c r="B1507" s="3" t="s">
        <v>161</v>
      </c>
      <c r="C1507" s="3" t="s">
        <v>2123</v>
      </c>
      <c r="D1507" s="3" t="s">
        <v>411</v>
      </c>
      <c r="E1507" s="3" t="s">
        <v>26</v>
      </c>
      <c r="F1507" s="3" t="s">
        <v>2240</v>
      </c>
      <c r="G1507" s="3" t="s">
        <v>129</v>
      </c>
      <c r="H1507" s="3" t="s">
        <v>130</v>
      </c>
      <c r="I1507" s="3" t="s">
        <v>30</v>
      </c>
      <c r="J1507" s="3">
        <v>422</v>
      </c>
      <c r="K1507" s="3">
        <v>1151.31</v>
      </c>
      <c r="L1507" s="3">
        <v>1429.86</v>
      </c>
      <c r="M1507" s="3">
        <v>603400.92000000004</v>
      </c>
      <c r="N1507" s="3">
        <v>485852.82</v>
      </c>
      <c r="O1507" s="3">
        <v>117548.1</v>
      </c>
      <c r="P1507" s="3" t="s">
        <v>95</v>
      </c>
      <c r="Q1507" s="3" t="s">
        <v>63</v>
      </c>
      <c r="R1507" s="3">
        <v>3</v>
      </c>
      <c r="S1507" s="3" t="s">
        <v>158</v>
      </c>
      <c r="T1507" s="3">
        <v>462</v>
      </c>
      <c r="U1507" s="3">
        <v>2</v>
      </c>
      <c r="V1507" s="3"/>
    </row>
    <row r="1508" spans="1:22" x14ac:dyDescent="0.35">
      <c r="A1508" s="2" t="s">
        <v>3886</v>
      </c>
      <c r="B1508" s="2" t="s">
        <v>1028</v>
      </c>
      <c r="C1508" s="2" t="s">
        <v>3887</v>
      </c>
      <c r="D1508" s="2" t="s">
        <v>3888</v>
      </c>
      <c r="E1508" s="2" t="s">
        <v>68</v>
      </c>
      <c r="F1508" s="2" t="s">
        <v>163</v>
      </c>
      <c r="G1508" s="2" t="s">
        <v>70</v>
      </c>
      <c r="H1508" s="2" t="s">
        <v>822</v>
      </c>
      <c r="I1508" s="2" t="s">
        <v>240</v>
      </c>
      <c r="J1508" s="2">
        <v>26</v>
      </c>
      <c r="K1508" s="2">
        <v>958.88</v>
      </c>
      <c r="L1508" s="2">
        <v>1370.02</v>
      </c>
      <c r="M1508" s="2">
        <v>35620.519999999997</v>
      </c>
      <c r="N1508" s="2">
        <v>24930.880000000001</v>
      </c>
      <c r="O1508" s="2">
        <v>10689.64</v>
      </c>
      <c r="P1508" s="2" t="s">
        <v>95</v>
      </c>
      <c r="Q1508" s="2" t="s">
        <v>63</v>
      </c>
      <c r="R1508" s="2">
        <v>1</v>
      </c>
      <c r="S1508" s="2" t="s">
        <v>43</v>
      </c>
      <c r="T1508" s="2">
        <v>3571</v>
      </c>
      <c r="U1508" s="2">
        <v>0</v>
      </c>
      <c r="V1508" s="2"/>
    </row>
    <row r="1509" spans="1:22" x14ac:dyDescent="0.35">
      <c r="A1509" s="3" t="s">
        <v>3889</v>
      </c>
      <c r="B1509" s="3" t="s">
        <v>853</v>
      </c>
      <c r="C1509" s="3" t="s">
        <v>765</v>
      </c>
      <c r="D1509" s="3" t="s">
        <v>3890</v>
      </c>
      <c r="E1509" s="3" t="s">
        <v>48</v>
      </c>
      <c r="F1509" s="3" t="s">
        <v>49</v>
      </c>
      <c r="G1509" s="3" t="s">
        <v>70</v>
      </c>
      <c r="H1509" s="3" t="s">
        <v>623</v>
      </c>
      <c r="I1509" s="3" t="s">
        <v>240</v>
      </c>
      <c r="J1509" s="3">
        <v>237</v>
      </c>
      <c r="K1509" s="3">
        <v>340.7</v>
      </c>
      <c r="L1509" s="3">
        <v>429.86</v>
      </c>
      <c r="M1509" s="3">
        <v>101876.82</v>
      </c>
      <c r="N1509" s="3">
        <v>80745.899999999994</v>
      </c>
      <c r="O1509" s="3">
        <v>21130.92</v>
      </c>
      <c r="P1509" s="3" t="s">
        <v>31</v>
      </c>
      <c r="Q1509" s="3" t="s">
        <v>32</v>
      </c>
      <c r="R1509" s="3">
        <v>8</v>
      </c>
      <c r="S1509" s="3" t="s">
        <v>86</v>
      </c>
      <c r="T1509" s="3">
        <v>4364</v>
      </c>
      <c r="U1509" s="3">
        <v>0</v>
      </c>
      <c r="V1509" s="3"/>
    </row>
    <row r="1510" spans="1:22" x14ac:dyDescent="0.35">
      <c r="A1510" s="2" t="s">
        <v>3891</v>
      </c>
      <c r="B1510" s="2" t="s">
        <v>3892</v>
      </c>
      <c r="C1510" s="2" t="s">
        <v>2012</v>
      </c>
      <c r="D1510" s="2" t="s">
        <v>3171</v>
      </c>
      <c r="E1510" s="2" t="s">
        <v>58</v>
      </c>
      <c r="F1510" s="2" t="s">
        <v>116</v>
      </c>
      <c r="G1510" s="2" t="s">
        <v>217</v>
      </c>
      <c r="H1510" s="2" t="s">
        <v>218</v>
      </c>
      <c r="I1510" s="2" t="s">
        <v>41</v>
      </c>
      <c r="J1510" s="2">
        <v>32</v>
      </c>
      <c r="K1510" s="2">
        <v>1054.9100000000001</v>
      </c>
      <c r="L1510" s="2">
        <v>1371.43</v>
      </c>
      <c r="M1510" s="2">
        <v>43885.760000000002</v>
      </c>
      <c r="N1510" s="2">
        <v>33757.120000000003</v>
      </c>
      <c r="O1510" s="2">
        <v>10128.64</v>
      </c>
      <c r="P1510" s="2" t="s">
        <v>31</v>
      </c>
      <c r="Q1510" s="2" t="s">
        <v>32</v>
      </c>
      <c r="R1510" s="2">
        <v>15</v>
      </c>
      <c r="S1510" s="2" t="s">
        <v>43</v>
      </c>
      <c r="T1510" s="2">
        <v>3083</v>
      </c>
      <c r="U1510" s="2">
        <v>0</v>
      </c>
      <c r="V1510" s="2"/>
    </row>
    <row r="1511" spans="1:22" x14ac:dyDescent="0.35">
      <c r="A1511" s="3" t="s">
        <v>3893</v>
      </c>
      <c r="B1511" s="3" t="s">
        <v>999</v>
      </c>
      <c r="C1511" s="3" t="s">
        <v>2320</v>
      </c>
      <c r="D1511" s="3" t="s">
        <v>3894</v>
      </c>
      <c r="E1511" s="3" t="s">
        <v>48</v>
      </c>
      <c r="F1511" s="3" t="s">
        <v>183</v>
      </c>
      <c r="G1511" s="3" t="s">
        <v>217</v>
      </c>
      <c r="H1511" s="3" t="s">
        <v>335</v>
      </c>
      <c r="I1511" s="3" t="s">
        <v>41</v>
      </c>
      <c r="J1511" s="3">
        <v>-1</v>
      </c>
      <c r="K1511" s="3">
        <v>829.42</v>
      </c>
      <c r="L1511" s="3">
        <v>1225.6099999999999</v>
      </c>
      <c r="M1511" s="3">
        <v>919207.5</v>
      </c>
      <c r="N1511" s="3">
        <v>622065</v>
      </c>
      <c r="O1511" s="3">
        <v>297142.5</v>
      </c>
      <c r="P1511" s="3" t="s">
        <v>52</v>
      </c>
      <c r="Q1511" s="3" t="s">
        <v>63</v>
      </c>
      <c r="R1511" s="3">
        <v>2</v>
      </c>
      <c r="S1511" s="3" t="s">
        <v>86</v>
      </c>
      <c r="T1511" s="3">
        <v>1582</v>
      </c>
      <c r="U1511" s="3">
        <v>7</v>
      </c>
      <c r="V1511" s="3"/>
    </row>
    <row r="1512" spans="1:22" x14ac:dyDescent="0.35">
      <c r="A1512" s="2" t="s">
        <v>3895</v>
      </c>
      <c r="B1512" s="2" t="s">
        <v>3896</v>
      </c>
      <c r="C1512" s="2" t="s">
        <v>2916</v>
      </c>
      <c r="D1512" s="2" t="s">
        <v>3897</v>
      </c>
      <c r="E1512" s="2" t="s">
        <v>100</v>
      </c>
      <c r="F1512" s="4"/>
      <c r="G1512" s="2" t="s">
        <v>60</v>
      </c>
      <c r="H1512" s="2" t="s">
        <v>164</v>
      </c>
      <c r="I1512" s="2" t="s">
        <v>30</v>
      </c>
      <c r="J1512" s="2">
        <v>602</v>
      </c>
      <c r="K1512" s="2">
        <v>591.52</v>
      </c>
      <c r="L1512" s="2">
        <v>787.38</v>
      </c>
      <c r="M1512" s="2">
        <v>474002.76</v>
      </c>
      <c r="N1512" s="2">
        <v>356095.04</v>
      </c>
      <c r="O1512" s="2">
        <v>117907.72</v>
      </c>
      <c r="P1512" s="2" t="s">
        <v>52</v>
      </c>
      <c r="Q1512" s="2" t="s">
        <v>32</v>
      </c>
      <c r="R1512" s="2">
        <v>6</v>
      </c>
      <c r="S1512" s="2" t="s">
        <v>33</v>
      </c>
      <c r="T1512" s="2">
        <v>4915</v>
      </c>
      <c r="U1512" s="2">
        <v>22</v>
      </c>
      <c r="V1512" s="2"/>
    </row>
    <row r="1513" spans="1:22" x14ac:dyDescent="0.35">
      <c r="A1513" s="3" t="s">
        <v>3898</v>
      </c>
      <c r="B1513" s="3" t="s">
        <v>2496</v>
      </c>
      <c r="C1513" s="3" t="s">
        <v>193</v>
      </c>
      <c r="D1513" s="3" t="s">
        <v>1405</v>
      </c>
      <c r="E1513" s="3" t="s">
        <v>48</v>
      </c>
      <c r="F1513" s="3" t="s">
        <v>281</v>
      </c>
      <c r="G1513" s="3" t="s">
        <v>217</v>
      </c>
      <c r="H1513" s="3" t="s">
        <v>335</v>
      </c>
      <c r="I1513" s="3" t="s">
        <v>240</v>
      </c>
      <c r="J1513" s="3">
        <v>436</v>
      </c>
      <c r="K1513" s="3">
        <v>0</v>
      </c>
      <c r="L1513" s="3">
        <v>123.03</v>
      </c>
      <c r="M1513" s="3">
        <v>53641.08</v>
      </c>
      <c r="N1513" s="3">
        <v>34757.919999999998</v>
      </c>
      <c r="O1513" s="3">
        <v>18883.16</v>
      </c>
      <c r="P1513" s="3" t="s">
        <v>52</v>
      </c>
      <c r="Q1513" s="3" t="s">
        <v>32</v>
      </c>
      <c r="R1513" s="3">
        <v>10</v>
      </c>
      <c r="S1513" s="3" t="s">
        <v>53</v>
      </c>
      <c r="T1513" s="3">
        <v>327</v>
      </c>
      <c r="U1513" s="3">
        <v>6</v>
      </c>
      <c r="V1513" s="3"/>
    </row>
    <row r="1514" spans="1:22" x14ac:dyDescent="0.35">
      <c r="A1514" s="2" t="s">
        <v>3899</v>
      </c>
      <c r="B1514" s="2" t="s">
        <v>1291</v>
      </c>
      <c r="C1514" s="2" t="s">
        <v>536</v>
      </c>
      <c r="D1514" s="2" t="s">
        <v>3900</v>
      </c>
      <c r="E1514" s="2" t="s">
        <v>100</v>
      </c>
      <c r="F1514" s="2" t="s">
        <v>538</v>
      </c>
      <c r="G1514" s="2" t="s">
        <v>129</v>
      </c>
      <c r="H1514" s="2" t="s">
        <v>152</v>
      </c>
      <c r="I1514" s="2" t="s">
        <v>293</v>
      </c>
      <c r="J1514" s="2">
        <v>507</v>
      </c>
      <c r="K1514" s="2">
        <v>346.91</v>
      </c>
      <c r="L1514" s="2">
        <v>479.72</v>
      </c>
      <c r="M1514" s="2">
        <v>243218.04</v>
      </c>
      <c r="N1514" s="2">
        <v>175883.37</v>
      </c>
      <c r="O1514" s="2">
        <v>67334.67</v>
      </c>
      <c r="P1514" s="2" t="s">
        <v>52</v>
      </c>
      <c r="Q1514" s="2" t="s">
        <v>32</v>
      </c>
      <c r="R1514" s="2">
        <v>8</v>
      </c>
      <c r="S1514" s="2" t="s">
        <v>33</v>
      </c>
      <c r="T1514" s="2">
        <v>70</v>
      </c>
      <c r="U1514" s="2">
        <v>22</v>
      </c>
      <c r="V1514" s="2"/>
    </row>
    <row r="1515" spans="1:22" x14ac:dyDescent="0.35">
      <c r="A1515" s="3" t="s">
        <v>3901</v>
      </c>
      <c r="B1515" s="3" t="s">
        <v>35</v>
      </c>
      <c r="C1515" s="3" t="s">
        <v>778</v>
      </c>
      <c r="D1515" s="3" t="s">
        <v>3902</v>
      </c>
      <c r="E1515" s="3" t="s">
        <v>100</v>
      </c>
      <c r="F1515" s="3" t="s">
        <v>101</v>
      </c>
      <c r="G1515" s="3" t="s">
        <v>60</v>
      </c>
      <c r="H1515" s="3" t="s">
        <v>834</v>
      </c>
      <c r="I1515" s="3" t="s">
        <v>191</v>
      </c>
      <c r="J1515" s="3">
        <v>512</v>
      </c>
      <c r="K1515" s="3">
        <v>239.27</v>
      </c>
      <c r="L1515" s="3">
        <v>376.08</v>
      </c>
      <c r="M1515" s="3">
        <v>192552.95999999999</v>
      </c>
      <c r="N1515" s="3">
        <v>122506.24000000001</v>
      </c>
      <c r="O1515" s="3">
        <v>70046.720000000001</v>
      </c>
      <c r="P1515" s="3" t="s">
        <v>31</v>
      </c>
      <c r="Q1515" s="3" t="s">
        <v>32</v>
      </c>
      <c r="R1515" s="3">
        <v>12</v>
      </c>
      <c r="S1515" s="3" t="s">
        <v>112</v>
      </c>
      <c r="T1515" s="3">
        <v>948</v>
      </c>
      <c r="U1515" s="3">
        <v>7</v>
      </c>
      <c r="V1515" s="3"/>
    </row>
    <row r="1516" spans="1:22" x14ac:dyDescent="0.35">
      <c r="A1516" s="2" t="s">
        <v>3903</v>
      </c>
      <c r="B1516" s="2" t="s">
        <v>1080</v>
      </c>
      <c r="C1516" s="2" t="s">
        <v>712</v>
      </c>
      <c r="D1516" s="2" t="s">
        <v>3904</v>
      </c>
      <c r="E1516" s="2" t="s">
        <v>26</v>
      </c>
      <c r="F1516" s="2" t="s">
        <v>27</v>
      </c>
      <c r="G1516" s="2" t="s">
        <v>50</v>
      </c>
      <c r="H1516" s="2" t="s">
        <v>107</v>
      </c>
      <c r="I1516" s="2" t="s">
        <v>1335</v>
      </c>
      <c r="J1516" s="2">
        <v>688</v>
      </c>
      <c r="K1516" s="2">
        <v>1012.38</v>
      </c>
      <c r="L1516" s="2">
        <v>1288.6199999999999</v>
      </c>
      <c r="M1516" s="2">
        <v>886570.56</v>
      </c>
      <c r="N1516" s="2">
        <v>696517.44</v>
      </c>
      <c r="O1516" s="2">
        <v>190053.12</v>
      </c>
      <c r="P1516" s="2" t="s">
        <v>52</v>
      </c>
      <c r="Q1516" s="2" t="s">
        <v>32</v>
      </c>
      <c r="R1516" s="2">
        <v>13</v>
      </c>
      <c r="S1516" s="2" t="s">
        <v>158</v>
      </c>
      <c r="T1516" s="2">
        <v>4640</v>
      </c>
      <c r="U1516" s="2">
        <v>0</v>
      </c>
      <c r="V1516" s="2"/>
    </row>
    <row r="1517" spans="1:22" x14ac:dyDescent="0.35">
      <c r="A1517" s="3" t="s">
        <v>3905</v>
      </c>
      <c r="B1517" s="3" t="s">
        <v>3906</v>
      </c>
      <c r="C1517" s="3" t="s">
        <v>1216</v>
      </c>
      <c r="D1517" s="3" t="s">
        <v>3907</v>
      </c>
      <c r="E1517" s="3" t="s">
        <v>26</v>
      </c>
      <c r="F1517" s="3" t="s">
        <v>228</v>
      </c>
      <c r="G1517" s="3" t="s">
        <v>60</v>
      </c>
      <c r="H1517" s="3" t="s">
        <v>61</v>
      </c>
      <c r="I1517" s="3" t="s">
        <v>293</v>
      </c>
      <c r="J1517" s="3">
        <v>196</v>
      </c>
      <c r="K1517" s="3">
        <v>1048.44</v>
      </c>
      <c r="L1517" s="3">
        <v>1646.28</v>
      </c>
      <c r="M1517" s="3">
        <v>322670.88</v>
      </c>
      <c r="N1517" s="3">
        <v>205494.24</v>
      </c>
      <c r="O1517" s="3">
        <v>117176.64</v>
      </c>
      <c r="P1517" s="3" t="s">
        <v>95</v>
      </c>
      <c r="Q1517" s="3" t="s">
        <v>32</v>
      </c>
      <c r="R1517" s="3">
        <v>10</v>
      </c>
      <c r="S1517" s="3" t="s">
        <v>43</v>
      </c>
      <c r="T1517" s="3">
        <v>1734</v>
      </c>
      <c r="U1517" s="3">
        <v>9</v>
      </c>
      <c r="V1517" s="3"/>
    </row>
    <row r="1518" spans="1:22" x14ac:dyDescent="0.35">
      <c r="A1518" s="2" t="s">
        <v>3908</v>
      </c>
      <c r="B1518" s="2" t="s">
        <v>1444</v>
      </c>
      <c r="C1518" s="2" t="s">
        <v>231</v>
      </c>
      <c r="D1518" s="2" t="s">
        <v>3909</v>
      </c>
      <c r="E1518" s="2" t="s">
        <v>100</v>
      </c>
      <c r="F1518" s="2" t="s">
        <v>538</v>
      </c>
      <c r="G1518" s="2" t="s">
        <v>129</v>
      </c>
      <c r="H1518" s="2" t="s">
        <v>130</v>
      </c>
      <c r="I1518" s="2" t="s">
        <v>124</v>
      </c>
      <c r="J1518" s="2">
        <v>734</v>
      </c>
      <c r="K1518" s="2">
        <v>850.74</v>
      </c>
      <c r="L1518" s="2">
        <v>1256.1400000000001</v>
      </c>
      <c r="M1518" s="2">
        <v>922006.76</v>
      </c>
      <c r="N1518" s="2">
        <v>624443.16</v>
      </c>
      <c r="O1518" s="2">
        <v>297563.59999999998</v>
      </c>
      <c r="P1518" s="2" t="s">
        <v>52</v>
      </c>
      <c r="Q1518" s="2" t="s">
        <v>32</v>
      </c>
      <c r="R1518" s="2">
        <v>14</v>
      </c>
      <c r="S1518" s="2" t="s">
        <v>112</v>
      </c>
      <c r="T1518" s="2">
        <v>2864</v>
      </c>
      <c r="U1518" s="2">
        <v>13</v>
      </c>
      <c r="V1518" s="2"/>
    </row>
    <row r="1519" spans="1:22" x14ac:dyDescent="0.35">
      <c r="A1519" s="3" t="s">
        <v>3910</v>
      </c>
      <c r="B1519" s="3" t="s">
        <v>132</v>
      </c>
      <c r="C1519" s="3" t="s">
        <v>1157</v>
      </c>
      <c r="D1519" s="3" t="s">
        <v>3911</v>
      </c>
      <c r="E1519" s="3" t="s">
        <v>58</v>
      </c>
      <c r="F1519" s="3" t="s">
        <v>417</v>
      </c>
      <c r="G1519" s="3" t="s">
        <v>78</v>
      </c>
      <c r="H1519" s="3" t="s">
        <v>123</v>
      </c>
      <c r="I1519" s="3" t="s">
        <v>141</v>
      </c>
      <c r="J1519" s="3">
        <v>612</v>
      </c>
      <c r="K1519" s="3">
        <v>307.08999999999997</v>
      </c>
      <c r="L1519" s="3">
        <v>365.66</v>
      </c>
      <c r="M1519" s="3">
        <v>223783.92</v>
      </c>
      <c r="N1519" s="3">
        <v>187939.08</v>
      </c>
      <c r="O1519" s="3">
        <v>35844.839999999997</v>
      </c>
      <c r="P1519" s="3" t="s">
        <v>52</v>
      </c>
      <c r="Q1519" s="3" t="s">
        <v>32</v>
      </c>
      <c r="R1519" s="3">
        <v>13</v>
      </c>
      <c r="S1519" s="3" t="s">
        <v>112</v>
      </c>
      <c r="T1519" s="3">
        <v>2088</v>
      </c>
      <c r="U1519" s="3">
        <v>16</v>
      </c>
      <c r="V1519" s="3"/>
    </row>
    <row r="1520" spans="1:22" x14ac:dyDescent="0.35">
      <c r="A1520" s="2" t="s">
        <v>3912</v>
      </c>
      <c r="B1520" s="2" t="s">
        <v>723</v>
      </c>
      <c r="C1520" s="2" t="s">
        <v>410</v>
      </c>
      <c r="D1520" s="2" t="s">
        <v>3913</v>
      </c>
      <c r="E1520" s="2" t="s">
        <v>58</v>
      </c>
      <c r="F1520" s="2" t="s">
        <v>417</v>
      </c>
      <c r="G1520" s="2" t="s">
        <v>28</v>
      </c>
      <c r="H1520" s="2" t="s">
        <v>674</v>
      </c>
      <c r="I1520" s="2" t="s">
        <v>62</v>
      </c>
      <c r="J1520" s="2">
        <v>703</v>
      </c>
      <c r="K1520" s="2">
        <v>700.93</v>
      </c>
      <c r="L1520" s="2">
        <v>1032.05</v>
      </c>
      <c r="M1520" s="2">
        <v>725531.15</v>
      </c>
      <c r="N1520" s="2">
        <v>492753.79</v>
      </c>
      <c r="O1520" s="2">
        <v>232777.36</v>
      </c>
      <c r="P1520" s="2" t="s">
        <v>31</v>
      </c>
      <c r="Q1520" s="2" t="s">
        <v>32</v>
      </c>
      <c r="R1520" s="2">
        <v>15</v>
      </c>
      <c r="S1520" s="2" t="s">
        <v>43</v>
      </c>
      <c r="T1520" s="2">
        <v>481</v>
      </c>
      <c r="U1520" s="2">
        <v>19</v>
      </c>
      <c r="V1520" s="2"/>
    </row>
    <row r="1521" spans="1:22" x14ac:dyDescent="0.35">
      <c r="A1521" s="3" t="s">
        <v>3914</v>
      </c>
      <c r="B1521" s="3" t="s">
        <v>273</v>
      </c>
      <c r="C1521" s="3" t="s">
        <v>367</v>
      </c>
      <c r="D1521" s="3" t="s">
        <v>3915</v>
      </c>
      <c r="E1521" s="3" t="s">
        <v>58</v>
      </c>
      <c r="F1521" s="3" t="s">
        <v>116</v>
      </c>
      <c r="G1521" s="3" t="s">
        <v>189</v>
      </c>
      <c r="H1521" s="3" t="s">
        <v>190</v>
      </c>
      <c r="I1521" s="3" t="s">
        <v>124</v>
      </c>
      <c r="J1521" s="3">
        <v>203</v>
      </c>
      <c r="K1521" s="3">
        <v>567.23</v>
      </c>
      <c r="L1521" s="3">
        <v>813.03</v>
      </c>
      <c r="M1521" s="3">
        <v>165045.09</v>
      </c>
      <c r="N1521" s="3">
        <v>115147.69</v>
      </c>
      <c r="O1521" s="3">
        <v>49897.4</v>
      </c>
      <c r="P1521" s="3" t="s">
        <v>31</v>
      </c>
      <c r="Q1521" s="3" t="s">
        <v>63</v>
      </c>
      <c r="R1521" s="3">
        <v>5</v>
      </c>
      <c r="S1521" s="3" t="s">
        <v>158</v>
      </c>
      <c r="T1521" s="3">
        <v>2840</v>
      </c>
      <c r="U1521" s="3">
        <v>2</v>
      </c>
      <c r="V1521" s="3"/>
    </row>
    <row r="1522" spans="1:22" x14ac:dyDescent="0.35">
      <c r="A1522" s="2" t="s">
        <v>3916</v>
      </c>
      <c r="B1522" s="2" t="s">
        <v>2889</v>
      </c>
      <c r="C1522" s="2" t="s">
        <v>2636</v>
      </c>
      <c r="D1522" s="2" t="s">
        <v>3917</v>
      </c>
      <c r="E1522" s="2" t="s">
        <v>48</v>
      </c>
      <c r="F1522" s="2" t="s">
        <v>223</v>
      </c>
      <c r="G1522" s="2" t="s">
        <v>60</v>
      </c>
      <c r="H1522" s="2" t="s">
        <v>164</v>
      </c>
      <c r="I1522" s="2" t="s">
        <v>118</v>
      </c>
      <c r="J1522" s="2">
        <v>588</v>
      </c>
      <c r="K1522" s="2">
        <v>375.41</v>
      </c>
      <c r="L1522" s="2">
        <v>586.1</v>
      </c>
      <c r="M1522" s="2">
        <v>344626.8</v>
      </c>
      <c r="N1522" s="2">
        <v>220741.08</v>
      </c>
      <c r="O1522" s="2">
        <v>123885.72</v>
      </c>
      <c r="P1522" s="2" t="s">
        <v>52</v>
      </c>
      <c r="Q1522" s="2" t="s">
        <v>32</v>
      </c>
      <c r="R1522" s="2">
        <v>7</v>
      </c>
      <c r="S1522" s="2" t="s">
        <v>112</v>
      </c>
      <c r="T1522" s="2">
        <v>4085</v>
      </c>
      <c r="U1522" s="2">
        <v>17</v>
      </c>
      <c r="V1522" s="2"/>
    </row>
    <row r="1523" spans="1:22" x14ac:dyDescent="0.35">
      <c r="A1523" s="3" t="s">
        <v>3918</v>
      </c>
      <c r="B1523" s="3" t="s">
        <v>1380</v>
      </c>
      <c r="C1523" s="3" t="s">
        <v>592</v>
      </c>
      <c r="D1523" s="3" t="s">
        <v>3919</v>
      </c>
      <c r="E1523" s="3" t="s">
        <v>58</v>
      </c>
      <c r="F1523" s="3" t="s">
        <v>259</v>
      </c>
      <c r="G1523" s="3" t="s">
        <v>60</v>
      </c>
      <c r="H1523" s="3" t="s">
        <v>780</v>
      </c>
      <c r="I1523" s="3" t="s">
        <v>240</v>
      </c>
      <c r="J1523" s="3">
        <v>655</v>
      </c>
      <c r="K1523" s="3">
        <v>124.91</v>
      </c>
      <c r="L1523" s="3">
        <v>205.91</v>
      </c>
      <c r="M1523" s="3">
        <v>134871.04999999999</v>
      </c>
      <c r="N1523" s="3">
        <v>81816.05</v>
      </c>
      <c r="O1523" s="3">
        <v>53055</v>
      </c>
      <c r="P1523" s="3" t="s">
        <v>31</v>
      </c>
      <c r="Q1523" s="3" t="s">
        <v>63</v>
      </c>
      <c r="R1523" s="3">
        <v>2</v>
      </c>
      <c r="S1523" s="3" t="s">
        <v>33</v>
      </c>
      <c r="T1523" s="3">
        <v>848</v>
      </c>
      <c r="U1523" s="3">
        <v>25</v>
      </c>
      <c r="V1523" s="3"/>
    </row>
    <row r="1524" spans="1:22" x14ac:dyDescent="0.35">
      <c r="A1524" s="2" t="s">
        <v>3920</v>
      </c>
      <c r="B1524" s="2" t="s">
        <v>289</v>
      </c>
      <c r="C1524" s="2" t="s">
        <v>912</v>
      </c>
      <c r="D1524" s="2" t="s">
        <v>3921</v>
      </c>
      <c r="E1524" s="2" t="s">
        <v>58</v>
      </c>
      <c r="F1524" s="2" t="s">
        <v>259</v>
      </c>
      <c r="G1524" s="2" t="s">
        <v>189</v>
      </c>
      <c r="H1524" s="2" t="s">
        <v>369</v>
      </c>
      <c r="I1524" s="2" t="s">
        <v>41</v>
      </c>
      <c r="J1524" s="2">
        <v>603</v>
      </c>
      <c r="K1524" s="2">
        <v>978.94</v>
      </c>
      <c r="L1524" s="2">
        <v>1503.49</v>
      </c>
      <c r="M1524" s="2">
        <v>906604.47</v>
      </c>
      <c r="N1524" s="2">
        <v>590300.81999999995</v>
      </c>
      <c r="O1524" s="2">
        <v>316303.65000000002</v>
      </c>
      <c r="P1524" s="2" t="s">
        <v>31</v>
      </c>
      <c r="Q1524" s="2" t="s">
        <v>32</v>
      </c>
      <c r="R1524" s="2">
        <v>12</v>
      </c>
      <c r="S1524" s="2" t="s">
        <v>158</v>
      </c>
      <c r="T1524" s="2">
        <v>3643</v>
      </c>
      <c r="U1524" s="2">
        <v>14</v>
      </c>
      <c r="V1524" s="2"/>
    </row>
    <row r="1525" spans="1:22" x14ac:dyDescent="0.35">
      <c r="A1525" s="3" t="s">
        <v>3922</v>
      </c>
      <c r="B1525" s="3" t="s">
        <v>2603</v>
      </c>
      <c r="C1525" s="3" t="s">
        <v>161</v>
      </c>
      <c r="D1525" s="3" t="s">
        <v>3923</v>
      </c>
      <c r="E1525" s="3" t="s">
        <v>68</v>
      </c>
      <c r="F1525" s="3" t="s">
        <v>276</v>
      </c>
      <c r="G1525" s="3" t="s">
        <v>129</v>
      </c>
      <c r="H1525" s="3" t="s">
        <v>168</v>
      </c>
      <c r="I1525" s="3" t="s">
        <v>240</v>
      </c>
      <c r="J1525" s="3">
        <v>485</v>
      </c>
      <c r="K1525" s="3">
        <v>1143.01</v>
      </c>
      <c r="L1525" s="3">
        <v>1491.97</v>
      </c>
      <c r="M1525" s="3">
        <v>723605.45</v>
      </c>
      <c r="N1525" s="3">
        <v>554359.85</v>
      </c>
      <c r="O1525" s="3">
        <v>169245.6</v>
      </c>
      <c r="P1525" s="3" t="s">
        <v>31</v>
      </c>
      <c r="Q1525" s="3" t="s">
        <v>63</v>
      </c>
      <c r="R1525" s="3">
        <v>1</v>
      </c>
      <c r="S1525" s="3" t="s">
        <v>33</v>
      </c>
      <c r="T1525" s="3">
        <v>4549</v>
      </c>
      <c r="U1525" s="3">
        <v>17</v>
      </c>
      <c r="V1525" s="3"/>
    </row>
    <row r="1526" spans="1:22" x14ac:dyDescent="0.35">
      <c r="A1526" s="2" t="s">
        <v>3924</v>
      </c>
      <c r="B1526" s="2" t="s">
        <v>595</v>
      </c>
      <c r="C1526" s="2" t="s">
        <v>819</v>
      </c>
      <c r="D1526" s="2" t="s">
        <v>3925</v>
      </c>
      <c r="E1526" s="2" t="s">
        <v>48</v>
      </c>
      <c r="F1526" s="2" t="s">
        <v>270</v>
      </c>
      <c r="G1526" s="2" t="s">
        <v>93</v>
      </c>
      <c r="H1526" s="2" t="s">
        <v>1442</v>
      </c>
      <c r="I1526" s="2" t="s">
        <v>141</v>
      </c>
      <c r="J1526" s="2">
        <v>316</v>
      </c>
      <c r="K1526" s="2">
        <v>844.14</v>
      </c>
      <c r="L1526" s="2">
        <v>1133.3800000000001</v>
      </c>
      <c r="M1526" s="2">
        <v>358148.08</v>
      </c>
      <c r="N1526" s="2">
        <v>266748.24</v>
      </c>
      <c r="O1526" s="2">
        <v>91399.84</v>
      </c>
      <c r="P1526" s="2" t="s">
        <v>42</v>
      </c>
      <c r="Q1526" s="2" t="s">
        <v>63</v>
      </c>
      <c r="R1526" s="2">
        <v>1</v>
      </c>
      <c r="S1526" s="2" t="s">
        <v>86</v>
      </c>
      <c r="T1526" s="2">
        <v>2516</v>
      </c>
      <c r="U1526" s="2">
        <v>10</v>
      </c>
      <c r="V1526" s="2"/>
    </row>
    <row r="1527" spans="1:22" x14ac:dyDescent="0.35">
      <c r="A1527" s="3" t="s">
        <v>3926</v>
      </c>
      <c r="B1527" s="3" t="s">
        <v>356</v>
      </c>
      <c r="C1527" s="3" t="s">
        <v>719</v>
      </c>
      <c r="D1527" s="3" t="s">
        <v>3927</v>
      </c>
      <c r="E1527" s="3" t="s">
        <v>26</v>
      </c>
      <c r="F1527" s="3" t="s">
        <v>92</v>
      </c>
      <c r="G1527" s="3" t="s">
        <v>93</v>
      </c>
      <c r="H1527" s="3" t="s">
        <v>184</v>
      </c>
      <c r="I1527" s="3" t="s">
        <v>30</v>
      </c>
      <c r="J1527" s="3">
        <v>169</v>
      </c>
      <c r="K1527" s="3">
        <v>877.64</v>
      </c>
      <c r="L1527" s="3">
        <v>1378.64</v>
      </c>
      <c r="M1527" s="3">
        <v>232990.16</v>
      </c>
      <c r="N1527" s="3">
        <v>148321.16</v>
      </c>
      <c r="O1527" s="3">
        <v>84669</v>
      </c>
      <c r="P1527" s="3" t="s">
        <v>42</v>
      </c>
      <c r="Q1527" s="3" t="s">
        <v>32</v>
      </c>
      <c r="R1527" s="3">
        <v>12</v>
      </c>
      <c r="S1527" s="3" t="s">
        <v>43</v>
      </c>
      <c r="T1527" s="3">
        <v>4542</v>
      </c>
      <c r="U1527" s="3">
        <v>5</v>
      </c>
      <c r="V1527" s="3"/>
    </row>
    <row r="1528" spans="1:22" x14ac:dyDescent="0.35">
      <c r="A1528" s="3" t="s">
        <v>2198</v>
      </c>
      <c r="B1528" s="3" t="s">
        <v>150</v>
      </c>
      <c r="C1528" s="3" t="s">
        <v>3928</v>
      </c>
      <c r="D1528" s="3" t="s">
        <v>2200</v>
      </c>
      <c r="E1528" s="3" t="s">
        <v>26</v>
      </c>
      <c r="F1528" s="3" t="s">
        <v>228</v>
      </c>
      <c r="G1528" s="3" t="s">
        <v>217</v>
      </c>
      <c r="H1528" s="3" t="s">
        <v>218</v>
      </c>
      <c r="I1528" s="3" t="s">
        <v>141</v>
      </c>
      <c r="J1528" s="3">
        <v>279</v>
      </c>
      <c r="K1528" s="3">
        <v>129.93</v>
      </c>
      <c r="L1528" s="3">
        <v>185.42</v>
      </c>
      <c r="M1528" s="3">
        <v>51732.18</v>
      </c>
      <c r="N1528" s="3">
        <v>36250.47</v>
      </c>
      <c r="O1528" s="3">
        <v>15481.71</v>
      </c>
      <c r="P1528" s="3" t="s">
        <v>52</v>
      </c>
      <c r="Q1528" s="3" t="s">
        <v>63</v>
      </c>
      <c r="R1528" s="3">
        <v>5</v>
      </c>
      <c r="S1528" s="3" t="s">
        <v>33</v>
      </c>
      <c r="T1528" s="3">
        <v>4762</v>
      </c>
      <c r="U1528" s="3">
        <v>4</v>
      </c>
      <c r="V1528" s="3"/>
    </row>
    <row r="1529" spans="1:22" x14ac:dyDescent="0.35">
      <c r="A1529" s="2" t="s">
        <v>3929</v>
      </c>
      <c r="B1529" s="2" t="s">
        <v>608</v>
      </c>
      <c r="C1529" s="2" t="s">
        <v>289</v>
      </c>
      <c r="D1529" s="2" t="s">
        <v>3930</v>
      </c>
      <c r="E1529" s="2" t="s">
        <v>48</v>
      </c>
      <c r="F1529" s="2" t="s">
        <v>223</v>
      </c>
      <c r="G1529" s="2" t="s">
        <v>39</v>
      </c>
      <c r="H1529" s="2" t="s">
        <v>412</v>
      </c>
      <c r="I1529" s="2" t="s">
        <v>153</v>
      </c>
      <c r="J1529" s="2">
        <v>327</v>
      </c>
      <c r="K1529" s="2">
        <v>263.98</v>
      </c>
      <c r="L1529" s="2">
        <v>351.43</v>
      </c>
      <c r="M1529" s="2">
        <v>114917.61</v>
      </c>
      <c r="N1529" s="2">
        <v>86321.46</v>
      </c>
      <c r="O1529" s="2">
        <v>28596.15</v>
      </c>
      <c r="P1529" s="2" t="s">
        <v>52</v>
      </c>
      <c r="Q1529" s="2" t="s">
        <v>32</v>
      </c>
      <c r="R1529" s="2">
        <v>13</v>
      </c>
      <c r="S1529" s="2" t="s">
        <v>112</v>
      </c>
      <c r="T1529" s="2">
        <v>789</v>
      </c>
      <c r="U1529" s="2">
        <v>14</v>
      </c>
      <c r="V1529" s="2"/>
    </row>
    <row r="1530" spans="1:22" x14ac:dyDescent="0.35">
      <c r="A1530" s="3" t="s">
        <v>3931</v>
      </c>
      <c r="B1530" s="3" t="s">
        <v>3707</v>
      </c>
      <c r="C1530" s="3" t="s">
        <v>1164</v>
      </c>
      <c r="D1530" s="3" t="s">
        <v>3932</v>
      </c>
      <c r="E1530" s="3" t="s">
        <v>48</v>
      </c>
      <c r="F1530" s="3" t="s">
        <v>270</v>
      </c>
      <c r="G1530" s="3" t="s">
        <v>78</v>
      </c>
      <c r="H1530" s="3" t="s">
        <v>178</v>
      </c>
      <c r="I1530" s="3" t="s">
        <v>72</v>
      </c>
      <c r="J1530" s="3">
        <v>565</v>
      </c>
      <c r="K1530" s="3">
        <v>453.58</v>
      </c>
      <c r="L1530" s="3">
        <v>739.75</v>
      </c>
      <c r="M1530" s="3">
        <v>417958.75</v>
      </c>
      <c r="N1530" s="3">
        <v>256272.7</v>
      </c>
      <c r="O1530" s="3">
        <v>161686.04999999999</v>
      </c>
      <c r="P1530" s="3" t="s">
        <v>95</v>
      </c>
      <c r="Q1530" s="3" t="s">
        <v>32</v>
      </c>
      <c r="R1530" s="3">
        <v>7</v>
      </c>
      <c r="S1530" s="3" t="s">
        <v>53</v>
      </c>
      <c r="T1530" s="3">
        <v>3788</v>
      </c>
      <c r="U1530" s="3">
        <v>15</v>
      </c>
      <c r="V1530" s="3"/>
    </row>
    <row r="1531" spans="1:22" x14ac:dyDescent="0.35">
      <c r="A1531" s="2" t="s">
        <v>3933</v>
      </c>
      <c r="B1531" s="2" t="s">
        <v>553</v>
      </c>
      <c r="C1531" s="2" t="s">
        <v>3934</v>
      </c>
      <c r="D1531" s="2" t="s">
        <v>3935</v>
      </c>
      <c r="E1531" s="2" t="s">
        <v>100</v>
      </c>
      <c r="F1531" s="2" t="s">
        <v>238</v>
      </c>
      <c r="G1531" s="2" t="s">
        <v>217</v>
      </c>
      <c r="H1531" s="2" t="s">
        <v>684</v>
      </c>
      <c r="I1531" s="2" t="s">
        <v>72</v>
      </c>
      <c r="J1531" s="2">
        <v>741</v>
      </c>
      <c r="K1531" s="2">
        <v>552.41</v>
      </c>
      <c r="L1531" s="2">
        <v>865.5</v>
      </c>
      <c r="M1531" s="2">
        <v>641335.5</v>
      </c>
      <c r="N1531" s="2">
        <v>409335.81</v>
      </c>
      <c r="O1531" s="2">
        <v>231999.69</v>
      </c>
      <c r="P1531" s="2" t="s">
        <v>42</v>
      </c>
      <c r="Q1531" s="2" t="s">
        <v>32</v>
      </c>
      <c r="R1531" s="2">
        <v>13</v>
      </c>
      <c r="S1531" s="2" t="s">
        <v>43</v>
      </c>
      <c r="T1531" s="2">
        <v>2127</v>
      </c>
      <c r="U1531" s="2">
        <v>13</v>
      </c>
      <c r="V1531" s="2"/>
    </row>
    <row r="1532" spans="1:22" x14ac:dyDescent="0.35">
      <c r="A1532" s="3" t="s">
        <v>3936</v>
      </c>
      <c r="B1532" s="3" t="s">
        <v>577</v>
      </c>
      <c r="C1532" s="3" t="s">
        <v>741</v>
      </c>
      <c r="D1532" s="3" t="s">
        <v>2908</v>
      </c>
      <c r="E1532" s="3" t="s">
        <v>3937</v>
      </c>
      <c r="F1532" s="3" t="s">
        <v>228</v>
      </c>
      <c r="G1532" s="3" t="s">
        <v>50</v>
      </c>
      <c r="H1532" s="3" t="s">
        <v>734</v>
      </c>
      <c r="I1532" s="3" t="s">
        <v>41</v>
      </c>
      <c r="J1532" s="3">
        <v>626</v>
      </c>
      <c r="K1532" s="3">
        <v>529.22</v>
      </c>
      <c r="L1532" s="3">
        <v>845.42</v>
      </c>
      <c r="M1532" s="3">
        <v>529232.92000000004</v>
      </c>
      <c r="N1532" s="3">
        <v>331291.71999999997</v>
      </c>
      <c r="O1532" s="3">
        <v>197941.2</v>
      </c>
      <c r="P1532" s="3" t="s">
        <v>42</v>
      </c>
      <c r="Q1532" s="3" t="s">
        <v>32</v>
      </c>
      <c r="R1532" s="3">
        <v>15</v>
      </c>
      <c r="S1532" s="3" t="s">
        <v>112</v>
      </c>
      <c r="T1532" s="3">
        <v>24</v>
      </c>
      <c r="U1532" s="3">
        <v>30</v>
      </c>
      <c r="V1532" s="3"/>
    </row>
    <row r="1533" spans="1:22" x14ac:dyDescent="0.35">
      <c r="A1533" s="2" t="s">
        <v>3938</v>
      </c>
      <c r="B1533" s="2" t="s">
        <v>1174</v>
      </c>
      <c r="C1533" s="2" t="s">
        <v>2589</v>
      </c>
      <c r="D1533" s="2" t="s">
        <v>3802</v>
      </c>
      <c r="E1533" s="2" t="s">
        <v>58</v>
      </c>
      <c r="F1533" s="2" t="s">
        <v>259</v>
      </c>
      <c r="G1533" s="2" t="s">
        <v>78</v>
      </c>
      <c r="H1533" s="2" t="s">
        <v>425</v>
      </c>
      <c r="I1533" s="2" t="s">
        <v>240</v>
      </c>
      <c r="J1533" s="2">
        <v>65</v>
      </c>
      <c r="K1533" s="2">
        <v>607.25</v>
      </c>
      <c r="L1533" s="4"/>
      <c r="M1533" s="2">
        <v>45758.7</v>
      </c>
      <c r="N1533" s="2">
        <v>39471.25</v>
      </c>
      <c r="O1533" s="2">
        <v>6287.45</v>
      </c>
      <c r="P1533" s="2" t="s">
        <v>52</v>
      </c>
      <c r="Q1533" s="2" t="s">
        <v>32</v>
      </c>
      <c r="R1533" s="2">
        <v>14</v>
      </c>
      <c r="S1533" s="2" t="s">
        <v>53</v>
      </c>
      <c r="T1533" s="2">
        <v>2983</v>
      </c>
      <c r="U1533" s="2">
        <v>2</v>
      </c>
      <c r="V1533" s="2"/>
    </row>
    <row r="1534" spans="1:22" x14ac:dyDescent="0.35">
      <c r="A1534" s="3" t="s">
        <v>3939</v>
      </c>
      <c r="B1534" s="3" t="s">
        <v>1049</v>
      </c>
      <c r="C1534" s="3" t="s">
        <v>3940</v>
      </c>
      <c r="D1534" s="3" t="s">
        <v>3941</v>
      </c>
      <c r="E1534" s="3" t="s">
        <v>26</v>
      </c>
      <c r="F1534" s="3" t="s">
        <v>92</v>
      </c>
      <c r="G1534" s="3" t="s">
        <v>129</v>
      </c>
      <c r="H1534" s="3" t="s">
        <v>152</v>
      </c>
      <c r="I1534" s="3" t="s">
        <v>153</v>
      </c>
      <c r="J1534" s="3">
        <v>443</v>
      </c>
      <c r="K1534" s="3">
        <v>299.2</v>
      </c>
      <c r="L1534" s="3">
        <v>442.87</v>
      </c>
      <c r="M1534" s="3">
        <v>196191.41</v>
      </c>
      <c r="N1534" s="3">
        <v>132545.60000000001</v>
      </c>
      <c r="O1534" s="3">
        <v>63645.81</v>
      </c>
      <c r="P1534" s="3" t="s">
        <v>42</v>
      </c>
      <c r="Q1534" s="3" t="s">
        <v>63</v>
      </c>
      <c r="R1534" s="3">
        <v>2</v>
      </c>
      <c r="S1534" s="3" t="s">
        <v>43</v>
      </c>
      <c r="T1534" s="3">
        <v>3131</v>
      </c>
      <c r="U1534" s="3">
        <v>12</v>
      </c>
      <c r="V1534" s="3"/>
    </row>
    <row r="1535" spans="1:22" x14ac:dyDescent="0.35">
      <c r="A1535" s="2" t="s">
        <v>3942</v>
      </c>
      <c r="B1535" s="2" t="s">
        <v>1049</v>
      </c>
      <c r="C1535" s="2" t="s">
        <v>347</v>
      </c>
      <c r="D1535" s="2" t="s">
        <v>3943</v>
      </c>
      <c r="E1535" s="2" t="s">
        <v>68</v>
      </c>
      <c r="F1535" s="2" t="s">
        <v>249</v>
      </c>
      <c r="G1535" s="2" t="s">
        <v>129</v>
      </c>
      <c r="H1535" s="2" t="s">
        <v>704</v>
      </c>
      <c r="I1535" s="2" t="s">
        <v>85</v>
      </c>
      <c r="J1535" s="2">
        <v>696</v>
      </c>
      <c r="K1535" s="2">
        <v>882.13</v>
      </c>
      <c r="L1535" s="2">
        <v>1417.72</v>
      </c>
      <c r="M1535" s="2">
        <v>986733.12</v>
      </c>
      <c r="N1535" s="2">
        <v>613962.48</v>
      </c>
      <c r="O1535" s="2">
        <v>372770.64</v>
      </c>
      <c r="P1535" s="2" t="s">
        <v>52</v>
      </c>
      <c r="Q1535" s="2" t="s">
        <v>32</v>
      </c>
      <c r="R1535" s="2">
        <v>14</v>
      </c>
      <c r="S1535" s="2" t="s">
        <v>33</v>
      </c>
      <c r="T1535" s="2">
        <v>926</v>
      </c>
      <c r="U1535" s="2">
        <v>12</v>
      </c>
      <c r="V1535" s="2"/>
    </row>
    <row r="1536" spans="1:22" x14ac:dyDescent="0.35">
      <c r="A1536" s="3" t="s">
        <v>3944</v>
      </c>
      <c r="B1536" s="3" t="s">
        <v>375</v>
      </c>
      <c r="C1536" s="3" t="s">
        <v>1483</v>
      </c>
      <c r="D1536" s="3" t="s">
        <v>3945</v>
      </c>
      <c r="E1536" s="3" t="s">
        <v>48</v>
      </c>
      <c r="F1536" s="3" t="s">
        <v>49</v>
      </c>
      <c r="G1536" s="3" t="s">
        <v>50</v>
      </c>
      <c r="H1536" s="3" t="s">
        <v>282</v>
      </c>
      <c r="I1536" s="3" t="s">
        <v>62</v>
      </c>
      <c r="J1536" s="3">
        <v>568</v>
      </c>
      <c r="K1536" s="3">
        <v>795.81</v>
      </c>
      <c r="L1536" s="3">
        <v>1020.1</v>
      </c>
      <c r="M1536" s="3">
        <v>579416.80000000005</v>
      </c>
      <c r="N1536" s="3">
        <v>452020.08</v>
      </c>
      <c r="O1536" s="3">
        <v>127396.72</v>
      </c>
      <c r="P1536" s="3" t="s">
        <v>31</v>
      </c>
      <c r="Q1536" s="3" t="s">
        <v>32</v>
      </c>
      <c r="R1536" s="3">
        <v>11</v>
      </c>
      <c r="S1536" s="3" t="s">
        <v>43</v>
      </c>
      <c r="T1536" s="3">
        <v>1884</v>
      </c>
      <c r="U1536" s="3">
        <v>3</v>
      </c>
      <c r="V1536" s="3"/>
    </row>
    <row r="1537" spans="1:22" x14ac:dyDescent="0.35">
      <c r="A1537" s="2" t="s">
        <v>3946</v>
      </c>
      <c r="B1537" s="2" t="s">
        <v>3947</v>
      </c>
      <c r="C1537" s="2" t="s">
        <v>1813</v>
      </c>
      <c r="D1537" s="2" t="s">
        <v>3948</v>
      </c>
      <c r="E1537" s="2" t="s">
        <v>68</v>
      </c>
      <c r="F1537" s="2" t="s">
        <v>276</v>
      </c>
      <c r="G1537" s="2" t="s">
        <v>60</v>
      </c>
      <c r="H1537" s="2" t="s">
        <v>539</v>
      </c>
      <c r="I1537" s="2" t="s">
        <v>30</v>
      </c>
      <c r="J1537" s="2">
        <v>118</v>
      </c>
      <c r="K1537" s="2">
        <v>923.98</v>
      </c>
      <c r="L1537" s="2">
        <v>1423.58</v>
      </c>
      <c r="M1537" s="2">
        <v>167982.44</v>
      </c>
      <c r="N1537" s="2">
        <v>109029.64</v>
      </c>
      <c r="O1537" s="2">
        <v>58952.800000000003</v>
      </c>
      <c r="P1537" s="2" t="s">
        <v>95</v>
      </c>
      <c r="Q1537" s="2" t="s">
        <v>32</v>
      </c>
      <c r="R1537" s="2">
        <v>6</v>
      </c>
      <c r="S1537" s="2" t="s">
        <v>43</v>
      </c>
      <c r="T1537" s="2">
        <v>4394</v>
      </c>
      <c r="U1537" s="2">
        <v>5</v>
      </c>
      <c r="V1537" s="2"/>
    </row>
    <row r="1538" spans="1:22" x14ac:dyDescent="0.35">
      <c r="A1538" s="3" t="s">
        <v>3949</v>
      </c>
      <c r="B1538" s="3" t="s">
        <v>1130</v>
      </c>
      <c r="C1538" s="3" t="s">
        <v>2031</v>
      </c>
      <c r="D1538" s="3" t="s">
        <v>2822</v>
      </c>
      <c r="E1538" s="3" t="s">
        <v>68</v>
      </c>
      <c r="F1538" s="3" t="s">
        <v>69</v>
      </c>
      <c r="G1538" s="3" t="s">
        <v>39</v>
      </c>
      <c r="H1538" s="3" t="s">
        <v>147</v>
      </c>
      <c r="I1538" s="3" t="s">
        <v>41</v>
      </c>
      <c r="J1538" s="3">
        <v>412</v>
      </c>
      <c r="K1538" s="3">
        <v>450.44</v>
      </c>
      <c r="L1538" s="3">
        <v>648.41</v>
      </c>
      <c r="M1538" s="3">
        <v>267144.92</v>
      </c>
      <c r="N1538" s="3">
        <v>185581.28</v>
      </c>
      <c r="O1538" s="3">
        <v>81563.64</v>
      </c>
      <c r="P1538" s="3" t="s">
        <v>31</v>
      </c>
      <c r="Q1538" s="3" t="s">
        <v>32</v>
      </c>
      <c r="R1538" s="3">
        <v>11</v>
      </c>
      <c r="S1538" s="3" t="s">
        <v>86</v>
      </c>
      <c r="T1538" s="3">
        <v>526</v>
      </c>
      <c r="U1538" s="3">
        <v>3</v>
      </c>
      <c r="V1538" s="3"/>
    </row>
    <row r="1539" spans="1:22" x14ac:dyDescent="0.35">
      <c r="A1539" s="2" t="s">
        <v>3950</v>
      </c>
      <c r="B1539" s="2" t="s">
        <v>1632</v>
      </c>
      <c r="C1539" s="2" t="s">
        <v>611</v>
      </c>
      <c r="D1539" s="2" t="s">
        <v>3951</v>
      </c>
      <c r="E1539" s="2" t="s">
        <v>48</v>
      </c>
      <c r="F1539" s="2" t="s">
        <v>183</v>
      </c>
      <c r="G1539" s="2" t="s">
        <v>50</v>
      </c>
      <c r="H1539" s="2" t="s">
        <v>734</v>
      </c>
      <c r="I1539" s="2" t="s">
        <v>62</v>
      </c>
      <c r="J1539" s="2">
        <v>394</v>
      </c>
      <c r="K1539" s="2">
        <v>1047.6099999999999</v>
      </c>
      <c r="L1539" s="2">
        <v>1204.17</v>
      </c>
      <c r="M1539" s="2">
        <v>474442.98</v>
      </c>
      <c r="N1539" s="2">
        <v>412758.34</v>
      </c>
      <c r="O1539" s="2">
        <v>61684.639999999999</v>
      </c>
      <c r="P1539" s="2" t="s">
        <v>95</v>
      </c>
      <c r="Q1539" s="2" t="s">
        <v>32</v>
      </c>
      <c r="R1539" s="2">
        <v>12</v>
      </c>
      <c r="S1539" s="2" t="s">
        <v>112</v>
      </c>
      <c r="T1539" s="2">
        <v>3286</v>
      </c>
      <c r="U1539" s="2">
        <v>17</v>
      </c>
      <c r="V1539" s="2"/>
    </row>
    <row r="1540" spans="1:22" x14ac:dyDescent="0.35">
      <c r="A1540" s="3" t="s">
        <v>3952</v>
      </c>
      <c r="B1540" s="3" t="s">
        <v>532</v>
      </c>
      <c r="C1540" s="3" t="s">
        <v>1046</v>
      </c>
      <c r="D1540" s="3" t="s">
        <v>3571</v>
      </c>
      <c r="E1540" s="3" t="s">
        <v>58</v>
      </c>
      <c r="F1540" s="3" t="s">
        <v>259</v>
      </c>
      <c r="G1540" s="3" t="s">
        <v>70</v>
      </c>
      <c r="H1540" s="3" t="s">
        <v>822</v>
      </c>
      <c r="I1540" s="3" t="s">
        <v>85</v>
      </c>
      <c r="J1540" s="3">
        <v>736</v>
      </c>
      <c r="K1540" s="3">
        <v>853.21</v>
      </c>
      <c r="L1540" s="3">
        <v>1324.73</v>
      </c>
      <c r="M1540" s="3">
        <v>975001.28</v>
      </c>
      <c r="N1540" s="3">
        <v>627962.56000000006</v>
      </c>
      <c r="O1540" s="3">
        <v>347038.71999999997</v>
      </c>
      <c r="P1540" s="3" t="s">
        <v>31</v>
      </c>
      <c r="Q1540" s="3" t="s">
        <v>63</v>
      </c>
      <c r="R1540" s="3">
        <v>5</v>
      </c>
      <c r="S1540" s="3" t="s">
        <v>33</v>
      </c>
      <c r="T1540" s="3">
        <v>1406</v>
      </c>
      <c r="U1540" s="3">
        <v>28</v>
      </c>
      <c r="V1540" s="3"/>
    </row>
    <row r="1541" spans="1:22" x14ac:dyDescent="0.35">
      <c r="A1541" s="2" t="s">
        <v>3953</v>
      </c>
      <c r="B1541" s="2" t="s">
        <v>759</v>
      </c>
      <c r="C1541" s="2" t="s">
        <v>483</v>
      </c>
      <c r="D1541" s="2" t="s">
        <v>3954</v>
      </c>
      <c r="E1541" s="2" t="s">
        <v>100</v>
      </c>
      <c r="F1541" s="2" t="s">
        <v>106</v>
      </c>
      <c r="G1541" s="2" t="s">
        <v>39</v>
      </c>
      <c r="H1541" s="2" t="s">
        <v>477</v>
      </c>
      <c r="I1541" s="2" t="s">
        <v>41</v>
      </c>
      <c r="J1541" s="2">
        <v>474</v>
      </c>
      <c r="K1541" s="2">
        <v>612.51</v>
      </c>
      <c r="L1541" s="2">
        <v>970.62</v>
      </c>
      <c r="M1541" s="2">
        <v>460073.88</v>
      </c>
      <c r="N1541" s="2">
        <v>290329.74</v>
      </c>
      <c r="O1541" s="2">
        <v>169744.14</v>
      </c>
      <c r="P1541" s="2" t="s">
        <v>95</v>
      </c>
      <c r="Q1541" s="2" t="s">
        <v>63</v>
      </c>
      <c r="R1541" s="2">
        <v>2</v>
      </c>
      <c r="S1541" s="2" t="s">
        <v>86</v>
      </c>
      <c r="T1541" s="2">
        <v>2791</v>
      </c>
      <c r="U1541" s="2">
        <v>19</v>
      </c>
      <c r="V1541" s="2"/>
    </row>
    <row r="1542" spans="1:22" x14ac:dyDescent="0.35">
      <c r="A1542" s="3" t="s">
        <v>3955</v>
      </c>
      <c r="B1542" s="3" t="s">
        <v>640</v>
      </c>
      <c r="C1542" s="3" t="s">
        <v>614</v>
      </c>
      <c r="D1542" s="3" t="s">
        <v>3956</v>
      </c>
      <c r="E1542" s="3" t="s">
        <v>26</v>
      </c>
      <c r="F1542" s="3" t="s">
        <v>3957</v>
      </c>
      <c r="G1542" s="3" t="s">
        <v>28</v>
      </c>
      <c r="H1542" s="3" t="s">
        <v>254</v>
      </c>
      <c r="I1542" s="3" t="s">
        <v>293</v>
      </c>
      <c r="J1542" s="3">
        <v>666</v>
      </c>
      <c r="K1542" s="3">
        <v>1042.8900000000001</v>
      </c>
      <c r="L1542" s="3">
        <v>1593.16</v>
      </c>
      <c r="M1542" s="3">
        <v>1061044.56</v>
      </c>
      <c r="N1542" s="3">
        <v>694564.74</v>
      </c>
      <c r="O1542" s="3">
        <v>366479.82</v>
      </c>
      <c r="P1542" s="3" t="s">
        <v>52</v>
      </c>
      <c r="Q1542" s="3" t="s">
        <v>32</v>
      </c>
      <c r="R1542" s="3">
        <v>8</v>
      </c>
      <c r="S1542" s="3" t="s">
        <v>43</v>
      </c>
      <c r="T1542" s="3">
        <v>123</v>
      </c>
      <c r="U1542" s="3">
        <v>0</v>
      </c>
      <c r="V1542" s="3"/>
    </row>
    <row r="1543" spans="1:22" x14ac:dyDescent="0.35">
      <c r="A1543" s="2" t="s">
        <v>3958</v>
      </c>
      <c r="B1543" s="2" t="s">
        <v>1802</v>
      </c>
      <c r="C1543" s="2" t="s">
        <v>1311</v>
      </c>
      <c r="D1543" s="2" t="s">
        <v>3959</v>
      </c>
      <c r="E1543" s="2" t="s">
        <v>48</v>
      </c>
      <c r="F1543" s="2" t="s">
        <v>183</v>
      </c>
      <c r="G1543" s="2" t="s">
        <v>39</v>
      </c>
      <c r="H1543" s="2" t="s">
        <v>647</v>
      </c>
      <c r="I1543" s="2" t="s">
        <v>293</v>
      </c>
      <c r="J1543" s="2">
        <v>755</v>
      </c>
      <c r="K1543" s="2">
        <v>831.47</v>
      </c>
      <c r="L1543" s="2">
        <v>1119.04</v>
      </c>
      <c r="M1543" s="2">
        <v>844875.2</v>
      </c>
      <c r="N1543" s="2">
        <v>627759.85</v>
      </c>
      <c r="O1543" s="2">
        <v>217115.35</v>
      </c>
      <c r="P1543" s="2" t="s">
        <v>42</v>
      </c>
      <c r="Q1543" s="2" t="s">
        <v>32</v>
      </c>
      <c r="R1543" s="2">
        <v>14</v>
      </c>
      <c r="S1543" s="2" t="s">
        <v>33</v>
      </c>
      <c r="T1543" s="2">
        <v>3688</v>
      </c>
      <c r="U1543" s="2">
        <v>14</v>
      </c>
      <c r="V1543" s="2"/>
    </row>
    <row r="1544" spans="1:22" x14ac:dyDescent="0.35">
      <c r="A1544" s="3" t="s">
        <v>3960</v>
      </c>
      <c r="B1544" s="3" t="s">
        <v>458</v>
      </c>
      <c r="C1544" s="3" t="s">
        <v>243</v>
      </c>
      <c r="D1544" s="3" t="s">
        <v>3961</v>
      </c>
      <c r="E1544" s="3" t="s">
        <v>68</v>
      </c>
      <c r="F1544" s="3" t="s">
        <v>69</v>
      </c>
      <c r="G1544" s="3" t="s">
        <v>39</v>
      </c>
      <c r="H1544" s="3" t="s">
        <v>40</v>
      </c>
      <c r="I1544" s="3" t="s">
        <v>141</v>
      </c>
      <c r="J1544" s="3">
        <v>153</v>
      </c>
      <c r="K1544" s="3">
        <v>331.01</v>
      </c>
      <c r="L1544" s="3">
        <v>502.81</v>
      </c>
      <c r="M1544" s="3">
        <v>76929.929999999993</v>
      </c>
      <c r="N1544" s="3">
        <v>50644.53</v>
      </c>
      <c r="O1544" s="3">
        <v>26285.4</v>
      </c>
      <c r="P1544" s="3" t="s">
        <v>42</v>
      </c>
      <c r="Q1544" s="3" t="s">
        <v>32</v>
      </c>
      <c r="R1544" s="3">
        <v>13</v>
      </c>
      <c r="S1544" s="3" t="s">
        <v>53</v>
      </c>
      <c r="T1544" s="3">
        <v>2995</v>
      </c>
      <c r="U1544" s="3">
        <v>0</v>
      </c>
      <c r="V1544" s="3"/>
    </row>
    <row r="1545" spans="1:22" x14ac:dyDescent="0.35">
      <c r="A1545" s="3" t="s">
        <v>3962</v>
      </c>
      <c r="B1545" s="3" t="s">
        <v>591</v>
      </c>
      <c r="C1545" s="3" t="s">
        <v>1077</v>
      </c>
      <c r="D1545" s="3" t="s">
        <v>3963</v>
      </c>
      <c r="E1545" s="3" t="s">
        <v>26</v>
      </c>
      <c r="F1545" s="3" t="s">
        <v>92</v>
      </c>
      <c r="G1545" s="3" t="s">
        <v>28</v>
      </c>
      <c r="H1545" s="3" t="s">
        <v>674</v>
      </c>
      <c r="I1545" s="3" t="s">
        <v>293</v>
      </c>
      <c r="J1545" s="3">
        <v>748</v>
      </c>
      <c r="K1545" s="3">
        <v>251.14</v>
      </c>
      <c r="L1545" s="3">
        <v>292.89999999999998</v>
      </c>
      <c r="M1545" s="3">
        <v>219089.2</v>
      </c>
      <c r="N1545" s="3">
        <v>187852.72</v>
      </c>
      <c r="O1545" s="3">
        <v>31236.48</v>
      </c>
      <c r="P1545" s="3" t="s">
        <v>42</v>
      </c>
      <c r="Q1545" s="3" t="s">
        <v>63</v>
      </c>
      <c r="R1545" s="3">
        <v>3</v>
      </c>
      <c r="S1545" s="3" t="s">
        <v>158</v>
      </c>
      <c r="T1545" s="3">
        <v>2407</v>
      </c>
      <c r="U1545" s="3">
        <v>29</v>
      </c>
      <c r="V1545" s="3"/>
    </row>
    <row r="1546" spans="1:22" x14ac:dyDescent="0.35">
      <c r="A1546" s="2" t="s">
        <v>3964</v>
      </c>
      <c r="B1546" s="2" t="s">
        <v>3965</v>
      </c>
      <c r="C1546" s="2" t="s">
        <v>3966</v>
      </c>
      <c r="D1546" s="2" t="s">
        <v>3967</v>
      </c>
      <c r="E1546" s="2" t="s">
        <v>100</v>
      </c>
      <c r="F1546" s="2" t="s">
        <v>238</v>
      </c>
      <c r="G1546" s="2" t="s">
        <v>129</v>
      </c>
      <c r="H1546" s="2" t="s">
        <v>704</v>
      </c>
      <c r="I1546" s="2" t="s">
        <v>41</v>
      </c>
      <c r="J1546" s="2">
        <v>685</v>
      </c>
      <c r="K1546" s="2">
        <v>1149.8800000000001</v>
      </c>
      <c r="L1546" s="2">
        <v>1648.03</v>
      </c>
      <c r="M1546" s="2">
        <v>1128900.55</v>
      </c>
      <c r="N1546" s="2">
        <v>787667.8</v>
      </c>
      <c r="O1546" s="2">
        <v>341232.75</v>
      </c>
      <c r="P1546" s="2" t="s">
        <v>31</v>
      </c>
      <c r="Q1546" s="2" t="s">
        <v>32</v>
      </c>
      <c r="R1546" s="2">
        <v>9</v>
      </c>
      <c r="S1546" s="2" t="s">
        <v>86</v>
      </c>
      <c r="T1546" s="2">
        <v>4484</v>
      </c>
      <c r="U1546" s="2">
        <v>25</v>
      </c>
      <c r="V1546" s="2"/>
    </row>
    <row r="1547" spans="1:22" x14ac:dyDescent="0.35">
      <c r="A1547" s="3" t="s">
        <v>3968</v>
      </c>
      <c r="B1547" s="3" t="s">
        <v>97</v>
      </c>
      <c r="C1547" s="3" t="s">
        <v>774</v>
      </c>
      <c r="D1547" s="3" t="s">
        <v>3969</v>
      </c>
      <c r="E1547" s="3" t="s">
        <v>68</v>
      </c>
      <c r="F1547" s="3" t="s">
        <v>249</v>
      </c>
      <c r="G1547" s="3" t="s">
        <v>78</v>
      </c>
      <c r="H1547" s="3" t="s">
        <v>79</v>
      </c>
      <c r="I1547" s="3" t="s">
        <v>62</v>
      </c>
      <c r="J1547" s="3">
        <v>50</v>
      </c>
      <c r="K1547" s="3">
        <v>695.38</v>
      </c>
      <c r="L1547" s="3">
        <v>1058.6400000000001</v>
      </c>
      <c r="M1547" s="3">
        <v>52932</v>
      </c>
      <c r="N1547" s="3">
        <v>34769</v>
      </c>
      <c r="O1547" s="3">
        <v>18163</v>
      </c>
      <c r="P1547" s="3" t="s">
        <v>95</v>
      </c>
      <c r="Q1547" s="3" t="s">
        <v>32</v>
      </c>
      <c r="R1547" s="3">
        <v>13</v>
      </c>
      <c r="S1547" s="3" t="s">
        <v>86</v>
      </c>
      <c r="T1547" s="3">
        <v>4950</v>
      </c>
      <c r="U1547" s="3">
        <v>0</v>
      </c>
      <c r="V1547" s="3"/>
    </row>
    <row r="1548" spans="1:22" x14ac:dyDescent="0.35">
      <c r="A1548" s="2" t="s">
        <v>3970</v>
      </c>
      <c r="B1548" s="2" t="s">
        <v>1157</v>
      </c>
      <c r="C1548" s="2" t="s">
        <v>156</v>
      </c>
      <c r="D1548" s="2" t="s">
        <v>2542</v>
      </c>
      <c r="E1548" s="2" t="s">
        <v>68</v>
      </c>
      <c r="F1548" s="2" t="s">
        <v>249</v>
      </c>
      <c r="G1548" s="2" t="s">
        <v>78</v>
      </c>
      <c r="H1548" s="2" t="s">
        <v>123</v>
      </c>
      <c r="I1548" s="2" t="s">
        <v>30</v>
      </c>
      <c r="J1548" s="2">
        <v>445</v>
      </c>
      <c r="K1548" s="2">
        <v>803.87</v>
      </c>
      <c r="L1548" s="2">
        <v>1300.42</v>
      </c>
      <c r="M1548" s="2">
        <v>578686.9</v>
      </c>
      <c r="N1548" s="2">
        <v>357722.15</v>
      </c>
      <c r="O1548" s="2">
        <v>220964.75</v>
      </c>
      <c r="P1548" s="2" t="s">
        <v>95</v>
      </c>
      <c r="Q1548" s="2" t="s">
        <v>32</v>
      </c>
      <c r="R1548" s="2">
        <v>15</v>
      </c>
      <c r="S1548" s="2" t="s">
        <v>86</v>
      </c>
      <c r="T1548" s="2">
        <v>3919</v>
      </c>
      <c r="U1548" s="2">
        <v>4</v>
      </c>
      <c r="V1548" s="2"/>
    </row>
    <row r="1549" spans="1:22" x14ac:dyDescent="0.35">
      <c r="A1549" s="3" t="s">
        <v>3971</v>
      </c>
      <c r="B1549" s="3" t="s">
        <v>1776</v>
      </c>
      <c r="C1549" s="3" t="s">
        <v>591</v>
      </c>
      <c r="D1549" s="3" t="s">
        <v>3972</v>
      </c>
      <c r="E1549" s="3" t="s">
        <v>68</v>
      </c>
      <c r="F1549" s="3" t="s">
        <v>69</v>
      </c>
      <c r="G1549" s="3" t="s">
        <v>70</v>
      </c>
      <c r="H1549" s="3" t="s">
        <v>239</v>
      </c>
      <c r="I1549" s="3" t="s">
        <v>124</v>
      </c>
      <c r="J1549" s="3">
        <v>726</v>
      </c>
      <c r="K1549" s="3">
        <v>519.87</v>
      </c>
      <c r="L1549" s="3">
        <v>854.27</v>
      </c>
      <c r="M1549" s="3">
        <v>620200.02</v>
      </c>
      <c r="N1549" s="3">
        <v>377425.62</v>
      </c>
      <c r="O1549" s="3">
        <v>242774.39999999999</v>
      </c>
      <c r="P1549" s="3" t="s">
        <v>52</v>
      </c>
      <c r="Q1549" s="3" t="s">
        <v>63</v>
      </c>
      <c r="R1549" s="3">
        <v>5</v>
      </c>
      <c r="S1549" s="3" t="s">
        <v>112</v>
      </c>
      <c r="T1549" s="3">
        <v>2002</v>
      </c>
      <c r="U1549" s="3">
        <v>33</v>
      </c>
      <c r="V1549" s="3"/>
    </row>
    <row r="1550" spans="1:22" x14ac:dyDescent="0.35">
      <c r="A1550" s="2" t="s">
        <v>3973</v>
      </c>
      <c r="B1550" s="2" t="s">
        <v>741</v>
      </c>
      <c r="C1550" s="2" t="s">
        <v>46</v>
      </c>
      <c r="D1550" s="2" t="s">
        <v>3716</v>
      </c>
      <c r="E1550" s="2" t="s">
        <v>26</v>
      </c>
      <c r="F1550" s="2" t="s">
        <v>92</v>
      </c>
      <c r="G1550" s="2" t="s">
        <v>50</v>
      </c>
      <c r="H1550" s="2" t="s">
        <v>107</v>
      </c>
      <c r="I1550" s="2" t="s">
        <v>153</v>
      </c>
      <c r="J1550" s="2">
        <v>74</v>
      </c>
      <c r="K1550" s="2">
        <v>378.34</v>
      </c>
      <c r="L1550" s="2">
        <v>508.43</v>
      </c>
      <c r="M1550" s="2">
        <v>37623.82</v>
      </c>
      <c r="N1550" s="2">
        <v>27997.16</v>
      </c>
      <c r="O1550" s="2">
        <v>9626.66</v>
      </c>
      <c r="P1550" s="2" t="s">
        <v>31</v>
      </c>
      <c r="Q1550" s="2" t="s">
        <v>32</v>
      </c>
      <c r="R1550" s="2">
        <v>12</v>
      </c>
      <c r="S1550" s="2" t="s">
        <v>33</v>
      </c>
      <c r="T1550" s="2">
        <v>1154</v>
      </c>
      <c r="U1550" s="2">
        <v>1</v>
      </c>
      <c r="V1550" s="2"/>
    </row>
    <row r="1551" spans="1:22" x14ac:dyDescent="0.35">
      <c r="A1551" s="3" t="s">
        <v>3974</v>
      </c>
      <c r="B1551" s="3" t="s">
        <v>1319</v>
      </c>
      <c r="C1551" s="3" t="s">
        <v>1319</v>
      </c>
      <c r="D1551" s="3" t="s">
        <v>2344</v>
      </c>
      <c r="E1551" s="3" t="s">
        <v>68</v>
      </c>
      <c r="F1551" s="3" t="s">
        <v>249</v>
      </c>
      <c r="G1551" s="3" t="s">
        <v>129</v>
      </c>
      <c r="H1551" s="3" t="s">
        <v>811</v>
      </c>
      <c r="I1551" s="3" t="s">
        <v>41</v>
      </c>
      <c r="J1551" s="3">
        <v>-5</v>
      </c>
      <c r="K1551" s="3">
        <v>509.02</v>
      </c>
      <c r="L1551" s="3">
        <v>612.4</v>
      </c>
      <c r="M1551" s="3">
        <v>235774</v>
      </c>
      <c r="N1551" s="3">
        <v>195972.7</v>
      </c>
      <c r="O1551" s="3">
        <v>39801.300000000003</v>
      </c>
      <c r="P1551" s="3" t="s">
        <v>31</v>
      </c>
      <c r="Q1551" s="3" t="s">
        <v>32</v>
      </c>
      <c r="R1551" s="3">
        <v>15</v>
      </c>
      <c r="S1551" s="3" t="s">
        <v>86</v>
      </c>
      <c r="T1551" s="3">
        <v>2630</v>
      </c>
      <c r="U1551" s="3">
        <v>12</v>
      </c>
      <c r="V1551" s="3"/>
    </row>
    <row r="1552" spans="1:22" x14ac:dyDescent="0.35">
      <c r="A1552" s="2" t="s">
        <v>3975</v>
      </c>
      <c r="B1552" s="2" t="s">
        <v>3976</v>
      </c>
      <c r="C1552" s="2" t="s">
        <v>2996</v>
      </c>
      <c r="D1552" s="2" t="s">
        <v>3977</v>
      </c>
      <c r="E1552" s="2" t="s">
        <v>48</v>
      </c>
      <c r="F1552" s="2" t="s">
        <v>49</v>
      </c>
      <c r="G1552" s="2" t="s">
        <v>50</v>
      </c>
      <c r="H1552" s="2" t="s">
        <v>51</v>
      </c>
      <c r="I1552" s="2" t="s">
        <v>118</v>
      </c>
      <c r="J1552" s="2">
        <v>761</v>
      </c>
      <c r="K1552" s="2">
        <v>27.68</v>
      </c>
      <c r="L1552" s="2">
        <v>32.54</v>
      </c>
      <c r="M1552" s="2">
        <v>24762.94</v>
      </c>
      <c r="N1552" s="2">
        <v>21064.48</v>
      </c>
      <c r="O1552" s="2">
        <v>3698.46</v>
      </c>
      <c r="P1552" s="2" t="s">
        <v>42</v>
      </c>
      <c r="Q1552" s="2" t="s">
        <v>63</v>
      </c>
      <c r="R1552" s="2">
        <v>2</v>
      </c>
      <c r="S1552" s="2" t="s">
        <v>112</v>
      </c>
      <c r="T1552" s="2">
        <v>261</v>
      </c>
      <c r="U1552" s="2">
        <v>3</v>
      </c>
      <c r="V1552" s="2"/>
    </row>
    <row r="1553" spans="1:22" x14ac:dyDescent="0.35">
      <c r="A1553" s="3" t="s">
        <v>3978</v>
      </c>
      <c r="B1553" s="3" t="s">
        <v>2771</v>
      </c>
      <c r="C1553" s="3" t="s">
        <v>3979</v>
      </c>
      <c r="D1553" s="3" t="s">
        <v>2878</v>
      </c>
      <c r="E1553" s="3" t="s">
        <v>26</v>
      </c>
      <c r="F1553" s="3" t="s">
        <v>27</v>
      </c>
      <c r="G1553" s="3" t="s">
        <v>78</v>
      </c>
      <c r="H1553" s="3" t="s">
        <v>628</v>
      </c>
      <c r="I1553" s="3" t="s">
        <v>191</v>
      </c>
      <c r="J1553" s="3">
        <v>245</v>
      </c>
      <c r="K1553" s="3">
        <v>841.01</v>
      </c>
      <c r="L1553" s="3">
        <v>1291.1400000000001</v>
      </c>
      <c r="M1553" s="3">
        <v>316329.3</v>
      </c>
      <c r="N1553" s="3">
        <v>206047.45</v>
      </c>
      <c r="O1553" s="3">
        <v>110281.85</v>
      </c>
      <c r="P1553" s="3" t="s">
        <v>95</v>
      </c>
      <c r="Q1553" s="3" t="s">
        <v>63</v>
      </c>
      <c r="R1553" s="3">
        <v>2</v>
      </c>
      <c r="S1553" s="3" t="s">
        <v>43</v>
      </c>
      <c r="T1553" s="3">
        <v>3832</v>
      </c>
      <c r="U1553" s="3">
        <v>6</v>
      </c>
      <c r="V1553" s="3"/>
    </row>
    <row r="1554" spans="1:22" x14ac:dyDescent="0.35">
      <c r="A1554" s="2" t="s">
        <v>3980</v>
      </c>
      <c r="B1554" s="2" t="s">
        <v>2214</v>
      </c>
      <c r="C1554" s="2" t="s">
        <v>1934</v>
      </c>
      <c r="D1554" s="2" t="s">
        <v>3434</v>
      </c>
      <c r="E1554" s="2" t="s">
        <v>48</v>
      </c>
      <c r="F1554" s="2" t="s">
        <v>49</v>
      </c>
      <c r="G1554" s="2" t="s">
        <v>28</v>
      </c>
      <c r="H1554" s="2" t="s">
        <v>507</v>
      </c>
      <c r="I1554" s="2" t="s">
        <v>85</v>
      </c>
      <c r="J1554" s="2">
        <v>591</v>
      </c>
      <c r="K1554" s="2">
        <v>414.97</v>
      </c>
      <c r="L1554" s="2">
        <v>678.96</v>
      </c>
      <c r="M1554" s="2">
        <v>401265.36</v>
      </c>
      <c r="N1554" s="2">
        <v>245247.27</v>
      </c>
      <c r="O1554" s="2">
        <v>156018.09</v>
      </c>
      <c r="P1554" s="2" t="s">
        <v>52</v>
      </c>
      <c r="Q1554" s="2" t="s">
        <v>63</v>
      </c>
      <c r="R1554" s="2">
        <v>5</v>
      </c>
      <c r="S1554" s="2" t="s">
        <v>158</v>
      </c>
      <c r="T1554" s="2">
        <v>1465</v>
      </c>
      <c r="U1554" s="2">
        <v>26</v>
      </c>
      <c r="V1554" s="2"/>
    </row>
    <row r="1555" spans="1:22" x14ac:dyDescent="0.35">
      <c r="A1555" s="3" t="s">
        <v>3981</v>
      </c>
      <c r="B1555" s="3" t="s">
        <v>2289</v>
      </c>
      <c r="C1555" s="3" t="s">
        <v>3707</v>
      </c>
      <c r="D1555" s="3" t="s">
        <v>3982</v>
      </c>
      <c r="E1555" s="3" t="s">
        <v>68</v>
      </c>
      <c r="F1555" s="3" t="s">
        <v>276</v>
      </c>
      <c r="G1555" s="3" t="s">
        <v>39</v>
      </c>
      <c r="H1555" s="3" t="s">
        <v>412</v>
      </c>
      <c r="I1555" s="3" t="s">
        <v>240</v>
      </c>
      <c r="J1555" s="3">
        <v>536</v>
      </c>
      <c r="K1555" s="3">
        <v>258.66000000000003</v>
      </c>
      <c r="L1555" s="3">
        <v>419.35</v>
      </c>
      <c r="M1555" s="3">
        <v>224771.6</v>
      </c>
      <c r="N1555" s="3">
        <v>138641.76</v>
      </c>
      <c r="O1555" s="3">
        <v>86129.84</v>
      </c>
      <c r="P1555" s="3" t="s">
        <v>52</v>
      </c>
      <c r="Q1555" s="3" t="s">
        <v>63</v>
      </c>
      <c r="R1555" s="3">
        <v>4</v>
      </c>
      <c r="S1555" s="3" t="s">
        <v>43</v>
      </c>
      <c r="T1555" s="3">
        <v>1750</v>
      </c>
      <c r="U1555" s="3">
        <v>21</v>
      </c>
      <c r="V1555" s="3"/>
    </row>
    <row r="1556" spans="1:22" x14ac:dyDescent="0.35">
      <c r="A1556" s="2" t="s">
        <v>3983</v>
      </c>
      <c r="B1556" s="2" t="s">
        <v>2087</v>
      </c>
      <c r="C1556" s="2" t="s">
        <v>711</v>
      </c>
      <c r="D1556" s="2" t="s">
        <v>3984</v>
      </c>
      <c r="E1556" s="2" t="s">
        <v>58</v>
      </c>
      <c r="F1556" s="2" t="s">
        <v>122</v>
      </c>
      <c r="G1556" s="2" t="s">
        <v>60</v>
      </c>
      <c r="H1556" s="2" t="s">
        <v>780</v>
      </c>
      <c r="I1556" s="2" t="s">
        <v>62</v>
      </c>
      <c r="J1556" s="2">
        <v>749</v>
      </c>
      <c r="K1556" s="2">
        <v>22.34</v>
      </c>
      <c r="L1556" s="2">
        <v>25.25</v>
      </c>
      <c r="M1556" s="2">
        <v>18912.25</v>
      </c>
      <c r="N1556" s="2">
        <v>16732.66</v>
      </c>
      <c r="O1556" s="2">
        <v>2179.59</v>
      </c>
      <c r="P1556" s="2" t="s">
        <v>52</v>
      </c>
      <c r="Q1556" s="2" t="s">
        <v>32</v>
      </c>
      <c r="R1556" s="2">
        <v>12</v>
      </c>
      <c r="S1556" s="2" t="s">
        <v>86</v>
      </c>
      <c r="T1556" s="2">
        <v>2909</v>
      </c>
      <c r="U1556" s="2">
        <v>29</v>
      </c>
      <c r="V1556" s="2"/>
    </row>
    <row r="1557" spans="1:22" x14ac:dyDescent="0.35">
      <c r="A1557" s="2" t="s">
        <v>3985</v>
      </c>
      <c r="B1557" s="2" t="s">
        <v>1632</v>
      </c>
      <c r="C1557" s="2" t="s">
        <v>398</v>
      </c>
      <c r="D1557" s="2" t="s">
        <v>3986</v>
      </c>
      <c r="E1557" s="2" t="s">
        <v>68</v>
      </c>
      <c r="F1557" s="2" t="s">
        <v>146</v>
      </c>
      <c r="G1557" s="2" t="s">
        <v>39</v>
      </c>
      <c r="H1557" s="2" t="s">
        <v>412</v>
      </c>
      <c r="I1557" s="2" t="s">
        <v>85</v>
      </c>
      <c r="J1557" s="2">
        <v>561</v>
      </c>
      <c r="K1557" s="2">
        <v>639.27</v>
      </c>
      <c r="L1557" s="2">
        <v>886.73</v>
      </c>
      <c r="M1557" s="2">
        <v>497455.53</v>
      </c>
      <c r="N1557" s="2">
        <v>358630.47</v>
      </c>
      <c r="O1557" s="2">
        <v>138825.06</v>
      </c>
      <c r="P1557" s="2" t="s">
        <v>52</v>
      </c>
      <c r="Q1557" s="2" t="s">
        <v>63</v>
      </c>
      <c r="R1557" s="2">
        <v>1</v>
      </c>
      <c r="S1557" s="2" t="s">
        <v>53</v>
      </c>
      <c r="T1557" s="2">
        <v>3941</v>
      </c>
      <c r="U1557" s="2">
        <v>25</v>
      </c>
      <c r="V1557" s="2"/>
    </row>
    <row r="1558" spans="1:22" x14ac:dyDescent="0.35">
      <c r="A1558" s="3" t="s">
        <v>3987</v>
      </c>
      <c r="B1558" s="3" t="s">
        <v>954</v>
      </c>
      <c r="C1558" s="3" t="s">
        <v>1307</v>
      </c>
      <c r="D1558" s="3" t="s">
        <v>3988</v>
      </c>
      <c r="E1558" s="3" t="s">
        <v>26</v>
      </c>
      <c r="F1558" s="3" t="s">
        <v>77</v>
      </c>
      <c r="G1558" s="3" t="s">
        <v>78</v>
      </c>
      <c r="H1558" s="3" t="s">
        <v>481</v>
      </c>
      <c r="I1558" s="3" t="s">
        <v>118</v>
      </c>
      <c r="J1558" s="3">
        <v>726</v>
      </c>
      <c r="K1558" s="3">
        <v>573.32000000000005</v>
      </c>
      <c r="L1558" s="3">
        <v>812.31</v>
      </c>
      <c r="M1558" s="3">
        <v>589737.06000000006</v>
      </c>
      <c r="N1558" s="3">
        <v>416230.32</v>
      </c>
      <c r="O1558" s="3">
        <v>173506.74</v>
      </c>
      <c r="P1558" s="3" t="s">
        <v>95</v>
      </c>
      <c r="Q1558" s="3" t="s">
        <v>32</v>
      </c>
      <c r="R1558" s="3">
        <v>13</v>
      </c>
      <c r="S1558" s="3" t="s">
        <v>86</v>
      </c>
      <c r="T1558" s="3">
        <v>4</v>
      </c>
      <c r="U1558" s="3">
        <v>28</v>
      </c>
      <c r="V1558" s="3"/>
    </row>
    <row r="1559" spans="1:22" x14ac:dyDescent="0.35">
      <c r="A1559" s="2" t="s">
        <v>3989</v>
      </c>
      <c r="B1559" s="2" t="s">
        <v>1040</v>
      </c>
      <c r="C1559" s="2" t="s">
        <v>1298</v>
      </c>
      <c r="D1559" s="2" t="s">
        <v>3990</v>
      </c>
      <c r="E1559" s="2" t="s">
        <v>48</v>
      </c>
      <c r="F1559" s="2" t="s">
        <v>270</v>
      </c>
      <c r="G1559" s="2" t="s">
        <v>93</v>
      </c>
      <c r="H1559" s="2" t="s">
        <v>321</v>
      </c>
      <c r="I1559" s="2" t="s">
        <v>191</v>
      </c>
      <c r="J1559" s="2">
        <v>353</v>
      </c>
      <c r="K1559" s="2">
        <v>939.32</v>
      </c>
      <c r="L1559" s="2">
        <v>1412.78</v>
      </c>
      <c r="M1559" s="2">
        <v>498711.34</v>
      </c>
      <c r="N1559" s="2">
        <v>331579.96000000002</v>
      </c>
      <c r="O1559" s="2">
        <v>167131.38</v>
      </c>
      <c r="P1559" s="2" t="s">
        <v>52</v>
      </c>
      <c r="Q1559" s="2" t="s">
        <v>32</v>
      </c>
      <c r="R1559" s="2">
        <v>13</v>
      </c>
      <c r="S1559" s="2" t="s">
        <v>53</v>
      </c>
      <c r="T1559" s="2">
        <v>613</v>
      </c>
      <c r="U1559" s="2">
        <v>12</v>
      </c>
      <c r="V1559" s="2"/>
    </row>
    <row r="1560" spans="1:22" x14ac:dyDescent="0.35">
      <c r="A1560" s="3" t="s">
        <v>3991</v>
      </c>
      <c r="B1560" s="3" t="s">
        <v>653</v>
      </c>
      <c r="C1560" s="3" t="s">
        <v>262</v>
      </c>
      <c r="D1560" s="3" t="s">
        <v>821</v>
      </c>
      <c r="E1560" s="3" t="s">
        <v>26</v>
      </c>
      <c r="F1560" s="4"/>
      <c r="G1560" s="3" t="s">
        <v>78</v>
      </c>
      <c r="H1560" s="3" t="s">
        <v>178</v>
      </c>
      <c r="I1560" s="3" t="s">
        <v>240</v>
      </c>
      <c r="J1560" s="3">
        <v>461</v>
      </c>
      <c r="K1560" s="3">
        <v>749.08</v>
      </c>
      <c r="L1560" s="3">
        <v>863.97</v>
      </c>
      <c r="M1560" s="3">
        <v>398290.17</v>
      </c>
      <c r="N1560" s="3">
        <v>345325.88</v>
      </c>
      <c r="O1560" s="3">
        <v>52964.29</v>
      </c>
      <c r="P1560" s="3" t="s">
        <v>42</v>
      </c>
      <c r="Q1560" s="3" t="s">
        <v>1585</v>
      </c>
      <c r="R1560" s="3">
        <v>11</v>
      </c>
      <c r="S1560" s="3" t="s">
        <v>43</v>
      </c>
      <c r="T1560" s="3">
        <v>3593</v>
      </c>
      <c r="U1560" s="3">
        <v>2</v>
      </c>
      <c r="V1560" s="3"/>
    </row>
    <row r="1561" spans="1:22" x14ac:dyDescent="0.35">
      <c r="A1561" s="2" t="s">
        <v>3992</v>
      </c>
      <c r="B1561" s="2" t="s">
        <v>1007</v>
      </c>
      <c r="C1561" s="2" t="s">
        <v>232</v>
      </c>
      <c r="D1561" s="2" t="s">
        <v>3993</v>
      </c>
      <c r="E1561" s="2" t="s">
        <v>58</v>
      </c>
      <c r="F1561" s="2" t="s">
        <v>417</v>
      </c>
      <c r="G1561" s="2" t="s">
        <v>78</v>
      </c>
      <c r="H1561" s="2" t="s">
        <v>628</v>
      </c>
      <c r="I1561" s="2" t="s">
        <v>153</v>
      </c>
      <c r="J1561" s="2">
        <v>623</v>
      </c>
      <c r="K1561" s="2">
        <v>84.52</v>
      </c>
      <c r="L1561" s="2">
        <v>123.79</v>
      </c>
      <c r="M1561" s="2">
        <v>77121.17</v>
      </c>
      <c r="N1561" s="2">
        <v>52655.96</v>
      </c>
      <c r="O1561" s="2">
        <v>24465.21</v>
      </c>
      <c r="P1561" s="2" t="s">
        <v>52</v>
      </c>
      <c r="Q1561" s="2" t="s">
        <v>32</v>
      </c>
      <c r="R1561" s="2">
        <v>7</v>
      </c>
      <c r="S1561" s="2" t="s">
        <v>43</v>
      </c>
      <c r="T1561" s="2">
        <v>4922</v>
      </c>
      <c r="U1561" s="2">
        <v>30</v>
      </c>
      <c r="V1561" s="2"/>
    </row>
    <row r="1562" spans="1:22" x14ac:dyDescent="0.35">
      <c r="A1562" s="3" t="s">
        <v>3994</v>
      </c>
      <c r="B1562" s="3" t="s">
        <v>3906</v>
      </c>
      <c r="C1562" s="3" t="s">
        <v>1236</v>
      </c>
      <c r="D1562" s="3" t="s">
        <v>3995</v>
      </c>
      <c r="E1562" s="3" t="s">
        <v>100</v>
      </c>
      <c r="F1562" s="3" t="s">
        <v>330</v>
      </c>
      <c r="G1562" s="3" t="s">
        <v>129</v>
      </c>
      <c r="H1562" s="3" t="s">
        <v>520</v>
      </c>
      <c r="I1562" s="3" t="s">
        <v>293</v>
      </c>
      <c r="J1562" s="3">
        <v>700</v>
      </c>
      <c r="K1562" s="3">
        <v>428.4</v>
      </c>
      <c r="L1562" s="3">
        <v>549.14</v>
      </c>
      <c r="M1562" s="3">
        <v>384398</v>
      </c>
      <c r="N1562" s="3">
        <v>299880</v>
      </c>
      <c r="O1562" s="4"/>
      <c r="P1562" s="3" t="s">
        <v>42</v>
      </c>
      <c r="Q1562" s="3" t="s">
        <v>63</v>
      </c>
      <c r="R1562" s="3">
        <v>4</v>
      </c>
      <c r="S1562" s="3" t="s">
        <v>86</v>
      </c>
      <c r="T1562" s="3">
        <v>4183</v>
      </c>
      <c r="U1562" s="3">
        <v>8</v>
      </c>
      <c r="V1562" s="3"/>
    </row>
    <row r="1563" spans="1:22" x14ac:dyDescent="0.35">
      <c r="A1563" s="2" t="s">
        <v>3996</v>
      </c>
      <c r="B1563" s="2" t="s">
        <v>1820</v>
      </c>
      <c r="C1563" s="2" t="s">
        <v>202</v>
      </c>
      <c r="D1563" s="2" t="s">
        <v>3997</v>
      </c>
      <c r="E1563" s="2" t="s">
        <v>48</v>
      </c>
      <c r="F1563" s="2" t="s">
        <v>223</v>
      </c>
      <c r="G1563" s="2" t="s">
        <v>129</v>
      </c>
      <c r="H1563" s="2" t="s">
        <v>811</v>
      </c>
      <c r="I1563" s="2" t="s">
        <v>191</v>
      </c>
      <c r="J1563" s="2">
        <v>475</v>
      </c>
      <c r="K1563" s="2">
        <v>300.35000000000002</v>
      </c>
      <c r="L1563" s="2">
        <v>382.06</v>
      </c>
      <c r="M1563" s="2">
        <v>181478.5</v>
      </c>
      <c r="N1563" s="2">
        <v>142666.25</v>
      </c>
      <c r="O1563" s="2">
        <v>38812.25</v>
      </c>
      <c r="P1563" s="2" t="s">
        <v>52</v>
      </c>
      <c r="Q1563" s="2" t="s">
        <v>63</v>
      </c>
      <c r="R1563" s="2">
        <v>1</v>
      </c>
      <c r="S1563" s="2" t="s">
        <v>158</v>
      </c>
      <c r="T1563" s="2">
        <v>2308</v>
      </c>
      <c r="U1563" s="2">
        <v>20</v>
      </c>
      <c r="V1563" s="2"/>
    </row>
    <row r="1564" spans="1:22" x14ac:dyDescent="0.35">
      <c r="A1564" s="3" t="s">
        <v>3998</v>
      </c>
      <c r="B1564" s="3" t="s">
        <v>751</v>
      </c>
      <c r="C1564" s="3" t="s">
        <v>496</v>
      </c>
      <c r="D1564" s="3" t="s">
        <v>3999</v>
      </c>
      <c r="E1564" s="3" t="s">
        <v>58</v>
      </c>
      <c r="F1564" s="3" t="s">
        <v>417</v>
      </c>
      <c r="G1564" s="3" t="s">
        <v>60</v>
      </c>
      <c r="H1564" s="3" t="s">
        <v>400</v>
      </c>
      <c r="I1564" s="4"/>
      <c r="J1564" s="3">
        <v>417</v>
      </c>
      <c r="K1564" s="3">
        <v>664.3</v>
      </c>
      <c r="L1564" s="3">
        <v>991.01</v>
      </c>
      <c r="M1564" s="3">
        <v>413251.17</v>
      </c>
      <c r="N1564" s="3">
        <v>277013.09999999998</v>
      </c>
      <c r="O1564" s="3">
        <v>136238.07</v>
      </c>
      <c r="P1564" s="3" t="s">
        <v>95</v>
      </c>
      <c r="Q1564" s="3" t="s">
        <v>32</v>
      </c>
      <c r="R1564" s="3">
        <v>15</v>
      </c>
      <c r="S1564" s="3" t="s">
        <v>53</v>
      </c>
      <c r="T1564" s="3">
        <v>3795</v>
      </c>
      <c r="U1564" s="3">
        <v>17</v>
      </c>
      <c r="V1564" s="3"/>
    </row>
    <row r="1565" spans="1:22" x14ac:dyDescent="0.35">
      <c r="A1565" s="2" t="s">
        <v>4000</v>
      </c>
      <c r="B1565" s="2" t="s">
        <v>1110</v>
      </c>
      <c r="C1565" s="2" t="s">
        <v>1477</v>
      </c>
      <c r="D1565" s="2" t="s">
        <v>4001</v>
      </c>
      <c r="E1565" s="2" t="s">
        <v>26</v>
      </c>
      <c r="F1565" s="2" t="s">
        <v>27</v>
      </c>
      <c r="G1565" s="2" t="s">
        <v>60</v>
      </c>
      <c r="H1565" s="2" t="s">
        <v>400</v>
      </c>
      <c r="I1565" s="2" t="s">
        <v>41</v>
      </c>
      <c r="J1565" s="2">
        <v>75</v>
      </c>
      <c r="K1565" s="2">
        <v>883.54</v>
      </c>
      <c r="L1565" s="2">
        <v>1298.25</v>
      </c>
      <c r="M1565" s="2">
        <v>97368.75</v>
      </c>
      <c r="N1565" s="2">
        <v>66265.5</v>
      </c>
      <c r="O1565" s="2">
        <v>31103.25</v>
      </c>
      <c r="P1565" s="2" t="s">
        <v>31</v>
      </c>
      <c r="Q1565" s="2" t="s">
        <v>63</v>
      </c>
      <c r="R1565" s="2">
        <v>3</v>
      </c>
      <c r="S1565" s="2" t="s">
        <v>158</v>
      </c>
      <c r="T1565" s="2">
        <v>1980</v>
      </c>
      <c r="U1565" s="2">
        <v>1</v>
      </c>
      <c r="V1565" s="2"/>
    </row>
    <row r="1566" spans="1:22" x14ac:dyDescent="0.35">
      <c r="A1566" s="3" t="s">
        <v>4002</v>
      </c>
      <c r="B1566" s="3" t="s">
        <v>1164</v>
      </c>
      <c r="C1566" s="3" t="s">
        <v>3076</v>
      </c>
      <c r="D1566" s="3" t="s">
        <v>4003</v>
      </c>
      <c r="E1566" s="3" t="s">
        <v>100</v>
      </c>
      <c r="F1566" s="3" t="s">
        <v>238</v>
      </c>
      <c r="G1566" s="3" t="s">
        <v>28</v>
      </c>
      <c r="H1566" s="3" t="s">
        <v>29</v>
      </c>
      <c r="I1566" s="3" t="s">
        <v>153</v>
      </c>
      <c r="J1566" s="3">
        <v>285</v>
      </c>
      <c r="K1566" s="3">
        <v>185.78</v>
      </c>
      <c r="L1566" s="3">
        <v>277.87</v>
      </c>
      <c r="M1566" s="3">
        <v>79192.95</v>
      </c>
      <c r="N1566" s="3">
        <v>52947.3</v>
      </c>
      <c r="O1566" s="3">
        <v>26245.65</v>
      </c>
      <c r="P1566" s="3" t="s">
        <v>42</v>
      </c>
      <c r="Q1566" s="3" t="s">
        <v>32</v>
      </c>
      <c r="R1566" s="3">
        <v>10</v>
      </c>
      <c r="S1566" s="3" t="s">
        <v>158</v>
      </c>
      <c r="T1566" s="3">
        <v>3196</v>
      </c>
      <c r="U1566" s="3">
        <v>5</v>
      </c>
      <c r="V1566" s="3"/>
    </row>
    <row r="1567" spans="1:22" x14ac:dyDescent="0.35">
      <c r="A1567" s="2" t="s">
        <v>4004</v>
      </c>
      <c r="B1567" s="2" t="s">
        <v>794</v>
      </c>
      <c r="C1567" s="2" t="s">
        <v>850</v>
      </c>
      <c r="D1567" s="2" t="s">
        <v>4005</v>
      </c>
      <c r="E1567" s="2" t="s">
        <v>68</v>
      </c>
      <c r="F1567" s="2" t="s">
        <v>163</v>
      </c>
      <c r="G1567" s="2" t="s">
        <v>28</v>
      </c>
      <c r="H1567" s="2" t="s">
        <v>674</v>
      </c>
      <c r="I1567" s="2" t="s">
        <v>41</v>
      </c>
      <c r="J1567" s="2">
        <v>79</v>
      </c>
      <c r="K1567" s="2">
        <v>565.35</v>
      </c>
      <c r="L1567" s="2">
        <v>776.26</v>
      </c>
      <c r="M1567" s="2">
        <v>61324.54</v>
      </c>
      <c r="N1567" s="2">
        <v>44662.65</v>
      </c>
      <c r="O1567" s="2">
        <v>16661.89</v>
      </c>
      <c r="P1567" s="2" t="s">
        <v>52</v>
      </c>
      <c r="Q1567" s="2" t="s">
        <v>32</v>
      </c>
      <c r="R1567" s="2">
        <v>6</v>
      </c>
      <c r="S1567" s="2" t="s">
        <v>158</v>
      </c>
      <c r="T1567" s="2">
        <v>2771</v>
      </c>
      <c r="U1567" s="2">
        <v>3</v>
      </c>
      <c r="V1567" s="2"/>
    </row>
    <row r="1568" spans="1:22" x14ac:dyDescent="0.35">
      <c r="A1568" s="3" t="s">
        <v>4006</v>
      </c>
      <c r="B1568" s="3" t="s">
        <v>1298</v>
      </c>
      <c r="C1568" s="3" t="s">
        <v>786</v>
      </c>
      <c r="D1568" s="3" t="s">
        <v>4007</v>
      </c>
      <c r="E1568" s="3" t="s">
        <v>48</v>
      </c>
      <c r="F1568" s="3" t="s">
        <v>270</v>
      </c>
      <c r="G1568" s="3" t="s">
        <v>50</v>
      </c>
      <c r="H1568" s="3" t="s">
        <v>135</v>
      </c>
      <c r="I1568" s="3" t="s">
        <v>85</v>
      </c>
      <c r="J1568" s="3">
        <v>65</v>
      </c>
      <c r="K1568" s="3">
        <v>1140.02</v>
      </c>
      <c r="L1568" s="4"/>
      <c r="M1568" s="3">
        <v>109352.1</v>
      </c>
      <c r="N1568" s="3">
        <v>74101.3</v>
      </c>
      <c r="O1568" s="3">
        <v>35250.800000000003</v>
      </c>
      <c r="P1568" s="3" t="s">
        <v>42</v>
      </c>
      <c r="Q1568" s="3" t="s">
        <v>63</v>
      </c>
      <c r="R1568" s="3">
        <v>5</v>
      </c>
      <c r="S1568" s="3" t="s">
        <v>4008</v>
      </c>
      <c r="T1568" s="3">
        <v>3357</v>
      </c>
      <c r="U1568" s="3">
        <v>2</v>
      </c>
      <c r="V1568" s="3"/>
    </row>
    <row r="1569" spans="1:22" x14ac:dyDescent="0.35">
      <c r="A1569" s="2" t="s">
        <v>4009</v>
      </c>
      <c r="B1569" s="2" t="s">
        <v>630</v>
      </c>
      <c r="C1569" s="2" t="s">
        <v>1253</v>
      </c>
      <c r="D1569" s="2" t="s">
        <v>4010</v>
      </c>
      <c r="E1569" s="2" t="s">
        <v>26</v>
      </c>
      <c r="F1569" s="2" t="s">
        <v>228</v>
      </c>
      <c r="G1569" s="2" t="s">
        <v>50</v>
      </c>
      <c r="H1569" s="2" t="s">
        <v>282</v>
      </c>
      <c r="I1569" s="2" t="s">
        <v>124</v>
      </c>
      <c r="J1569" s="2">
        <v>575</v>
      </c>
      <c r="K1569" s="2">
        <v>694.86</v>
      </c>
      <c r="L1569" s="2">
        <v>944.26</v>
      </c>
      <c r="M1569" s="2">
        <v>542949.5</v>
      </c>
      <c r="N1569" s="2">
        <v>399544.5</v>
      </c>
      <c r="O1569" s="2">
        <v>143405</v>
      </c>
      <c r="P1569" s="2" t="s">
        <v>42</v>
      </c>
      <c r="Q1569" s="2" t="s">
        <v>32</v>
      </c>
      <c r="R1569" s="2">
        <v>6</v>
      </c>
      <c r="S1569" s="2" t="s">
        <v>112</v>
      </c>
      <c r="T1569" s="2">
        <v>2485</v>
      </c>
      <c r="U1569" s="2">
        <v>22</v>
      </c>
      <c r="V1569" s="2"/>
    </row>
    <row r="1570" spans="1:22" x14ac:dyDescent="0.35">
      <c r="A1570" s="3" t="s">
        <v>4011</v>
      </c>
      <c r="B1570" s="3" t="s">
        <v>390</v>
      </c>
      <c r="C1570" s="3" t="s">
        <v>614</v>
      </c>
      <c r="D1570" s="3" t="s">
        <v>4012</v>
      </c>
      <c r="E1570" s="3" t="s">
        <v>26</v>
      </c>
      <c r="F1570" s="3" t="s">
        <v>228</v>
      </c>
      <c r="G1570" s="3" t="s">
        <v>70</v>
      </c>
      <c r="H1570" s="3" t="s">
        <v>1019</v>
      </c>
      <c r="I1570" s="3" t="s">
        <v>41</v>
      </c>
      <c r="J1570" s="3">
        <v>462</v>
      </c>
      <c r="K1570" s="3">
        <v>711.45</v>
      </c>
      <c r="L1570" s="3">
        <v>812.97</v>
      </c>
      <c r="M1570" s="3">
        <v>375592.14</v>
      </c>
      <c r="N1570" s="3">
        <v>328689.90000000002</v>
      </c>
      <c r="O1570" s="3">
        <v>46902.239999999998</v>
      </c>
      <c r="P1570" s="3" t="s">
        <v>52</v>
      </c>
      <c r="Q1570" s="3" t="s">
        <v>63</v>
      </c>
      <c r="R1570" s="3">
        <v>2</v>
      </c>
      <c r="S1570" s="3" t="s">
        <v>33</v>
      </c>
      <c r="T1570" s="3">
        <v>1024</v>
      </c>
      <c r="U1570" s="3">
        <v>6</v>
      </c>
      <c r="V1570" s="3"/>
    </row>
    <row r="1571" spans="1:22" x14ac:dyDescent="0.35">
      <c r="A1571" s="2" t="s">
        <v>4013</v>
      </c>
      <c r="B1571" s="2" t="s">
        <v>691</v>
      </c>
      <c r="C1571" s="2" t="s">
        <v>1967</v>
      </c>
      <c r="D1571" s="2" t="s">
        <v>1161</v>
      </c>
      <c r="E1571" s="2" t="s">
        <v>58</v>
      </c>
      <c r="F1571" s="2" t="s">
        <v>59</v>
      </c>
      <c r="G1571" s="2" t="s">
        <v>129</v>
      </c>
      <c r="H1571" s="2" t="s">
        <v>168</v>
      </c>
      <c r="I1571" s="2" t="s">
        <v>153</v>
      </c>
      <c r="J1571" s="2">
        <v>132</v>
      </c>
      <c r="K1571" s="2">
        <v>348.06</v>
      </c>
      <c r="L1571" s="2">
        <v>424.94</v>
      </c>
      <c r="M1571" s="2">
        <v>56092.08</v>
      </c>
      <c r="N1571" s="2">
        <v>45943.92</v>
      </c>
      <c r="O1571" s="2">
        <v>10148.16</v>
      </c>
      <c r="P1571" s="2" t="s">
        <v>42</v>
      </c>
      <c r="Q1571" s="2" t="s">
        <v>63</v>
      </c>
      <c r="R1571" s="2">
        <v>3</v>
      </c>
      <c r="S1571" s="2" t="s">
        <v>33</v>
      </c>
      <c r="T1571" s="2">
        <v>1763</v>
      </c>
      <c r="U1571" s="2">
        <v>6</v>
      </c>
      <c r="V1571" s="2"/>
    </row>
    <row r="1572" spans="1:22" x14ac:dyDescent="0.35">
      <c r="A1572" s="3" t="s">
        <v>4014</v>
      </c>
      <c r="B1572" s="3" t="s">
        <v>653</v>
      </c>
      <c r="C1572" s="3" t="s">
        <v>242</v>
      </c>
      <c r="D1572" s="3" t="s">
        <v>4015</v>
      </c>
      <c r="E1572" s="3" t="s">
        <v>68</v>
      </c>
      <c r="F1572" s="3" t="s">
        <v>3671</v>
      </c>
      <c r="G1572" s="3" t="s">
        <v>39</v>
      </c>
      <c r="H1572" s="3" t="s">
        <v>412</v>
      </c>
      <c r="I1572" s="3" t="s">
        <v>141</v>
      </c>
      <c r="J1572" s="3">
        <v>565</v>
      </c>
      <c r="K1572" s="3">
        <v>767.64</v>
      </c>
      <c r="L1572" s="3">
        <v>987.11</v>
      </c>
      <c r="M1572" s="3">
        <v>557717.15</v>
      </c>
      <c r="N1572" s="3">
        <v>433716.6</v>
      </c>
      <c r="O1572" s="3">
        <v>124000.55</v>
      </c>
      <c r="P1572" s="3" t="s">
        <v>42</v>
      </c>
      <c r="Q1572" s="3" t="s">
        <v>32</v>
      </c>
      <c r="R1572" s="3">
        <v>14</v>
      </c>
      <c r="S1572" s="3" t="s">
        <v>53</v>
      </c>
      <c r="T1572" s="3">
        <v>1140</v>
      </c>
      <c r="U1572" s="3">
        <v>24</v>
      </c>
      <c r="V1572" s="3"/>
    </row>
    <row r="1573" spans="1:22" x14ac:dyDescent="0.35">
      <c r="A1573" s="3" t="s">
        <v>4016</v>
      </c>
      <c r="B1573" s="3" t="s">
        <v>132</v>
      </c>
      <c r="C1573" s="3" t="s">
        <v>1003</v>
      </c>
      <c r="D1573" s="3" t="s">
        <v>4017</v>
      </c>
      <c r="E1573" s="3" t="s">
        <v>48</v>
      </c>
      <c r="F1573" s="3" t="s">
        <v>223</v>
      </c>
      <c r="G1573" s="3" t="s">
        <v>39</v>
      </c>
      <c r="H1573" s="3" t="s">
        <v>147</v>
      </c>
      <c r="I1573" s="3" t="s">
        <v>118</v>
      </c>
      <c r="J1573" s="3">
        <v>512</v>
      </c>
      <c r="K1573" s="3">
        <v>598.22</v>
      </c>
      <c r="L1573" s="3">
        <v>673.78</v>
      </c>
      <c r="M1573" s="3">
        <v>344975.35999999999</v>
      </c>
      <c r="N1573" s="3">
        <v>306288.64000000001</v>
      </c>
      <c r="O1573" s="3">
        <v>38686.720000000001</v>
      </c>
      <c r="P1573" s="3" t="s">
        <v>52</v>
      </c>
      <c r="Q1573" s="3" t="s">
        <v>63</v>
      </c>
      <c r="R1573" s="3">
        <v>4</v>
      </c>
      <c r="S1573" s="3" t="s">
        <v>112</v>
      </c>
      <c r="T1573" s="3">
        <v>2864</v>
      </c>
      <c r="U1573" s="4" t="s">
        <v>87</v>
      </c>
      <c r="V1573" s="3"/>
    </row>
    <row r="1574" spans="1:22" x14ac:dyDescent="0.35">
      <c r="A1574" s="2" t="s">
        <v>4018</v>
      </c>
      <c r="B1574" s="2" t="s">
        <v>1952</v>
      </c>
      <c r="C1574" s="2" t="s">
        <v>3896</v>
      </c>
      <c r="D1574" s="2" t="s">
        <v>4019</v>
      </c>
      <c r="E1574" s="2" t="s">
        <v>26</v>
      </c>
      <c r="F1574" s="2" t="s">
        <v>92</v>
      </c>
      <c r="G1574" s="2" t="s">
        <v>78</v>
      </c>
      <c r="H1574" s="2" t="s">
        <v>123</v>
      </c>
      <c r="I1574" s="2" t="s">
        <v>191</v>
      </c>
      <c r="J1574" s="2">
        <v>631</v>
      </c>
      <c r="K1574" s="2">
        <v>963.18</v>
      </c>
      <c r="L1574" s="2">
        <v>1178.52</v>
      </c>
      <c r="M1574" s="2">
        <v>743646.12</v>
      </c>
      <c r="N1574" s="2">
        <v>607766.57999999996</v>
      </c>
      <c r="O1574" s="2">
        <v>135879.54</v>
      </c>
      <c r="P1574" s="2" t="s">
        <v>42</v>
      </c>
      <c r="Q1574" s="2" t="s">
        <v>32</v>
      </c>
      <c r="R1574" s="2">
        <v>9</v>
      </c>
      <c r="S1574" s="2" t="s">
        <v>158</v>
      </c>
      <c r="T1574" s="2">
        <v>3974</v>
      </c>
      <c r="U1574" s="2">
        <v>11</v>
      </c>
      <c r="V1574" s="2"/>
    </row>
    <row r="1575" spans="1:22" x14ac:dyDescent="0.35">
      <c r="A1575" s="2" t="s">
        <v>4020</v>
      </c>
      <c r="B1575" s="2" t="s">
        <v>114</v>
      </c>
      <c r="C1575" s="2" t="s">
        <v>774</v>
      </c>
      <c r="D1575" s="2" t="s">
        <v>4021</v>
      </c>
      <c r="E1575" s="2" t="s">
        <v>58</v>
      </c>
      <c r="F1575" s="2" t="s">
        <v>417</v>
      </c>
      <c r="G1575" s="2" t="s">
        <v>217</v>
      </c>
      <c r="H1575" s="2" t="s">
        <v>725</v>
      </c>
      <c r="I1575" s="2" t="s">
        <v>30</v>
      </c>
      <c r="J1575" s="2">
        <v>633</v>
      </c>
      <c r="K1575" s="2">
        <v>552.07000000000005</v>
      </c>
      <c r="L1575" s="2">
        <v>647.29999999999995</v>
      </c>
      <c r="M1575" s="2">
        <v>409740.9</v>
      </c>
      <c r="N1575" s="2">
        <v>349460.31</v>
      </c>
      <c r="O1575" s="2">
        <v>60280.59</v>
      </c>
      <c r="P1575" s="2" t="s">
        <v>31</v>
      </c>
      <c r="Q1575" s="2" t="s">
        <v>32</v>
      </c>
      <c r="R1575" s="2">
        <v>6</v>
      </c>
      <c r="S1575" s="2" t="s">
        <v>43</v>
      </c>
      <c r="T1575" s="2">
        <v>1371</v>
      </c>
      <c r="U1575" s="2">
        <v>30</v>
      </c>
      <c r="V1575" s="2"/>
    </row>
    <row r="1576" spans="1:22" x14ac:dyDescent="0.35">
      <c r="A1576" s="3" t="s">
        <v>4022</v>
      </c>
      <c r="B1576" s="3" t="s">
        <v>1319</v>
      </c>
      <c r="C1576" s="3" t="s">
        <v>912</v>
      </c>
      <c r="D1576" s="3" t="s">
        <v>4023</v>
      </c>
      <c r="E1576" s="3" t="s">
        <v>26</v>
      </c>
      <c r="F1576" s="3" t="s">
        <v>228</v>
      </c>
      <c r="G1576" s="3" t="s">
        <v>78</v>
      </c>
      <c r="H1576" s="3" t="s">
        <v>628</v>
      </c>
      <c r="I1576" s="3" t="s">
        <v>72</v>
      </c>
      <c r="J1576" s="3">
        <v>184</v>
      </c>
      <c r="K1576" s="3">
        <v>330.09</v>
      </c>
      <c r="L1576" s="3">
        <v>497.32</v>
      </c>
      <c r="M1576" s="3">
        <v>91506.880000000005</v>
      </c>
      <c r="N1576" s="3">
        <v>60736.56</v>
      </c>
      <c r="O1576" s="3">
        <v>30770.32</v>
      </c>
      <c r="P1576" s="3" t="s">
        <v>95</v>
      </c>
      <c r="Q1576" s="3" t="s">
        <v>32</v>
      </c>
      <c r="R1576" s="3">
        <v>8</v>
      </c>
      <c r="S1576" s="3" t="s">
        <v>86</v>
      </c>
      <c r="T1576" s="3">
        <v>1271</v>
      </c>
      <c r="U1576" s="3">
        <v>7</v>
      </c>
      <c r="V1576" s="3"/>
    </row>
    <row r="1577" spans="1:22" x14ac:dyDescent="0.35">
      <c r="A1577" s="2" t="s">
        <v>4024</v>
      </c>
      <c r="B1577" s="2" t="s">
        <v>1206</v>
      </c>
      <c r="C1577" s="2" t="s">
        <v>1213</v>
      </c>
      <c r="D1577" s="2" t="s">
        <v>4025</v>
      </c>
      <c r="E1577" s="2" t="s">
        <v>68</v>
      </c>
      <c r="F1577" s="2" t="s">
        <v>276</v>
      </c>
      <c r="G1577" s="2" t="s">
        <v>39</v>
      </c>
      <c r="H1577" s="2" t="s">
        <v>664</v>
      </c>
      <c r="I1577" s="2" t="s">
        <v>191</v>
      </c>
      <c r="J1577" s="2">
        <v>261</v>
      </c>
      <c r="K1577" s="2">
        <v>576.99</v>
      </c>
      <c r="L1577" s="2">
        <v>834.77</v>
      </c>
      <c r="M1577" s="2">
        <v>217874.97</v>
      </c>
      <c r="N1577" s="2">
        <v>150594.39000000001</v>
      </c>
      <c r="O1577" s="2">
        <v>67280.58</v>
      </c>
      <c r="P1577" s="2" t="s">
        <v>31</v>
      </c>
      <c r="Q1577" s="2" t="s">
        <v>32</v>
      </c>
      <c r="R1577" s="2">
        <v>6</v>
      </c>
      <c r="S1577" s="2" t="s">
        <v>33</v>
      </c>
      <c r="T1577" s="2">
        <v>352</v>
      </c>
      <c r="U1577" s="2">
        <v>11</v>
      </c>
      <c r="V1577" s="2"/>
    </row>
    <row r="1578" spans="1:22" x14ac:dyDescent="0.35">
      <c r="A1578" s="3" t="s">
        <v>4026</v>
      </c>
      <c r="B1578" s="3" t="s">
        <v>755</v>
      </c>
      <c r="C1578" s="3" t="s">
        <v>356</v>
      </c>
      <c r="D1578" s="3" t="s">
        <v>4027</v>
      </c>
      <c r="E1578" s="3" t="s">
        <v>58</v>
      </c>
      <c r="F1578" s="3" t="s">
        <v>122</v>
      </c>
      <c r="G1578" s="3" t="s">
        <v>129</v>
      </c>
      <c r="H1578" s="3" t="s">
        <v>811</v>
      </c>
      <c r="I1578" s="3" t="s">
        <v>62</v>
      </c>
      <c r="J1578" s="3">
        <v>778</v>
      </c>
      <c r="K1578" s="3">
        <v>882.7</v>
      </c>
      <c r="L1578" s="3">
        <v>1366.53</v>
      </c>
      <c r="M1578" s="3">
        <v>1063160.3400000001</v>
      </c>
      <c r="N1578" s="3">
        <v>686740.6</v>
      </c>
      <c r="O1578" s="3">
        <v>376419.74</v>
      </c>
      <c r="P1578" s="3" t="s">
        <v>95</v>
      </c>
      <c r="Q1578" s="3" t="s">
        <v>63</v>
      </c>
      <c r="R1578" s="3">
        <v>500</v>
      </c>
      <c r="S1578" s="3" t="s">
        <v>112</v>
      </c>
      <c r="T1578" s="3">
        <v>3120</v>
      </c>
      <c r="U1578" s="3">
        <v>29</v>
      </c>
      <c r="V1578" s="3"/>
    </row>
    <row r="1579" spans="1:22" x14ac:dyDescent="0.35">
      <c r="A1579" s="2" t="s">
        <v>4028</v>
      </c>
      <c r="B1579" s="2" t="s">
        <v>362</v>
      </c>
      <c r="C1579" s="2" t="s">
        <v>137</v>
      </c>
      <c r="D1579" s="2" t="s">
        <v>4029</v>
      </c>
      <c r="E1579" s="2" t="s">
        <v>48</v>
      </c>
      <c r="F1579" s="2" t="s">
        <v>49</v>
      </c>
      <c r="G1579" s="2" t="s">
        <v>60</v>
      </c>
      <c r="H1579" s="2" t="s">
        <v>164</v>
      </c>
      <c r="I1579" s="2" t="s">
        <v>141</v>
      </c>
      <c r="J1579" s="2">
        <v>796</v>
      </c>
      <c r="K1579" s="2">
        <v>734.68</v>
      </c>
      <c r="L1579" s="2">
        <v>917.93</v>
      </c>
      <c r="M1579" s="2">
        <v>730672.28</v>
      </c>
      <c r="N1579" s="2">
        <v>584805.28</v>
      </c>
      <c r="O1579" s="2">
        <v>145867</v>
      </c>
      <c r="P1579" s="2" t="s">
        <v>42</v>
      </c>
      <c r="Q1579" s="2" t="s">
        <v>32</v>
      </c>
      <c r="R1579" s="2">
        <v>6</v>
      </c>
      <c r="S1579" s="2" t="s">
        <v>86</v>
      </c>
      <c r="T1579" s="2">
        <v>4383</v>
      </c>
      <c r="U1579" s="2">
        <v>3</v>
      </c>
      <c r="V1579" s="2"/>
    </row>
    <row r="1580" spans="1:22" x14ac:dyDescent="0.35">
      <c r="A1580" s="3" t="s">
        <v>4030</v>
      </c>
      <c r="B1580" s="3" t="s">
        <v>887</v>
      </c>
      <c r="C1580" s="3" t="s">
        <v>532</v>
      </c>
      <c r="D1580" s="3" t="s">
        <v>4031</v>
      </c>
      <c r="E1580" s="3" t="s">
        <v>26</v>
      </c>
      <c r="F1580" s="3" t="s">
        <v>38</v>
      </c>
      <c r="G1580" s="3" t="s">
        <v>78</v>
      </c>
      <c r="H1580" s="3" t="s">
        <v>481</v>
      </c>
      <c r="I1580" s="3" t="s">
        <v>240</v>
      </c>
      <c r="J1580" s="3">
        <v>299</v>
      </c>
      <c r="K1580" s="3">
        <v>618.91999999999996</v>
      </c>
      <c r="L1580" s="3">
        <v>948.86</v>
      </c>
      <c r="M1580" s="3">
        <v>283709.14</v>
      </c>
      <c r="N1580" s="3">
        <v>185057.08</v>
      </c>
      <c r="O1580" s="3">
        <v>98652.06</v>
      </c>
      <c r="P1580" s="3" t="s">
        <v>31</v>
      </c>
      <c r="Q1580" s="3" t="s">
        <v>32</v>
      </c>
      <c r="R1580" s="3">
        <v>12</v>
      </c>
      <c r="S1580" s="3" t="s">
        <v>33</v>
      </c>
      <c r="T1580" s="3">
        <v>1345</v>
      </c>
      <c r="U1580" s="3">
        <v>5</v>
      </c>
      <c r="V1580" s="3"/>
    </row>
    <row r="1581" spans="1:22" x14ac:dyDescent="0.35">
      <c r="A1581" s="2" t="s">
        <v>4032</v>
      </c>
      <c r="B1581" s="2" t="s">
        <v>2833</v>
      </c>
      <c r="C1581" s="2" t="s">
        <v>419</v>
      </c>
      <c r="D1581" s="2" t="s">
        <v>4033</v>
      </c>
      <c r="E1581" s="2" t="s">
        <v>58</v>
      </c>
      <c r="F1581" s="2" t="s">
        <v>122</v>
      </c>
      <c r="G1581" s="2" t="s">
        <v>78</v>
      </c>
      <c r="H1581" s="2" t="s">
        <v>840</v>
      </c>
      <c r="I1581" s="2" t="s">
        <v>153</v>
      </c>
      <c r="J1581" s="2">
        <v>272</v>
      </c>
      <c r="K1581" s="2">
        <v>127.3</v>
      </c>
      <c r="L1581" s="2">
        <v>171.77</v>
      </c>
      <c r="M1581" s="2">
        <v>46721.440000000002</v>
      </c>
      <c r="N1581" s="2">
        <v>34625.599999999999</v>
      </c>
      <c r="O1581" s="2">
        <v>12095.84</v>
      </c>
      <c r="P1581" s="2" t="s">
        <v>52</v>
      </c>
      <c r="Q1581" s="2" t="s">
        <v>2276</v>
      </c>
      <c r="R1581" s="2">
        <v>7</v>
      </c>
      <c r="S1581" s="2" t="s">
        <v>158</v>
      </c>
      <c r="T1581" s="2">
        <v>1371</v>
      </c>
      <c r="U1581" s="2">
        <v>4</v>
      </c>
      <c r="V1581" s="2"/>
    </row>
    <row r="1582" spans="1:22" x14ac:dyDescent="0.35">
      <c r="A1582" s="3" t="s">
        <v>4034</v>
      </c>
      <c r="B1582" s="3" t="s">
        <v>1189</v>
      </c>
      <c r="C1582" s="3" t="s">
        <v>785</v>
      </c>
      <c r="D1582" s="3" t="s">
        <v>4035</v>
      </c>
      <c r="E1582" s="3" t="s">
        <v>100</v>
      </c>
      <c r="F1582" s="3" t="s">
        <v>330</v>
      </c>
      <c r="G1582" s="3" t="s">
        <v>28</v>
      </c>
      <c r="H1582" s="3" t="s">
        <v>579</v>
      </c>
      <c r="I1582" s="3" t="s">
        <v>191</v>
      </c>
      <c r="J1582" s="3">
        <v>790</v>
      </c>
      <c r="K1582" s="3">
        <v>181.62</v>
      </c>
      <c r="L1582" s="3">
        <v>229.06</v>
      </c>
      <c r="M1582" s="3">
        <v>180957.4</v>
      </c>
      <c r="N1582" s="3">
        <v>143479.79999999999</v>
      </c>
      <c r="O1582" s="3">
        <v>37477.599999999999</v>
      </c>
      <c r="P1582" s="3" t="s">
        <v>31</v>
      </c>
      <c r="Q1582" s="3" t="s">
        <v>63</v>
      </c>
      <c r="R1582" s="3">
        <v>1</v>
      </c>
      <c r="S1582" s="3" t="s">
        <v>86</v>
      </c>
      <c r="T1582" s="3">
        <v>1518</v>
      </c>
      <c r="U1582" s="3">
        <v>31</v>
      </c>
      <c r="V1582" s="3"/>
    </row>
    <row r="1583" spans="1:22" x14ac:dyDescent="0.35">
      <c r="A1583" s="2" t="s">
        <v>4036</v>
      </c>
      <c r="B1583" s="2" t="s">
        <v>2247</v>
      </c>
      <c r="C1583" s="2" t="s">
        <v>1662</v>
      </c>
      <c r="D1583" s="2" t="s">
        <v>4037</v>
      </c>
      <c r="E1583" s="2" t="s">
        <v>58</v>
      </c>
      <c r="F1583" s="2" t="s">
        <v>259</v>
      </c>
      <c r="G1583" s="2" t="s">
        <v>70</v>
      </c>
      <c r="H1583" s="2" t="s">
        <v>446</v>
      </c>
      <c r="I1583" s="2" t="s">
        <v>1712</v>
      </c>
      <c r="J1583" s="2">
        <v>454</v>
      </c>
      <c r="K1583" s="2">
        <v>943.56</v>
      </c>
      <c r="L1583" s="2">
        <v>1242.5</v>
      </c>
      <c r="M1583" s="2">
        <v>564095</v>
      </c>
      <c r="N1583" s="2">
        <v>428376.24</v>
      </c>
      <c r="O1583" s="2">
        <v>135718.76</v>
      </c>
      <c r="P1583" s="2" t="s">
        <v>52</v>
      </c>
      <c r="Q1583" s="2" t="s">
        <v>63</v>
      </c>
      <c r="R1583" s="2">
        <v>5</v>
      </c>
      <c r="S1583" s="2" t="s">
        <v>53</v>
      </c>
      <c r="T1583" s="2">
        <v>4234</v>
      </c>
      <c r="U1583" s="2">
        <v>1</v>
      </c>
      <c r="V1583" s="2"/>
    </row>
    <row r="1584" spans="1:22" x14ac:dyDescent="0.35">
      <c r="A1584" s="3" t="s">
        <v>4038</v>
      </c>
      <c r="B1584" s="3" t="s">
        <v>1536</v>
      </c>
      <c r="C1584" s="3" t="s">
        <v>1444</v>
      </c>
      <c r="D1584" s="3" t="s">
        <v>4039</v>
      </c>
      <c r="E1584" s="3" t="s">
        <v>100</v>
      </c>
      <c r="F1584" s="3" t="s">
        <v>106</v>
      </c>
      <c r="G1584" s="3" t="s">
        <v>60</v>
      </c>
      <c r="H1584" s="3" t="s">
        <v>400</v>
      </c>
      <c r="I1584" s="3" t="s">
        <v>62</v>
      </c>
      <c r="J1584" s="3">
        <v>782</v>
      </c>
      <c r="K1584" s="3">
        <v>831.35</v>
      </c>
      <c r="L1584" s="3">
        <v>1350.61</v>
      </c>
      <c r="M1584" s="3">
        <v>1056177.02</v>
      </c>
      <c r="N1584" s="3">
        <v>650115.69999999995</v>
      </c>
      <c r="O1584" s="3">
        <v>406061.32</v>
      </c>
      <c r="P1584" s="3" t="s">
        <v>31</v>
      </c>
      <c r="Q1584" s="3" t="s">
        <v>32</v>
      </c>
      <c r="R1584" s="3">
        <v>13</v>
      </c>
      <c r="S1584" s="3" t="s">
        <v>112</v>
      </c>
      <c r="T1584" s="3">
        <v>1323</v>
      </c>
      <c r="U1584" s="3">
        <v>31</v>
      </c>
      <c r="V1584" s="3"/>
    </row>
    <row r="1585" spans="1:22" x14ac:dyDescent="0.35">
      <c r="A1585" s="2" t="s">
        <v>4040</v>
      </c>
      <c r="B1585" s="2" t="s">
        <v>2849</v>
      </c>
      <c r="C1585" s="2" t="s">
        <v>198</v>
      </c>
      <c r="D1585" s="2" t="s">
        <v>4041</v>
      </c>
      <c r="E1585" s="2" t="s">
        <v>100</v>
      </c>
      <c r="F1585" s="2" t="s">
        <v>106</v>
      </c>
      <c r="G1585" s="2" t="s">
        <v>50</v>
      </c>
      <c r="H1585" s="2" t="s">
        <v>173</v>
      </c>
      <c r="I1585" s="2" t="s">
        <v>293</v>
      </c>
      <c r="J1585" s="2">
        <v>68</v>
      </c>
      <c r="K1585" s="2">
        <v>24.17</v>
      </c>
      <c r="L1585" s="2">
        <v>36.770000000000003</v>
      </c>
      <c r="M1585" s="2">
        <v>2500.36</v>
      </c>
      <c r="N1585" s="2">
        <v>1643.56</v>
      </c>
      <c r="O1585" s="2">
        <v>856.8</v>
      </c>
      <c r="P1585" s="2" t="s">
        <v>42</v>
      </c>
      <c r="Q1585" s="2" t="s">
        <v>63</v>
      </c>
      <c r="R1585" s="2">
        <v>3</v>
      </c>
      <c r="S1585" s="2" t="s">
        <v>53</v>
      </c>
      <c r="T1585" s="2">
        <v>4143</v>
      </c>
      <c r="U1585" s="2">
        <v>3</v>
      </c>
      <c r="V1585" s="2"/>
    </row>
    <row r="1586" spans="1:22" x14ac:dyDescent="0.35">
      <c r="A1586" s="3" t="s">
        <v>4042</v>
      </c>
      <c r="B1586" s="3" t="s">
        <v>36</v>
      </c>
      <c r="C1586" s="3" t="s">
        <v>348</v>
      </c>
      <c r="D1586" s="3" t="s">
        <v>4043</v>
      </c>
      <c r="E1586" s="3" t="s">
        <v>58</v>
      </c>
      <c r="F1586" s="3" t="s">
        <v>429</v>
      </c>
      <c r="G1586" s="3" t="s">
        <v>93</v>
      </c>
      <c r="H1586" s="3" t="s">
        <v>94</v>
      </c>
      <c r="I1586" s="3" t="s">
        <v>118</v>
      </c>
      <c r="J1586" s="3">
        <v>753</v>
      </c>
      <c r="K1586" s="3">
        <v>207.69</v>
      </c>
      <c r="L1586" s="3">
        <v>267.06</v>
      </c>
      <c r="M1586" s="3">
        <v>201096.18</v>
      </c>
      <c r="N1586" s="3">
        <v>156390.57</v>
      </c>
      <c r="O1586" s="3">
        <v>44705.61</v>
      </c>
      <c r="P1586" s="3" t="s">
        <v>52</v>
      </c>
      <c r="Q1586" s="3" t="s">
        <v>32</v>
      </c>
      <c r="R1586" s="3">
        <v>7</v>
      </c>
      <c r="S1586" s="3" t="s">
        <v>112</v>
      </c>
      <c r="T1586" s="3">
        <v>1795</v>
      </c>
      <c r="U1586" s="3">
        <v>27</v>
      </c>
      <c r="V1586" s="3"/>
    </row>
    <row r="1587" spans="1:22" x14ac:dyDescent="0.35">
      <c r="A1587" s="2" t="s">
        <v>4044</v>
      </c>
      <c r="B1587" s="2" t="s">
        <v>999</v>
      </c>
      <c r="C1587" s="2" t="s">
        <v>471</v>
      </c>
      <c r="D1587" s="2" t="s">
        <v>4045</v>
      </c>
      <c r="E1587" s="2" t="s">
        <v>26</v>
      </c>
      <c r="F1587" s="2" t="s">
        <v>38</v>
      </c>
      <c r="G1587" s="2" t="s">
        <v>129</v>
      </c>
      <c r="H1587" s="2" t="s">
        <v>345</v>
      </c>
      <c r="I1587" s="2" t="s">
        <v>191</v>
      </c>
      <c r="J1587" s="2">
        <v>774</v>
      </c>
      <c r="K1587" s="2">
        <v>1105.71</v>
      </c>
      <c r="L1587" s="2">
        <v>1809.35</v>
      </c>
      <c r="M1587" s="2">
        <v>1400436.9</v>
      </c>
      <c r="N1587" s="2">
        <v>855819.54</v>
      </c>
      <c r="O1587" s="2">
        <v>544617.36</v>
      </c>
      <c r="P1587" s="2" t="s">
        <v>95</v>
      </c>
      <c r="Q1587" s="2" t="s">
        <v>63</v>
      </c>
      <c r="R1587" s="2">
        <v>1</v>
      </c>
      <c r="S1587" s="2" t="s">
        <v>112</v>
      </c>
      <c r="T1587" s="2">
        <v>4605</v>
      </c>
      <c r="U1587" s="2">
        <v>10</v>
      </c>
      <c r="V1587" s="2"/>
    </row>
    <row r="1588" spans="1:22" x14ac:dyDescent="0.35">
      <c r="A1588" s="3" t="s">
        <v>4046</v>
      </c>
      <c r="B1588" s="3" t="s">
        <v>1093</v>
      </c>
      <c r="C1588" s="3" t="s">
        <v>375</v>
      </c>
      <c r="D1588" s="3" t="s">
        <v>4047</v>
      </c>
      <c r="E1588" s="3" t="s">
        <v>100</v>
      </c>
      <c r="F1588" s="3" t="s">
        <v>101</v>
      </c>
      <c r="G1588" s="3" t="s">
        <v>129</v>
      </c>
      <c r="H1588" s="3" t="s">
        <v>130</v>
      </c>
      <c r="I1588" s="3" t="s">
        <v>72</v>
      </c>
      <c r="J1588" s="3">
        <v>159</v>
      </c>
      <c r="K1588" s="3">
        <v>285.2</v>
      </c>
      <c r="L1588" s="3">
        <v>333.75</v>
      </c>
      <c r="M1588" s="3">
        <v>53066.25</v>
      </c>
      <c r="N1588" s="3">
        <v>45346.8</v>
      </c>
      <c r="O1588" s="3">
        <v>7719.45</v>
      </c>
      <c r="P1588" s="3" t="s">
        <v>42</v>
      </c>
      <c r="Q1588" s="3" t="s">
        <v>63</v>
      </c>
      <c r="R1588" s="3">
        <v>3</v>
      </c>
      <c r="S1588" s="3" t="s">
        <v>86</v>
      </c>
      <c r="T1588" s="3">
        <v>490</v>
      </c>
      <c r="U1588" s="3">
        <v>7</v>
      </c>
      <c r="V1588" s="3"/>
    </row>
    <row r="1589" spans="1:22" x14ac:dyDescent="0.35">
      <c r="A1589" s="2" t="s">
        <v>4048</v>
      </c>
      <c r="B1589" s="2" t="s">
        <v>3076</v>
      </c>
      <c r="C1589" s="2" t="s">
        <v>2517</v>
      </c>
      <c r="D1589" s="2" t="s">
        <v>4049</v>
      </c>
      <c r="E1589" s="2" t="s">
        <v>100</v>
      </c>
      <c r="F1589" s="2" t="s">
        <v>538</v>
      </c>
      <c r="G1589" s="2" t="s">
        <v>28</v>
      </c>
      <c r="H1589" s="2" t="s">
        <v>254</v>
      </c>
      <c r="I1589" s="2" t="s">
        <v>141</v>
      </c>
      <c r="J1589" s="2">
        <v>106</v>
      </c>
      <c r="K1589" s="2">
        <v>862.02</v>
      </c>
      <c r="L1589" s="2">
        <v>1206.33</v>
      </c>
      <c r="M1589" s="2">
        <v>127870.98</v>
      </c>
      <c r="N1589" s="2">
        <v>91374.12</v>
      </c>
      <c r="O1589" s="2">
        <v>36496.86</v>
      </c>
      <c r="P1589" s="2" t="s">
        <v>42</v>
      </c>
      <c r="Q1589" s="2" t="s">
        <v>63</v>
      </c>
      <c r="R1589" s="2">
        <v>5</v>
      </c>
      <c r="S1589" s="2" t="s">
        <v>86</v>
      </c>
      <c r="T1589" s="2">
        <v>2568</v>
      </c>
      <c r="U1589" s="2">
        <v>0</v>
      </c>
      <c r="V1589" s="2"/>
    </row>
    <row r="1590" spans="1:22" x14ac:dyDescent="0.35">
      <c r="A1590" s="3" t="s">
        <v>4050</v>
      </c>
      <c r="B1590" s="3" t="s">
        <v>210</v>
      </c>
      <c r="C1590" s="3" t="s">
        <v>402</v>
      </c>
      <c r="D1590" s="3" t="s">
        <v>4051</v>
      </c>
      <c r="E1590" s="3" t="s">
        <v>100</v>
      </c>
      <c r="F1590" s="3" t="s">
        <v>101</v>
      </c>
      <c r="G1590" s="3" t="s">
        <v>93</v>
      </c>
      <c r="H1590" s="3" t="s">
        <v>321</v>
      </c>
      <c r="I1590" s="3" t="s">
        <v>118</v>
      </c>
      <c r="J1590" s="3">
        <v>253</v>
      </c>
      <c r="K1590" s="3">
        <v>84.97</v>
      </c>
      <c r="L1590" s="3">
        <v>119.91</v>
      </c>
      <c r="M1590" s="3">
        <v>30337.23</v>
      </c>
      <c r="N1590" s="3">
        <v>21497.41</v>
      </c>
      <c r="O1590" s="3">
        <v>8839.82</v>
      </c>
      <c r="P1590" s="3" t="s">
        <v>52</v>
      </c>
      <c r="Q1590" s="3" t="s">
        <v>32</v>
      </c>
      <c r="R1590" s="3">
        <v>9</v>
      </c>
      <c r="S1590" s="3" t="s">
        <v>53</v>
      </c>
      <c r="T1590" s="3">
        <v>1813</v>
      </c>
      <c r="U1590" s="3">
        <v>10</v>
      </c>
      <c r="V1590" s="3"/>
    </row>
    <row r="1591" spans="1:22" x14ac:dyDescent="0.35">
      <c r="A1591" s="2" t="s">
        <v>4052</v>
      </c>
      <c r="B1591" s="2" t="s">
        <v>300</v>
      </c>
      <c r="C1591" s="2" t="s">
        <v>510</v>
      </c>
      <c r="D1591" s="2" t="s">
        <v>1772</v>
      </c>
      <c r="E1591" s="4"/>
      <c r="F1591" s="2" t="s">
        <v>59</v>
      </c>
      <c r="G1591" s="2" t="s">
        <v>50</v>
      </c>
      <c r="H1591" s="2" t="s">
        <v>173</v>
      </c>
      <c r="I1591" s="2" t="s">
        <v>1030</v>
      </c>
      <c r="J1591" s="2">
        <v>57</v>
      </c>
      <c r="K1591" s="2">
        <v>1164.5899999999999</v>
      </c>
      <c r="L1591" s="2">
        <v>1383.67</v>
      </c>
      <c r="M1591" s="2">
        <v>78869.19</v>
      </c>
      <c r="N1591" s="2">
        <v>66381.63</v>
      </c>
      <c r="O1591" s="2">
        <v>12487.56</v>
      </c>
      <c r="P1591" s="2" t="s">
        <v>31</v>
      </c>
      <c r="Q1591" s="2" t="s">
        <v>32</v>
      </c>
      <c r="R1591" s="2">
        <v>7</v>
      </c>
      <c r="S1591" s="2" t="s">
        <v>33</v>
      </c>
      <c r="T1591" s="2">
        <v>4124</v>
      </c>
      <c r="U1591" s="2">
        <v>2</v>
      </c>
      <c r="V1591" s="2"/>
    </row>
    <row r="1592" spans="1:22" x14ac:dyDescent="0.35">
      <c r="A1592" s="3" t="s">
        <v>4053</v>
      </c>
      <c r="B1592" s="3" t="s">
        <v>1641</v>
      </c>
      <c r="C1592" s="3" t="s">
        <v>97</v>
      </c>
      <c r="D1592" s="3" t="s">
        <v>4054</v>
      </c>
      <c r="E1592" s="3" t="s">
        <v>100</v>
      </c>
      <c r="F1592" s="3" t="s">
        <v>538</v>
      </c>
      <c r="G1592" s="3" t="s">
        <v>70</v>
      </c>
      <c r="H1592" s="3" t="s">
        <v>384</v>
      </c>
      <c r="I1592" s="3" t="s">
        <v>30</v>
      </c>
      <c r="J1592" s="3">
        <v>25</v>
      </c>
      <c r="K1592" s="3">
        <v>38.07</v>
      </c>
      <c r="L1592" s="3">
        <v>52.47</v>
      </c>
      <c r="M1592" s="3">
        <v>1311.75</v>
      </c>
      <c r="N1592" s="3">
        <v>951.75</v>
      </c>
      <c r="O1592" s="3">
        <v>360</v>
      </c>
      <c r="P1592" s="3" t="s">
        <v>95</v>
      </c>
      <c r="Q1592" s="3" t="s">
        <v>32</v>
      </c>
      <c r="R1592" s="3">
        <v>11</v>
      </c>
      <c r="S1592" s="3" t="s">
        <v>33</v>
      </c>
      <c r="T1592" s="3">
        <v>4128</v>
      </c>
      <c r="U1592" s="3">
        <v>0</v>
      </c>
      <c r="V1592" s="3"/>
    </row>
    <row r="1593" spans="1:22" x14ac:dyDescent="0.35">
      <c r="A1593" s="2" t="s">
        <v>4055</v>
      </c>
      <c r="B1593" s="2" t="s">
        <v>559</v>
      </c>
      <c r="C1593" s="2" t="s">
        <v>296</v>
      </c>
      <c r="D1593" s="2" t="s">
        <v>2314</v>
      </c>
      <c r="E1593" s="4"/>
      <c r="F1593" s="2" t="s">
        <v>228</v>
      </c>
      <c r="G1593" s="2" t="s">
        <v>50</v>
      </c>
      <c r="H1593" s="2" t="s">
        <v>135</v>
      </c>
      <c r="I1593" s="2" t="s">
        <v>41</v>
      </c>
      <c r="J1593" s="2">
        <v>771</v>
      </c>
      <c r="K1593" s="2">
        <v>670.75</v>
      </c>
      <c r="L1593" s="2">
        <v>827.16</v>
      </c>
      <c r="M1593" s="2">
        <v>637740.36</v>
      </c>
      <c r="N1593" s="2">
        <v>517148.25</v>
      </c>
      <c r="O1593" s="2">
        <v>120592.11</v>
      </c>
      <c r="P1593" s="2" t="s">
        <v>95</v>
      </c>
      <c r="Q1593" s="2" t="s">
        <v>63</v>
      </c>
      <c r="R1593" s="2">
        <v>5</v>
      </c>
      <c r="S1593" s="2" t="s">
        <v>33</v>
      </c>
      <c r="T1593" s="2">
        <v>3225</v>
      </c>
      <c r="U1593" s="2">
        <v>37</v>
      </c>
      <c r="V1593" s="2"/>
    </row>
    <row r="1594" spans="1:22" x14ac:dyDescent="0.35">
      <c r="A1594" s="3" t="s">
        <v>4056</v>
      </c>
      <c r="B1594" s="3" t="s">
        <v>777</v>
      </c>
      <c r="C1594" s="3" t="s">
        <v>1328</v>
      </c>
      <c r="D1594" s="3" t="s">
        <v>4057</v>
      </c>
      <c r="E1594" s="3" t="s">
        <v>26</v>
      </c>
      <c r="F1594" s="3" t="s">
        <v>27</v>
      </c>
      <c r="G1594" s="3" t="s">
        <v>189</v>
      </c>
      <c r="H1594" s="3" t="s">
        <v>365</v>
      </c>
      <c r="I1594" s="3" t="s">
        <v>30</v>
      </c>
      <c r="J1594" s="3">
        <v>519</v>
      </c>
      <c r="K1594" s="3">
        <v>639.53</v>
      </c>
      <c r="L1594" s="3">
        <v>1039.26</v>
      </c>
      <c r="M1594" s="3">
        <v>539375.93999999994</v>
      </c>
      <c r="N1594" s="3">
        <v>331916.07</v>
      </c>
      <c r="O1594" s="3">
        <v>207459.87</v>
      </c>
      <c r="P1594" s="3" t="s">
        <v>42</v>
      </c>
      <c r="Q1594" s="3" t="s">
        <v>32</v>
      </c>
      <c r="R1594" s="3">
        <v>14</v>
      </c>
      <c r="S1594" s="3" t="s">
        <v>53</v>
      </c>
      <c r="T1594" s="3">
        <v>4428</v>
      </c>
      <c r="U1594" s="3">
        <v>20</v>
      </c>
      <c r="V1594" s="3"/>
    </row>
    <row r="1595" spans="1:22" x14ac:dyDescent="0.35">
      <c r="A1595" s="2" t="s">
        <v>4058</v>
      </c>
      <c r="B1595" s="2" t="s">
        <v>809</v>
      </c>
      <c r="C1595" s="2" t="s">
        <v>1531</v>
      </c>
      <c r="D1595" s="2" t="s">
        <v>4059</v>
      </c>
      <c r="E1595" s="2" t="s">
        <v>68</v>
      </c>
      <c r="F1595" s="2" t="s">
        <v>69</v>
      </c>
      <c r="G1595" s="2" t="s">
        <v>93</v>
      </c>
      <c r="H1595" s="2" t="s">
        <v>302</v>
      </c>
      <c r="I1595" s="2" t="s">
        <v>85</v>
      </c>
      <c r="J1595" s="4" t="s">
        <v>2324</v>
      </c>
      <c r="K1595" s="2">
        <v>-2</v>
      </c>
      <c r="L1595" s="2">
        <v>1424.76</v>
      </c>
      <c r="M1595" s="2">
        <v>911846.40000000002</v>
      </c>
      <c r="N1595" s="2">
        <v>702771.19999999995</v>
      </c>
      <c r="O1595" s="2">
        <v>209075.20000000001</v>
      </c>
      <c r="P1595" s="2" t="s">
        <v>52</v>
      </c>
      <c r="Q1595" s="2" t="s">
        <v>32</v>
      </c>
      <c r="R1595" s="2">
        <v>12</v>
      </c>
      <c r="S1595" s="2" t="s">
        <v>112</v>
      </c>
      <c r="T1595" s="2">
        <v>1621</v>
      </c>
      <c r="U1595" s="2">
        <v>26</v>
      </c>
      <c r="V1595" s="2"/>
    </row>
    <row r="1596" spans="1:22" x14ac:dyDescent="0.35">
      <c r="A1596" s="3" t="s">
        <v>4060</v>
      </c>
      <c r="B1596" s="3" t="s">
        <v>2405</v>
      </c>
      <c r="C1596" s="3" t="s">
        <v>1152</v>
      </c>
      <c r="D1596" s="3" t="s">
        <v>4061</v>
      </c>
      <c r="E1596" s="3" t="s">
        <v>26</v>
      </c>
      <c r="F1596" s="3" t="s">
        <v>228</v>
      </c>
      <c r="G1596" s="3" t="s">
        <v>60</v>
      </c>
      <c r="H1596" s="3" t="s">
        <v>229</v>
      </c>
      <c r="I1596" s="3" t="s">
        <v>118</v>
      </c>
      <c r="J1596" s="3">
        <v>-5</v>
      </c>
      <c r="K1596" s="3">
        <v>84.1</v>
      </c>
      <c r="L1596" s="3">
        <v>113.56</v>
      </c>
      <c r="M1596" s="3">
        <v>33613.760000000002</v>
      </c>
      <c r="N1596" s="3">
        <v>24893.599999999999</v>
      </c>
      <c r="O1596" s="3">
        <v>8720.16</v>
      </c>
      <c r="P1596" s="3" t="s">
        <v>95</v>
      </c>
      <c r="Q1596" s="3" t="s">
        <v>32</v>
      </c>
      <c r="R1596" s="3">
        <v>14</v>
      </c>
      <c r="S1596" s="3" t="s">
        <v>86</v>
      </c>
      <c r="T1596" s="3">
        <v>4021</v>
      </c>
      <c r="U1596" s="3">
        <v>10</v>
      </c>
      <c r="V1596" s="3"/>
    </row>
    <row r="1597" spans="1:22" x14ac:dyDescent="0.35">
      <c r="A1597" s="2" t="s">
        <v>2401</v>
      </c>
      <c r="B1597" s="2" t="s">
        <v>1217</v>
      </c>
      <c r="C1597" s="2" t="s">
        <v>488</v>
      </c>
      <c r="D1597" s="2" t="s">
        <v>1888</v>
      </c>
      <c r="E1597" s="2" t="s">
        <v>58</v>
      </c>
      <c r="F1597" s="2" t="s">
        <v>259</v>
      </c>
      <c r="G1597" s="2" t="s">
        <v>129</v>
      </c>
      <c r="H1597" s="2" t="s">
        <v>316</v>
      </c>
      <c r="I1597" s="2" t="s">
        <v>72</v>
      </c>
      <c r="J1597" s="2">
        <v>578</v>
      </c>
      <c r="K1597" s="2">
        <v>511.61</v>
      </c>
      <c r="L1597" s="4" t="s">
        <v>2324</v>
      </c>
      <c r="M1597" s="2">
        <v>338471.02</v>
      </c>
      <c r="N1597" s="2">
        <v>295710.58</v>
      </c>
      <c r="O1597" s="2">
        <v>42760.44</v>
      </c>
      <c r="P1597" s="2" t="s">
        <v>52</v>
      </c>
      <c r="Q1597" s="2" t="s">
        <v>32</v>
      </c>
      <c r="R1597" s="2">
        <v>8</v>
      </c>
      <c r="S1597" s="2" t="s">
        <v>112</v>
      </c>
      <c r="T1597" s="2">
        <v>4315</v>
      </c>
      <c r="U1597" s="2">
        <v>1</v>
      </c>
      <c r="V1597" s="2"/>
    </row>
    <row r="1598" spans="1:22" x14ac:dyDescent="0.35">
      <c r="A1598" s="3" t="s">
        <v>4062</v>
      </c>
      <c r="B1598" s="3" t="s">
        <v>595</v>
      </c>
      <c r="C1598" s="3" t="s">
        <v>662</v>
      </c>
      <c r="D1598" s="3" t="s">
        <v>4063</v>
      </c>
      <c r="E1598" s="3" t="s">
        <v>58</v>
      </c>
      <c r="F1598" s="3" t="s">
        <v>122</v>
      </c>
      <c r="G1598" s="3" t="s">
        <v>60</v>
      </c>
      <c r="H1598" s="3" t="s">
        <v>834</v>
      </c>
      <c r="I1598" s="3" t="s">
        <v>72</v>
      </c>
      <c r="J1598" s="3">
        <v>722</v>
      </c>
      <c r="K1598" s="3">
        <v>723.31</v>
      </c>
      <c r="L1598" s="3">
        <v>994.63</v>
      </c>
      <c r="M1598" s="3">
        <v>718122.86</v>
      </c>
      <c r="N1598" s="3">
        <v>522229.82</v>
      </c>
      <c r="O1598" s="3">
        <v>195893.04</v>
      </c>
      <c r="P1598" s="3" t="s">
        <v>42</v>
      </c>
      <c r="Q1598" s="3" t="s">
        <v>63</v>
      </c>
      <c r="R1598" s="3">
        <v>2</v>
      </c>
      <c r="S1598" s="3" t="s">
        <v>43</v>
      </c>
      <c r="T1598" s="3">
        <v>937</v>
      </c>
      <c r="U1598" s="3">
        <v>13</v>
      </c>
      <c r="V1598" s="3"/>
    </row>
    <row r="1599" spans="1:22" x14ac:dyDescent="0.35">
      <c r="A1599" s="2" t="s">
        <v>4064</v>
      </c>
      <c r="B1599" s="2" t="s">
        <v>1622</v>
      </c>
      <c r="C1599" s="2" t="s">
        <v>2677</v>
      </c>
      <c r="D1599" s="2" t="s">
        <v>4065</v>
      </c>
      <c r="E1599" s="2" t="s">
        <v>58</v>
      </c>
      <c r="F1599" s="2" t="s">
        <v>122</v>
      </c>
      <c r="G1599" s="2" t="s">
        <v>60</v>
      </c>
      <c r="H1599" s="2" t="s">
        <v>164</v>
      </c>
      <c r="I1599" s="2" t="s">
        <v>30</v>
      </c>
      <c r="J1599" s="2">
        <v>212</v>
      </c>
      <c r="K1599" s="2">
        <v>1094.19</v>
      </c>
      <c r="L1599" s="2">
        <v>1601.73</v>
      </c>
      <c r="M1599" s="2">
        <v>339566.76</v>
      </c>
      <c r="N1599" s="2">
        <v>231968.28</v>
      </c>
      <c r="O1599" s="2">
        <v>107598.48</v>
      </c>
      <c r="P1599" s="2" t="s">
        <v>95</v>
      </c>
      <c r="Q1599" s="2" t="s">
        <v>32</v>
      </c>
      <c r="R1599" s="2">
        <v>11</v>
      </c>
      <c r="S1599" s="2" t="s">
        <v>33</v>
      </c>
      <c r="T1599" s="2">
        <v>4143</v>
      </c>
      <c r="U1599" s="2">
        <v>1</v>
      </c>
      <c r="V1599" s="2"/>
    </row>
    <row r="1600" spans="1:22" x14ac:dyDescent="0.35">
      <c r="A1600" s="3" t="s">
        <v>4066</v>
      </c>
      <c r="B1600" s="3" t="s">
        <v>98</v>
      </c>
      <c r="C1600" s="3" t="s">
        <v>4067</v>
      </c>
      <c r="D1600" s="3" t="s">
        <v>4068</v>
      </c>
      <c r="E1600" s="3" t="s">
        <v>26</v>
      </c>
      <c r="F1600" s="3" t="s">
        <v>92</v>
      </c>
      <c r="G1600" s="3" t="s">
        <v>60</v>
      </c>
      <c r="H1600" s="3" t="s">
        <v>400</v>
      </c>
      <c r="I1600" s="3" t="s">
        <v>30</v>
      </c>
      <c r="J1600" s="3">
        <v>50</v>
      </c>
      <c r="K1600" s="3">
        <v>811.69</v>
      </c>
      <c r="L1600" s="3">
        <v>1229.99</v>
      </c>
      <c r="M1600" s="3">
        <v>61499.5</v>
      </c>
      <c r="N1600" s="3">
        <v>40584.5</v>
      </c>
      <c r="O1600" s="3">
        <v>20915</v>
      </c>
      <c r="P1600" s="3" t="s">
        <v>52</v>
      </c>
      <c r="Q1600" s="3" t="s">
        <v>1585</v>
      </c>
      <c r="R1600" s="3">
        <v>15</v>
      </c>
      <c r="S1600" s="3" t="s">
        <v>158</v>
      </c>
      <c r="T1600" s="4"/>
      <c r="U1600" s="3">
        <v>1</v>
      </c>
      <c r="V1600" s="3"/>
    </row>
    <row r="1601" spans="1:22" x14ac:dyDescent="0.35">
      <c r="A1601" s="2" t="s">
        <v>4069</v>
      </c>
      <c r="B1601" s="2" t="s">
        <v>790</v>
      </c>
      <c r="C1601" s="2" t="s">
        <v>731</v>
      </c>
      <c r="D1601" s="2" t="s">
        <v>4070</v>
      </c>
      <c r="E1601" s="2" t="s">
        <v>58</v>
      </c>
      <c r="F1601" s="2" t="s">
        <v>259</v>
      </c>
      <c r="G1601" s="2" t="s">
        <v>93</v>
      </c>
      <c r="H1601" s="2" t="s">
        <v>302</v>
      </c>
      <c r="I1601" s="2" t="s">
        <v>293</v>
      </c>
      <c r="J1601" s="2">
        <v>442</v>
      </c>
      <c r="K1601" s="2">
        <v>1188.74</v>
      </c>
      <c r="L1601" s="2">
        <v>1788.99</v>
      </c>
      <c r="M1601" s="2">
        <v>790733.58</v>
      </c>
      <c r="N1601" s="2">
        <v>525423.07999999996</v>
      </c>
      <c r="O1601" s="2">
        <v>265310.5</v>
      </c>
      <c r="P1601" s="2" t="s">
        <v>52</v>
      </c>
      <c r="Q1601" s="2" t="s">
        <v>63</v>
      </c>
      <c r="R1601" s="2">
        <v>5</v>
      </c>
      <c r="S1601" s="2" t="s">
        <v>112</v>
      </c>
      <c r="T1601" s="2">
        <v>1360</v>
      </c>
      <c r="U1601" s="2">
        <v>19</v>
      </c>
      <c r="V1601" s="2"/>
    </row>
    <row r="1602" spans="1:22" x14ac:dyDescent="0.35">
      <c r="A1602" s="3" t="s">
        <v>4071</v>
      </c>
      <c r="B1602" s="3" t="s">
        <v>82</v>
      </c>
      <c r="C1602" s="3" t="s">
        <v>794</v>
      </c>
      <c r="D1602" s="3" t="s">
        <v>1744</v>
      </c>
      <c r="E1602" s="3" t="s">
        <v>100</v>
      </c>
      <c r="F1602" s="3" t="s">
        <v>106</v>
      </c>
      <c r="G1602" s="3" t="s">
        <v>60</v>
      </c>
      <c r="H1602" s="3" t="s">
        <v>61</v>
      </c>
      <c r="I1602" s="3" t="s">
        <v>191</v>
      </c>
      <c r="J1602" s="3">
        <v>665</v>
      </c>
      <c r="K1602" s="3">
        <v>863.41</v>
      </c>
      <c r="L1602" s="3">
        <v>1409.98</v>
      </c>
      <c r="M1602" s="3">
        <v>937636.7</v>
      </c>
      <c r="N1602" s="3">
        <v>574167.65</v>
      </c>
      <c r="O1602" s="4"/>
      <c r="P1602" s="3" t="s">
        <v>95</v>
      </c>
      <c r="Q1602" s="3" t="s">
        <v>63</v>
      </c>
      <c r="R1602" s="3">
        <v>3</v>
      </c>
      <c r="S1602" s="3" t="s">
        <v>112</v>
      </c>
      <c r="T1602" s="3">
        <v>3293</v>
      </c>
      <c r="U1602" s="3">
        <v>30</v>
      </c>
      <c r="V1602" s="3"/>
    </row>
    <row r="1603" spans="1:22" x14ac:dyDescent="0.35">
      <c r="A1603" s="2" t="s">
        <v>4072</v>
      </c>
      <c r="B1603" s="2" t="s">
        <v>235</v>
      </c>
      <c r="C1603" s="2" t="s">
        <v>1164</v>
      </c>
      <c r="D1603" s="2" t="s">
        <v>1718</v>
      </c>
      <c r="E1603" s="2" t="s">
        <v>26</v>
      </c>
      <c r="F1603" s="2" t="s">
        <v>38</v>
      </c>
      <c r="G1603" s="2" t="s">
        <v>217</v>
      </c>
      <c r="H1603" s="2" t="s">
        <v>494</v>
      </c>
      <c r="I1603" s="2" t="s">
        <v>124</v>
      </c>
      <c r="J1603" s="2">
        <v>221</v>
      </c>
      <c r="K1603" s="2">
        <v>590.58000000000004</v>
      </c>
      <c r="L1603" s="2">
        <v>717.37</v>
      </c>
      <c r="M1603" s="2">
        <v>158538.76999999999</v>
      </c>
      <c r="N1603" s="2">
        <v>130518.18</v>
      </c>
      <c r="O1603" s="2">
        <v>28020.59</v>
      </c>
      <c r="P1603" s="2" t="s">
        <v>52</v>
      </c>
      <c r="Q1603" s="2" t="s">
        <v>32</v>
      </c>
      <c r="R1603" s="2">
        <v>15</v>
      </c>
      <c r="S1603" s="2" t="s">
        <v>112</v>
      </c>
      <c r="T1603" s="2">
        <v>4614</v>
      </c>
      <c r="U1603" s="2">
        <v>2</v>
      </c>
      <c r="V1603" s="2"/>
    </row>
    <row r="1604" spans="1:22" x14ac:dyDescent="0.35">
      <c r="A1604" s="3" t="s">
        <v>4073</v>
      </c>
      <c r="B1604" s="3" t="s">
        <v>2726</v>
      </c>
      <c r="C1604" s="3" t="s">
        <v>633</v>
      </c>
      <c r="D1604" s="3" t="s">
        <v>3541</v>
      </c>
      <c r="E1604" s="3" t="s">
        <v>26</v>
      </c>
      <c r="F1604" s="3" t="s">
        <v>228</v>
      </c>
      <c r="G1604" s="3" t="s">
        <v>189</v>
      </c>
      <c r="H1604" s="3" t="s">
        <v>360</v>
      </c>
      <c r="I1604" s="3" t="s">
        <v>85</v>
      </c>
      <c r="J1604" s="3">
        <v>796</v>
      </c>
      <c r="K1604" s="3">
        <v>754.67</v>
      </c>
      <c r="L1604" s="3">
        <v>1170.67</v>
      </c>
      <c r="M1604" s="3">
        <v>931853.32</v>
      </c>
      <c r="N1604" s="3">
        <v>600717.31999999995</v>
      </c>
      <c r="O1604" s="3">
        <v>331136</v>
      </c>
      <c r="P1604" s="3" t="s">
        <v>31</v>
      </c>
      <c r="Q1604" s="3" t="s">
        <v>32</v>
      </c>
      <c r="R1604" s="3">
        <v>14</v>
      </c>
      <c r="S1604" s="3" t="s">
        <v>158</v>
      </c>
      <c r="T1604" s="3">
        <v>4645</v>
      </c>
      <c r="U1604" s="3">
        <v>32</v>
      </c>
      <c r="V1604" s="3"/>
    </row>
    <row r="1605" spans="1:22" x14ac:dyDescent="0.35">
      <c r="A1605" s="2" t="s">
        <v>4074</v>
      </c>
      <c r="B1605" s="2" t="s">
        <v>1319</v>
      </c>
      <c r="C1605" s="2" t="s">
        <v>599</v>
      </c>
      <c r="D1605" s="2" t="s">
        <v>4075</v>
      </c>
      <c r="E1605" s="2" t="s">
        <v>48</v>
      </c>
      <c r="F1605" s="2" t="s">
        <v>281</v>
      </c>
      <c r="G1605" s="2" t="s">
        <v>50</v>
      </c>
      <c r="H1605" s="2" t="s">
        <v>173</v>
      </c>
      <c r="I1605" s="2" t="s">
        <v>30</v>
      </c>
      <c r="J1605" s="2">
        <v>643</v>
      </c>
      <c r="K1605" s="2">
        <v>178.43</v>
      </c>
      <c r="L1605" s="2">
        <v>253.66</v>
      </c>
      <c r="M1605" s="2">
        <v>163103.38</v>
      </c>
      <c r="N1605" s="2">
        <v>114730.49</v>
      </c>
      <c r="O1605" s="2">
        <v>48372.89</v>
      </c>
      <c r="P1605" s="2" t="s">
        <v>42</v>
      </c>
      <c r="Q1605" s="2" t="s">
        <v>32</v>
      </c>
      <c r="R1605" s="2">
        <v>13</v>
      </c>
      <c r="S1605" s="2" t="s">
        <v>158</v>
      </c>
      <c r="T1605" s="2">
        <v>683</v>
      </c>
      <c r="U1605" s="2">
        <v>4</v>
      </c>
      <c r="V1605" s="2"/>
    </row>
    <row r="1606" spans="1:22" x14ac:dyDescent="0.35">
      <c r="A1606" s="3" t="s">
        <v>4076</v>
      </c>
      <c r="B1606" s="3" t="s">
        <v>4077</v>
      </c>
      <c r="C1606" s="3" t="s">
        <v>133</v>
      </c>
      <c r="D1606" s="3" t="s">
        <v>4078</v>
      </c>
      <c r="E1606" s="3" t="s">
        <v>58</v>
      </c>
      <c r="F1606" s="3" t="s">
        <v>59</v>
      </c>
      <c r="G1606" s="3" t="s">
        <v>39</v>
      </c>
      <c r="H1606" s="3" t="s">
        <v>527</v>
      </c>
      <c r="I1606" s="3" t="s">
        <v>85</v>
      </c>
      <c r="J1606" s="3">
        <v>751</v>
      </c>
      <c r="K1606" s="3">
        <v>1106.3599999999999</v>
      </c>
      <c r="L1606" s="3">
        <v>1345.58</v>
      </c>
      <c r="M1606" s="3">
        <v>1010530.58</v>
      </c>
      <c r="N1606" s="3">
        <v>830876.36</v>
      </c>
      <c r="O1606" s="3">
        <v>179654.22</v>
      </c>
      <c r="P1606" s="3" t="s">
        <v>42</v>
      </c>
      <c r="Q1606" s="3" t="s">
        <v>32</v>
      </c>
      <c r="R1606" s="3">
        <v>11</v>
      </c>
      <c r="S1606" s="3" t="s">
        <v>33</v>
      </c>
      <c r="T1606" s="3">
        <v>3388</v>
      </c>
      <c r="U1606" s="3">
        <v>24</v>
      </c>
      <c r="V1606" s="3"/>
    </row>
    <row r="1607" spans="1:22" x14ac:dyDescent="0.35">
      <c r="A1607" s="2" t="s">
        <v>4079</v>
      </c>
      <c r="B1607" s="2" t="s">
        <v>2677</v>
      </c>
      <c r="C1607" s="2" t="s">
        <v>953</v>
      </c>
      <c r="D1607" s="2" t="s">
        <v>4080</v>
      </c>
      <c r="E1607" s="2" t="s">
        <v>68</v>
      </c>
      <c r="F1607" s="2" t="s">
        <v>69</v>
      </c>
      <c r="G1607" s="2" t="s">
        <v>28</v>
      </c>
      <c r="H1607" s="2" t="s">
        <v>111</v>
      </c>
      <c r="I1607" s="2" t="s">
        <v>293</v>
      </c>
      <c r="J1607" s="2">
        <v>631</v>
      </c>
      <c r="K1607" s="2">
        <v>940.21</v>
      </c>
      <c r="L1607" s="2">
        <v>1365.89</v>
      </c>
      <c r="M1607" s="2">
        <v>861876.59</v>
      </c>
      <c r="N1607" s="2">
        <v>593272.51</v>
      </c>
      <c r="O1607" s="2">
        <v>268604.08</v>
      </c>
      <c r="P1607" s="2" t="s">
        <v>52</v>
      </c>
      <c r="Q1607" s="2" t="s">
        <v>63</v>
      </c>
      <c r="R1607" s="2">
        <v>5</v>
      </c>
      <c r="S1607" s="2" t="s">
        <v>112</v>
      </c>
      <c r="T1607" s="2">
        <v>2859</v>
      </c>
      <c r="U1607" s="2">
        <v>19</v>
      </c>
      <c r="V1607" s="2"/>
    </row>
    <row r="1608" spans="1:22" x14ac:dyDescent="0.35">
      <c r="A1608" s="3" t="s">
        <v>4081</v>
      </c>
      <c r="B1608" s="3" t="s">
        <v>220</v>
      </c>
      <c r="C1608" s="3" t="s">
        <v>2950</v>
      </c>
      <c r="D1608" s="3" t="s">
        <v>3755</v>
      </c>
      <c r="E1608" s="3" t="s">
        <v>48</v>
      </c>
      <c r="F1608" s="3" t="s">
        <v>183</v>
      </c>
      <c r="G1608" s="3" t="s">
        <v>217</v>
      </c>
      <c r="H1608" s="3" t="s">
        <v>340</v>
      </c>
      <c r="I1608" s="3" t="s">
        <v>30</v>
      </c>
      <c r="J1608" s="3">
        <v>169</v>
      </c>
      <c r="K1608" s="3">
        <v>756.55</v>
      </c>
      <c r="L1608" s="3">
        <v>1197.49</v>
      </c>
      <c r="M1608" s="3">
        <v>202375.81</v>
      </c>
      <c r="N1608" s="3">
        <v>127856.95</v>
      </c>
      <c r="O1608" s="3">
        <v>74518.86</v>
      </c>
      <c r="P1608" s="3" t="s">
        <v>52</v>
      </c>
      <c r="Q1608" s="3" t="s">
        <v>32</v>
      </c>
      <c r="R1608" s="3">
        <v>12</v>
      </c>
      <c r="S1608" s="3" t="s">
        <v>33</v>
      </c>
      <c r="T1608" s="3">
        <v>1838</v>
      </c>
      <c r="U1608" s="3">
        <v>3</v>
      </c>
      <c r="V1608" s="3"/>
    </row>
    <row r="1609" spans="1:22" x14ac:dyDescent="0.35">
      <c r="A1609" s="2" t="s">
        <v>4082</v>
      </c>
      <c r="B1609" s="2" t="s">
        <v>1445</v>
      </c>
      <c r="C1609" s="2" t="s">
        <v>348</v>
      </c>
      <c r="D1609" s="2" t="s">
        <v>4083</v>
      </c>
      <c r="E1609" s="2" t="s">
        <v>58</v>
      </c>
      <c r="F1609" s="2" t="s">
        <v>59</v>
      </c>
      <c r="G1609" s="2" t="s">
        <v>129</v>
      </c>
      <c r="H1609" s="2" t="s">
        <v>811</v>
      </c>
      <c r="I1609" s="2" t="s">
        <v>153</v>
      </c>
      <c r="J1609" s="2">
        <v>519</v>
      </c>
      <c r="K1609" s="2">
        <v>910.72</v>
      </c>
      <c r="L1609" s="2">
        <v>1217.49</v>
      </c>
      <c r="M1609" s="2">
        <v>631877.31000000006</v>
      </c>
      <c r="N1609" s="2">
        <v>472663.68</v>
      </c>
      <c r="O1609" s="2">
        <v>159213.63</v>
      </c>
      <c r="P1609" s="2" t="s">
        <v>95</v>
      </c>
      <c r="Q1609" s="2" t="s">
        <v>32</v>
      </c>
      <c r="R1609" s="2">
        <v>8</v>
      </c>
      <c r="S1609" s="2" t="s">
        <v>86</v>
      </c>
      <c r="T1609" s="2">
        <v>408</v>
      </c>
      <c r="U1609" s="2">
        <v>11</v>
      </c>
      <c r="V1609" s="2"/>
    </row>
    <row r="1610" spans="1:22" x14ac:dyDescent="0.35">
      <c r="A1610" s="3" t="s">
        <v>4084</v>
      </c>
      <c r="B1610" s="3" t="s">
        <v>120</v>
      </c>
      <c r="C1610" s="3" t="s">
        <v>719</v>
      </c>
      <c r="D1610" s="3" t="s">
        <v>4085</v>
      </c>
      <c r="E1610" s="3" t="s">
        <v>48</v>
      </c>
      <c r="F1610" s="3" t="s">
        <v>183</v>
      </c>
      <c r="G1610" s="3" t="s">
        <v>217</v>
      </c>
      <c r="H1610" s="3" t="s">
        <v>725</v>
      </c>
      <c r="I1610" s="3" t="s">
        <v>41</v>
      </c>
      <c r="J1610" s="3">
        <v>11</v>
      </c>
      <c r="K1610" s="3">
        <v>234.86</v>
      </c>
      <c r="L1610" s="3">
        <v>349.46</v>
      </c>
      <c r="M1610" s="3">
        <v>3844.06</v>
      </c>
      <c r="N1610" s="3">
        <v>2583.46</v>
      </c>
      <c r="O1610" s="3">
        <v>1260.5999999999999</v>
      </c>
      <c r="P1610" s="3" t="s">
        <v>31</v>
      </c>
      <c r="Q1610" s="3" t="s">
        <v>32</v>
      </c>
      <c r="R1610" s="3">
        <v>8</v>
      </c>
      <c r="S1610" s="3" t="s">
        <v>86</v>
      </c>
      <c r="T1610" s="3">
        <v>4601</v>
      </c>
      <c r="U1610" s="3">
        <v>0</v>
      </c>
      <c r="V1610" s="3"/>
    </row>
    <row r="1611" spans="1:22" x14ac:dyDescent="0.35">
      <c r="A1611" s="2" t="s">
        <v>4086</v>
      </c>
      <c r="B1611" s="2" t="s">
        <v>982</v>
      </c>
      <c r="C1611" s="2" t="s">
        <v>176</v>
      </c>
      <c r="D1611" s="2" t="s">
        <v>4087</v>
      </c>
      <c r="E1611" s="2" t="s">
        <v>58</v>
      </c>
      <c r="F1611" s="2" t="s">
        <v>59</v>
      </c>
      <c r="G1611" s="2" t="s">
        <v>50</v>
      </c>
      <c r="H1611" s="2" t="s">
        <v>135</v>
      </c>
      <c r="I1611" s="2" t="s">
        <v>85</v>
      </c>
      <c r="J1611" s="2">
        <v>652</v>
      </c>
      <c r="K1611" s="2">
        <v>1171.8800000000001</v>
      </c>
      <c r="L1611" s="2">
        <v>1732.57</v>
      </c>
      <c r="M1611" s="2">
        <v>1129635.6399999999</v>
      </c>
      <c r="N1611" s="2">
        <v>764065.76</v>
      </c>
      <c r="O1611" s="2">
        <v>365569.88</v>
      </c>
      <c r="P1611" s="2" t="s">
        <v>42</v>
      </c>
      <c r="Q1611" s="2" t="s">
        <v>63</v>
      </c>
      <c r="R1611" s="2">
        <v>1</v>
      </c>
      <c r="S1611" s="2" t="s">
        <v>86</v>
      </c>
      <c r="T1611" s="2">
        <v>4703</v>
      </c>
      <c r="U1611" s="2">
        <v>0</v>
      </c>
      <c r="V1611" s="2"/>
    </row>
    <row r="1612" spans="1:22" x14ac:dyDescent="0.35">
      <c r="A1612" s="3" t="s">
        <v>4088</v>
      </c>
      <c r="B1612" s="3" t="s">
        <v>1246</v>
      </c>
      <c r="C1612" s="3" t="s">
        <v>778</v>
      </c>
      <c r="D1612" s="3" t="s">
        <v>4089</v>
      </c>
      <c r="E1612" s="3" t="s">
        <v>48</v>
      </c>
      <c r="F1612" s="3" t="s">
        <v>223</v>
      </c>
      <c r="G1612" s="3" t="s">
        <v>70</v>
      </c>
      <c r="H1612" s="3" t="s">
        <v>822</v>
      </c>
      <c r="I1612" s="3" t="s">
        <v>124</v>
      </c>
      <c r="J1612" s="3">
        <v>171</v>
      </c>
      <c r="K1612" s="3">
        <v>536.57000000000005</v>
      </c>
      <c r="L1612" s="3">
        <v>864.47</v>
      </c>
      <c r="M1612" s="3">
        <v>147824.37</v>
      </c>
      <c r="N1612" s="3">
        <v>91753.47</v>
      </c>
      <c r="O1612" s="3">
        <v>56070.9</v>
      </c>
      <c r="P1612" s="3" t="s">
        <v>42</v>
      </c>
      <c r="Q1612" s="3" t="s">
        <v>32</v>
      </c>
      <c r="R1612" s="3">
        <v>-1</v>
      </c>
      <c r="S1612" s="3" t="s">
        <v>112</v>
      </c>
      <c r="T1612" s="3">
        <v>715</v>
      </c>
      <c r="U1612" s="3">
        <v>0</v>
      </c>
      <c r="V1612" s="3"/>
    </row>
    <row r="1613" spans="1:22" x14ac:dyDescent="0.35">
      <c r="A1613" s="2" t="s">
        <v>4090</v>
      </c>
      <c r="B1613" s="2" t="s">
        <v>1093</v>
      </c>
      <c r="C1613" s="2" t="s">
        <v>103</v>
      </c>
      <c r="D1613" s="2" t="s">
        <v>4091</v>
      </c>
      <c r="E1613" s="2" t="s">
        <v>48</v>
      </c>
      <c r="F1613" s="2" t="s">
        <v>4092</v>
      </c>
      <c r="G1613" s="2" t="s">
        <v>28</v>
      </c>
      <c r="H1613" s="2" t="s">
        <v>714</v>
      </c>
      <c r="I1613" s="2" t="s">
        <v>85</v>
      </c>
      <c r="J1613" s="2">
        <v>176</v>
      </c>
      <c r="K1613" s="2">
        <v>426.24</v>
      </c>
      <c r="L1613" s="2">
        <v>510.1</v>
      </c>
      <c r="M1613" s="2">
        <v>89777.600000000006</v>
      </c>
      <c r="N1613" s="2">
        <v>75018.240000000005</v>
      </c>
      <c r="O1613" s="2">
        <v>14759.36</v>
      </c>
      <c r="P1613" s="2" t="s">
        <v>52</v>
      </c>
      <c r="Q1613" s="2" t="s">
        <v>32</v>
      </c>
      <c r="R1613" s="2">
        <v>6</v>
      </c>
      <c r="S1613" s="2" t="s">
        <v>112</v>
      </c>
      <c r="T1613" s="2">
        <v>2198</v>
      </c>
      <c r="U1613" s="2">
        <v>3</v>
      </c>
      <c r="V1613" s="2"/>
    </row>
    <row r="1614" spans="1:22" x14ac:dyDescent="0.35">
      <c r="A1614" s="3" t="s">
        <v>4093</v>
      </c>
      <c r="B1614" s="3" t="s">
        <v>109</v>
      </c>
      <c r="C1614" s="3" t="s">
        <v>742</v>
      </c>
      <c r="D1614" s="3" t="s">
        <v>1147</v>
      </c>
      <c r="E1614" s="3" t="s">
        <v>68</v>
      </c>
      <c r="F1614" s="3" t="s">
        <v>249</v>
      </c>
      <c r="G1614" s="3" t="s">
        <v>28</v>
      </c>
      <c r="H1614" s="3" t="s">
        <v>111</v>
      </c>
      <c r="I1614" s="3" t="s">
        <v>141</v>
      </c>
      <c r="J1614" s="3">
        <v>694</v>
      </c>
      <c r="K1614" s="3">
        <v>746.43</v>
      </c>
      <c r="L1614" s="3">
        <v>1009.69</v>
      </c>
      <c r="M1614" s="3">
        <v>700724.86</v>
      </c>
      <c r="N1614" s="3">
        <v>518022.42</v>
      </c>
      <c r="O1614" s="3">
        <v>182702.44</v>
      </c>
      <c r="P1614" s="3" t="s">
        <v>42</v>
      </c>
      <c r="Q1614" s="3" t="s">
        <v>32</v>
      </c>
      <c r="R1614" s="3">
        <v>7</v>
      </c>
      <c r="S1614" s="3" t="s">
        <v>112</v>
      </c>
      <c r="T1614" s="3">
        <v>2187</v>
      </c>
      <c r="U1614" s="3">
        <v>22</v>
      </c>
      <c r="V1614" s="3"/>
    </row>
    <row r="1615" spans="1:22" x14ac:dyDescent="0.35">
      <c r="A1615" s="2" t="s">
        <v>4094</v>
      </c>
      <c r="B1615" s="2" t="s">
        <v>645</v>
      </c>
      <c r="C1615" s="2" t="s">
        <v>522</v>
      </c>
      <c r="D1615" s="2" t="s">
        <v>4095</v>
      </c>
      <c r="E1615" s="2" t="s">
        <v>2654</v>
      </c>
      <c r="F1615" s="2" t="s">
        <v>330</v>
      </c>
      <c r="G1615" s="2" t="s">
        <v>93</v>
      </c>
      <c r="H1615" s="2" t="s">
        <v>140</v>
      </c>
      <c r="I1615" s="2" t="s">
        <v>30</v>
      </c>
      <c r="J1615" s="2">
        <v>343</v>
      </c>
      <c r="K1615" s="2">
        <v>229.7</v>
      </c>
      <c r="L1615" s="2">
        <v>294.54000000000002</v>
      </c>
      <c r="M1615" s="2">
        <v>101027.22</v>
      </c>
      <c r="N1615" s="2">
        <v>78787.100000000006</v>
      </c>
      <c r="O1615" s="4"/>
      <c r="P1615" s="2" t="s">
        <v>42</v>
      </c>
      <c r="Q1615" s="2" t="s">
        <v>63</v>
      </c>
      <c r="R1615" s="2">
        <v>2</v>
      </c>
      <c r="S1615" s="2" t="s">
        <v>43</v>
      </c>
      <c r="T1615" s="2">
        <v>1083</v>
      </c>
      <c r="U1615" s="2">
        <v>2</v>
      </c>
      <c r="V1615" s="2"/>
    </row>
    <row r="1616" spans="1:22" x14ac:dyDescent="0.35">
      <c r="A1616" s="3" t="s">
        <v>4096</v>
      </c>
      <c r="B1616" s="3" t="s">
        <v>671</v>
      </c>
      <c r="C1616" s="3" t="s">
        <v>581</v>
      </c>
      <c r="D1616" s="3" t="s">
        <v>2724</v>
      </c>
      <c r="E1616" s="3" t="s">
        <v>26</v>
      </c>
      <c r="F1616" s="3" t="s">
        <v>38</v>
      </c>
      <c r="G1616" s="3" t="s">
        <v>129</v>
      </c>
      <c r="H1616" s="3" t="s">
        <v>520</v>
      </c>
      <c r="I1616" s="3" t="s">
        <v>141</v>
      </c>
      <c r="J1616" s="3">
        <v>-20</v>
      </c>
      <c r="K1616" s="3">
        <v>128.02000000000001</v>
      </c>
      <c r="L1616" s="3">
        <v>201.77</v>
      </c>
      <c r="M1616" s="3">
        <v>34099.129999999997</v>
      </c>
      <c r="N1616" s="3">
        <v>21635.38</v>
      </c>
      <c r="O1616" s="3">
        <v>12463.75</v>
      </c>
      <c r="P1616" s="3" t="s">
        <v>31</v>
      </c>
      <c r="Q1616" s="3" t="s">
        <v>32</v>
      </c>
      <c r="R1616" s="3">
        <v>7</v>
      </c>
      <c r="S1616" s="3" t="s">
        <v>158</v>
      </c>
      <c r="T1616" s="3">
        <v>2100</v>
      </c>
      <c r="U1616" s="3">
        <v>0</v>
      </c>
      <c r="V1616" s="3"/>
    </row>
    <row r="1617" spans="1:22" x14ac:dyDescent="0.35">
      <c r="A1617" s="2" t="s">
        <v>4097</v>
      </c>
      <c r="B1617" s="2" t="s">
        <v>1360</v>
      </c>
      <c r="C1617" s="2" t="s">
        <v>279</v>
      </c>
      <c r="D1617" s="2" t="s">
        <v>3080</v>
      </c>
      <c r="E1617" s="2" t="s">
        <v>48</v>
      </c>
      <c r="F1617" s="2" t="s">
        <v>223</v>
      </c>
      <c r="G1617" s="2" t="s">
        <v>93</v>
      </c>
      <c r="H1617" s="2" t="s">
        <v>485</v>
      </c>
      <c r="I1617" s="2" t="s">
        <v>85</v>
      </c>
      <c r="J1617" s="2">
        <v>241</v>
      </c>
      <c r="K1617" s="2">
        <v>1085.5999999999999</v>
      </c>
      <c r="L1617" s="2">
        <v>1480.62</v>
      </c>
      <c r="M1617" s="2">
        <v>356829.42</v>
      </c>
      <c r="N1617" s="2">
        <v>261629.6</v>
      </c>
      <c r="O1617" s="2">
        <v>95199.82</v>
      </c>
      <c r="P1617" s="2" t="s">
        <v>42</v>
      </c>
      <c r="Q1617" s="2" t="s">
        <v>32</v>
      </c>
      <c r="R1617" s="2">
        <v>14</v>
      </c>
      <c r="S1617" s="2" t="s">
        <v>33</v>
      </c>
      <c r="T1617" s="2">
        <v>4859</v>
      </c>
      <c r="U1617" s="2">
        <v>0</v>
      </c>
      <c r="V1617" s="2"/>
    </row>
    <row r="1618" spans="1:22" x14ac:dyDescent="0.35">
      <c r="A1618" s="3" t="s">
        <v>4098</v>
      </c>
      <c r="B1618" s="3" t="s">
        <v>4099</v>
      </c>
      <c r="C1618" s="3" t="s">
        <v>4100</v>
      </c>
      <c r="D1618" s="3" t="s">
        <v>4101</v>
      </c>
      <c r="E1618" s="3" t="s">
        <v>48</v>
      </c>
      <c r="F1618" s="3" t="s">
        <v>270</v>
      </c>
      <c r="G1618" s="3" t="s">
        <v>78</v>
      </c>
      <c r="H1618" s="3" t="s">
        <v>481</v>
      </c>
      <c r="I1618" s="4"/>
      <c r="J1618" s="3">
        <v>184</v>
      </c>
      <c r="K1618" s="3">
        <v>327.83</v>
      </c>
      <c r="L1618" s="3">
        <v>435.23</v>
      </c>
      <c r="M1618" s="3">
        <v>80082.320000000007</v>
      </c>
      <c r="N1618" s="3">
        <v>60320.72</v>
      </c>
      <c r="O1618" s="3">
        <v>19761.599999999999</v>
      </c>
      <c r="P1618" s="3" t="s">
        <v>52</v>
      </c>
      <c r="Q1618" s="3" t="s">
        <v>32</v>
      </c>
      <c r="R1618" s="3">
        <v>10</v>
      </c>
      <c r="S1618" s="3" t="s">
        <v>86</v>
      </c>
      <c r="T1618" s="3">
        <v>1610</v>
      </c>
      <c r="U1618" s="3">
        <v>5</v>
      </c>
      <c r="V1618" s="3"/>
    </row>
    <row r="1619" spans="1:22" x14ac:dyDescent="0.35">
      <c r="A1619" s="2" t="s">
        <v>4102</v>
      </c>
      <c r="B1619" s="2" t="s">
        <v>4103</v>
      </c>
      <c r="C1619" s="2" t="s">
        <v>2612</v>
      </c>
      <c r="D1619" s="2" t="s">
        <v>4104</v>
      </c>
      <c r="E1619" s="2" t="s">
        <v>58</v>
      </c>
      <c r="F1619" s="2" t="s">
        <v>59</v>
      </c>
      <c r="G1619" s="2" t="s">
        <v>93</v>
      </c>
      <c r="H1619" s="2" t="s">
        <v>184</v>
      </c>
      <c r="I1619" s="2" t="s">
        <v>41</v>
      </c>
      <c r="J1619" s="2">
        <v>6</v>
      </c>
      <c r="K1619" s="2">
        <v>518.29999999999995</v>
      </c>
      <c r="L1619" s="2">
        <v>845.89</v>
      </c>
      <c r="M1619" s="2">
        <v>5075.34</v>
      </c>
      <c r="N1619" s="2">
        <v>3109.8</v>
      </c>
      <c r="O1619" s="2">
        <v>1965.54</v>
      </c>
      <c r="P1619" s="2" t="s">
        <v>2581</v>
      </c>
      <c r="Q1619" s="2" t="s">
        <v>32</v>
      </c>
      <c r="R1619" s="2">
        <v>11</v>
      </c>
      <c r="S1619" s="2" t="s">
        <v>112</v>
      </c>
      <c r="T1619" s="2">
        <v>1027</v>
      </c>
      <c r="U1619" s="2">
        <v>0</v>
      </c>
      <c r="V1619" s="2"/>
    </row>
    <row r="1620" spans="1:22" x14ac:dyDescent="0.35">
      <c r="A1620" s="3" t="s">
        <v>4105</v>
      </c>
      <c r="B1620" s="3" t="s">
        <v>596</v>
      </c>
      <c r="C1620" s="3" t="s">
        <v>176</v>
      </c>
      <c r="D1620" s="3" t="s">
        <v>4106</v>
      </c>
      <c r="E1620" s="3" t="s">
        <v>100</v>
      </c>
      <c r="F1620" s="3" t="s">
        <v>106</v>
      </c>
      <c r="G1620" s="3" t="s">
        <v>78</v>
      </c>
      <c r="H1620" s="3" t="s">
        <v>572</v>
      </c>
      <c r="I1620" s="3" t="s">
        <v>191</v>
      </c>
      <c r="J1620" s="3">
        <v>217</v>
      </c>
      <c r="K1620" s="3">
        <v>123.83</v>
      </c>
      <c r="L1620" s="3">
        <v>177.43</v>
      </c>
      <c r="M1620" s="3">
        <v>38502.31</v>
      </c>
      <c r="N1620" s="3">
        <v>26871.11</v>
      </c>
      <c r="O1620" s="3">
        <v>11631.2</v>
      </c>
      <c r="P1620" s="3" t="s">
        <v>95</v>
      </c>
      <c r="Q1620" s="3" t="s">
        <v>32</v>
      </c>
      <c r="R1620" s="3">
        <v>8</v>
      </c>
      <c r="S1620" s="3" t="s">
        <v>86</v>
      </c>
      <c r="T1620" s="3">
        <v>4311</v>
      </c>
      <c r="U1620" s="3">
        <v>9</v>
      </c>
      <c r="V1620" s="3"/>
    </row>
    <row r="1621" spans="1:22" x14ac:dyDescent="0.35">
      <c r="A1621" s="2" t="s">
        <v>4107</v>
      </c>
      <c r="B1621" s="2" t="s">
        <v>503</v>
      </c>
      <c r="C1621" s="2" t="s">
        <v>1110</v>
      </c>
      <c r="D1621" s="2" t="s">
        <v>4108</v>
      </c>
      <c r="E1621" s="2" t="s">
        <v>26</v>
      </c>
      <c r="F1621" s="2" t="s">
        <v>77</v>
      </c>
      <c r="G1621" s="2" t="s">
        <v>129</v>
      </c>
      <c r="H1621" s="2" t="s">
        <v>520</v>
      </c>
      <c r="I1621" s="2" t="s">
        <v>141</v>
      </c>
      <c r="J1621" s="2">
        <v>366</v>
      </c>
      <c r="K1621" s="2">
        <v>1066.55</v>
      </c>
      <c r="L1621" s="2">
        <v>1502.76</v>
      </c>
      <c r="M1621" s="2">
        <v>550010.16</v>
      </c>
      <c r="N1621" s="2">
        <v>390357.3</v>
      </c>
      <c r="O1621" s="2">
        <v>159652.85999999999</v>
      </c>
      <c r="P1621" s="2" t="s">
        <v>42</v>
      </c>
      <c r="Q1621" s="2" t="s">
        <v>63</v>
      </c>
      <c r="R1621" s="2">
        <v>1</v>
      </c>
      <c r="S1621" s="2" t="s">
        <v>33</v>
      </c>
      <c r="T1621" s="2">
        <v>1630</v>
      </c>
      <c r="U1621" s="2">
        <v>7</v>
      </c>
      <c r="V1621" s="2"/>
    </row>
    <row r="1622" spans="1:22" x14ac:dyDescent="0.35">
      <c r="A1622" s="3" t="s">
        <v>4109</v>
      </c>
      <c r="B1622" s="3" t="s">
        <v>2130</v>
      </c>
      <c r="C1622" s="3" t="s">
        <v>2620</v>
      </c>
      <c r="D1622" s="3" t="s">
        <v>974</v>
      </c>
      <c r="E1622" s="3" t="s">
        <v>26</v>
      </c>
      <c r="F1622" s="3" t="s">
        <v>38</v>
      </c>
      <c r="G1622" s="3" t="s">
        <v>78</v>
      </c>
      <c r="H1622" s="3" t="s">
        <v>572</v>
      </c>
      <c r="I1622" s="3" t="s">
        <v>85</v>
      </c>
      <c r="J1622" s="3">
        <v>192</v>
      </c>
      <c r="K1622" s="3">
        <v>1011.19</v>
      </c>
      <c r="L1622" s="3">
        <v>1666.96</v>
      </c>
      <c r="M1622" s="3">
        <v>320056.32000000001</v>
      </c>
      <c r="N1622" s="3">
        <v>194148.48000000001</v>
      </c>
      <c r="O1622" s="3">
        <v>125907.84</v>
      </c>
      <c r="P1622" s="3" t="s">
        <v>95</v>
      </c>
      <c r="Q1622" s="3" t="s">
        <v>63</v>
      </c>
      <c r="R1622" s="3">
        <v>5</v>
      </c>
      <c r="S1622" s="3" t="s">
        <v>43</v>
      </c>
      <c r="T1622" s="3">
        <v>1409</v>
      </c>
      <c r="U1622" s="3">
        <v>8</v>
      </c>
      <c r="V1622" s="3"/>
    </row>
    <row r="1623" spans="1:22" x14ac:dyDescent="0.35">
      <c r="A1623" s="2" t="s">
        <v>4110</v>
      </c>
      <c r="B1623" s="2" t="s">
        <v>884</v>
      </c>
      <c r="C1623" s="2" t="s">
        <v>1775</v>
      </c>
      <c r="D1623" s="2" t="s">
        <v>4111</v>
      </c>
      <c r="E1623" s="2" t="s">
        <v>100</v>
      </c>
      <c r="F1623" s="2" t="s">
        <v>106</v>
      </c>
      <c r="G1623" s="2" t="s">
        <v>78</v>
      </c>
      <c r="H1623" s="2" t="s">
        <v>481</v>
      </c>
      <c r="I1623" s="2" t="s">
        <v>191</v>
      </c>
      <c r="J1623" s="2">
        <v>343</v>
      </c>
      <c r="K1623" s="2">
        <v>38.04</v>
      </c>
      <c r="L1623" s="2">
        <v>48.3</v>
      </c>
      <c r="M1623" s="2">
        <v>16566.900000000001</v>
      </c>
      <c r="N1623" s="2">
        <v>13047.72</v>
      </c>
      <c r="O1623" s="2">
        <v>3519.18</v>
      </c>
      <c r="P1623" s="2" t="s">
        <v>95</v>
      </c>
      <c r="Q1623" s="2" t="s">
        <v>32</v>
      </c>
      <c r="R1623" s="2">
        <v>6</v>
      </c>
      <c r="S1623" s="2" t="s">
        <v>43</v>
      </c>
      <c r="T1623" s="2">
        <v>3621</v>
      </c>
      <c r="U1623" s="2">
        <v>3</v>
      </c>
      <c r="V1623" s="2"/>
    </row>
    <row r="1624" spans="1:22" x14ac:dyDescent="0.35">
      <c r="A1624" s="3" t="s">
        <v>4112</v>
      </c>
      <c r="B1624" s="3" t="s">
        <v>532</v>
      </c>
      <c r="C1624" s="3" t="s">
        <v>1149</v>
      </c>
      <c r="D1624" s="3" t="s">
        <v>4113</v>
      </c>
      <c r="E1624" s="3" t="s">
        <v>58</v>
      </c>
      <c r="F1624" s="3" t="s">
        <v>59</v>
      </c>
      <c r="G1624" s="3" t="s">
        <v>78</v>
      </c>
      <c r="H1624" s="3" t="s">
        <v>425</v>
      </c>
      <c r="I1624" s="3" t="s">
        <v>293</v>
      </c>
      <c r="J1624" s="3">
        <v>319</v>
      </c>
      <c r="K1624" s="3">
        <v>433.37</v>
      </c>
      <c r="L1624" s="3">
        <v>565.5</v>
      </c>
      <c r="M1624" s="3">
        <v>180394.5</v>
      </c>
      <c r="N1624" s="3">
        <v>138245.03</v>
      </c>
      <c r="O1624" s="3">
        <v>42149.47</v>
      </c>
      <c r="P1624" s="3" t="s">
        <v>42</v>
      </c>
      <c r="Q1624" s="3" t="s">
        <v>32</v>
      </c>
      <c r="R1624" s="3">
        <v>12</v>
      </c>
      <c r="S1624" s="3" t="s">
        <v>86</v>
      </c>
      <c r="T1624" s="3">
        <v>4165</v>
      </c>
      <c r="U1624" s="3">
        <v>14</v>
      </c>
      <c r="V1624" s="3"/>
    </row>
    <row r="1625" spans="1:22" x14ac:dyDescent="0.35">
      <c r="A1625" s="2" t="s">
        <v>2832</v>
      </c>
      <c r="B1625" s="2" t="s">
        <v>75</v>
      </c>
      <c r="C1625" s="2" t="s">
        <v>300</v>
      </c>
      <c r="D1625" s="2" t="s">
        <v>2834</v>
      </c>
      <c r="E1625" s="2" t="s">
        <v>48</v>
      </c>
      <c r="F1625" s="2" t="s">
        <v>270</v>
      </c>
      <c r="G1625" s="2" t="s">
        <v>60</v>
      </c>
      <c r="H1625" s="2" t="s">
        <v>265</v>
      </c>
      <c r="I1625" s="2" t="s">
        <v>41</v>
      </c>
      <c r="J1625" s="2">
        <v>450</v>
      </c>
      <c r="K1625" s="2">
        <v>337.22</v>
      </c>
      <c r="L1625" s="2">
        <v>543.22</v>
      </c>
      <c r="M1625" s="2">
        <v>244449</v>
      </c>
      <c r="N1625" s="2">
        <v>151749</v>
      </c>
      <c r="O1625" s="2">
        <v>92700</v>
      </c>
      <c r="P1625" s="2" t="s">
        <v>52</v>
      </c>
      <c r="Q1625" s="2" t="s">
        <v>32</v>
      </c>
      <c r="R1625" s="2">
        <v>10</v>
      </c>
      <c r="S1625" s="2" t="s">
        <v>158</v>
      </c>
      <c r="T1625" s="2">
        <v>2104</v>
      </c>
      <c r="U1625" s="2">
        <v>15</v>
      </c>
      <c r="V1625" s="2"/>
    </row>
    <row r="1626" spans="1:22" x14ac:dyDescent="0.35">
      <c r="A1626" s="3" t="s">
        <v>4114</v>
      </c>
      <c r="B1626" s="3" t="s">
        <v>175</v>
      </c>
      <c r="C1626" s="3" t="s">
        <v>719</v>
      </c>
      <c r="D1626" s="3" t="s">
        <v>4115</v>
      </c>
      <c r="E1626" s="3" t="s">
        <v>68</v>
      </c>
      <c r="F1626" s="3" t="s">
        <v>69</v>
      </c>
      <c r="G1626" s="3" t="s">
        <v>60</v>
      </c>
      <c r="H1626" s="3" t="s">
        <v>400</v>
      </c>
      <c r="I1626" s="3" t="s">
        <v>30</v>
      </c>
      <c r="J1626" s="3">
        <v>784</v>
      </c>
      <c r="K1626" s="3">
        <v>343.43</v>
      </c>
      <c r="L1626" s="3">
        <v>479.76</v>
      </c>
      <c r="M1626" s="3">
        <v>376131.84000000003</v>
      </c>
      <c r="N1626" s="4" t="s">
        <v>697</v>
      </c>
      <c r="O1626" s="3">
        <v>106882.72</v>
      </c>
      <c r="P1626" s="3" t="s">
        <v>52</v>
      </c>
      <c r="Q1626" s="3" t="s">
        <v>32</v>
      </c>
      <c r="R1626" s="3">
        <v>11</v>
      </c>
      <c r="S1626" s="3" t="s">
        <v>43</v>
      </c>
      <c r="T1626" s="3">
        <v>758</v>
      </c>
      <c r="U1626" s="3">
        <v>35</v>
      </c>
      <c r="V1626" s="3"/>
    </row>
    <row r="1627" spans="1:22" x14ac:dyDescent="0.35">
      <c r="A1627" s="2" t="s">
        <v>4116</v>
      </c>
      <c r="B1627" s="2" t="s">
        <v>467</v>
      </c>
      <c r="C1627" s="2" t="s">
        <v>932</v>
      </c>
      <c r="D1627" s="2" t="s">
        <v>4117</v>
      </c>
      <c r="E1627" s="2" t="s">
        <v>100</v>
      </c>
      <c r="F1627" s="2" t="s">
        <v>538</v>
      </c>
      <c r="G1627" s="2" t="s">
        <v>70</v>
      </c>
      <c r="H1627" s="2" t="s">
        <v>71</v>
      </c>
      <c r="I1627" s="2" t="s">
        <v>30</v>
      </c>
      <c r="J1627" s="2">
        <v>658</v>
      </c>
      <c r="K1627" s="2">
        <v>268.52999999999997</v>
      </c>
      <c r="L1627" s="2">
        <v>307.38</v>
      </c>
      <c r="M1627" s="2">
        <v>202256.04</v>
      </c>
      <c r="N1627" s="2">
        <v>176692.74</v>
      </c>
      <c r="O1627" s="2">
        <v>25563.3</v>
      </c>
      <c r="P1627" s="2" t="s">
        <v>31</v>
      </c>
      <c r="Q1627" s="2" t="s">
        <v>32</v>
      </c>
      <c r="R1627" s="2">
        <v>9</v>
      </c>
      <c r="S1627" s="2" t="s">
        <v>158</v>
      </c>
      <c r="T1627" s="2">
        <v>4064</v>
      </c>
      <c r="U1627" s="2">
        <v>9</v>
      </c>
      <c r="V1627" s="2"/>
    </row>
    <row r="1628" spans="1:22" x14ac:dyDescent="0.35">
      <c r="A1628" s="3" t="s">
        <v>789</v>
      </c>
      <c r="B1628" s="3" t="s">
        <v>790</v>
      </c>
      <c r="C1628" s="3" t="s">
        <v>791</v>
      </c>
      <c r="D1628" s="3" t="s">
        <v>792</v>
      </c>
      <c r="E1628" s="3" t="s">
        <v>58</v>
      </c>
      <c r="F1628" s="3" t="s">
        <v>122</v>
      </c>
      <c r="G1628" s="3" t="s">
        <v>129</v>
      </c>
      <c r="H1628" s="3" t="s">
        <v>316</v>
      </c>
      <c r="I1628" s="3" t="s">
        <v>41</v>
      </c>
      <c r="J1628" s="3">
        <v>731</v>
      </c>
      <c r="K1628" s="3">
        <v>332.45</v>
      </c>
      <c r="L1628" s="3">
        <v>525.63</v>
      </c>
      <c r="M1628" s="3">
        <v>384235.53</v>
      </c>
      <c r="N1628" s="3">
        <v>243020.95</v>
      </c>
      <c r="O1628" s="3">
        <v>141214.57999999999</v>
      </c>
      <c r="P1628" s="3" t="s">
        <v>52</v>
      </c>
      <c r="Q1628" s="3" t="s">
        <v>32</v>
      </c>
      <c r="R1628" s="3">
        <v>12</v>
      </c>
      <c r="S1628" s="3" t="s">
        <v>33</v>
      </c>
      <c r="T1628" s="3">
        <v>483</v>
      </c>
      <c r="U1628" s="3">
        <v>3</v>
      </c>
      <c r="V1628" s="3"/>
    </row>
    <row r="1629" spans="1:22" x14ac:dyDescent="0.35">
      <c r="A1629" s="2" t="s">
        <v>4118</v>
      </c>
      <c r="B1629" s="2" t="s">
        <v>137</v>
      </c>
      <c r="C1629" s="2" t="s">
        <v>662</v>
      </c>
      <c r="D1629" s="2" t="s">
        <v>1811</v>
      </c>
      <c r="E1629" s="2" t="s">
        <v>58</v>
      </c>
      <c r="F1629" s="2" t="s">
        <v>116</v>
      </c>
      <c r="G1629" s="2" t="s">
        <v>70</v>
      </c>
      <c r="H1629" s="2" t="s">
        <v>384</v>
      </c>
      <c r="I1629" s="4"/>
      <c r="J1629" s="2">
        <v>248</v>
      </c>
      <c r="K1629" s="2">
        <v>325.02</v>
      </c>
      <c r="L1629" s="2">
        <v>416.17</v>
      </c>
      <c r="M1629" s="2">
        <v>103210.16</v>
      </c>
      <c r="N1629" s="2">
        <v>80604.960000000006</v>
      </c>
      <c r="O1629" s="2">
        <v>22605.200000000001</v>
      </c>
      <c r="P1629" s="2" t="s">
        <v>95</v>
      </c>
      <c r="Q1629" s="2" t="s">
        <v>63</v>
      </c>
      <c r="R1629" s="2">
        <v>3</v>
      </c>
      <c r="S1629" s="2" t="s">
        <v>86</v>
      </c>
      <c r="T1629" s="2">
        <v>4327</v>
      </c>
      <c r="U1629" s="2">
        <v>9</v>
      </c>
      <c r="V1629" s="2"/>
    </row>
    <row r="1630" spans="1:22" x14ac:dyDescent="0.35">
      <c r="A1630" s="3" t="s">
        <v>4119</v>
      </c>
      <c r="B1630" s="3" t="s">
        <v>467</v>
      </c>
      <c r="C1630" s="3" t="s">
        <v>532</v>
      </c>
      <c r="D1630" s="3" t="s">
        <v>2505</v>
      </c>
      <c r="E1630" s="3" t="s">
        <v>26</v>
      </c>
      <c r="F1630" s="3" t="s">
        <v>228</v>
      </c>
      <c r="G1630" s="3" t="s">
        <v>93</v>
      </c>
      <c r="H1630" s="3" t="s">
        <v>485</v>
      </c>
      <c r="I1630" s="3" t="s">
        <v>118</v>
      </c>
      <c r="J1630" s="3">
        <v>84</v>
      </c>
      <c r="K1630" s="3">
        <v>271.22000000000003</v>
      </c>
      <c r="L1630" s="3">
        <v>350.52</v>
      </c>
      <c r="M1630" s="3">
        <v>29443.68</v>
      </c>
      <c r="N1630" s="3">
        <v>22782.48</v>
      </c>
      <c r="O1630" s="3">
        <v>6661.2</v>
      </c>
      <c r="P1630" s="3" t="s">
        <v>42</v>
      </c>
      <c r="Q1630" s="3" t="s">
        <v>63</v>
      </c>
      <c r="R1630" s="3">
        <v>5</v>
      </c>
      <c r="S1630" s="3" t="s">
        <v>53</v>
      </c>
      <c r="T1630" s="3">
        <v>1103</v>
      </c>
      <c r="U1630" s="3">
        <v>3</v>
      </c>
      <c r="V1630" s="3"/>
    </row>
    <row r="1631" spans="1:22" x14ac:dyDescent="0.35">
      <c r="A1631" s="2" t="s">
        <v>4120</v>
      </c>
      <c r="B1631" s="2" t="s">
        <v>2894</v>
      </c>
      <c r="C1631" s="2" t="s">
        <v>2554</v>
      </c>
      <c r="D1631" s="2" t="s">
        <v>4121</v>
      </c>
      <c r="E1631" s="2" t="s">
        <v>58</v>
      </c>
      <c r="F1631" s="2" t="s">
        <v>59</v>
      </c>
      <c r="G1631" s="2" t="s">
        <v>217</v>
      </c>
      <c r="H1631" s="2" t="s">
        <v>218</v>
      </c>
      <c r="I1631" s="2" t="s">
        <v>1853</v>
      </c>
      <c r="J1631" s="2">
        <v>644</v>
      </c>
      <c r="K1631" s="2">
        <v>161.87</v>
      </c>
      <c r="L1631" s="2">
        <v>217.81</v>
      </c>
      <c r="M1631" s="2">
        <v>140269.64000000001</v>
      </c>
      <c r="N1631" s="2">
        <v>104244.28</v>
      </c>
      <c r="O1631" s="2">
        <v>36025.360000000001</v>
      </c>
      <c r="P1631" s="2" t="s">
        <v>42</v>
      </c>
      <c r="Q1631" s="2" t="s">
        <v>32</v>
      </c>
      <c r="R1631" s="2">
        <v>11</v>
      </c>
      <c r="S1631" s="2" t="s">
        <v>86</v>
      </c>
      <c r="T1631" s="2">
        <v>131</v>
      </c>
      <c r="U1631" s="2">
        <v>32</v>
      </c>
      <c r="V1631" s="2"/>
    </row>
    <row r="1632" spans="1:22" x14ac:dyDescent="0.35">
      <c r="A1632" s="3" t="s">
        <v>4122</v>
      </c>
      <c r="B1632" s="3" t="s">
        <v>103</v>
      </c>
      <c r="C1632" s="3" t="s">
        <v>1201</v>
      </c>
      <c r="D1632" s="3" t="s">
        <v>4123</v>
      </c>
      <c r="E1632" s="3" t="s">
        <v>48</v>
      </c>
      <c r="F1632" s="3" t="s">
        <v>183</v>
      </c>
      <c r="G1632" s="3" t="s">
        <v>189</v>
      </c>
      <c r="H1632" s="3" t="s">
        <v>561</v>
      </c>
      <c r="I1632" s="3" t="s">
        <v>240</v>
      </c>
      <c r="J1632" s="3">
        <v>512</v>
      </c>
      <c r="K1632" s="3">
        <v>615.79999999999995</v>
      </c>
      <c r="L1632" s="3">
        <v>811.24</v>
      </c>
      <c r="M1632" s="3">
        <v>415354.88</v>
      </c>
      <c r="N1632" s="3">
        <v>315289.59999999998</v>
      </c>
      <c r="O1632" s="3">
        <v>100065.28</v>
      </c>
      <c r="P1632" s="3" t="s">
        <v>31</v>
      </c>
      <c r="Q1632" s="3" t="s">
        <v>32</v>
      </c>
      <c r="R1632" s="3">
        <v>12</v>
      </c>
      <c r="S1632" s="3" t="s">
        <v>53</v>
      </c>
      <c r="T1632" s="3">
        <v>865</v>
      </c>
      <c r="U1632" s="3">
        <v>0</v>
      </c>
      <c r="V1632" s="3"/>
    </row>
    <row r="1633" spans="1:22" x14ac:dyDescent="0.35">
      <c r="A1633" s="2" t="s">
        <v>4124</v>
      </c>
      <c r="B1633" s="2" t="s">
        <v>243</v>
      </c>
      <c r="C1633" s="2" t="s">
        <v>650</v>
      </c>
      <c r="D1633" s="2" t="s">
        <v>4125</v>
      </c>
      <c r="E1633" s="2" t="s">
        <v>26</v>
      </c>
      <c r="F1633" s="2" t="s">
        <v>77</v>
      </c>
      <c r="G1633" s="2" t="s">
        <v>129</v>
      </c>
      <c r="H1633" s="2" t="s">
        <v>811</v>
      </c>
      <c r="I1633" s="2" t="s">
        <v>124</v>
      </c>
      <c r="J1633" s="2">
        <v>725</v>
      </c>
      <c r="K1633" s="2">
        <v>263.56</v>
      </c>
      <c r="L1633" s="2">
        <v>356.89</v>
      </c>
      <c r="M1633" s="2">
        <v>258745.25</v>
      </c>
      <c r="N1633" s="2">
        <v>191081</v>
      </c>
      <c r="O1633" s="2">
        <v>67664.25</v>
      </c>
      <c r="P1633" s="2" t="s">
        <v>95</v>
      </c>
      <c r="Q1633" s="2" t="s">
        <v>32</v>
      </c>
      <c r="R1633" s="2">
        <v>14</v>
      </c>
      <c r="S1633" s="2" t="s">
        <v>33</v>
      </c>
      <c r="T1633" s="2">
        <v>3886</v>
      </c>
      <c r="U1633" s="2">
        <v>15</v>
      </c>
      <c r="V1633" s="2"/>
    </row>
    <row r="1634" spans="1:22" x14ac:dyDescent="0.35">
      <c r="A1634" s="3" t="s">
        <v>4126</v>
      </c>
      <c r="B1634" s="3" t="s">
        <v>35</v>
      </c>
      <c r="C1634" s="3" t="s">
        <v>751</v>
      </c>
      <c r="D1634" s="3" t="s">
        <v>4127</v>
      </c>
      <c r="E1634" s="3" t="s">
        <v>58</v>
      </c>
      <c r="F1634" s="3" t="s">
        <v>122</v>
      </c>
      <c r="G1634" s="3" t="s">
        <v>70</v>
      </c>
      <c r="H1634" s="3" t="s">
        <v>623</v>
      </c>
      <c r="I1634" s="3" t="s">
        <v>240</v>
      </c>
      <c r="J1634" s="3">
        <v>535</v>
      </c>
      <c r="K1634" s="3">
        <v>760.45</v>
      </c>
      <c r="L1634" s="3">
        <v>1099.48</v>
      </c>
      <c r="M1634" s="3">
        <v>588221.80000000005</v>
      </c>
      <c r="N1634" s="3">
        <v>406840.75</v>
      </c>
      <c r="O1634" s="3">
        <v>181381.05</v>
      </c>
      <c r="P1634" s="3" t="s">
        <v>52</v>
      </c>
      <c r="Q1634" s="3" t="s">
        <v>32</v>
      </c>
      <c r="R1634" s="3">
        <v>7</v>
      </c>
      <c r="S1634" s="3" t="s">
        <v>158</v>
      </c>
      <c r="T1634" s="3">
        <v>654</v>
      </c>
      <c r="U1634" s="3">
        <v>4</v>
      </c>
      <c r="V1634" s="3"/>
    </row>
    <row r="1635" spans="1:22" x14ac:dyDescent="0.35">
      <c r="A1635" s="2" t="s">
        <v>4128</v>
      </c>
      <c r="B1635" s="2" t="s">
        <v>1222</v>
      </c>
      <c r="C1635" s="2" t="s">
        <v>2268</v>
      </c>
      <c r="D1635" s="2" t="s">
        <v>4129</v>
      </c>
      <c r="E1635" s="2" t="s">
        <v>68</v>
      </c>
      <c r="F1635" s="2" t="s">
        <v>146</v>
      </c>
      <c r="G1635" s="2" t="s">
        <v>39</v>
      </c>
      <c r="H1635" s="2" t="s">
        <v>147</v>
      </c>
      <c r="I1635" s="2" t="s">
        <v>30</v>
      </c>
      <c r="J1635" s="2">
        <v>229</v>
      </c>
      <c r="K1635" s="2">
        <v>205.68</v>
      </c>
      <c r="L1635" s="2">
        <v>230.5</v>
      </c>
      <c r="M1635" s="2">
        <v>52784.5</v>
      </c>
      <c r="N1635" s="2">
        <v>47100.72</v>
      </c>
      <c r="O1635" s="2">
        <v>5683.78</v>
      </c>
      <c r="P1635" s="2" t="s">
        <v>31</v>
      </c>
      <c r="Q1635" s="2" t="s">
        <v>32</v>
      </c>
      <c r="R1635" s="2">
        <v>11</v>
      </c>
      <c r="S1635" s="2" t="s">
        <v>53</v>
      </c>
      <c r="T1635" s="2">
        <v>2126</v>
      </c>
      <c r="U1635" s="2">
        <v>1</v>
      </c>
      <c r="V1635" s="2"/>
    </row>
    <row r="1636" spans="1:22" x14ac:dyDescent="0.35">
      <c r="A1636" s="3" t="s">
        <v>4130</v>
      </c>
      <c r="B1636" s="3" t="s">
        <v>4131</v>
      </c>
      <c r="C1636" s="3" t="s">
        <v>938</v>
      </c>
      <c r="D1636" s="3" t="s">
        <v>4132</v>
      </c>
      <c r="E1636" s="3" t="s">
        <v>26</v>
      </c>
      <c r="F1636" s="3" t="s">
        <v>228</v>
      </c>
      <c r="G1636" s="3" t="s">
        <v>60</v>
      </c>
      <c r="H1636" s="3" t="s">
        <v>400</v>
      </c>
      <c r="I1636" s="3" t="s">
        <v>293</v>
      </c>
      <c r="J1636" s="3">
        <v>570</v>
      </c>
      <c r="K1636" s="3">
        <v>489.77</v>
      </c>
      <c r="L1636" s="3">
        <v>573.36</v>
      </c>
      <c r="M1636" s="3">
        <v>326815.2</v>
      </c>
      <c r="N1636" s="3">
        <v>279168.90000000002</v>
      </c>
      <c r="O1636" s="3">
        <v>47646.3</v>
      </c>
      <c r="P1636" s="3" t="s">
        <v>95</v>
      </c>
      <c r="Q1636" s="3" t="s">
        <v>63</v>
      </c>
      <c r="R1636" s="3">
        <v>5</v>
      </c>
      <c r="S1636" s="3" t="s">
        <v>33</v>
      </c>
      <c r="T1636" s="3">
        <v>4000</v>
      </c>
      <c r="U1636" s="3">
        <v>20</v>
      </c>
      <c r="V1636" s="3"/>
    </row>
    <row r="1637" spans="1:22" x14ac:dyDescent="0.35">
      <c r="A1637" s="2" t="s">
        <v>4133</v>
      </c>
      <c r="B1637" s="2" t="s">
        <v>1934</v>
      </c>
      <c r="C1637" s="2" t="s">
        <v>649</v>
      </c>
      <c r="D1637" s="2" t="s">
        <v>2248</v>
      </c>
      <c r="E1637" s="2" t="s">
        <v>48</v>
      </c>
      <c r="F1637" s="2" t="s">
        <v>183</v>
      </c>
      <c r="G1637" s="2" t="s">
        <v>189</v>
      </c>
      <c r="H1637" s="2" t="s">
        <v>561</v>
      </c>
      <c r="I1637" s="2" t="s">
        <v>30</v>
      </c>
      <c r="J1637" s="2">
        <v>213</v>
      </c>
      <c r="K1637" s="2">
        <v>51.71</v>
      </c>
      <c r="L1637" s="2">
        <v>84.94</v>
      </c>
      <c r="M1637" s="2">
        <v>18092.22</v>
      </c>
      <c r="N1637" s="2">
        <v>11014.23</v>
      </c>
      <c r="O1637" s="2">
        <v>7077.99</v>
      </c>
      <c r="P1637" s="2" t="s">
        <v>31</v>
      </c>
      <c r="Q1637" s="2" t="s">
        <v>63</v>
      </c>
      <c r="R1637" s="2">
        <v>999</v>
      </c>
      <c r="S1637" s="2" t="s">
        <v>86</v>
      </c>
      <c r="T1637" s="2">
        <v>292</v>
      </c>
      <c r="U1637" s="2">
        <v>0</v>
      </c>
      <c r="V1637" s="2"/>
    </row>
    <row r="1638" spans="1:22" x14ac:dyDescent="0.35">
      <c r="A1638" s="3" t="s">
        <v>4134</v>
      </c>
      <c r="B1638" s="3" t="s">
        <v>267</v>
      </c>
      <c r="C1638" s="3" t="s">
        <v>549</v>
      </c>
      <c r="D1638" s="3" t="s">
        <v>1334</v>
      </c>
      <c r="E1638" s="3" t="s">
        <v>26</v>
      </c>
      <c r="F1638" s="3" t="s">
        <v>77</v>
      </c>
      <c r="G1638" s="3" t="s">
        <v>28</v>
      </c>
      <c r="H1638" s="3" t="s">
        <v>212</v>
      </c>
      <c r="I1638" s="3" t="s">
        <v>293</v>
      </c>
      <c r="J1638" s="3">
        <v>537</v>
      </c>
      <c r="K1638" s="3">
        <v>865.55</v>
      </c>
      <c r="L1638" s="3">
        <v>1096.76</v>
      </c>
      <c r="M1638" s="3">
        <v>588960.12</v>
      </c>
      <c r="N1638" s="3">
        <v>464800.35</v>
      </c>
      <c r="O1638" s="3">
        <v>124159.77</v>
      </c>
      <c r="P1638" s="3" t="s">
        <v>95</v>
      </c>
      <c r="Q1638" s="3" t="s">
        <v>32</v>
      </c>
      <c r="R1638" s="3">
        <v>7</v>
      </c>
      <c r="S1638" s="3" t="s">
        <v>33</v>
      </c>
      <c r="T1638" s="3">
        <v>1442</v>
      </c>
      <c r="U1638" s="3">
        <v>21</v>
      </c>
      <c r="V1638" s="3"/>
    </row>
    <row r="1639" spans="1:22" x14ac:dyDescent="0.35">
      <c r="A1639" s="2" t="s">
        <v>4135</v>
      </c>
      <c r="B1639" s="2" t="s">
        <v>1260</v>
      </c>
      <c r="C1639" s="2" t="s">
        <v>605</v>
      </c>
      <c r="D1639" s="2" t="s">
        <v>3868</v>
      </c>
      <c r="E1639" s="2" t="s">
        <v>58</v>
      </c>
      <c r="F1639" s="2" t="s">
        <v>59</v>
      </c>
      <c r="G1639" s="2" t="s">
        <v>50</v>
      </c>
      <c r="H1639" s="2" t="s">
        <v>135</v>
      </c>
      <c r="I1639" s="2" t="s">
        <v>240</v>
      </c>
      <c r="J1639" s="2">
        <v>112</v>
      </c>
      <c r="K1639" s="2">
        <v>1031.8599999999999</v>
      </c>
      <c r="L1639" s="2">
        <v>1168.18</v>
      </c>
      <c r="M1639" s="2">
        <v>130836.16</v>
      </c>
      <c r="N1639" s="2">
        <v>115568.32000000001</v>
      </c>
      <c r="O1639" s="2">
        <v>15267.84</v>
      </c>
      <c r="P1639" s="2" t="s">
        <v>95</v>
      </c>
      <c r="Q1639" s="2" t="s">
        <v>32</v>
      </c>
      <c r="R1639" s="2">
        <v>11</v>
      </c>
      <c r="S1639" s="2" t="s">
        <v>43</v>
      </c>
      <c r="T1639" s="2">
        <v>1659</v>
      </c>
      <c r="U1639" s="2">
        <v>4</v>
      </c>
      <c r="V1639" s="2"/>
    </row>
    <row r="1640" spans="1:22" x14ac:dyDescent="0.35">
      <c r="A1640" s="3" t="s">
        <v>4136</v>
      </c>
      <c r="B1640" s="3" t="s">
        <v>45</v>
      </c>
      <c r="C1640" s="3" t="s">
        <v>1765</v>
      </c>
      <c r="D1640" s="3" t="s">
        <v>4137</v>
      </c>
      <c r="E1640" s="3" t="s">
        <v>48</v>
      </c>
      <c r="F1640" s="3" t="s">
        <v>183</v>
      </c>
      <c r="G1640" s="3" t="s">
        <v>39</v>
      </c>
      <c r="H1640" s="3" t="s">
        <v>354</v>
      </c>
      <c r="I1640" s="3" t="s">
        <v>72</v>
      </c>
      <c r="J1640" s="3">
        <v>83</v>
      </c>
      <c r="K1640" s="3">
        <v>347.55</v>
      </c>
      <c r="L1640" s="3">
        <v>492.7</v>
      </c>
      <c r="M1640" s="3">
        <v>40894.1</v>
      </c>
      <c r="N1640" s="3">
        <v>28846.65</v>
      </c>
      <c r="O1640" s="3">
        <v>12047.45</v>
      </c>
      <c r="P1640" s="3" t="s">
        <v>31</v>
      </c>
      <c r="Q1640" s="3" t="s">
        <v>32</v>
      </c>
      <c r="R1640" s="3">
        <v>13</v>
      </c>
      <c r="S1640" s="3" t="s">
        <v>158</v>
      </c>
      <c r="T1640" s="3">
        <v>440</v>
      </c>
      <c r="U1640" s="3">
        <v>3</v>
      </c>
      <c r="V1640" s="3"/>
    </row>
    <row r="1641" spans="1:22" x14ac:dyDescent="0.35">
      <c r="A1641" s="2" t="s">
        <v>4138</v>
      </c>
      <c r="B1641" s="2" t="s">
        <v>1217</v>
      </c>
      <c r="C1641" s="2" t="s">
        <v>2762</v>
      </c>
      <c r="D1641" s="2" t="s">
        <v>4139</v>
      </c>
      <c r="E1641" s="2" t="s">
        <v>58</v>
      </c>
      <c r="F1641" s="2" t="s">
        <v>116</v>
      </c>
      <c r="G1641" s="2" t="s">
        <v>93</v>
      </c>
      <c r="H1641" s="2" t="s">
        <v>643</v>
      </c>
      <c r="I1641" s="2" t="s">
        <v>72</v>
      </c>
      <c r="J1641" s="2">
        <v>602</v>
      </c>
      <c r="K1641" s="2">
        <v>807.84</v>
      </c>
      <c r="L1641" s="2">
        <v>1046.53</v>
      </c>
      <c r="M1641" s="2">
        <v>630011.06000000006</v>
      </c>
      <c r="N1641" s="2">
        <v>486319.68</v>
      </c>
      <c r="O1641" s="2">
        <v>143691.38</v>
      </c>
      <c r="P1641" s="2" t="s">
        <v>52</v>
      </c>
      <c r="Q1641" s="2" t="s">
        <v>32</v>
      </c>
      <c r="R1641" s="2">
        <v>14</v>
      </c>
      <c r="S1641" s="2" t="s">
        <v>53</v>
      </c>
      <c r="T1641" s="2">
        <v>4678</v>
      </c>
      <c r="U1641" s="2">
        <v>10</v>
      </c>
      <c r="V1641" s="2"/>
    </row>
    <row r="1642" spans="1:22" x14ac:dyDescent="0.35">
      <c r="A1642" s="3" t="s">
        <v>4140</v>
      </c>
      <c r="B1642" s="3" t="s">
        <v>1641</v>
      </c>
      <c r="C1642" s="3" t="s">
        <v>347</v>
      </c>
      <c r="D1642" s="3" t="s">
        <v>4141</v>
      </c>
      <c r="E1642" s="3" t="s">
        <v>58</v>
      </c>
      <c r="F1642" s="3" t="s">
        <v>122</v>
      </c>
      <c r="G1642" s="3" t="s">
        <v>129</v>
      </c>
      <c r="H1642" s="3" t="s">
        <v>704</v>
      </c>
      <c r="I1642" s="3" t="s">
        <v>41</v>
      </c>
      <c r="J1642" s="3">
        <v>718</v>
      </c>
      <c r="K1642" s="3">
        <v>1193.42</v>
      </c>
      <c r="L1642" s="3">
        <v>1489.59</v>
      </c>
      <c r="M1642" s="3">
        <v>1069525.6200000001</v>
      </c>
      <c r="N1642" s="3">
        <v>856875.56</v>
      </c>
      <c r="O1642" s="3">
        <v>212650.06</v>
      </c>
      <c r="P1642" s="3" t="s">
        <v>31</v>
      </c>
      <c r="Q1642" s="3" t="s">
        <v>32</v>
      </c>
      <c r="R1642" s="3">
        <v>11</v>
      </c>
      <c r="S1642" s="3" t="s">
        <v>86</v>
      </c>
      <c r="T1642" s="3">
        <v>4530</v>
      </c>
      <c r="U1642" s="3">
        <v>6</v>
      </c>
      <c r="V1642" s="3"/>
    </row>
    <row r="1643" spans="1:22" x14ac:dyDescent="0.35">
      <c r="A1643" s="2" t="s">
        <v>4142</v>
      </c>
      <c r="B1643" s="2" t="s">
        <v>617</v>
      </c>
      <c r="C1643" s="2" t="s">
        <v>617</v>
      </c>
      <c r="D1643" s="2" t="s">
        <v>4143</v>
      </c>
      <c r="E1643" s="2" t="s">
        <v>68</v>
      </c>
      <c r="F1643" s="2" t="s">
        <v>249</v>
      </c>
      <c r="G1643" s="2" t="s">
        <v>28</v>
      </c>
      <c r="H1643" s="2" t="s">
        <v>254</v>
      </c>
      <c r="I1643" s="2" t="s">
        <v>72</v>
      </c>
      <c r="J1643" s="2">
        <v>406</v>
      </c>
      <c r="K1643" s="2">
        <v>239.29</v>
      </c>
      <c r="L1643" s="2">
        <v>276.95</v>
      </c>
      <c r="M1643" s="2">
        <v>112441.7</v>
      </c>
      <c r="N1643" s="2">
        <v>97151.74</v>
      </c>
      <c r="O1643" s="2">
        <v>15289.96</v>
      </c>
      <c r="P1643" s="2" t="s">
        <v>42</v>
      </c>
      <c r="Q1643" s="2" t="s">
        <v>32</v>
      </c>
      <c r="R1643" s="2">
        <v>9</v>
      </c>
      <c r="S1643" s="2" t="s">
        <v>158</v>
      </c>
      <c r="T1643" s="2">
        <v>1599</v>
      </c>
      <c r="U1643" s="2">
        <v>4</v>
      </c>
      <c r="V1643" s="2"/>
    </row>
    <row r="1644" spans="1:22" x14ac:dyDescent="0.35">
      <c r="A1644" s="3" t="s">
        <v>4144</v>
      </c>
      <c r="B1644" s="3" t="s">
        <v>702</v>
      </c>
      <c r="C1644" s="3" t="s">
        <v>1948</v>
      </c>
      <c r="D1644" s="3" t="s">
        <v>4145</v>
      </c>
      <c r="E1644" s="3" t="s">
        <v>48</v>
      </c>
      <c r="F1644" s="3" t="s">
        <v>183</v>
      </c>
      <c r="G1644" s="3" t="s">
        <v>60</v>
      </c>
      <c r="H1644" s="3" t="s">
        <v>229</v>
      </c>
      <c r="I1644" s="3" t="s">
        <v>85</v>
      </c>
      <c r="J1644" s="3">
        <v>578</v>
      </c>
      <c r="K1644" s="3">
        <v>248.31</v>
      </c>
      <c r="L1644" s="3">
        <v>373.15</v>
      </c>
      <c r="M1644" s="3">
        <v>215680.7</v>
      </c>
      <c r="N1644" s="3">
        <v>143523.18</v>
      </c>
      <c r="O1644" s="3">
        <v>72157.52</v>
      </c>
      <c r="P1644" s="3" t="s">
        <v>52</v>
      </c>
      <c r="Q1644" s="3" t="s">
        <v>32</v>
      </c>
      <c r="R1644" s="3">
        <v>15</v>
      </c>
      <c r="S1644" s="3" t="s">
        <v>112</v>
      </c>
      <c r="T1644" s="3">
        <v>3320</v>
      </c>
      <c r="U1644" s="3">
        <v>24</v>
      </c>
      <c r="V1644" s="3"/>
    </row>
    <row r="1645" spans="1:22" x14ac:dyDescent="0.35">
      <c r="A1645" s="2" t="s">
        <v>4146</v>
      </c>
      <c r="B1645" s="2" t="s">
        <v>357</v>
      </c>
      <c r="C1645" s="2" t="s">
        <v>4147</v>
      </c>
      <c r="D1645" s="2" t="s">
        <v>2118</v>
      </c>
      <c r="E1645" s="2" t="s">
        <v>68</v>
      </c>
      <c r="F1645" s="2" t="s">
        <v>146</v>
      </c>
      <c r="G1645" s="2" t="s">
        <v>93</v>
      </c>
      <c r="H1645" s="2" t="s">
        <v>485</v>
      </c>
      <c r="I1645" s="2" t="s">
        <v>240</v>
      </c>
      <c r="J1645" s="2">
        <v>418</v>
      </c>
      <c r="K1645" s="2">
        <v>673.73</v>
      </c>
      <c r="L1645" s="2">
        <v>1078.5899999999999</v>
      </c>
      <c r="M1645" s="2">
        <v>450850.62</v>
      </c>
      <c r="N1645" s="2">
        <v>281619.14</v>
      </c>
      <c r="O1645" s="2">
        <v>169231.48</v>
      </c>
      <c r="P1645" s="2" t="s">
        <v>52</v>
      </c>
      <c r="Q1645" s="2" t="s">
        <v>63</v>
      </c>
      <c r="R1645" s="2">
        <v>4</v>
      </c>
      <c r="S1645" s="2" t="s">
        <v>86</v>
      </c>
      <c r="T1645" s="2">
        <v>4962</v>
      </c>
      <c r="U1645" s="4"/>
      <c r="V1645" s="2"/>
    </row>
    <row r="1646" spans="1:22" x14ac:dyDescent="0.35">
      <c r="A1646" s="3" t="s">
        <v>4148</v>
      </c>
      <c r="B1646" s="3" t="s">
        <v>4149</v>
      </c>
      <c r="C1646" s="3" t="s">
        <v>449</v>
      </c>
      <c r="D1646" s="3" t="s">
        <v>4150</v>
      </c>
      <c r="E1646" s="3" t="s">
        <v>58</v>
      </c>
      <c r="F1646" s="3" t="s">
        <v>122</v>
      </c>
      <c r="G1646" s="3" t="s">
        <v>93</v>
      </c>
      <c r="H1646" s="3" t="s">
        <v>94</v>
      </c>
      <c r="I1646" s="3" t="s">
        <v>118</v>
      </c>
      <c r="J1646" s="3">
        <v>774</v>
      </c>
      <c r="K1646" s="3">
        <v>616.4</v>
      </c>
      <c r="L1646" s="3">
        <v>776.55</v>
      </c>
      <c r="M1646" s="3">
        <v>601049.69999999995</v>
      </c>
      <c r="N1646" s="3">
        <v>477093.6</v>
      </c>
      <c r="O1646" s="3">
        <v>123956.1</v>
      </c>
      <c r="P1646" s="3" t="s">
        <v>31</v>
      </c>
      <c r="Q1646" s="3" t="s">
        <v>32</v>
      </c>
      <c r="R1646" s="3">
        <v>15</v>
      </c>
      <c r="S1646" s="3" t="s">
        <v>112</v>
      </c>
      <c r="T1646" s="3">
        <v>695</v>
      </c>
      <c r="U1646" s="3">
        <v>22</v>
      </c>
      <c r="V1646" s="3"/>
    </row>
    <row r="1647" spans="1:22" x14ac:dyDescent="0.35">
      <c r="A1647" s="2" t="s">
        <v>4151</v>
      </c>
      <c r="B1647" s="2" t="s">
        <v>2301</v>
      </c>
      <c r="C1647" s="2" t="s">
        <v>194</v>
      </c>
      <c r="D1647" s="2" t="s">
        <v>4152</v>
      </c>
      <c r="E1647" s="2" t="s">
        <v>58</v>
      </c>
      <c r="F1647" s="2" t="s">
        <v>259</v>
      </c>
      <c r="G1647" s="2" t="s">
        <v>39</v>
      </c>
      <c r="H1647" s="2" t="s">
        <v>647</v>
      </c>
      <c r="I1647" s="2" t="s">
        <v>85</v>
      </c>
      <c r="J1647" s="2">
        <v>444</v>
      </c>
      <c r="K1647" s="2">
        <v>669.49</v>
      </c>
      <c r="L1647" s="2">
        <v>836.53</v>
      </c>
      <c r="M1647" s="2">
        <v>371419.32</v>
      </c>
      <c r="N1647" s="2">
        <v>297253.56</v>
      </c>
      <c r="O1647" s="2">
        <v>74165.759999999995</v>
      </c>
      <c r="P1647" s="2" t="s">
        <v>42</v>
      </c>
      <c r="Q1647" s="2" t="s">
        <v>32</v>
      </c>
      <c r="R1647" s="2">
        <v>8</v>
      </c>
      <c r="S1647" s="2" t="s">
        <v>53</v>
      </c>
      <c r="T1647" s="2">
        <v>4978</v>
      </c>
      <c r="U1647" s="2">
        <v>15</v>
      </c>
      <c r="V1647" s="2"/>
    </row>
    <row r="1648" spans="1:22" x14ac:dyDescent="0.35">
      <c r="A1648" s="3" t="s">
        <v>4153</v>
      </c>
      <c r="B1648" s="3" t="s">
        <v>1662</v>
      </c>
      <c r="C1648" s="3" t="s">
        <v>765</v>
      </c>
      <c r="D1648" s="3" t="s">
        <v>4154</v>
      </c>
      <c r="E1648" s="3" t="s">
        <v>68</v>
      </c>
      <c r="F1648" s="3" t="s">
        <v>69</v>
      </c>
      <c r="G1648" s="3" t="s">
        <v>189</v>
      </c>
      <c r="H1648" s="3" t="s">
        <v>311</v>
      </c>
      <c r="I1648" s="3" t="s">
        <v>72</v>
      </c>
      <c r="J1648" s="3">
        <v>298</v>
      </c>
      <c r="K1648" s="3">
        <v>317.45</v>
      </c>
      <c r="L1648" s="3">
        <v>435.4</v>
      </c>
      <c r="M1648" s="3">
        <v>129749.2</v>
      </c>
      <c r="N1648" s="3">
        <v>94600.1</v>
      </c>
      <c r="O1648" s="3">
        <v>35149.1</v>
      </c>
      <c r="P1648" s="3" t="s">
        <v>95</v>
      </c>
      <c r="Q1648" s="3" t="s">
        <v>32</v>
      </c>
      <c r="R1648" s="3">
        <v>12</v>
      </c>
      <c r="S1648" s="3" t="s">
        <v>43</v>
      </c>
      <c r="T1648" s="3">
        <v>1615</v>
      </c>
      <c r="U1648" s="3">
        <v>8</v>
      </c>
      <c r="V1648" s="3"/>
    </row>
    <row r="1649" spans="1:22" x14ac:dyDescent="0.35">
      <c r="A1649" s="2" t="s">
        <v>4155</v>
      </c>
      <c r="B1649" s="2" t="s">
        <v>559</v>
      </c>
      <c r="C1649" s="2" t="s">
        <v>820</v>
      </c>
      <c r="D1649" s="2" t="s">
        <v>1916</v>
      </c>
      <c r="E1649" s="2" t="s">
        <v>68</v>
      </c>
      <c r="F1649" s="2" t="s">
        <v>69</v>
      </c>
      <c r="G1649" s="2" t="s">
        <v>78</v>
      </c>
      <c r="H1649" s="2" t="s">
        <v>628</v>
      </c>
      <c r="I1649" s="2" t="s">
        <v>30</v>
      </c>
      <c r="J1649" s="2">
        <v>653</v>
      </c>
      <c r="K1649" s="2">
        <v>475.56</v>
      </c>
      <c r="L1649" s="2">
        <v>535.84</v>
      </c>
      <c r="M1649" s="2">
        <v>349903.52</v>
      </c>
      <c r="N1649" s="2">
        <v>310540.68</v>
      </c>
      <c r="O1649" s="2">
        <v>39362.839999999997</v>
      </c>
      <c r="P1649" s="2" t="s">
        <v>42</v>
      </c>
      <c r="Q1649" s="2" t="s">
        <v>63</v>
      </c>
      <c r="R1649" s="2">
        <v>5</v>
      </c>
      <c r="S1649" s="2" t="s">
        <v>53</v>
      </c>
      <c r="T1649" s="2">
        <v>562</v>
      </c>
      <c r="U1649" s="2">
        <v>22</v>
      </c>
      <c r="V1649" s="2"/>
    </row>
    <row r="1650" spans="1:22" x14ac:dyDescent="0.35">
      <c r="A1650" s="3" t="s">
        <v>4156</v>
      </c>
      <c r="B1650" s="3" t="s">
        <v>649</v>
      </c>
      <c r="C1650" s="3" t="s">
        <v>4157</v>
      </c>
      <c r="D1650" s="3" t="s">
        <v>4158</v>
      </c>
      <c r="E1650" s="3" t="s">
        <v>68</v>
      </c>
      <c r="F1650" s="3" t="s">
        <v>69</v>
      </c>
      <c r="G1650" s="3" t="s">
        <v>28</v>
      </c>
      <c r="H1650" s="3" t="s">
        <v>579</v>
      </c>
      <c r="I1650" s="3" t="s">
        <v>141</v>
      </c>
      <c r="J1650" s="3">
        <v>24</v>
      </c>
      <c r="K1650" s="3">
        <v>825.45</v>
      </c>
      <c r="L1650" s="3">
        <v>1154.8900000000001</v>
      </c>
      <c r="M1650" s="3">
        <v>27717.360000000001</v>
      </c>
      <c r="N1650" s="3">
        <v>19810.8</v>
      </c>
      <c r="O1650" s="3">
        <v>7906.56</v>
      </c>
      <c r="P1650" s="3" t="s">
        <v>31</v>
      </c>
      <c r="Q1650" s="3" t="s">
        <v>32</v>
      </c>
      <c r="R1650" s="3">
        <v>15</v>
      </c>
      <c r="S1650" s="3" t="s">
        <v>53</v>
      </c>
      <c r="T1650" s="3">
        <v>4666</v>
      </c>
      <c r="U1650" s="3">
        <v>1</v>
      </c>
      <c r="V1650" s="3"/>
    </row>
    <row r="1651" spans="1:22" x14ac:dyDescent="0.35">
      <c r="A1651" s="2" t="s">
        <v>4159</v>
      </c>
      <c r="B1651" s="2" t="s">
        <v>1015</v>
      </c>
      <c r="C1651" s="2" t="s">
        <v>649</v>
      </c>
      <c r="D1651" s="2" t="s">
        <v>4160</v>
      </c>
      <c r="E1651" s="2" t="s">
        <v>58</v>
      </c>
      <c r="F1651" s="2" t="s">
        <v>417</v>
      </c>
      <c r="G1651" s="2" t="s">
        <v>60</v>
      </c>
      <c r="H1651" s="2" t="s">
        <v>780</v>
      </c>
      <c r="I1651" s="2" t="s">
        <v>118</v>
      </c>
      <c r="J1651" s="2">
        <v>273</v>
      </c>
      <c r="K1651" s="2">
        <v>421.53</v>
      </c>
      <c r="L1651" s="2">
        <v>578.79</v>
      </c>
      <c r="M1651" s="2">
        <v>158009.67000000001</v>
      </c>
      <c r="N1651" s="2">
        <v>115077.69</v>
      </c>
      <c r="O1651" s="2">
        <v>42931.98</v>
      </c>
      <c r="P1651" s="2" t="s">
        <v>95</v>
      </c>
      <c r="Q1651" s="2" t="s">
        <v>63</v>
      </c>
      <c r="R1651" s="2">
        <v>4</v>
      </c>
      <c r="S1651" s="2" t="s">
        <v>86</v>
      </c>
      <c r="T1651" s="2">
        <v>73</v>
      </c>
      <c r="U1651" s="2">
        <v>5</v>
      </c>
      <c r="V1651" s="2"/>
    </row>
    <row r="1652" spans="1:22" x14ac:dyDescent="0.35">
      <c r="A1652" s="3" t="s">
        <v>4161</v>
      </c>
      <c r="B1652" s="3" t="s">
        <v>171</v>
      </c>
      <c r="C1652" s="3" t="s">
        <v>1122</v>
      </c>
      <c r="D1652" s="3" t="s">
        <v>4162</v>
      </c>
      <c r="E1652" s="3" t="s">
        <v>100</v>
      </c>
      <c r="F1652" s="3" t="s">
        <v>238</v>
      </c>
      <c r="G1652" s="3" t="s">
        <v>39</v>
      </c>
      <c r="H1652" s="3" t="s">
        <v>147</v>
      </c>
      <c r="I1652" s="3" t="s">
        <v>153</v>
      </c>
      <c r="J1652" s="3">
        <v>778</v>
      </c>
      <c r="K1652" s="3">
        <v>990.02</v>
      </c>
      <c r="L1652" s="3">
        <v>1605.5</v>
      </c>
      <c r="M1652" s="3">
        <v>1249079</v>
      </c>
      <c r="N1652" s="3">
        <v>770235.56</v>
      </c>
      <c r="O1652" s="3">
        <v>478843.44</v>
      </c>
      <c r="P1652" s="3" t="s">
        <v>95</v>
      </c>
      <c r="Q1652" s="3" t="s">
        <v>32</v>
      </c>
      <c r="R1652" s="3">
        <v>10</v>
      </c>
      <c r="S1652" s="3" t="s">
        <v>158</v>
      </c>
      <c r="T1652" s="3">
        <v>2805</v>
      </c>
      <c r="U1652" s="3">
        <v>14</v>
      </c>
      <c r="V1652" s="3"/>
    </row>
    <row r="1653" spans="1:22" x14ac:dyDescent="0.35">
      <c r="A1653" s="2" t="s">
        <v>4163</v>
      </c>
      <c r="B1653" s="2" t="s">
        <v>4164</v>
      </c>
      <c r="C1653" s="2" t="s">
        <v>4165</v>
      </c>
      <c r="D1653" s="2" t="s">
        <v>4166</v>
      </c>
      <c r="E1653" s="2" t="s">
        <v>100</v>
      </c>
      <c r="F1653" s="2" t="s">
        <v>106</v>
      </c>
      <c r="G1653" s="2" t="s">
        <v>50</v>
      </c>
      <c r="H1653" s="2" t="s">
        <v>734</v>
      </c>
      <c r="I1653" s="2" t="s">
        <v>1686</v>
      </c>
      <c r="J1653" s="2">
        <v>318</v>
      </c>
      <c r="K1653" s="2">
        <v>706.43</v>
      </c>
      <c r="L1653" s="2">
        <v>823.64</v>
      </c>
      <c r="M1653" s="2">
        <v>261917.52</v>
      </c>
      <c r="N1653" s="2">
        <v>224644.74</v>
      </c>
      <c r="O1653" s="2">
        <v>37272.78</v>
      </c>
      <c r="P1653" s="2" t="s">
        <v>95</v>
      </c>
      <c r="Q1653" s="2" t="s">
        <v>32</v>
      </c>
      <c r="R1653" s="2">
        <v>9</v>
      </c>
      <c r="S1653" s="2" t="s">
        <v>53</v>
      </c>
      <c r="T1653" s="2">
        <v>337</v>
      </c>
      <c r="U1653" s="2">
        <v>9</v>
      </c>
      <c r="V1653" s="2"/>
    </row>
    <row r="1654" spans="1:22" x14ac:dyDescent="0.35">
      <c r="A1654" s="3" t="s">
        <v>4167</v>
      </c>
      <c r="B1654" s="3" t="s">
        <v>668</v>
      </c>
      <c r="C1654" s="3" t="s">
        <v>4168</v>
      </c>
      <c r="D1654" s="3" t="s">
        <v>4169</v>
      </c>
      <c r="E1654" s="3" t="s">
        <v>68</v>
      </c>
      <c r="F1654" s="3" t="s">
        <v>69</v>
      </c>
      <c r="G1654" s="3" t="s">
        <v>189</v>
      </c>
      <c r="H1654" s="3" t="s">
        <v>360</v>
      </c>
      <c r="I1654" s="3" t="s">
        <v>118</v>
      </c>
      <c r="J1654" s="3">
        <v>526</v>
      </c>
      <c r="K1654" s="3">
        <v>388.04</v>
      </c>
      <c r="L1654" s="3">
        <v>527.83000000000004</v>
      </c>
      <c r="M1654" s="3">
        <v>277638.58</v>
      </c>
      <c r="N1654" s="3">
        <v>204109.04</v>
      </c>
      <c r="O1654" s="3">
        <v>73529.539999999994</v>
      </c>
      <c r="P1654" s="3" t="s">
        <v>95</v>
      </c>
      <c r="Q1654" s="3" t="s">
        <v>63</v>
      </c>
      <c r="R1654" s="3">
        <v>4</v>
      </c>
      <c r="S1654" s="3" t="s">
        <v>33</v>
      </c>
      <c r="T1654" s="3">
        <v>4503</v>
      </c>
      <c r="U1654" s="3">
        <v>22</v>
      </c>
      <c r="V1654" s="3"/>
    </row>
    <row r="1655" spans="1:22" x14ac:dyDescent="0.35">
      <c r="A1655" s="2" t="s">
        <v>4170</v>
      </c>
      <c r="B1655" s="2" t="s">
        <v>2416</v>
      </c>
      <c r="C1655" s="2" t="s">
        <v>2471</v>
      </c>
      <c r="D1655" s="2" t="s">
        <v>4171</v>
      </c>
      <c r="E1655" s="2" t="s">
        <v>68</v>
      </c>
      <c r="F1655" s="2" t="s">
        <v>69</v>
      </c>
      <c r="G1655" s="2" t="s">
        <v>93</v>
      </c>
      <c r="H1655" s="2" t="s">
        <v>485</v>
      </c>
      <c r="I1655" s="2" t="s">
        <v>62</v>
      </c>
      <c r="J1655" s="2">
        <v>465</v>
      </c>
      <c r="K1655" s="2">
        <v>57.78</v>
      </c>
      <c r="L1655" s="2">
        <v>80.790000000000006</v>
      </c>
      <c r="M1655" s="2">
        <v>37567.35</v>
      </c>
      <c r="N1655" s="2">
        <v>26867.7</v>
      </c>
      <c r="O1655" s="2">
        <v>10699.65</v>
      </c>
      <c r="P1655" s="2" t="s">
        <v>31</v>
      </c>
      <c r="Q1655" s="2" t="s">
        <v>63</v>
      </c>
      <c r="R1655" s="4" t="s">
        <v>697</v>
      </c>
      <c r="S1655" s="2" t="s">
        <v>158</v>
      </c>
      <c r="T1655" s="2">
        <v>2097</v>
      </c>
      <c r="U1655" s="2">
        <v>8</v>
      </c>
      <c r="V1655" s="2"/>
    </row>
    <row r="1656" spans="1:22" x14ac:dyDescent="0.35">
      <c r="A1656" s="3" t="s">
        <v>4172</v>
      </c>
      <c r="B1656" s="3" t="s">
        <v>1654</v>
      </c>
      <c r="C1656" s="3" t="s">
        <v>1236</v>
      </c>
      <c r="D1656" s="3" t="s">
        <v>4173</v>
      </c>
      <c r="E1656" s="3" t="s">
        <v>58</v>
      </c>
      <c r="F1656" s="3" t="s">
        <v>122</v>
      </c>
      <c r="G1656" s="3" t="s">
        <v>129</v>
      </c>
      <c r="H1656" s="3" t="s">
        <v>152</v>
      </c>
      <c r="I1656" s="3" t="s">
        <v>124</v>
      </c>
      <c r="J1656" s="3">
        <v>-5</v>
      </c>
      <c r="K1656" s="3">
        <v>989.25</v>
      </c>
      <c r="L1656" s="3">
        <v>1548.26</v>
      </c>
      <c r="M1656" s="3">
        <v>755550.88</v>
      </c>
      <c r="N1656" s="3">
        <v>482754</v>
      </c>
      <c r="O1656" s="3">
        <v>272796.88</v>
      </c>
      <c r="P1656" s="3" t="s">
        <v>52</v>
      </c>
      <c r="Q1656" s="3" t="s">
        <v>63</v>
      </c>
      <c r="R1656" s="3">
        <v>3</v>
      </c>
      <c r="S1656" s="3" t="s">
        <v>86</v>
      </c>
      <c r="T1656" s="3">
        <v>2202</v>
      </c>
      <c r="U1656" s="3">
        <v>6</v>
      </c>
      <c r="V1656" s="3"/>
    </row>
    <row r="1657" spans="1:22" x14ac:dyDescent="0.35">
      <c r="A1657" s="2" t="s">
        <v>4174</v>
      </c>
      <c r="B1657" s="2" t="s">
        <v>176</v>
      </c>
      <c r="C1657" s="2" t="s">
        <v>640</v>
      </c>
      <c r="D1657" s="2" t="s">
        <v>4175</v>
      </c>
      <c r="E1657" s="2" t="s">
        <v>100</v>
      </c>
      <c r="F1657" s="2" t="s">
        <v>238</v>
      </c>
      <c r="G1657" s="2" t="s">
        <v>93</v>
      </c>
      <c r="H1657" s="2" t="s">
        <v>643</v>
      </c>
      <c r="I1657" s="2" t="s">
        <v>41</v>
      </c>
      <c r="J1657" s="2">
        <v>438</v>
      </c>
      <c r="K1657" s="2">
        <v>924.15</v>
      </c>
      <c r="L1657" s="2">
        <v>1523.54</v>
      </c>
      <c r="M1657" s="2">
        <v>667310.52</v>
      </c>
      <c r="N1657" s="2">
        <v>404777.7</v>
      </c>
      <c r="O1657" s="2">
        <v>262532.82</v>
      </c>
      <c r="P1657" s="2" t="s">
        <v>95</v>
      </c>
      <c r="Q1657" s="2" t="s">
        <v>32</v>
      </c>
      <c r="R1657" s="2">
        <v>8</v>
      </c>
      <c r="S1657" s="2" t="s">
        <v>33</v>
      </c>
      <c r="T1657" s="2">
        <v>1161</v>
      </c>
      <c r="U1657" s="2">
        <v>21</v>
      </c>
      <c r="V1657" s="2"/>
    </row>
    <row r="1658" spans="1:22" x14ac:dyDescent="0.35">
      <c r="A1658" s="3" t="s">
        <v>4176</v>
      </c>
      <c r="B1658" s="3" t="s">
        <v>1890</v>
      </c>
      <c r="C1658" s="3" t="s">
        <v>246</v>
      </c>
      <c r="D1658" s="3" t="s">
        <v>4177</v>
      </c>
      <c r="E1658" s="3" t="s">
        <v>58</v>
      </c>
      <c r="F1658" s="3" t="s">
        <v>417</v>
      </c>
      <c r="G1658" s="3" t="s">
        <v>78</v>
      </c>
      <c r="H1658" s="3" t="s">
        <v>425</v>
      </c>
      <c r="I1658" s="3" t="s">
        <v>240</v>
      </c>
      <c r="J1658" s="3">
        <v>307</v>
      </c>
      <c r="K1658" s="3">
        <v>242.11</v>
      </c>
      <c r="L1658" s="3">
        <v>394.23</v>
      </c>
      <c r="M1658" s="3">
        <v>121028.61</v>
      </c>
      <c r="N1658" s="3">
        <v>74327.77</v>
      </c>
      <c r="O1658" s="3">
        <v>46700.84</v>
      </c>
      <c r="P1658" s="3" t="s">
        <v>52</v>
      </c>
      <c r="Q1658" s="3" t="s">
        <v>32</v>
      </c>
      <c r="R1658" s="3">
        <v>14</v>
      </c>
      <c r="S1658" s="3" t="s">
        <v>158</v>
      </c>
      <c r="T1658" s="3">
        <v>2587</v>
      </c>
      <c r="U1658" s="3">
        <v>6</v>
      </c>
      <c r="V1658" s="3"/>
    </row>
    <row r="1659" spans="1:22" x14ac:dyDescent="0.35">
      <c r="A1659" s="2" t="s">
        <v>4178</v>
      </c>
      <c r="B1659" s="2" t="s">
        <v>166</v>
      </c>
      <c r="C1659" s="2" t="s">
        <v>625</v>
      </c>
      <c r="D1659" s="2" t="s">
        <v>4179</v>
      </c>
      <c r="E1659" s="2" t="s">
        <v>68</v>
      </c>
      <c r="F1659" s="2" t="s">
        <v>146</v>
      </c>
      <c r="G1659" s="2" t="s">
        <v>60</v>
      </c>
      <c r="H1659" s="2" t="s">
        <v>61</v>
      </c>
      <c r="I1659" s="2" t="s">
        <v>72</v>
      </c>
      <c r="J1659" s="2">
        <v>567</v>
      </c>
      <c r="K1659" s="2">
        <v>172.99</v>
      </c>
      <c r="L1659" s="2">
        <v>242.72</v>
      </c>
      <c r="M1659" s="2">
        <v>137622.24</v>
      </c>
      <c r="N1659" s="2">
        <v>98085.33</v>
      </c>
      <c r="O1659" s="2">
        <v>39536.910000000003</v>
      </c>
      <c r="P1659" s="2" t="s">
        <v>2151</v>
      </c>
      <c r="Q1659" s="2" t="s">
        <v>32</v>
      </c>
      <c r="R1659" s="2">
        <v>11</v>
      </c>
      <c r="S1659" s="2" t="s">
        <v>112</v>
      </c>
      <c r="T1659" s="2">
        <v>3665</v>
      </c>
      <c r="U1659" s="2">
        <v>7</v>
      </c>
      <c r="V1659" s="2"/>
    </row>
    <row r="1660" spans="1:22" x14ac:dyDescent="0.35">
      <c r="A1660" s="3" t="s">
        <v>4180</v>
      </c>
      <c r="B1660" s="3" t="s">
        <v>522</v>
      </c>
      <c r="C1660" s="3" t="s">
        <v>2932</v>
      </c>
      <c r="D1660" s="3" t="s">
        <v>4181</v>
      </c>
      <c r="E1660" s="3" t="s">
        <v>48</v>
      </c>
      <c r="F1660" s="3" t="s">
        <v>49</v>
      </c>
      <c r="G1660" s="3" t="s">
        <v>129</v>
      </c>
      <c r="H1660" s="3" t="s">
        <v>704</v>
      </c>
      <c r="I1660" s="3" t="s">
        <v>141</v>
      </c>
      <c r="J1660" s="3">
        <v>8</v>
      </c>
      <c r="K1660" s="3">
        <v>81.53</v>
      </c>
      <c r="L1660" s="3">
        <v>99.99</v>
      </c>
      <c r="M1660" s="3">
        <v>799.92</v>
      </c>
      <c r="N1660" s="3">
        <v>652.24</v>
      </c>
      <c r="O1660" s="3">
        <v>147.68</v>
      </c>
      <c r="P1660" s="3" t="s">
        <v>42</v>
      </c>
      <c r="Q1660" s="3" t="s">
        <v>63</v>
      </c>
      <c r="R1660" s="3">
        <v>1</v>
      </c>
      <c r="S1660" s="3" t="s">
        <v>43</v>
      </c>
      <c r="T1660" s="3">
        <v>4789</v>
      </c>
      <c r="U1660" s="3">
        <v>1</v>
      </c>
      <c r="V1660" s="3"/>
    </row>
    <row r="1661" spans="1:22" x14ac:dyDescent="0.35">
      <c r="A1661" s="2" t="s">
        <v>4182</v>
      </c>
      <c r="B1661" s="2" t="s">
        <v>1236</v>
      </c>
      <c r="C1661" s="2" t="s">
        <v>2507</v>
      </c>
      <c r="D1661" s="2" t="s">
        <v>4183</v>
      </c>
      <c r="E1661" s="2" t="s">
        <v>58</v>
      </c>
      <c r="F1661" s="2" t="s">
        <v>122</v>
      </c>
      <c r="G1661" s="2" t="s">
        <v>129</v>
      </c>
      <c r="H1661" s="2" t="s">
        <v>168</v>
      </c>
      <c r="I1661" s="2" t="s">
        <v>41</v>
      </c>
      <c r="J1661" s="2">
        <v>435</v>
      </c>
      <c r="K1661" s="2">
        <v>256.97000000000003</v>
      </c>
      <c r="L1661" s="2">
        <v>379.16</v>
      </c>
      <c r="M1661" s="2">
        <v>164934.6</v>
      </c>
      <c r="N1661" s="2">
        <v>111781.95</v>
      </c>
      <c r="O1661" s="2">
        <v>53152.65</v>
      </c>
      <c r="P1661" s="2" t="s">
        <v>42</v>
      </c>
      <c r="Q1661" s="2" t="s">
        <v>32</v>
      </c>
      <c r="R1661" s="2">
        <v>14</v>
      </c>
      <c r="S1661" s="2" t="s">
        <v>33</v>
      </c>
      <c r="T1661" s="2">
        <v>328</v>
      </c>
      <c r="U1661" s="2">
        <v>7</v>
      </c>
      <c r="V1661" s="2"/>
    </row>
    <row r="1662" spans="1:22" x14ac:dyDescent="0.35">
      <c r="A1662" s="3" t="s">
        <v>4184</v>
      </c>
      <c r="B1662" s="3" t="s">
        <v>1049</v>
      </c>
      <c r="C1662" s="3" t="s">
        <v>716</v>
      </c>
      <c r="D1662" s="3" t="s">
        <v>4185</v>
      </c>
      <c r="E1662" s="3" t="s">
        <v>100</v>
      </c>
      <c r="F1662" s="3" t="s">
        <v>106</v>
      </c>
      <c r="G1662" s="3" t="s">
        <v>217</v>
      </c>
      <c r="H1662" s="3" t="s">
        <v>292</v>
      </c>
      <c r="I1662" s="3" t="s">
        <v>62</v>
      </c>
      <c r="J1662" s="3">
        <v>773</v>
      </c>
      <c r="K1662" s="3">
        <v>680.44</v>
      </c>
      <c r="L1662" s="3">
        <v>857.84</v>
      </c>
      <c r="M1662" s="3">
        <v>663110.31999999995</v>
      </c>
      <c r="N1662" s="3">
        <v>525980.12</v>
      </c>
      <c r="O1662" s="3">
        <v>137130.20000000001</v>
      </c>
      <c r="P1662" s="3" t="s">
        <v>52</v>
      </c>
      <c r="Q1662" s="3" t="s">
        <v>32</v>
      </c>
      <c r="R1662" s="3">
        <v>7</v>
      </c>
      <c r="S1662" s="3" t="s">
        <v>112</v>
      </c>
      <c r="T1662" s="3">
        <v>1548</v>
      </c>
      <c r="U1662" s="3">
        <v>33</v>
      </c>
      <c r="V1662" s="3"/>
    </row>
    <row r="1663" spans="1:22" x14ac:dyDescent="0.35">
      <c r="A1663" s="2" t="s">
        <v>4186</v>
      </c>
      <c r="B1663" s="2" t="s">
        <v>577</v>
      </c>
      <c r="C1663" s="2" t="s">
        <v>82</v>
      </c>
      <c r="D1663" s="2" t="s">
        <v>2314</v>
      </c>
      <c r="E1663" s="2" t="s">
        <v>68</v>
      </c>
      <c r="F1663" s="2" t="s">
        <v>163</v>
      </c>
      <c r="G1663" s="2" t="s">
        <v>217</v>
      </c>
      <c r="H1663" s="2" t="s">
        <v>684</v>
      </c>
      <c r="I1663" s="2" t="s">
        <v>191</v>
      </c>
      <c r="J1663" s="2">
        <v>800</v>
      </c>
      <c r="K1663" s="2">
        <v>1022.7</v>
      </c>
      <c r="L1663" s="2">
        <v>1601.08</v>
      </c>
      <c r="M1663" s="2">
        <v>1280864</v>
      </c>
      <c r="N1663" s="2">
        <v>818160</v>
      </c>
      <c r="O1663" s="2">
        <v>462704</v>
      </c>
      <c r="P1663" s="2" t="s">
        <v>42</v>
      </c>
      <c r="Q1663" s="2" t="s">
        <v>63</v>
      </c>
      <c r="R1663" s="2">
        <v>2</v>
      </c>
      <c r="S1663" s="2" t="s">
        <v>43</v>
      </c>
      <c r="T1663" s="2">
        <v>3947</v>
      </c>
      <c r="U1663" s="2">
        <v>16</v>
      </c>
      <c r="V1663" s="2"/>
    </row>
    <row r="1664" spans="1:22" x14ac:dyDescent="0.35">
      <c r="A1664" s="3" t="s">
        <v>4187</v>
      </c>
      <c r="B1664" s="3" t="s">
        <v>532</v>
      </c>
      <c r="C1664" s="3" t="s">
        <v>637</v>
      </c>
      <c r="D1664" s="3" t="s">
        <v>4188</v>
      </c>
      <c r="E1664" s="3" t="s">
        <v>26</v>
      </c>
      <c r="F1664" s="3" t="s">
        <v>92</v>
      </c>
      <c r="G1664" s="3" t="s">
        <v>93</v>
      </c>
      <c r="H1664" s="3" t="s">
        <v>485</v>
      </c>
      <c r="I1664" s="3" t="s">
        <v>62</v>
      </c>
      <c r="J1664" s="3">
        <v>782</v>
      </c>
      <c r="K1664" s="3">
        <v>1068.21</v>
      </c>
      <c r="L1664" s="3">
        <v>1487.84</v>
      </c>
      <c r="M1664" s="3">
        <v>1163490.8799999999</v>
      </c>
      <c r="N1664" s="3">
        <v>835340.22</v>
      </c>
      <c r="O1664" s="3">
        <v>328150.65999999997</v>
      </c>
      <c r="P1664" s="3" t="s">
        <v>95</v>
      </c>
      <c r="Q1664" s="3" t="s">
        <v>63</v>
      </c>
      <c r="R1664" s="3">
        <v>2</v>
      </c>
      <c r="S1664" s="3" t="s">
        <v>158</v>
      </c>
      <c r="T1664" s="3">
        <v>261</v>
      </c>
      <c r="U1664" s="3">
        <v>38</v>
      </c>
      <c r="V1664" s="3"/>
    </row>
    <row r="1665" spans="1:22" x14ac:dyDescent="0.35">
      <c r="A1665" s="2" t="s">
        <v>4189</v>
      </c>
      <c r="B1665" s="2" t="s">
        <v>194</v>
      </c>
      <c r="C1665" s="2" t="s">
        <v>149</v>
      </c>
      <c r="D1665" s="2" t="s">
        <v>4190</v>
      </c>
      <c r="E1665" s="2" t="s">
        <v>26</v>
      </c>
      <c r="F1665" s="2" t="s">
        <v>27</v>
      </c>
      <c r="G1665" s="2" t="s">
        <v>50</v>
      </c>
      <c r="H1665" s="2" t="s">
        <v>734</v>
      </c>
      <c r="I1665" s="2" t="s">
        <v>240</v>
      </c>
      <c r="J1665" s="2">
        <v>215</v>
      </c>
      <c r="K1665" s="2">
        <v>179.03</v>
      </c>
      <c r="L1665" s="2">
        <v>271.66000000000003</v>
      </c>
      <c r="M1665" s="2">
        <v>58406.9</v>
      </c>
      <c r="N1665" s="2">
        <v>38491.449999999997</v>
      </c>
      <c r="O1665" s="2">
        <v>19915.45</v>
      </c>
      <c r="P1665" s="2" t="s">
        <v>95</v>
      </c>
      <c r="Q1665" s="2" t="s">
        <v>63</v>
      </c>
      <c r="R1665" s="2">
        <v>1</v>
      </c>
      <c r="S1665" s="2" t="s">
        <v>43</v>
      </c>
      <c r="T1665" s="2">
        <v>866</v>
      </c>
      <c r="U1665" s="2">
        <v>3</v>
      </c>
      <c r="V1665" s="2"/>
    </row>
    <row r="1666" spans="1:22" x14ac:dyDescent="0.35">
      <c r="A1666" s="3" t="s">
        <v>4191</v>
      </c>
      <c r="B1666" s="3" t="s">
        <v>1499</v>
      </c>
      <c r="C1666" s="3" t="s">
        <v>1522</v>
      </c>
      <c r="D1666" s="3" t="s">
        <v>4192</v>
      </c>
      <c r="E1666" s="3" t="s">
        <v>100</v>
      </c>
      <c r="F1666" s="3" t="s">
        <v>238</v>
      </c>
      <c r="G1666" s="3" t="s">
        <v>70</v>
      </c>
      <c r="H1666" s="3" t="s">
        <v>822</v>
      </c>
      <c r="I1666" s="3" t="s">
        <v>240</v>
      </c>
      <c r="J1666" s="3">
        <v>710</v>
      </c>
      <c r="K1666" s="3">
        <v>546.74</v>
      </c>
      <c r="L1666" s="3">
        <v>842.39</v>
      </c>
      <c r="M1666" s="3">
        <v>598096.9</v>
      </c>
      <c r="N1666" s="3">
        <v>388185.4</v>
      </c>
      <c r="O1666" s="3">
        <v>209911.5</v>
      </c>
      <c r="P1666" s="3" t="s">
        <v>52</v>
      </c>
      <c r="Q1666" s="3" t="s">
        <v>32</v>
      </c>
      <c r="R1666" s="3">
        <v>8</v>
      </c>
      <c r="S1666" s="3" t="s">
        <v>53</v>
      </c>
      <c r="T1666" s="3">
        <v>4048</v>
      </c>
      <c r="U1666" s="3">
        <v>3</v>
      </c>
      <c r="V1666" s="3"/>
    </row>
    <row r="1667" spans="1:22" x14ac:dyDescent="0.35">
      <c r="A1667" s="2" t="s">
        <v>4193</v>
      </c>
      <c r="B1667" s="2" t="s">
        <v>1294</v>
      </c>
      <c r="C1667" s="2" t="s">
        <v>1319</v>
      </c>
      <c r="D1667" s="2" t="s">
        <v>2096</v>
      </c>
      <c r="E1667" s="2" t="s">
        <v>48</v>
      </c>
      <c r="F1667" s="2" t="s">
        <v>49</v>
      </c>
      <c r="G1667" s="2" t="s">
        <v>129</v>
      </c>
      <c r="H1667" s="2" t="s">
        <v>316</v>
      </c>
      <c r="I1667" s="2" t="s">
        <v>141</v>
      </c>
      <c r="J1667" s="2">
        <v>781</v>
      </c>
      <c r="K1667" s="2">
        <v>944.85</v>
      </c>
      <c r="L1667" s="2">
        <v>1202.8800000000001</v>
      </c>
      <c r="M1667" s="2">
        <v>939449.28</v>
      </c>
      <c r="N1667" s="2">
        <v>737927.85</v>
      </c>
      <c r="O1667" s="2">
        <v>201521.43</v>
      </c>
      <c r="P1667" s="2" t="s">
        <v>95</v>
      </c>
      <c r="Q1667" s="2" t="s">
        <v>32</v>
      </c>
      <c r="R1667" s="2">
        <v>6</v>
      </c>
      <c r="S1667" s="2" t="s">
        <v>43</v>
      </c>
      <c r="T1667" s="2">
        <v>1710</v>
      </c>
      <c r="U1667" s="2">
        <v>0</v>
      </c>
      <c r="V1667" s="2"/>
    </row>
    <row r="1668" spans="1:22" x14ac:dyDescent="0.35">
      <c r="A1668" s="3" t="s">
        <v>4194</v>
      </c>
      <c r="B1668" s="3" t="s">
        <v>337</v>
      </c>
      <c r="C1668" s="3" t="s">
        <v>1454</v>
      </c>
      <c r="D1668" s="3" t="s">
        <v>4195</v>
      </c>
      <c r="E1668" s="3" t="s">
        <v>100</v>
      </c>
      <c r="F1668" s="3" t="s">
        <v>538</v>
      </c>
      <c r="G1668" s="3" t="s">
        <v>28</v>
      </c>
      <c r="H1668" s="3" t="s">
        <v>254</v>
      </c>
      <c r="I1668" s="3" t="s">
        <v>72</v>
      </c>
      <c r="J1668" s="3">
        <v>497</v>
      </c>
      <c r="K1668" s="3">
        <v>615.17999999999995</v>
      </c>
      <c r="L1668" s="3">
        <v>701.78</v>
      </c>
      <c r="M1668" s="3">
        <v>348784.66</v>
      </c>
      <c r="N1668" s="3">
        <v>305744.46000000002</v>
      </c>
      <c r="O1668" s="3">
        <v>43040.2</v>
      </c>
      <c r="P1668" s="3" t="s">
        <v>31</v>
      </c>
      <c r="Q1668" s="3" t="s">
        <v>32</v>
      </c>
      <c r="R1668" s="3">
        <v>10</v>
      </c>
      <c r="S1668" s="3" t="s">
        <v>86</v>
      </c>
      <c r="T1668" s="3">
        <v>22</v>
      </c>
      <c r="U1668" s="3">
        <v>12</v>
      </c>
      <c r="V1668" s="3"/>
    </row>
    <row r="1669" spans="1:22" x14ac:dyDescent="0.35">
      <c r="A1669" s="2" t="s">
        <v>4196</v>
      </c>
      <c r="B1669" s="2" t="s">
        <v>645</v>
      </c>
      <c r="C1669" s="2" t="s">
        <v>954</v>
      </c>
      <c r="D1669" s="2" t="s">
        <v>4197</v>
      </c>
      <c r="E1669" s="2" t="s">
        <v>26</v>
      </c>
      <c r="F1669" s="2" t="s">
        <v>92</v>
      </c>
      <c r="G1669" s="2" t="s">
        <v>78</v>
      </c>
      <c r="H1669" s="2" t="s">
        <v>79</v>
      </c>
      <c r="I1669" s="2" t="s">
        <v>30</v>
      </c>
      <c r="J1669" s="2">
        <v>256</v>
      </c>
      <c r="K1669" s="2">
        <v>734.01</v>
      </c>
      <c r="L1669" s="2">
        <v>1060.51</v>
      </c>
      <c r="M1669" s="2">
        <v>271490.56</v>
      </c>
      <c r="N1669" s="2">
        <v>187906.56</v>
      </c>
      <c r="O1669" s="2">
        <v>83584</v>
      </c>
      <c r="P1669" s="2" t="s">
        <v>42</v>
      </c>
      <c r="Q1669" s="2" t="s">
        <v>32</v>
      </c>
      <c r="R1669" s="2">
        <v>8</v>
      </c>
      <c r="S1669" s="2" t="s">
        <v>158</v>
      </c>
      <c r="T1669" s="2">
        <v>920</v>
      </c>
      <c r="U1669" s="2">
        <v>3</v>
      </c>
      <c r="V1669" s="2"/>
    </row>
    <row r="1670" spans="1:22" x14ac:dyDescent="0.35">
      <c r="A1670" s="3" t="s">
        <v>4198</v>
      </c>
      <c r="B1670" s="3" t="s">
        <v>356</v>
      </c>
      <c r="C1670" s="3" t="s">
        <v>186</v>
      </c>
      <c r="D1670" s="3" t="s">
        <v>4199</v>
      </c>
      <c r="E1670" s="3" t="s">
        <v>58</v>
      </c>
      <c r="F1670" s="3" t="s">
        <v>259</v>
      </c>
      <c r="G1670" s="3" t="s">
        <v>28</v>
      </c>
      <c r="H1670" s="3" t="s">
        <v>507</v>
      </c>
      <c r="I1670" s="3" t="s">
        <v>85</v>
      </c>
      <c r="J1670" s="3">
        <v>35</v>
      </c>
      <c r="K1670" s="3">
        <v>996.88</v>
      </c>
      <c r="L1670" s="3">
        <v>1582.37</v>
      </c>
      <c r="M1670" s="3">
        <v>55382.95</v>
      </c>
      <c r="N1670" s="3">
        <v>34890.800000000003</v>
      </c>
      <c r="O1670" s="3">
        <v>20492.150000000001</v>
      </c>
      <c r="P1670" s="3" t="s">
        <v>52</v>
      </c>
      <c r="Q1670" s="3" t="s">
        <v>63</v>
      </c>
      <c r="R1670" s="3">
        <v>1</v>
      </c>
      <c r="S1670" s="3" t="s">
        <v>33</v>
      </c>
      <c r="T1670" s="3">
        <v>2394</v>
      </c>
      <c r="U1670" s="3">
        <v>0</v>
      </c>
      <c r="V1670" s="3"/>
    </row>
    <row r="1671" spans="1:22" x14ac:dyDescent="0.35">
      <c r="A1671" s="2" t="s">
        <v>4200</v>
      </c>
      <c r="B1671" s="2" t="s">
        <v>299</v>
      </c>
      <c r="C1671" s="2" t="s">
        <v>1995</v>
      </c>
      <c r="D1671" s="2" t="s">
        <v>4201</v>
      </c>
      <c r="E1671" s="2" t="s">
        <v>68</v>
      </c>
      <c r="F1671" s="2" t="s">
        <v>163</v>
      </c>
      <c r="G1671" s="2" t="s">
        <v>93</v>
      </c>
      <c r="H1671" s="2" t="s">
        <v>140</v>
      </c>
      <c r="I1671" s="2" t="s">
        <v>30</v>
      </c>
      <c r="J1671" s="2">
        <v>392</v>
      </c>
      <c r="K1671" s="2">
        <v>738.01</v>
      </c>
      <c r="L1671" s="2">
        <v>1151.52</v>
      </c>
      <c r="M1671" s="2">
        <v>451395.84000000003</v>
      </c>
      <c r="N1671" s="2">
        <v>289299.92</v>
      </c>
      <c r="O1671" s="2">
        <v>162095.92000000001</v>
      </c>
      <c r="P1671" s="2" t="s">
        <v>52</v>
      </c>
      <c r="Q1671" s="2" t="s">
        <v>32</v>
      </c>
      <c r="R1671" s="2">
        <v>12</v>
      </c>
      <c r="S1671" s="2" t="s">
        <v>86</v>
      </c>
      <c r="T1671" s="2">
        <v>3299</v>
      </c>
      <c r="U1671" s="2">
        <v>5</v>
      </c>
      <c r="V1671" s="2"/>
    </row>
    <row r="1672" spans="1:22" x14ac:dyDescent="0.35">
      <c r="A1672" s="3" t="s">
        <v>4202</v>
      </c>
      <c r="B1672" s="3" t="s">
        <v>574</v>
      </c>
      <c r="C1672" s="3" t="s">
        <v>691</v>
      </c>
      <c r="D1672" s="3" t="s">
        <v>4203</v>
      </c>
      <c r="E1672" s="3" t="s">
        <v>100</v>
      </c>
      <c r="F1672" s="3" t="s">
        <v>538</v>
      </c>
      <c r="G1672" s="3" t="s">
        <v>217</v>
      </c>
      <c r="H1672" s="3" t="s">
        <v>725</v>
      </c>
      <c r="I1672" s="3" t="s">
        <v>85</v>
      </c>
      <c r="J1672" s="3">
        <v>308</v>
      </c>
      <c r="K1672" s="3">
        <v>249.18</v>
      </c>
      <c r="L1672" s="3">
        <v>399.08</v>
      </c>
      <c r="M1672" s="3">
        <v>122916.64</v>
      </c>
      <c r="N1672" s="3">
        <v>76747.44</v>
      </c>
      <c r="O1672" s="3">
        <v>46169.2</v>
      </c>
      <c r="P1672" s="3" t="s">
        <v>31</v>
      </c>
      <c r="Q1672" s="3" t="s">
        <v>32</v>
      </c>
      <c r="R1672" s="3">
        <v>6</v>
      </c>
      <c r="S1672" s="3" t="s">
        <v>112</v>
      </c>
      <c r="T1672" s="3">
        <v>4142</v>
      </c>
      <c r="U1672" s="3">
        <v>9</v>
      </c>
      <c r="V1672" s="3"/>
    </row>
    <row r="1673" spans="1:22" x14ac:dyDescent="0.35">
      <c r="A1673" s="2" t="s">
        <v>4204</v>
      </c>
      <c r="B1673" s="2" t="s">
        <v>1307</v>
      </c>
      <c r="C1673" s="2" t="s">
        <v>608</v>
      </c>
      <c r="D1673" s="2" t="s">
        <v>4205</v>
      </c>
      <c r="E1673" s="2" t="s">
        <v>26</v>
      </c>
      <c r="F1673" s="2" t="s">
        <v>27</v>
      </c>
      <c r="G1673" s="2" t="s">
        <v>189</v>
      </c>
      <c r="H1673" s="2" t="s">
        <v>365</v>
      </c>
      <c r="I1673" s="2" t="s">
        <v>41</v>
      </c>
      <c r="J1673" s="2">
        <v>393</v>
      </c>
      <c r="K1673" s="2">
        <v>632.14</v>
      </c>
      <c r="L1673" s="2">
        <v>975.48</v>
      </c>
      <c r="M1673" s="2">
        <v>383363.64</v>
      </c>
      <c r="N1673" s="2">
        <v>248431.02</v>
      </c>
      <c r="O1673" s="2">
        <v>134932.62</v>
      </c>
      <c r="P1673" s="2" t="s">
        <v>95</v>
      </c>
      <c r="Q1673" s="2" t="s">
        <v>32</v>
      </c>
      <c r="R1673" s="2">
        <v>12</v>
      </c>
      <c r="S1673" s="2" t="s">
        <v>158</v>
      </c>
      <c r="T1673" s="2">
        <v>133</v>
      </c>
      <c r="U1673" s="2">
        <v>10</v>
      </c>
      <c r="V1673" s="2"/>
    </row>
    <row r="1674" spans="1:22" x14ac:dyDescent="0.35">
      <c r="A1674" s="3" t="s">
        <v>4206</v>
      </c>
      <c r="B1674" s="3" t="s">
        <v>649</v>
      </c>
      <c r="C1674" s="3" t="s">
        <v>422</v>
      </c>
      <c r="D1674" s="3" t="s">
        <v>4207</v>
      </c>
      <c r="E1674" s="3" t="s">
        <v>68</v>
      </c>
      <c r="F1674" s="3" t="s">
        <v>163</v>
      </c>
      <c r="G1674" s="3" t="s">
        <v>60</v>
      </c>
      <c r="H1674" s="3" t="s">
        <v>229</v>
      </c>
      <c r="I1674" s="3" t="s">
        <v>62</v>
      </c>
      <c r="J1674" s="3">
        <v>171</v>
      </c>
      <c r="K1674" s="3">
        <v>969.37</v>
      </c>
      <c r="L1674" s="3">
        <v>1529.6</v>
      </c>
      <c r="M1674" s="3">
        <v>261561.60000000001</v>
      </c>
      <c r="N1674" s="3">
        <v>165762.26999999999</v>
      </c>
      <c r="O1674" s="3">
        <v>95799.33</v>
      </c>
      <c r="P1674" s="3" t="s">
        <v>42</v>
      </c>
      <c r="Q1674" s="3" t="s">
        <v>63</v>
      </c>
      <c r="R1674" s="3">
        <v>2</v>
      </c>
      <c r="S1674" s="3" t="s">
        <v>86</v>
      </c>
      <c r="T1674" s="3">
        <v>3277</v>
      </c>
      <c r="U1674" s="3">
        <v>4</v>
      </c>
      <c r="V1674" s="3"/>
    </row>
    <row r="1675" spans="1:22" x14ac:dyDescent="0.35">
      <c r="A1675" s="2" t="s">
        <v>4208</v>
      </c>
      <c r="B1675" s="2" t="s">
        <v>410</v>
      </c>
      <c r="C1675" s="2" t="s">
        <v>347</v>
      </c>
      <c r="D1675" s="2" t="s">
        <v>4209</v>
      </c>
      <c r="E1675" s="2" t="s">
        <v>68</v>
      </c>
      <c r="F1675" s="2" t="s">
        <v>146</v>
      </c>
      <c r="G1675" s="2" t="s">
        <v>93</v>
      </c>
      <c r="H1675" s="2" t="s">
        <v>1442</v>
      </c>
      <c r="I1675" s="2" t="s">
        <v>293</v>
      </c>
      <c r="J1675" s="2">
        <v>155</v>
      </c>
      <c r="K1675" s="2">
        <v>198.56</v>
      </c>
      <c r="L1675" s="2">
        <v>300.19</v>
      </c>
      <c r="M1675" s="2">
        <v>46529.45</v>
      </c>
      <c r="N1675" s="2">
        <v>30776.799999999999</v>
      </c>
      <c r="O1675" s="2">
        <v>15752.65</v>
      </c>
      <c r="P1675" s="2" t="s">
        <v>95</v>
      </c>
      <c r="Q1675" s="2" t="s">
        <v>63</v>
      </c>
      <c r="R1675" s="2">
        <v>5</v>
      </c>
      <c r="S1675" s="2" t="s">
        <v>86</v>
      </c>
      <c r="T1675" s="2">
        <v>3541</v>
      </c>
      <c r="U1675" s="2">
        <v>4</v>
      </c>
      <c r="V1675" s="2"/>
    </row>
    <row r="1676" spans="1:22" x14ac:dyDescent="0.35">
      <c r="A1676" s="3" t="s">
        <v>4210</v>
      </c>
      <c r="B1676" s="3" t="s">
        <v>1612</v>
      </c>
      <c r="C1676" s="3" t="s">
        <v>1319</v>
      </c>
      <c r="D1676" s="3" t="s">
        <v>4211</v>
      </c>
      <c r="E1676" s="3" t="s">
        <v>26</v>
      </c>
      <c r="F1676" s="3" t="s">
        <v>228</v>
      </c>
      <c r="G1676" s="3" t="s">
        <v>217</v>
      </c>
      <c r="H1676" s="3" t="s">
        <v>335</v>
      </c>
      <c r="I1676" s="3" t="s">
        <v>141</v>
      </c>
      <c r="J1676" s="3">
        <v>689</v>
      </c>
      <c r="K1676" s="3">
        <v>918.99</v>
      </c>
      <c r="L1676" s="3">
        <v>1436.89</v>
      </c>
      <c r="M1676" s="4" t="s">
        <v>1309</v>
      </c>
      <c r="N1676" s="3">
        <v>633184.11</v>
      </c>
      <c r="O1676" s="3">
        <v>356833.1</v>
      </c>
      <c r="P1676" s="3" t="s">
        <v>42</v>
      </c>
      <c r="Q1676" s="3" t="s">
        <v>63</v>
      </c>
      <c r="R1676" s="3">
        <v>4</v>
      </c>
      <c r="S1676" s="3" t="s">
        <v>43</v>
      </c>
      <c r="T1676" s="3">
        <v>1574</v>
      </c>
      <c r="U1676" s="3">
        <v>32</v>
      </c>
      <c r="V1676" s="3"/>
    </row>
    <row r="1677" spans="1:22" x14ac:dyDescent="0.35">
      <c r="A1677" s="2" t="s">
        <v>4212</v>
      </c>
      <c r="B1677" s="2" t="s">
        <v>454</v>
      </c>
      <c r="C1677" s="2" t="s">
        <v>475</v>
      </c>
      <c r="D1677" s="2" t="s">
        <v>4213</v>
      </c>
      <c r="E1677" s="2" t="s">
        <v>100</v>
      </c>
      <c r="F1677" s="2" t="s">
        <v>538</v>
      </c>
      <c r="G1677" s="2" t="s">
        <v>93</v>
      </c>
      <c r="H1677" s="2" t="s">
        <v>140</v>
      </c>
      <c r="I1677" s="2" t="s">
        <v>72</v>
      </c>
      <c r="J1677" s="2">
        <v>747</v>
      </c>
      <c r="K1677" s="2">
        <v>289.89999999999998</v>
      </c>
      <c r="L1677" s="2">
        <v>377.56</v>
      </c>
      <c r="M1677" s="2">
        <v>282037.32</v>
      </c>
      <c r="N1677" s="2">
        <v>216555.3</v>
      </c>
      <c r="O1677" s="2">
        <v>65482.02</v>
      </c>
      <c r="P1677" s="2" t="s">
        <v>31</v>
      </c>
      <c r="Q1677" s="2" t="s">
        <v>63</v>
      </c>
      <c r="R1677" s="2">
        <v>1</v>
      </c>
      <c r="S1677" s="2" t="s">
        <v>86</v>
      </c>
      <c r="T1677" s="4" t="s">
        <v>1309</v>
      </c>
      <c r="U1677" s="2">
        <v>9</v>
      </c>
      <c r="V1677" s="2"/>
    </row>
    <row r="1678" spans="1:22" x14ac:dyDescent="0.35">
      <c r="A1678" s="3" t="s">
        <v>4214</v>
      </c>
      <c r="B1678" s="3" t="s">
        <v>585</v>
      </c>
      <c r="C1678" s="3" t="s">
        <v>2939</v>
      </c>
      <c r="D1678" s="3" t="s">
        <v>4215</v>
      </c>
      <c r="E1678" s="3" t="s">
        <v>26</v>
      </c>
      <c r="F1678" s="3" t="s">
        <v>38</v>
      </c>
      <c r="G1678" s="3" t="s">
        <v>93</v>
      </c>
      <c r="H1678" s="3" t="s">
        <v>302</v>
      </c>
      <c r="I1678" s="3" t="s">
        <v>62</v>
      </c>
      <c r="J1678" s="3">
        <v>29</v>
      </c>
      <c r="K1678" s="3">
        <v>1026.1099999999999</v>
      </c>
      <c r="L1678" s="3">
        <v>1460.04</v>
      </c>
      <c r="M1678" s="3">
        <v>42341.16</v>
      </c>
      <c r="N1678" s="3">
        <v>29757.19</v>
      </c>
      <c r="O1678" s="3">
        <v>12583.97</v>
      </c>
      <c r="P1678" s="3" t="s">
        <v>31</v>
      </c>
      <c r="Q1678" s="3" t="s">
        <v>63</v>
      </c>
      <c r="R1678" s="3">
        <v>5</v>
      </c>
      <c r="S1678" s="3" t="s">
        <v>86</v>
      </c>
      <c r="T1678" s="3">
        <v>1127</v>
      </c>
      <c r="U1678" s="3">
        <v>1</v>
      </c>
      <c r="V1678" s="3"/>
    </row>
    <row r="1679" spans="1:22" x14ac:dyDescent="0.35">
      <c r="A1679" s="2" t="s">
        <v>4216</v>
      </c>
      <c r="B1679" s="2" t="s">
        <v>595</v>
      </c>
      <c r="C1679" s="2" t="s">
        <v>458</v>
      </c>
      <c r="D1679" s="2" t="s">
        <v>4217</v>
      </c>
      <c r="E1679" s="4"/>
      <c r="F1679" s="2" t="s">
        <v>69</v>
      </c>
      <c r="G1679" s="2" t="s">
        <v>60</v>
      </c>
      <c r="H1679" s="2" t="s">
        <v>265</v>
      </c>
      <c r="I1679" s="4"/>
      <c r="J1679" s="2">
        <v>31</v>
      </c>
      <c r="K1679" s="2">
        <v>990.26</v>
      </c>
      <c r="L1679" s="2">
        <v>1576.6</v>
      </c>
      <c r="M1679" s="2">
        <v>48874.6</v>
      </c>
      <c r="N1679" s="2">
        <v>30698.06</v>
      </c>
      <c r="O1679" s="2">
        <v>18176.54</v>
      </c>
      <c r="P1679" s="2" t="s">
        <v>95</v>
      </c>
      <c r="Q1679" s="2" t="s">
        <v>32</v>
      </c>
      <c r="R1679" s="2">
        <v>9</v>
      </c>
      <c r="S1679" s="2" t="s">
        <v>53</v>
      </c>
      <c r="T1679" s="2">
        <v>2691</v>
      </c>
      <c r="U1679" s="2">
        <v>0</v>
      </c>
      <c r="V1679" s="2"/>
    </row>
    <row r="1680" spans="1:22" x14ac:dyDescent="0.35">
      <c r="A1680" s="3" t="s">
        <v>4218</v>
      </c>
      <c r="B1680" s="3" t="s">
        <v>1380</v>
      </c>
      <c r="C1680" s="3" t="s">
        <v>104</v>
      </c>
      <c r="D1680" s="3" t="s">
        <v>4219</v>
      </c>
      <c r="E1680" s="3" t="s">
        <v>100</v>
      </c>
      <c r="F1680" s="3" t="s">
        <v>330</v>
      </c>
      <c r="G1680" s="3" t="s">
        <v>217</v>
      </c>
      <c r="H1680" s="3" t="s">
        <v>218</v>
      </c>
      <c r="I1680" s="3" t="s">
        <v>118</v>
      </c>
      <c r="J1680" s="3">
        <v>777</v>
      </c>
      <c r="K1680" s="3">
        <v>569</v>
      </c>
      <c r="L1680" s="3">
        <v>931.83</v>
      </c>
      <c r="M1680" s="3">
        <v>724031.91</v>
      </c>
      <c r="N1680" s="3">
        <v>442113</v>
      </c>
      <c r="O1680" s="3">
        <v>281918.90999999997</v>
      </c>
      <c r="P1680" s="3" t="s">
        <v>42</v>
      </c>
      <c r="Q1680" s="3" t="s">
        <v>32</v>
      </c>
      <c r="R1680" s="3">
        <v>11</v>
      </c>
      <c r="S1680" s="3" t="s">
        <v>112</v>
      </c>
      <c r="T1680" s="3">
        <v>4026</v>
      </c>
      <c r="U1680" s="3">
        <v>3</v>
      </c>
      <c r="V1680" s="3"/>
    </row>
    <row r="1681" spans="1:22" x14ac:dyDescent="0.35">
      <c r="A1681" s="2" t="s">
        <v>4220</v>
      </c>
      <c r="B1681" s="2" t="s">
        <v>1578</v>
      </c>
      <c r="C1681" s="2" t="s">
        <v>965</v>
      </c>
      <c r="D1681" s="2" t="s">
        <v>4221</v>
      </c>
      <c r="E1681" s="2" t="s">
        <v>4222</v>
      </c>
      <c r="F1681" s="2" t="s">
        <v>146</v>
      </c>
      <c r="G1681" s="2" t="s">
        <v>28</v>
      </c>
      <c r="H1681" s="2" t="s">
        <v>507</v>
      </c>
      <c r="I1681" s="2" t="s">
        <v>62</v>
      </c>
      <c r="J1681" s="2">
        <v>597</v>
      </c>
      <c r="K1681" s="2">
        <v>1088.1400000000001</v>
      </c>
      <c r="L1681" s="2">
        <v>1232.97</v>
      </c>
      <c r="M1681" s="2">
        <v>736083.09</v>
      </c>
      <c r="N1681" s="2">
        <v>649619.57999999996</v>
      </c>
      <c r="O1681" s="2">
        <v>86463.51</v>
      </c>
      <c r="P1681" s="2" t="s">
        <v>31</v>
      </c>
      <c r="Q1681" s="2" t="s">
        <v>32</v>
      </c>
      <c r="R1681" s="2">
        <v>15</v>
      </c>
      <c r="S1681" s="2" t="s">
        <v>33</v>
      </c>
      <c r="T1681" s="2">
        <v>3081</v>
      </c>
      <c r="U1681" s="2">
        <v>12</v>
      </c>
      <c r="V1681" s="2"/>
    </row>
    <row r="1682" spans="1:22" x14ac:dyDescent="0.35">
      <c r="A1682" s="3" t="s">
        <v>4223</v>
      </c>
      <c r="B1682" s="3" t="s">
        <v>1003</v>
      </c>
      <c r="C1682" s="3" t="s">
        <v>395</v>
      </c>
      <c r="D1682" s="3" t="s">
        <v>4224</v>
      </c>
      <c r="E1682" s="3" t="s">
        <v>58</v>
      </c>
      <c r="F1682" s="3" t="s">
        <v>259</v>
      </c>
      <c r="G1682" s="3" t="s">
        <v>28</v>
      </c>
      <c r="H1682" s="3" t="s">
        <v>674</v>
      </c>
      <c r="I1682" s="3" t="s">
        <v>4225</v>
      </c>
      <c r="J1682" s="3">
        <v>13</v>
      </c>
      <c r="K1682" s="3">
        <v>915.28</v>
      </c>
      <c r="L1682" s="3">
        <v>1252.83</v>
      </c>
      <c r="M1682" s="3">
        <v>16286.79</v>
      </c>
      <c r="N1682" s="3">
        <v>11898.64</v>
      </c>
      <c r="O1682" s="3">
        <v>4388.1499999999996</v>
      </c>
      <c r="P1682" s="3" t="s">
        <v>52</v>
      </c>
      <c r="Q1682" s="3" t="s">
        <v>32</v>
      </c>
      <c r="R1682" s="3">
        <v>9</v>
      </c>
      <c r="S1682" s="3" t="s">
        <v>33</v>
      </c>
      <c r="T1682" s="3">
        <v>3979</v>
      </c>
      <c r="U1682" s="3">
        <v>1</v>
      </c>
      <c r="V1682" s="3"/>
    </row>
    <row r="1683" spans="1:22" x14ac:dyDescent="0.35">
      <c r="A1683" s="2" t="s">
        <v>4226</v>
      </c>
      <c r="B1683" s="2" t="s">
        <v>24</v>
      </c>
      <c r="C1683" s="2" t="s">
        <v>262</v>
      </c>
      <c r="D1683" s="2" t="s">
        <v>4227</v>
      </c>
      <c r="E1683" s="2" t="s">
        <v>68</v>
      </c>
      <c r="F1683" s="2" t="s">
        <v>249</v>
      </c>
      <c r="G1683" s="2" t="s">
        <v>189</v>
      </c>
      <c r="H1683" s="2" t="s">
        <v>271</v>
      </c>
      <c r="I1683" s="2" t="s">
        <v>293</v>
      </c>
      <c r="J1683" s="2">
        <v>267</v>
      </c>
      <c r="K1683" s="4"/>
      <c r="L1683" s="2">
        <v>343.72</v>
      </c>
      <c r="M1683" s="2">
        <v>91773.24</v>
      </c>
      <c r="N1683" s="2">
        <v>66870.149999999994</v>
      </c>
      <c r="O1683" s="2">
        <v>24903.09</v>
      </c>
      <c r="P1683" s="2" t="s">
        <v>42</v>
      </c>
      <c r="Q1683" s="2" t="s">
        <v>32</v>
      </c>
      <c r="R1683" s="2">
        <v>8</v>
      </c>
      <c r="S1683" s="2" t="s">
        <v>86</v>
      </c>
      <c r="T1683" s="2">
        <v>3077</v>
      </c>
      <c r="U1683" s="2">
        <v>10</v>
      </c>
      <c r="V1683" s="2"/>
    </row>
    <row r="1684" spans="1:22" x14ac:dyDescent="0.35">
      <c r="A1684" s="3" t="s">
        <v>4228</v>
      </c>
      <c r="B1684" s="3" t="s">
        <v>510</v>
      </c>
      <c r="C1684" s="3" t="s">
        <v>611</v>
      </c>
      <c r="D1684" s="3" t="s">
        <v>4229</v>
      </c>
      <c r="E1684" s="3" t="s">
        <v>58</v>
      </c>
      <c r="F1684" s="3" t="s">
        <v>259</v>
      </c>
      <c r="G1684" s="3" t="s">
        <v>28</v>
      </c>
      <c r="H1684" s="3" t="s">
        <v>111</v>
      </c>
      <c r="I1684" s="3" t="s">
        <v>62</v>
      </c>
      <c r="J1684" s="3">
        <v>29</v>
      </c>
      <c r="K1684" s="3">
        <v>1078.1400000000001</v>
      </c>
      <c r="L1684" s="3">
        <v>1248.23</v>
      </c>
      <c r="M1684" s="3">
        <v>36198.67</v>
      </c>
      <c r="N1684" s="3">
        <v>31266.06</v>
      </c>
      <c r="O1684" s="3">
        <v>4932.6099999999997</v>
      </c>
      <c r="P1684" s="3" t="s">
        <v>31</v>
      </c>
      <c r="Q1684" s="3" t="s">
        <v>32</v>
      </c>
      <c r="R1684" s="3">
        <v>9</v>
      </c>
      <c r="S1684" s="3" t="s">
        <v>86</v>
      </c>
      <c r="T1684" s="3">
        <v>3007</v>
      </c>
      <c r="U1684" s="3">
        <v>0</v>
      </c>
      <c r="V1684" s="3"/>
    </row>
    <row r="1685" spans="1:22" x14ac:dyDescent="0.35">
      <c r="A1685" s="2" t="s">
        <v>4230</v>
      </c>
      <c r="B1685" s="2" t="s">
        <v>2950</v>
      </c>
      <c r="C1685" s="2" t="s">
        <v>2471</v>
      </c>
      <c r="D1685" s="2" t="s">
        <v>4231</v>
      </c>
      <c r="E1685" s="2" t="s">
        <v>58</v>
      </c>
      <c r="F1685" s="2" t="s">
        <v>116</v>
      </c>
      <c r="G1685" s="2" t="s">
        <v>189</v>
      </c>
      <c r="H1685" s="2" t="s">
        <v>360</v>
      </c>
      <c r="I1685" s="2" t="s">
        <v>41</v>
      </c>
      <c r="J1685" s="2">
        <v>433</v>
      </c>
      <c r="K1685" s="2">
        <v>486.94</v>
      </c>
      <c r="L1685" s="2">
        <v>793.53</v>
      </c>
      <c r="M1685" s="2">
        <v>343598.49</v>
      </c>
      <c r="N1685" s="2">
        <v>210845.02</v>
      </c>
      <c r="O1685" s="2">
        <v>132753.47</v>
      </c>
      <c r="P1685" s="2" t="s">
        <v>95</v>
      </c>
      <c r="Q1685" s="2" t="s">
        <v>867</v>
      </c>
      <c r="R1685" s="2">
        <v>11</v>
      </c>
      <c r="S1685" s="2" t="s">
        <v>33</v>
      </c>
      <c r="T1685" s="2">
        <v>1502</v>
      </c>
      <c r="U1685" s="2">
        <v>18</v>
      </c>
      <c r="V1685" s="2"/>
    </row>
    <row r="1686" spans="1:22" x14ac:dyDescent="0.35">
      <c r="A1686" s="3" t="s">
        <v>4232</v>
      </c>
      <c r="B1686" s="3" t="s">
        <v>459</v>
      </c>
      <c r="C1686" s="3" t="s">
        <v>1249</v>
      </c>
      <c r="D1686" s="3" t="s">
        <v>4233</v>
      </c>
      <c r="E1686" s="3" t="s">
        <v>68</v>
      </c>
      <c r="F1686" s="3" t="s">
        <v>276</v>
      </c>
      <c r="G1686" s="3" t="s">
        <v>60</v>
      </c>
      <c r="H1686" s="3" t="s">
        <v>539</v>
      </c>
      <c r="I1686" s="3" t="s">
        <v>124</v>
      </c>
      <c r="J1686" s="3">
        <v>307</v>
      </c>
      <c r="K1686" s="3">
        <v>475.75</v>
      </c>
      <c r="L1686" s="3">
        <v>534.76</v>
      </c>
      <c r="M1686" s="3">
        <v>164171.32</v>
      </c>
      <c r="N1686" s="3">
        <v>146055.25</v>
      </c>
      <c r="O1686" s="3">
        <v>18116.07</v>
      </c>
      <c r="P1686" s="3" t="s">
        <v>95</v>
      </c>
      <c r="Q1686" s="3" t="s">
        <v>32</v>
      </c>
      <c r="R1686" s="3">
        <v>10</v>
      </c>
      <c r="S1686" s="3" t="s">
        <v>53</v>
      </c>
      <c r="T1686" s="3">
        <v>3871</v>
      </c>
      <c r="U1686" s="3">
        <v>0</v>
      </c>
      <c r="V1686" s="3"/>
    </row>
    <row r="1687" spans="1:22" x14ac:dyDescent="0.35">
      <c r="A1687" s="2" t="s">
        <v>4234</v>
      </c>
      <c r="B1687" s="2" t="s">
        <v>394</v>
      </c>
      <c r="C1687" s="2" t="s">
        <v>742</v>
      </c>
      <c r="D1687" s="2" t="s">
        <v>4235</v>
      </c>
      <c r="E1687" s="2" t="s">
        <v>100</v>
      </c>
      <c r="F1687" s="2" t="s">
        <v>538</v>
      </c>
      <c r="G1687" s="2" t="s">
        <v>189</v>
      </c>
      <c r="H1687" s="2" t="s">
        <v>190</v>
      </c>
      <c r="I1687" s="2" t="s">
        <v>191</v>
      </c>
      <c r="J1687" s="2">
        <v>181</v>
      </c>
      <c r="K1687" s="2">
        <v>547.13</v>
      </c>
      <c r="L1687" s="2">
        <v>739.94</v>
      </c>
      <c r="M1687" s="2">
        <v>133929.14000000001</v>
      </c>
      <c r="N1687" s="2">
        <v>99030.53</v>
      </c>
      <c r="O1687" s="2">
        <v>34898.61</v>
      </c>
      <c r="P1687" s="2" t="s">
        <v>52</v>
      </c>
      <c r="Q1687" s="2" t="s">
        <v>63</v>
      </c>
      <c r="R1687" s="2">
        <v>2</v>
      </c>
      <c r="S1687" s="2" t="s">
        <v>158</v>
      </c>
      <c r="T1687" s="2">
        <v>1587</v>
      </c>
      <c r="U1687" s="2">
        <v>6</v>
      </c>
      <c r="V1687" s="2"/>
    </row>
    <row r="1688" spans="1:22" x14ac:dyDescent="0.35">
      <c r="A1688" s="3" t="s">
        <v>4236</v>
      </c>
      <c r="B1688" s="3" t="s">
        <v>333</v>
      </c>
      <c r="C1688" s="3" t="s">
        <v>723</v>
      </c>
      <c r="D1688" s="3" t="s">
        <v>4237</v>
      </c>
      <c r="E1688" s="3" t="s">
        <v>26</v>
      </c>
      <c r="F1688" s="3" t="s">
        <v>38</v>
      </c>
      <c r="G1688" s="3" t="s">
        <v>60</v>
      </c>
      <c r="H1688" s="3" t="s">
        <v>834</v>
      </c>
      <c r="I1688" s="3" t="s">
        <v>30</v>
      </c>
      <c r="J1688" s="3">
        <v>566</v>
      </c>
      <c r="K1688" s="3">
        <v>676.62</v>
      </c>
      <c r="L1688" s="3">
        <v>1093.6500000000001</v>
      </c>
      <c r="M1688" s="3">
        <v>619005.9</v>
      </c>
      <c r="N1688" s="3">
        <v>382966.92</v>
      </c>
      <c r="O1688" s="3">
        <v>236038.98</v>
      </c>
      <c r="P1688" s="3" t="s">
        <v>95</v>
      </c>
      <c r="Q1688" s="3" t="s">
        <v>32</v>
      </c>
      <c r="R1688" s="3">
        <v>10</v>
      </c>
      <c r="S1688" s="3" t="s">
        <v>53</v>
      </c>
      <c r="T1688" s="3">
        <v>1568</v>
      </c>
      <c r="U1688" s="3">
        <v>1</v>
      </c>
      <c r="V1688" s="3"/>
    </row>
    <row r="1689" spans="1:22" x14ac:dyDescent="0.35">
      <c r="A1689" s="2" t="s">
        <v>4238</v>
      </c>
      <c r="B1689" s="2" t="s">
        <v>2849</v>
      </c>
      <c r="C1689" s="2" t="s">
        <v>1061</v>
      </c>
      <c r="D1689" s="2" t="s">
        <v>4239</v>
      </c>
      <c r="E1689" s="2" t="s">
        <v>100</v>
      </c>
      <c r="F1689" s="2" t="s">
        <v>106</v>
      </c>
      <c r="G1689" s="2" t="s">
        <v>70</v>
      </c>
      <c r="H1689" s="2" t="s">
        <v>1019</v>
      </c>
      <c r="I1689" s="2" t="s">
        <v>293</v>
      </c>
      <c r="J1689" s="2">
        <v>779</v>
      </c>
      <c r="K1689" s="2">
        <v>579.15</v>
      </c>
      <c r="L1689" s="2">
        <v>903.88</v>
      </c>
      <c r="M1689" s="2">
        <v>704122.52</v>
      </c>
      <c r="N1689" s="2">
        <v>451157.85</v>
      </c>
      <c r="O1689" s="2">
        <v>252964.67</v>
      </c>
      <c r="P1689" s="2" t="s">
        <v>95</v>
      </c>
      <c r="Q1689" s="2" t="s">
        <v>63</v>
      </c>
      <c r="R1689" s="2">
        <v>3</v>
      </c>
      <c r="S1689" s="2" t="s">
        <v>33</v>
      </c>
      <c r="T1689" s="2">
        <v>4920</v>
      </c>
      <c r="U1689" s="2">
        <v>14</v>
      </c>
      <c r="V1689" s="2"/>
    </row>
    <row r="1690" spans="1:22" x14ac:dyDescent="0.35">
      <c r="A1690" s="3" t="s">
        <v>4240</v>
      </c>
      <c r="B1690" s="3" t="s">
        <v>3603</v>
      </c>
      <c r="C1690" s="3" t="s">
        <v>517</v>
      </c>
      <c r="D1690" s="3" t="s">
        <v>729</v>
      </c>
      <c r="E1690" s="3" t="s">
        <v>100</v>
      </c>
      <c r="F1690" s="3" t="s">
        <v>106</v>
      </c>
      <c r="G1690" s="3" t="s">
        <v>93</v>
      </c>
      <c r="H1690" s="3" t="s">
        <v>140</v>
      </c>
      <c r="I1690" s="3" t="s">
        <v>153</v>
      </c>
      <c r="J1690" s="3">
        <v>263</v>
      </c>
      <c r="K1690" s="3">
        <v>601.63</v>
      </c>
      <c r="L1690" s="3">
        <v>876.15</v>
      </c>
      <c r="M1690" s="3">
        <v>230427.45</v>
      </c>
      <c r="N1690" s="3">
        <v>158228.69</v>
      </c>
      <c r="O1690" s="3">
        <v>72198.759999999995</v>
      </c>
      <c r="P1690" s="3" t="s">
        <v>52</v>
      </c>
      <c r="Q1690" s="3" t="s">
        <v>63</v>
      </c>
      <c r="R1690" s="3">
        <v>5</v>
      </c>
      <c r="S1690" s="3" t="s">
        <v>33</v>
      </c>
      <c r="T1690" s="3">
        <v>1559</v>
      </c>
      <c r="U1690" s="3">
        <v>5</v>
      </c>
      <c r="V1690" s="3"/>
    </row>
    <row r="1691" spans="1:22" x14ac:dyDescent="0.35">
      <c r="A1691" s="2" t="s">
        <v>4241</v>
      </c>
      <c r="B1691" s="2" t="s">
        <v>243</v>
      </c>
      <c r="C1691" s="2" t="s">
        <v>1226</v>
      </c>
      <c r="D1691" s="2" t="s">
        <v>4242</v>
      </c>
      <c r="E1691" s="2" t="s">
        <v>48</v>
      </c>
      <c r="F1691" s="2" t="s">
        <v>270</v>
      </c>
      <c r="G1691" s="2" t="s">
        <v>60</v>
      </c>
      <c r="H1691" s="2" t="s">
        <v>780</v>
      </c>
      <c r="I1691" s="2" t="s">
        <v>153</v>
      </c>
      <c r="J1691" s="2">
        <v>697</v>
      </c>
      <c r="K1691" s="2">
        <v>780.12</v>
      </c>
      <c r="L1691" s="2">
        <v>1181.26</v>
      </c>
      <c r="M1691" s="2">
        <v>823338.22</v>
      </c>
      <c r="N1691" s="2">
        <v>543743.64</v>
      </c>
      <c r="O1691" s="2">
        <v>279594.58</v>
      </c>
      <c r="P1691" s="2" t="s">
        <v>52</v>
      </c>
      <c r="Q1691" s="2" t="s">
        <v>32</v>
      </c>
      <c r="R1691" s="2">
        <v>14</v>
      </c>
      <c r="S1691" s="2" t="s">
        <v>33</v>
      </c>
      <c r="T1691" s="2">
        <v>2898</v>
      </c>
      <c r="U1691" s="2">
        <v>11</v>
      </c>
      <c r="V1691" s="2"/>
    </row>
    <row r="1692" spans="1:22" x14ac:dyDescent="0.35">
      <c r="A1692" s="3" t="s">
        <v>4243</v>
      </c>
      <c r="B1692" s="3" t="s">
        <v>1510</v>
      </c>
      <c r="C1692" s="3" t="s">
        <v>3733</v>
      </c>
      <c r="D1692" s="3" t="s">
        <v>4244</v>
      </c>
      <c r="E1692" s="3" t="s">
        <v>58</v>
      </c>
      <c r="F1692" s="4"/>
      <c r="G1692" s="3" t="s">
        <v>93</v>
      </c>
      <c r="H1692" s="3" t="s">
        <v>643</v>
      </c>
      <c r="I1692" s="3" t="s">
        <v>85</v>
      </c>
      <c r="J1692" s="3">
        <v>742</v>
      </c>
      <c r="K1692" s="3">
        <v>137.53</v>
      </c>
      <c r="L1692" s="3">
        <v>198.05</v>
      </c>
      <c r="M1692" s="3">
        <v>146953.1</v>
      </c>
      <c r="N1692" s="3">
        <v>102047.26</v>
      </c>
      <c r="O1692" s="3">
        <v>44905.84</v>
      </c>
      <c r="P1692" s="3" t="s">
        <v>31</v>
      </c>
      <c r="Q1692" s="3" t="s">
        <v>63</v>
      </c>
      <c r="R1692" s="3">
        <v>2</v>
      </c>
      <c r="S1692" s="3" t="s">
        <v>86</v>
      </c>
      <c r="T1692" s="3">
        <v>4618</v>
      </c>
      <c r="U1692" s="3">
        <v>32</v>
      </c>
      <c r="V1692" s="3"/>
    </row>
    <row r="1693" spans="1:22" x14ac:dyDescent="0.35">
      <c r="A1693" s="2" t="s">
        <v>4245</v>
      </c>
      <c r="B1693" s="2" t="s">
        <v>785</v>
      </c>
      <c r="C1693" s="2" t="s">
        <v>865</v>
      </c>
      <c r="D1693" s="2" t="s">
        <v>1857</v>
      </c>
      <c r="E1693" s="2" t="s">
        <v>26</v>
      </c>
      <c r="F1693" s="2" t="s">
        <v>77</v>
      </c>
      <c r="G1693" s="2" t="s">
        <v>78</v>
      </c>
      <c r="H1693" s="2" t="s">
        <v>178</v>
      </c>
      <c r="I1693" s="2" t="s">
        <v>72</v>
      </c>
      <c r="J1693" s="2">
        <v>792</v>
      </c>
      <c r="K1693" s="2">
        <v>217.17</v>
      </c>
      <c r="L1693" s="2">
        <v>323.87</v>
      </c>
      <c r="M1693" s="2">
        <v>256505.04</v>
      </c>
      <c r="N1693" s="2">
        <v>171998.64</v>
      </c>
      <c r="O1693" s="2">
        <v>84506.4</v>
      </c>
      <c r="P1693" s="2" t="s">
        <v>95</v>
      </c>
      <c r="Q1693" s="4"/>
      <c r="R1693" s="2">
        <v>11</v>
      </c>
      <c r="S1693" s="2" t="s">
        <v>86</v>
      </c>
      <c r="T1693" s="2">
        <v>4198</v>
      </c>
      <c r="U1693" s="2">
        <v>14</v>
      </c>
      <c r="V1693" s="2"/>
    </row>
    <row r="1694" spans="1:22" x14ac:dyDescent="0.35">
      <c r="A1694" s="3" t="s">
        <v>4246</v>
      </c>
      <c r="B1694" s="3" t="s">
        <v>932</v>
      </c>
      <c r="C1694" s="3" t="s">
        <v>149</v>
      </c>
      <c r="D1694" s="3" t="s">
        <v>4247</v>
      </c>
      <c r="E1694" s="3" t="s">
        <v>100</v>
      </c>
      <c r="F1694" s="3" t="s">
        <v>106</v>
      </c>
      <c r="G1694" s="3" t="s">
        <v>78</v>
      </c>
      <c r="H1694" s="3" t="s">
        <v>481</v>
      </c>
      <c r="I1694" s="3" t="s">
        <v>118</v>
      </c>
      <c r="J1694" s="3">
        <v>7</v>
      </c>
      <c r="K1694" s="3">
        <v>1098.57</v>
      </c>
      <c r="L1694" s="3">
        <v>1367.84</v>
      </c>
      <c r="M1694" s="3">
        <v>9574.8799999999992</v>
      </c>
      <c r="N1694" s="3">
        <v>7689.99</v>
      </c>
      <c r="O1694" s="3">
        <v>1884.89</v>
      </c>
      <c r="P1694" s="3" t="s">
        <v>31</v>
      </c>
      <c r="Q1694" s="3" t="s">
        <v>32</v>
      </c>
      <c r="R1694" s="3">
        <v>7</v>
      </c>
      <c r="S1694" s="3" t="s">
        <v>43</v>
      </c>
      <c r="T1694" s="3">
        <v>4857</v>
      </c>
      <c r="U1694" s="3">
        <v>0</v>
      </c>
      <c r="V1694" s="3"/>
    </row>
    <row r="1695" spans="1:22" x14ac:dyDescent="0.35">
      <c r="A1695" s="2" t="s">
        <v>4248</v>
      </c>
      <c r="B1695" s="2" t="s">
        <v>214</v>
      </c>
      <c r="C1695" s="2" t="s">
        <v>439</v>
      </c>
      <c r="D1695" s="4"/>
      <c r="E1695" s="2" t="s">
        <v>48</v>
      </c>
      <c r="F1695" s="2" t="s">
        <v>270</v>
      </c>
      <c r="G1695" s="2" t="s">
        <v>70</v>
      </c>
      <c r="H1695" s="2" t="s">
        <v>623</v>
      </c>
      <c r="I1695" s="2" t="s">
        <v>191</v>
      </c>
      <c r="J1695" s="2">
        <v>667</v>
      </c>
      <c r="K1695" s="2">
        <v>800.08</v>
      </c>
      <c r="L1695" s="2">
        <v>1261.78</v>
      </c>
      <c r="M1695" s="2">
        <v>841607.26</v>
      </c>
      <c r="N1695" s="2">
        <v>533653.36</v>
      </c>
      <c r="O1695" s="2">
        <v>307953.90000000002</v>
      </c>
      <c r="P1695" s="2" t="s">
        <v>31</v>
      </c>
      <c r="Q1695" s="2" t="s">
        <v>956</v>
      </c>
      <c r="R1695" s="2">
        <v>13</v>
      </c>
      <c r="S1695" s="2" t="s">
        <v>33</v>
      </c>
      <c r="T1695" s="2">
        <v>1129</v>
      </c>
      <c r="U1695" s="2">
        <v>24</v>
      </c>
      <c r="V1695" s="2"/>
    </row>
    <row r="1696" spans="1:22" x14ac:dyDescent="0.35">
      <c r="A1696" s="3" t="s">
        <v>4249</v>
      </c>
      <c r="B1696" s="3" t="s">
        <v>1347</v>
      </c>
      <c r="C1696" s="3" t="s">
        <v>305</v>
      </c>
      <c r="D1696" s="3" t="s">
        <v>4250</v>
      </c>
      <c r="E1696" s="3" t="s">
        <v>100</v>
      </c>
      <c r="F1696" s="3" t="s">
        <v>106</v>
      </c>
      <c r="G1696" s="3" t="s">
        <v>189</v>
      </c>
      <c r="H1696" s="3" t="s">
        <v>271</v>
      </c>
      <c r="I1696" s="3" t="s">
        <v>30</v>
      </c>
      <c r="J1696" s="3">
        <v>589</v>
      </c>
      <c r="K1696" s="3">
        <v>479.63</v>
      </c>
      <c r="L1696" s="3">
        <v>664.21</v>
      </c>
      <c r="M1696" s="3">
        <v>391219.69</v>
      </c>
      <c r="N1696" s="3">
        <v>282502.07</v>
      </c>
      <c r="O1696" s="3">
        <v>108717.62</v>
      </c>
      <c r="P1696" s="3" t="s">
        <v>42</v>
      </c>
      <c r="Q1696" s="3" t="s">
        <v>32</v>
      </c>
      <c r="R1696" s="3">
        <v>13</v>
      </c>
      <c r="S1696" s="3" t="s">
        <v>43</v>
      </c>
      <c r="T1696" s="3">
        <v>2665</v>
      </c>
      <c r="U1696" s="3">
        <v>6</v>
      </c>
      <c r="V1696" s="3"/>
    </row>
    <row r="1697" spans="1:22" x14ac:dyDescent="0.35">
      <c r="A1697" s="3" t="s">
        <v>4251</v>
      </c>
      <c r="B1697" s="3" t="s">
        <v>45</v>
      </c>
      <c r="C1697" s="3" t="s">
        <v>608</v>
      </c>
      <c r="D1697" s="3" t="s">
        <v>4252</v>
      </c>
      <c r="E1697" s="3" t="s">
        <v>48</v>
      </c>
      <c r="F1697" s="3" t="s">
        <v>183</v>
      </c>
      <c r="G1697" s="3" t="s">
        <v>189</v>
      </c>
      <c r="H1697" s="3" t="s">
        <v>360</v>
      </c>
      <c r="I1697" s="3" t="s">
        <v>141</v>
      </c>
      <c r="J1697" s="3">
        <v>242</v>
      </c>
      <c r="K1697" s="3">
        <v>342.36</v>
      </c>
      <c r="L1697" s="3">
        <v>455.22</v>
      </c>
      <c r="M1697" s="3">
        <v>110163.24</v>
      </c>
      <c r="N1697" s="3">
        <v>82851.12</v>
      </c>
      <c r="O1697" s="3">
        <v>27312.12</v>
      </c>
      <c r="P1697" s="3" t="s">
        <v>31</v>
      </c>
      <c r="Q1697" s="3" t="s">
        <v>32</v>
      </c>
      <c r="R1697" s="3">
        <v>6</v>
      </c>
      <c r="S1697" s="3" t="s">
        <v>33</v>
      </c>
      <c r="T1697" s="3">
        <v>2190</v>
      </c>
      <c r="U1697" s="3">
        <v>1</v>
      </c>
      <c r="V1697" s="3"/>
    </row>
    <row r="1698" spans="1:22" x14ac:dyDescent="0.35">
      <c r="A1698" s="2" t="s">
        <v>4253</v>
      </c>
      <c r="B1698" s="2" t="s">
        <v>581</v>
      </c>
      <c r="C1698" s="2" t="s">
        <v>668</v>
      </c>
      <c r="D1698" s="2" t="s">
        <v>4254</v>
      </c>
      <c r="E1698" s="2" t="s">
        <v>58</v>
      </c>
      <c r="F1698" s="2" t="s">
        <v>122</v>
      </c>
      <c r="G1698" s="2" t="s">
        <v>189</v>
      </c>
      <c r="H1698" s="2" t="s">
        <v>437</v>
      </c>
      <c r="I1698" s="2" t="s">
        <v>30</v>
      </c>
      <c r="J1698" s="2">
        <v>252</v>
      </c>
      <c r="K1698" s="2">
        <v>1114.54</v>
      </c>
      <c r="L1698" s="2">
        <v>1537.01</v>
      </c>
      <c r="M1698" s="2">
        <v>387326.52</v>
      </c>
      <c r="N1698" s="2">
        <v>280864.08</v>
      </c>
      <c r="O1698" s="2">
        <v>106462.44</v>
      </c>
      <c r="P1698" s="2" t="s">
        <v>31</v>
      </c>
      <c r="Q1698" s="2" t="s">
        <v>32</v>
      </c>
      <c r="R1698" s="2">
        <v>15</v>
      </c>
      <c r="S1698" s="2" t="s">
        <v>112</v>
      </c>
      <c r="T1698" s="2">
        <v>4745</v>
      </c>
      <c r="U1698" s="2">
        <v>5</v>
      </c>
      <c r="V1698" s="2"/>
    </row>
    <row r="1699" spans="1:22" x14ac:dyDescent="0.35">
      <c r="A1699" s="3" t="s">
        <v>4255</v>
      </c>
      <c r="B1699" s="3" t="s">
        <v>625</v>
      </c>
      <c r="C1699" s="3" t="s">
        <v>215</v>
      </c>
      <c r="D1699" s="3" t="s">
        <v>4256</v>
      </c>
      <c r="E1699" s="3" t="s">
        <v>58</v>
      </c>
      <c r="F1699" s="3" t="s">
        <v>417</v>
      </c>
      <c r="G1699" s="3" t="s">
        <v>217</v>
      </c>
      <c r="H1699" s="3" t="s">
        <v>218</v>
      </c>
      <c r="I1699" s="3" t="s">
        <v>191</v>
      </c>
      <c r="J1699" s="3">
        <v>387</v>
      </c>
      <c r="K1699" s="3">
        <v>1070.96</v>
      </c>
      <c r="L1699" s="3">
        <v>1643.07</v>
      </c>
      <c r="M1699" s="3">
        <v>635868.09</v>
      </c>
      <c r="N1699" s="3">
        <v>414461.52</v>
      </c>
      <c r="O1699" s="3">
        <v>221406.57</v>
      </c>
      <c r="P1699" s="3" t="s">
        <v>52</v>
      </c>
      <c r="Q1699" s="3" t="s">
        <v>32</v>
      </c>
      <c r="R1699" s="3">
        <v>12</v>
      </c>
      <c r="S1699" s="3" t="s">
        <v>33</v>
      </c>
      <c r="T1699" s="3">
        <v>1126</v>
      </c>
      <c r="U1699" s="3">
        <v>2</v>
      </c>
      <c r="V1699" s="3"/>
    </row>
    <row r="1700" spans="1:22" x14ac:dyDescent="0.35">
      <c r="A1700" s="2" t="s">
        <v>4257</v>
      </c>
      <c r="B1700" s="2" t="s">
        <v>4258</v>
      </c>
      <c r="C1700" s="2" t="s">
        <v>727</v>
      </c>
      <c r="D1700" s="2" t="s">
        <v>2437</v>
      </c>
      <c r="E1700" s="2" t="s">
        <v>26</v>
      </c>
      <c r="F1700" s="4"/>
      <c r="G1700" s="2" t="s">
        <v>28</v>
      </c>
      <c r="H1700" s="2" t="s">
        <v>212</v>
      </c>
      <c r="I1700" s="2" t="s">
        <v>240</v>
      </c>
      <c r="J1700" s="2">
        <v>473</v>
      </c>
      <c r="K1700" s="2">
        <v>-0.5</v>
      </c>
      <c r="L1700" s="2">
        <v>1418.68</v>
      </c>
      <c r="M1700" s="2">
        <v>671035.64</v>
      </c>
      <c r="N1700" s="2">
        <v>473709.5</v>
      </c>
      <c r="O1700" s="2">
        <v>197326.14</v>
      </c>
      <c r="P1700" s="2" t="s">
        <v>42</v>
      </c>
      <c r="Q1700" s="2" t="s">
        <v>32</v>
      </c>
      <c r="R1700" s="2">
        <v>15</v>
      </c>
      <c r="S1700" s="2" t="s">
        <v>112</v>
      </c>
      <c r="T1700" s="2">
        <v>1306</v>
      </c>
      <c r="U1700" s="2">
        <v>1</v>
      </c>
      <c r="V1700" s="2"/>
    </row>
    <row r="1701" spans="1:22" x14ac:dyDescent="0.35">
      <c r="A1701" s="3" t="s">
        <v>4259</v>
      </c>
      <c r="B1701" s="3" t="s">
        <v>483</v>
      </c>
      <c r="C1701" s="3" t="s">
        <v>214</v>
      </c>
      <c r="D1701" s="3" t="s">
        <v>4260</v>
      </c>
      <c r="E1701" s="3" t="s">
        <v>100</v>
      </c>
      <c r="F1701" s="3" t="s">
        <v>106</v>
      </c>
      <c r="G1701" s="3" t="s">
        <v>28</v>
      </c>
      <c r="H1701" s="3" t="s">
        <v>254</v>
      </c>
      <c r="I1701" s="3" t="s">
        <v>293</v>
      </c>
      <c r="J1701" s="3">
        <v>333</v>
      </c>
      <c r="K1701" s="3">
        <v>144.63</v>
      </c>
      <c r="L1701" s="3">
        <v>175.01</v>
      </c>
      <c r="M1701" s="3">
        <v>58278.33</v>
      </c>
      <c r="N1701" s="3">
        <v>48161.79</v>
      </c>
      <c r="O1701" s="3">
        <v>10116.540000000001</v>
      </c>
      <c r="P1701" s="3" t="s">
        <v>42</v>
      </c>
      <c r="Q1701" s="3" t="s">
        <v>32</v>
      </c>
      <c r="R1701" s="3">
        <v>14</v>
      </c>
      <c r="S1701" s="3" t="s">
        <v>86</v>
      </c>
      <c r="T1701" s="3">
        <v>3026</v>
      </c>
      <c r="U1701" s="3">
        <v>12</v>
      </c>
      <c r="V1701" s="3"/>
    </row>
    <row r="1702" spans="1:22" x14ac:dyDescent="0.35">
      <c r="A1702" s="2" t="s">
        <v>4261</v>
      </c>
      <c r="B1702" s="2" t="s">
        <v>246</v>
      </c>
      <c r="C1702" s="2" t="s">
        <v>1028</v>
      </c>
      <c r="D1702" s="2" t="s">
        <v>4262</v>
      </c>
      <c r="E1702" s="2" t="s">
        <v>68</v>
      </c>
      <c r="F1702" s="2" t="s">
        <v>146</v>
      </c>
      <c r="G1702" s="2" t="s">
        <v>93</v>
      </c>
      <c r="H1702" s="2" t="s">
        <v>302</v>
      </c>
      <c r="I1702" s="2" t="s">
        <v>4263</v>
      </c>
      <c r="J1702" s="2">
        <v>-1</v>
      </c>
      <c r="K1702" s="2">
        <v>901.34</v>
      </c>
      <c r="L1702" s="2">
        <v>1069.19</v>
      </c>
      <c r="M1702" s="2">
        <v>32075.7</v>
      </c>
      <c r="N1702" s="2">
        <v>27040.2</v>
      </c>
      <c r="O1702" s="2">
        <v>5035.5</v>
      </c>
      <c r="P1702" s="2" t="s">
        <v>42</v>
      </c>
      <c r="Q1702" s="2" t="s">
        <v>63</v>
      </c>
      <c r="R1702" s="2">
        <v>4</v>
      </c>
      <c r="S1702" s="2" t="s">
        <v>53</v>
      </c>
      <c r="T1702" s="2">
        <v>2043</v>
      </c>
      <c r="U1702" s="2">
        <v>0</v>
      </c>
      <c r="V1702" s="2"/>
    </row>
    <row r="1703" spans="1:22" x14ac:dyDescent="0.35">
      <c r="A1703" s="3" t="s">
        <v>4264</v>
      </c>
      <c r="B1703" s="3" t="s">
        <v>2579</v>
      </c>
      <c r="C1703" s="3" t="s">
        <v>395</v>
      </c>
      <c r="D1703" s="3" t="s">
        <v>4265</v>
      </c>
      <c r="E1703" s="3" t="s">
        <v>58</v>
      </c>
      <c r="F1703" s="3" t="s">
        <v>59</v>
      </c>
      <c r="G1703" s="3" t="s">
        <v>50</v>
      </c>
      <c r="H1703" s="3" t="s">
        <v>117</v>
      </c>
      <c r="I1703" s="3" t="s">
        <v>72</v>
      </c>
      <c r="J1703" s="3">
        <v>413</v>
      </c>
      <c r="K1703" s="3">
        <v>178.47</v>
      </c>
      <c r="L1703" s="3">
        <v>273.98</v>
      </c>
      <c r="M1703" s="3">
        <v>113153.74</v>
      </c>
      <c r="N1703" s="3">
        <v>73708.11</v>
      </c>
      <c r="O1703" s="3">
        <v>39445.629999999997</v>
      </c>
      <c r="P1703" s="3" t="s">
        <v>31</v>
      </c>
      <c r="Q1703" s="3" t="s">
        <v>63</v>
      </c>
      <c r="R1703" s="3">
        <v>3</v>
      </c>
      <c r="S1703" s="3" t="s">
        <v>158</v>
      </c>
      <c r="T1703" s="3">
        <v>2977</v>
      </c>
      <c r="U1703" s="3">
        <v>4</v>
      </c>
      <c r="V1703" s="3"/>
    </row>
    <row r="1704" spans="1:22" x14ac:dyDescent="0.35">
      <c r="A1704" s="2" t="s">
        <v>4266</v>
      </c>
      <c r="B1704" s="2" t="s">
        <v>819</v>
      </c>
      <c r="C1704" s="2" t="s">
        <v>295</v>
      </c>
      <c r="D1704" s="2" t="s">
        <v>4267</v>
      </c>
      <c r="E1704" s="2" t="s">
        <v>100</v>
      </c>
      <c r="F1704" s="2" t="s">
        <v>101</v>
      </c>
      <c r="G1704" s="2" t="s">
        <v>189</v>
      </c>
      <c r="H1704" s="2" t="s">
        <v>360</v>
      </c>
      <c r="I1704" s="2" t="s">
        <v>30</v>
      </c>
      <c r="J1704" s="2">
        <v>343</v>
      </c>
      <c r="K1704" s="2">
        <v>692.83</v>
      </c>
      <c r="L1704" s="2">
        <v>790.34</v>
      </c>
      <c r="M1704" s="2">
        <v>271086.62</v>
      </c>
      <c r="N1704" s="2">
        <v>237640.69</v>
      </c>
      <c r="O1704" s="2">
        <v>33445.93</v>
      </c>
      <c r="P1704" s="2" t="s">
        <v>42</v>
      </c>
      <c r="Q1704" s="2" t="s">
        <v>32</v>
      </c>
      <c r="R1704" s="2">
        <v>6</v>
      </c>
      <c r="S1704" s="2" t="s">
        <v>158</v>
      </c>
      <c r="T1704" s="2">
        <v>3398</v>
      </c>
      <c r="U1704" s="2">
        <v>15</v>
      </c>
      <c r="V1704" s="2"/>
    </row>
    <row r="1705" spans="1:22" x14ac:dyDescent="0.35">
      <c r="A1705" s="3" t="s">
        <v>4268</v>
      </c>
      <c r="B1705" s="3" t="s">
        <v>483</v>
      </c>
      <c r="C1705" s="3" t="s">
        <v>1597</v>
      </c>
      <c r="D1705" s="3" t="s">
        <v>4269</v>
      </c>
      <c r="E1705" s="3" t="s">
        <v>48</v>
      </c>
      <c r="F1705" s="3" t="s">
        <v>281</v>
      </c>
      <c r="G1705" s="3" t="s">
        <v>217</v>
      </c>
      <c r="H1705" s="3" t="s">
        <v>494</v>
      </c>
      <c r="I1705" s="3" t="s">
        <v>141</v>
      </c>
      <c r="J1705" s="3">
        <v>281</v>
      </c>
      <c r="K1705" s="3">
        <v>1062.3499999999999</v>
      </c>
      <c r="L1705" s="3">
        <v>1238.52</v>
      </c>
      <c r="M1705" s="3">
        <v>348024.12</v>
      </c>
      <c r="N1705" s="3">
        <v>298520.34999999998</v>
      </c>
      <c r="O1705" s="3">
        <v>49503.77</v>
      </c>
      <c r="P1705" s="3" t="s">
        <v>52</v>
      </c>
      <c r="Q1705" s="3" t="s">
        <v>32</v>
      </c>
      <c r="R1705" s="3">
        <v>11</v>
      </c>
      <c r="S1705" s="3" t="s">
        <v>158</v>
      </c>
      <c r="T1705" s="3">
        <v>2749</v>
      </c>
      <c r="U1705" s="3">
        <v>9</v>
      </c>
      <c r="V1705" s="3"/>
    </row>
    <row r="1706" spans="1:22" x14ac:dyDescent="0.35">
      <c r="A1706" s="2" t="s">
        <v>4270</v>
      </c>
      <c r="B1706" s="2" t="s">
        <v>1322</v>
      </c>
      <c r="C1706" s="2" t="s">
        <v>109</v>
      </c>
      <c r="D1706" s="2" t="s">
        <v>2989</v>
      </c>
      <c r="E1706" s="2" t="s">
        <v>58</v>
      </c>
      <c r="F1706" s="2" t="s">
        <v>4271</v>
      </c>
      <c r="G1706" s="2" t="s">
        <v>28</v>
      </c>
      <c r="H1706" s="2" t="s">
        <v>674</v>
      </c>
      <c r="I1706" s="2" t="s">
        <v>62</v>
      </c>
      <c r="J1706" s="2">
        <v>149</v>
      </c>
      <c r="K1706" s="2">
        <v>737.9</v>
      </c>
      <c r="L1706" s="2">
        <v>912.95</v>
      </c>
      <c r="M1706" s="2">
        <v>136029.54999999999</v>
      </c>
      <c r="N1706" s="2">
        <v>109947.1</v>
      </c>
      <c r="O1706" s="2">
        <v>26082.45</v>
      </c>
      <c r="P1706" s="2" t="s">
        <v>95</v>
      </c>
      <c r="Q1706" s="2" t="s">
        <v>32</v>
      </c>
      <c r="R1706" s="2">
        <v>7</v>
      </c>
      <c r="S1706" s="2" t="s">
        <v>43</v>
      </c>
      <c r="T1706" s="2">
        <v>482</v>
      </c>
      <c r="U1706" s="2">
        <v>7</v>
      </c>
      <c r="V1706" s="2"/>
    </row>
    <row r="1707" spans="1:22" x14ac:dyDescent="0.35">
      <c r="A1707" s="3" t="s">
        <v>4272</v>
      </c>
      <c r="B1707" s="3" t="s">
        <v>1291</v>
      </c>
      <c r="C1707" s="3" t="s">
        <v>1444</v>
      </c>
      <c r="D1707" s="3" t="s">
        <v>4273</v>
      </c>
      <c r="E1707" s="3" t="s">
        <v>100</v>
      </c>
      <c r="F1707" s="3" t="s">
        <v>106</v>
      </c>
      <c r="G1707" s="3" t="s">
        <v>60</v>
      </c>
      <c r="H1707" s="3" t="s">
        <v>539</v>
      </c>
      <c r="I1707" s="3" t="s">
        <v>30</v>
      </c>
      <c r="J1707" s="3">
        <v>387</v>
      </c>
      <c r="K1707" s="3">
        <v>125.63</v>
      </c>
      <c r="L1707" s="3">
        <v>157.29</v>
      </c>
      <c r="M1707" s="3">
        <v>60871.23</v>
      </c>
      <c r="N1707" s="3">
        <v>48618.81</v>
      </c>
      <c r="O1707" s="3">
        <v>12252.42</v>
      </c>
      <c r="P1707" s="3" t="s">
        <v>31</v>
      </c>
      <c r="Q1707" s="3" t="s">
        <v>63</v>
      </c>
      <c r="R1707" s="3">
        <v>5</v>
      </c>
      <c r="S1707" s="3" t="s">
        <v>43</v>
      </c>
      <c r="T1707" s="3">
        <v>3066</v>
      </c>
      <c r="U1707" s="3">
        <v>16</v>
      </c>
      <c r="V1707" s="3"/>
    </row>
    <row r="1708" spans="1:22" x14ac:dyDescent="0.35">
      <c r="A1708" s="2" t="s">
        <v>336</v>
      </c>
      <c r="B1708" s="2" t="s">
        <v>337</v>
      </c>
      <c r="C1708" s="2" t="s">
        <v>4274</v>
      </c>
      <c r="D1708" s="2" t="s">
        <v>339</v>
      </c>
      <c r="E1708" s="2" t="s">
        <v>48</v>
      </c>
      <c r="F1708" s="2" t="s">
        <v>281</v>
      </c>
      <c r="G1708" s="2" t="s">
        <v>217</v>
      </c>
      <c r="H1708" s="2" t="s">
        <v>340</v>
      </c>
      <c r="I1708" s="2" t="s">
        <v>293</v>
      </c>
      <c r="J1708" s="2">
        <v>177</v>
      </c>
      <c r="K1708" s="2">
        <v>364.66</v>
      </c>
      <c r="L1708" s="2">
        <v>518.63</v>
      </c>
      <c r="M1708" s="2">
        <v>91797.51</v>
      </c>
      <c r="N1708" s="2">
        <v>64544.82</v>
      </c>
      <c r="O1708" s="2">
        <v>27252.69</v>
      </c>
      <c r="P1708" s="2" t="s">
        <v>52</v>
      </c>
      <c r="Q1708" s="2" t="s">
        <v>32</v>
      </c>
      <c r="R1708" s="2">
        <v>13</v>
      </c>
      <c r="S1708" s="2" t="s">
        <v>158</v>
      </c>
      <c r="T1708" s="2">
        <v>468</v>
      </c>
      <c r="U1708" s="2">
        <v>8</v>
      </c>
      <c r="V1708" s="2"/>
    </row>
    <row r="1709" spans="1:22" x14ac:dyDescent="0.35">
      <c r="A1709" s="3" t="s">
        <v>4275</v>
      </c>
      <c r="B1709" s="3" t="s">
        <v>1233</v>
      </c>
      <c r="C1709" s="3" t="s">
        <v>1299</v>
      </c>
      <c r="D1709" s="3" t="s">
        <v>4276</v>
      </c>
      <c r="E1709" s="3" t="s">
        <v>58</v>
      </c>
      <c r="F1709" s="3" t="s">
        <v>116</v>
      </c>
      <c r="G1709" s="3" t="s">
        <v>60</v>
      </c>
      <c r="H1709" s="3" t="s">
        <v>61</v>
      </c>
      <c r="I1709" s="3" t="s">
        <v>240</v>
      </c>
      <c r="J1709" s="3">
        <v>527</v>
      </c>
      <c r="K1709" s="3">
        <v>170.05</v>
      </c>
      <c r="L1709" s="3">
        <v>190.62</v>
      </c>
      <c r="M1709" s="3">
        <v>100456.74</v>
      </c>
      <c r="N1709" s="3">
        <v>89616.35</v>
      </c>
      <c r="O1709" s="3">
        <v>10840.39</v>
      </c>
      <c r="P1709" s="3" t="s">
        <v>95</v>
      </c>
      <c r="Q1709" s="3" t="s">
        <v>63</v>
      </c>
      <c r="R1709" s="3">
        <v>3</v>
      </c>
      <c r="S1709" s="3" t="s">
        <v>33</v>
      </c>
      <c r="T1709" s="3">
        <v>3259</v>
      </c>
      <c r="U1709" s="3">
        <v>2</v>
      </c>
      <c r="V1709" s="3"/>
    </row>
    <row r="1710" spans="1:22" x14ac:dyDescent="0.35">
      <c r="A1710" s="2" t="s">
        <v>4277</v>
      </c>
      <c r="B1710" s="2" t="s">
        <v>1115</v>
      </c>
      <c r="C1710" s="2" t="s">
        <v>407</v>
      </c>
      <c r="D1710" s="2" t="s">
        <v>2112</v>
      </c>
      <c r="E1710" s="2" t="s">
        <v>58</v>
      </c>
      <c r="F1710" s="2" t="s">
        <v>259</v>
      </c>
      <c r="G1710" s="2" t="s">
        <v>189</v>
      </c>
      <c r="H1710" s="2" t="s">
        <v>437</v>
      </c>
      <c r="I1710" s="2" t="s">
        <v>153</v>
      </c>
      <c r="J1710" s="2">
        <v>640</v>
      </c>
      <c r="K1710" s="2">
        <v>494.02</v>
      </c>
      <c r="L1710" s="2">
        <v>786.76</v>
      </c>
      <c r="M1710" s="2">
        <v>503526.40000000002</v>
      </c>
      <c r="N1710" s="2">
        <v>316172.79999999999</v>
      </c>
      <c r="O1710" s="2">
        <v>187353.60000000001</v>
      </c>
      <c r="P1710" s="2" t="s">
        <v>95</v>
      </c>
      <c r="Q1710" s="2" t="s">
        <v>32</v>
      </c>
      <c r="R1710" s="2">
        <v>14</v>
      </c>
      <c r="S1710" s="2" t="s">
        <v>33</v>
      </c>
      <c r="T1710" s="2">
        <v>2502</v>
      </c>
      <c r="U1710" s="2">
        <v>2</v>
      </c>
      <c r="V1710" s="2"/>
    </row>
    <row r="1711" spans="1:22" x14ac:dyDescent="0.35">
      <c r="A1711" s="3" t="s">
        <v>4278</v>
      </c>
      <c r="B1711" s="3" t="s">
        <v>640</v>
      </c>
      <c r="C1711" s="3" t="s">
        <v>741</v>
      </c>
      <c r="D1711" s="3" t="s">
        <v>4279</v>
      </c>
      <c r="E1711" s="3" t="s">
        <v>68</v>
      </c>
      <c r="F1711" s="3" t="s">
        <v>146</v>
      </c>
      <c r="G1711" s="3" t="s">
        <v>39</v>
      </c>
      <c r="H1711" s="3" t="s">
        <v>664</v>
      </c>
      <c r="I1711" s="3" t="s">
        <v>293</v>
      </c>
      <c r="J1711" s="3">
        <v>345</v>
      </c>
      <c r="K1711" s="3">
        <v>389.48</v>
      </c>
      <c r="L1711" s="3">
        <v>483.84</v>
      </c>
      <c r="M1711" s="3">
        <v>166924.79999999999</v>
      </c>
      <c r="N1711" s="3">
        <v>134370.6</v>
      </c>
      <c r="O1711" s="3">
        <v>32554.2</v>
      </c>
      <c r="P1711" s="3" t="s">
        <v>31</v>
      </c>
      <c r="Q1711" s="3" t="s">
        <v>63</v>
      </c>
      <c r="R1711" s="3">
        <v>3</v>
      </c>
      <c r="S1711" s="3" t="s">
        <v>33</v>
      </c>
      <c r="T1711" s="3">
        <v>2723</v>
      </c>
      <c r="U1711" s="3">
        <v>7</v>
      </c>
      <c r="V1711" s="3"/>
    </row>
    <row r="1712" spans="1:22" x14ac:dyDescent="0.35">
      <c r="A1712" s="2" t="s">
        <v>4280</v>
      </c>
      <c r="B1712" s="2" t="s">
        <v>932</v>
      </c>
      <c r="C1712" s="2" t="s">
        <v>1307</v>
      </c>
      <c r="D1712" s="2" t="s">
        <v>4281</v>
      </c>
      <c r="E1712" s="2" t="s">
        <v>68</v>
      </c>
      <c r="F1712" s="2" t="s">
        <v>249</v>
      </c>
      <c r="G1712" s="2" t="s">
        <v>70</v>
      </c>
      <c r="H1712" s="2" t="s">
        <v>446</v>
      </c>
      <c r="I1712" s="2" t="s">
        <v>62</v>
      </c>
      <c r="J1712" s="2">
        <v>409</v>
      </c>
      <c r="K1712" s="2">
        <v>1144.82</v>
      </c>
      <c r="L1712" s="2">
        <v>1747.66</v>
      </c>
      <c r="M1712" s="2">
        <v>714792.94</v>
      </c>
      <c r="N1712" s="2">
        <v>468231.38</v>
      </c>
      <c r="O1712" s="2">
        <v>246561.56</v>
      </c>
      <c r="P1712" s="2" t="s">
        <v>31</v>
      </c>
      <c r="Q1712" s="2" t="s">
        <v>63</v>
      </c>
      <c r="R1712" s="2">
        <v>2</v>
      </c>
      <c r="S1712" s="2" t="s">
        <v>158</v>
      </c>
      <c r="T1712" s="2">
        <v>1624</v>
      </c>
      <c r="U1712" s="2">
        <v>19</v>
      </c>
      <c r="V1712" s="2"/>
    </row>
    <row r="1713" spans="1:22" x14ac:dyDescent="0.35">
      <c r="A1713" s="3" t="s">
        <v>4282</v>
      </c>
      <c r="B1713" s="3" t="s">
        <v>1542</v>
      </c>
      <c r="C1713" s="3" t="s">
        <v>1632</v>
      </c>
      <c r="D1713" s="3" t="s">
        <v>4231</v>
      </c>
      <c r="E1713" s="3" t="s">
        <v>68</v>
      </c>
      <c r="F1713" s="3" t="s">
        <v>276</v>
      </c>
      <c r="G1713" s="3" t="s">
        <v>60</v>
      </c>
      <c r="H1713" s="3" t="s">
        <v>400</v>
      </c>
      <c r="I1713" s="3" t="s">
        <v>85</v>
      </c>
      <c r="J1713" s="3">
        <v>706</v>
      </c>
      <c r="K1713" s="3">
        <v>162.5</v>
      </c>
      <c r="L1713" s="3">
        <v>246.68</v>
      </c>
      <c r="M1713" s="3">
        <v>174156.08</v>
      </c>
      <c r="N1713" s="3">
        <v>114725</v>
      </c>
      <c r="O1713" s="3">
        <v>59431.08</v>
      </c>
      <c r="P1713" s="3" t="s">
        <v>52</v>
      </c>
      <c r="Q1713" s="3" t="s">
        <v>63</v>
      </c>
      <c r="R1713" s="3">
        <v>2</v>
      </c>
      <c r="S1713" s="3" t="s">
        <v>86</v>
      </c>
      <c r="T1713" s="3">
        <v>3385</v>
      </c>
      <c r="U1713" s="3">
        <v>7</v>
      </c>
      <c r="V1713" s="3"/>
    </row>
    <row r="1714" spans="1:22" x14ac:dyDescent="0.35">
      <c r="A1714" s="2" t="s">
        <v>4283</v>
      </c>
      <c r="B1714" s="2" t="s">
        <v>427</v>
      </c>
      <c r="C1714" s="2" t="s">
        <v>2496</v>
      </c>
      <c r="D1714" s="2" t="s">
        <v>4284</v>
      </c>
      <c r="E1714" s="2" t="s">
        <v>100</v>
      </c>
      <c r="F1714" s="2" t="s">
        <v>106</v>
      </c>
      <c r="G1714" s="2" t="s">
        <v>70</v>
      </c>
      <c r="H1714" s="2" t="s">
        <v>84</v>
      </c>
      <c r="I1714" s="2" t="s">
        <v>191</v>
      </c>
      <c r="J1714" s="2">
        <v>172</v>
      </c>
      <c r="K1714" s="2">
        <v>229.94</v>
      </c>
      <c r="L1714" s="2">
        <v>293.89999999999998</v>
      </c>
      <c r="M1714" s="2">
        <v>50550.8</v>
      </c>
      <c r="N1714" s="2">
        <v>39549.68</v>
      </c>
      <c r="O1714" s="2">
        <v>11001.12</v>
      </c>
      <c r="P1714" s="2" t="s">
        <v>52</v>
      </c>
      <c r="Q1714" s="2" t="s">
        <v>32</v>
      </c>
      <c r="R1714" s="2">
        <v>15</v>
      </c>
      <c r="S1714" s="2" t="s">
        <v>53</v>
      </c>
      <c r="T1714" s="2">
        <v>3545</v>
      </c>
      <c r="U1714" s="2">
        <v>1</v>
      </c>
      <c r="V1714" s="2"/>
    </row>
    <row r="1715" spans="1:22" x14ac:dyDescent="0.35">
      <c r="A1715" s="3" t="s">
        <v>4285</v>
      </c>
      <c r="B1715" s="3" t="s">
        <v>46</v>
      </c>
      <c r="C1715" s="3" t="s">
        <v>509</v>
      </c>
      <c r="D1715" s="3" t="s">
        <v>4286</v>
      </c>
      <c r="E1715" s="3" t="s">
        <v>48</v>
      </c>
      <c r="F1715" s="3" t="s">
        <v>2791</v>
      </c>
      <c r="G1715" s="3" t="s">
        <v>129</v>
      </c>
      <c r="H1715" s="3" t="s">
        <v>316</v>
      </c>
      <c r="I1715" s="3" t="s">
        <v>62</v>
      </c>
      <c r="J1715" s="3">
        <v>683</v>
      </c>
      <c r="K1715" s="3">
        <v>1091.54</v>
      </c>
      <c r="L1715" s="3">
        <v>1377.12</v>
      </c>
      <c r="M1715" s="3">
        <v>940572.96</v>
      </c>
      <c r="N1715" s="3">
        <v>745521.82</v>
      </c>
      <c r="O1715" s="3">
        <v>195051.14</v>
      </c>
      <c r="P1715" s="3" t="s">
        <v>31</v>
      </c>
      <c r="Q1715" s="3" t="s">
        <v>63</v>
      </c>
      <c r="R1715" s="3">
        <v>2</v>
      </c>
      <c r="S1715" s="3" t="s">
        <v>112</v>
      </c>
      <c r="T1715" s="3">
        <v>1930</v>
      </c>
      <c r="U1715" s="3">
        <v>3</v>
      </c>
      <c r="V1715" s="3"/>
    </row>
    <row r="1716" spans="1:22" x14ac:dyDescent="0.35">
      <c r="A1716" s="2" t="s">
        <v>4287</v>
      </c>
      <c r="B1716" s="2" t="s">
        <v>778</v>
      </c>
      <c r="C1716" s="2" t="s">
        <v>432</v>
      </c>
      <c r="D1716" s="2" t="s">
        <v>4288</v>
      </c>
      <c r="E1716" s="2" t="s">
        <v>48</v>
      </c>
      <c r="F1716" s="2" t="s">
        <v>270</v>
      </c>
      <c r="G1716" s="2" t="s">
        <v>39</v>
      </c>
      <c r="H1716" s="2" t="s">
        <v>354</v>
      </c>
      <c r="I1716" s="2" t="s">
        <v>62</v>
      </c>
      <c r="J1716" s="2">
        <v>469</v>
      </c>
      <c r="K1716" s="2">
        <v>923.32</v>
      </c>
      <c r="L1716" s="2">
        <v>1059.3399999999999</v>
      </c>
      <c r="M1716" s="2">
        <v>496830.46</v>
      </c>
      <c r="N1716" s="2">
        <v>433037.08</v>
      </c>
      <c r="O1716" s="2">
        <v>63793.38</v>
      </c>
      <c r="P1716" s="2" t="s">
        <v>31</v>
      </c>
      <c r="Q1716" s="2" t="s">
        <v>32</v>
      </c>
      <c r="R1716" s="2">
        <v>10</v>
      </c>
      <c r="S1716" s="2" t="s">
        <v>33</v>
      </c>
      <c r="T1716" s="2">
        <v>4688</v>
      </c>
      <c r="U1716" s="2">
        <v>18</v>
      </c>
      <c r="V1716" s="2"/>
    </row>
    <row r="1717" spans="1:22" x14ac:dyDescent="0.35">
      <c r="A1717" s="3" t="s">
        <v>4289</v>
      </c>
      <c r="B1717" s="3" t="s">
        <v>398</v>
      </c>
      <c r="C1717" s="3" t="s">
        <v>45</v>
      </c>
      <c r="D1717" s="3" t="s">
        <v>3817</v>
      </c>
      <c r="E1717" s="3" t="s">
        <v>100</v>
      </c>
      <c r="F1717" s="3" t="s">
        <v>101</v>
      </c>
      <c r="G1717" s="3" t="s">
        <v>78</v>
      </c>
      <c r="H1717" s="3" t="s">
        <v>628</v>
      </c>
      <c r="I1717" s="3" t="s">
        <v>293</v>
      </c>
      <c r="J1717" s="3">
        <v>44</v>
      </c>
      <c r="K1717" s="3">
        <v>344.25</v>
      </c>
      <c r="L1717" s="3">
        <v>516.48</v>
      </c>
      <c r="M1717" s="3">
        <v>22725.119999999999</v>
      </c>
      <c r="N1717" s="3">
        <v>15147</v>
      </c>
      <c r="O1717" s="3">
        <v>7578.12</v>
      </c>
      <c r="P1717" s="3" t="s">
        <v>95</v>
      </c>
      <c r="Q1717" s="3" t="s">
        <v>32</v>
      </c>
      <c r="R1717" s="3">
        <v>11</v>
      </c>
      <c r="S1717" s="3" t="s">
        <v>158</v>
      </c>
      <c r="T1717" s="3">
        <v>71</v>
      </c>
      <c r="U1717" s="4" t="s">
        <v>980</v>
      </c>
      <c r="V1717" s="3"/>
    </row>
    <row r="1718" spans="1:22" x14ac:dyDescent="0.35">
      <c r="A1718" s="2" t="s">
        <v>4290</v>
      </c>
      <c r="B1718" s="2" t="s">
        <v>4291</v>
      </c>
      <c r="C1718" s="2" t="s">
        <v>938</v>
      </c>
      <c r="D1718" s="2" t="s">
        <v>4292</v>
      </c>
      <c r="E1718" s="2" t="s">
        <v>26</v>
      </c>
      <c r="F1718" s="2" t="s">
        <v>38</v>
      </c>
      <c r="G1718" s="2" t="s">
        <v>50</v>
      </c>
      <c r="H1718" s="2" t="s">
        <v>51</v>
      </c>
      <c r="I1718" s="2" t="s">
        <v>1712</v>
      </c>
      <c r="J1718" s="2">
        <v>604</v>
      </c>
      <c r="K1718" s="2">
        <v>999.57</v>
      </c>
      <c r="L1718" s="2">
        <v>1298.28</v>
      </c>
      <c r="M1718" s="2">
        <v>784161.12</v>
      </c>
      <c r="N1718" s="2">
        <v>603740.28</v>
      </c>
      <c r="O1718" s="2">
        <v>180420.84</v>
      </c>
      <c r="P1718" s="2" t="s">
        <v>52</v>
      </c>
      <c r="Q1718" s="2" t="s">
        <v>32</v>
      </c>
      <c r="R1718" s="2">
        <v>7</v>
      </c>
      <c r="S1718" s="2" t="s">
        <v>43</v>
      </c>
      <c r="T1718" s="2">
        <v>3271</v>
      </c>
      <c r="U1718" s="2">
        <v>12</v>
      </c>
      <c r="V1718" s="2"/>
    </row>
    <row r="1719" spans="1:22" x14ac:dyDescent="0.35">
      <c r="A1719" s="3" t="s">
        <v>4293</v>
      </c>
      <c r="B1719" s="3" t="s">
        <v>2500</v>
      </c>
      <c r="C1719" s="3" t="s">
        <v>513</v>
      </c>
      <c r="D1719" s="3" t="s">
        <v>1389</v>
      </c>
      <c r="E1719" s="3" t="s">
        <v>48</v>
      </c>
      <c r="F1719" s="3" t="s">
        <v>183</v>
      </c>
      <c r="G1719" s="3" t="s">
        <v>60</v>
      </c>
      <c r="H1719" s="3" t="s">
        <v>164</v>
      </c>
      <c r="I1719" s="3" t="s">
        <v>118</v>
      </c>
      <c r="J1719" s="3">
        <v>427</v>
      </c>
      <c r="K1719" s="3">
        <v>816.73</v>
      </c>
      <c r="L1719" s="3">
        <v>1193.97</v>
      </c>
      <c r="M1719" s="3">
        <v>509825.19</v>
      </c>
      <c r="N1719" s="3">
        <v>348743.71</v>
      </c>
      <c r="O1719" s="3">
        <v>161081.48000000001</v>
      </c>
      <c r="P1719" s="3" t="s">
        <v>31</v>
      </c>
      <c r="Q1719" s="3" t="s">
        <v>32</v>
      </c>
      <c r="R1719" s="3">
        <v>7</v>
      </c>
      <c r="S1719" s="3" t="s">
        <v>112</v>
      </c>
      <c r="T1719" s="3">
        <v>1253</v>
      </c>
      <c r="U1719" s="3">
        <v>5</v>
      </c>
      <c r="V1719" s="3"/>
    </row>
    <row r="1720" spans="1:22" x14ac:dyDescent="0.35">
      <c r="A1720" s="2" t="s">
        <v>4294</v>
      </c>
      <c r="B1720" s="2" t="s">
        <v>676</v>
      </c>
      <c r="C1720" s="2" t="s">
        <v>533</v>
      </c>
      <c r="D1720" s="2" t="s">
        <v>4295</v>
      </c>
      <c r="E1720" s="2" t="s">
        <v>48</v>
      </c>
      <c r="F1720" s="2" t="s">
        <v>281</v>
      </c>
      <c r="G1720" s="2" t="s">
        <v>78</v>
      </c>
      <c r="H1720" s="2" t="s">
        <v>572</v>
      </c>
      <c r="I1720" s="2" t="s">
        <v>124</v>
      </c>
      <c r="J1720" s="2">
        <v>652</v>
      </c>
      <c r="K1720" s="2">
        <v>862.73</v>
      </c>
      <c r="L1720" s="2">
        <v>1269.9000000000001</v>
      </c>
      <c r="M1720" s="2">
        <v>827974.8</v>
      </c>
      <c r="N1720" s="2">
        <v>562499.96</v>
      </c>
      <c r="O1720" s="2">
        <v>265474.84000000003</v>
      </c>
      <c r="P1720" s="2" t="s">
        <v>31</v>
      </c>
      <c r="Q1720" s="2" t="s">
        <v>63</v>
      </c>
      <c r="R1720" s="2">
        <v>5</v>
      </c>
      <c r="S1720" s="2" t="s">
        <v>158</v>
      </c>
      <c r="T1720" s="2">
        <v>1914</v>
      </c>
      <c r="U1720" s="2">
        <v>7</v>
      </c>
      <c r="V1720" s="2"/>
    </row>
    <row r="1721" spans="1:22" x14ac:dyDescent="0.35">
      <c r="A1721" s="3" t="s">
        <v>4296</v>
      </c>
      <c r="B1721" s="3" t="s">
        <v>484</v>
      </c>
      <c r="C1721" s="3" t="s">
        <v>1341</v>
      </c>
      <c r="D1721" s="3" t="s">
        <v>4297</v>
      </c>
      <c r="E1721" s="3" t="s">
        <v>48</v>
      </c>
      <c r="F1721" s="3" t="s">
        <v>281</v>
      </c>
      <c r="G1721" s="3" t="s">
        <v>78</v>
      </c>
      <c r="H1721" s="3" t="s">
        <v>481</v>
      </c>
      <c r="I1721" s="3" t="s">
        <v>293</v>
      </c>
      <c r="J1721" s="3">
        <v>691</v>
      </c>
      <c r="K1721" s="3">
        <v>1065.1199999999999</v>
      </c>
      <c r="L1721" s="3">
        <v>1394.86</v>
      </c>
      <c r="M1721" s="3">
        <v>963848.26</v>
      </c>
      <c r="N1721" s="3">
        <v>735997.92</v>
      </c>
      <c r="O1721" s="3">
        <v>227850.34</v>
      </c>
      <c r="P1721" s="3" t="s">
        <v>42</v>
      </c>
      <c r="Q1721" s="3" t="s">
        <v>63</v>
      </c>
      <c r="R1721" s="3">
        <v>3</v>
      </c>
      <c r="S1721" s="3" t="s">
        <v>33</v>
      </c>
      <c r="T1721" s="3">
        <v>2054</v>
      </c>
      <c r="U1721" s="3">
        <v>24</v>
      </c>
      <c r="V1721" s="3"/>
    </row>
    <row r="1722" spans="1:22" x14ac:dyDescent="0.35">
      <c r="A1722" s="2" t="s">
        <v>4298</v>
      </c>
      <c r="B1722" s="2" t="s">
        <v>2171</v>
      </c>
      <c r="C1722" s="2" t="s">
        <v>285</v>
      </c>
      <c r="D1722" s="2" t="s">
        <v>4299</v>
      </c>
      <c r="E1722" s="2" t="s">
        <v>26</v>
      </c>
      <c r="F1722" s="2" t="s">
        <v>92</v>
      </c>
      <c r="G1722" s="2" t="s">
        <v>39</v>
      </c>
      <c r="H1722" s="2" t="s">
        <v>527</v>
      </c>
      <c r="I1722" s="2" t="s">
        <v>4300</v>
      </c>
      <c r="J1722" s="2">
        <v>748</v>
      </c>
      <c r="K1722" s="2">
        <v>464.11</v>
      </c>
      <c r="L1722" s="2">
        <v>731.43</v>
      </c>
      <c r="M1722" s="2">
        <v>547109.64</v>
      </c>
      <c r="N1722" s="2">
        <v>347154.28</v>
      </c>
      <c r="O1722" s="2">
        <v>199955.36</v>
      </c>
      <c r="P1722" s="2" t="s">
        <v>95</v>
      </c>
      <c r="Q1722" s="2" t="s">
        <v>32</v>
      </c>
      <c r="R1722" s="2">
        <v>9</v>
      </c>
      <c r="S1722" s="2" t="s">
        <v>158</v>
      </c>
      <c r="T1722" s="2">
        <v>272</v>
      </c>
      <c r="U1722" s="2">
        <v>0</v>
      </c>
      <c r="V1722" s="2"/>
    </row>
    <row r="1723" spans="1:22" x14ac:dyDescent="0.35">
      <c r="A1723" s="3" t="s">
        <v>4301</v>
      </c>
      <c r="B1723" s="3" t="s">
        <v>1612</v>
      </c>
      <c r="C1723" s="3" t="s">
        <v>574</v>
      </c>
      <c r="D1723" s="3" t="s">
        <v>2729</v>
      </c>
      <c r="E1723" s="3" t="s">
        <v>58</v>
      </c>
      <c r="F1723" s="3" t="s">
        <v>417</v>
      </c>
      <c r="G1723" s="3" t="s">
        <v>129</v>
      </c>
      <c r="H1723" s="3" t="s">
        <v>130</v>
      </c>
      <c r="I1723" s="3" t="s">
        <v>85</v>
      </c>
      <c r="J1723" s="3">
        <v>769</v>
      </c>
      <c r="K1723" s="3">
        <v>900.42</v>
      </c>
      <c r="L1723" s="3">
        <v>1472.19</v>
      </c>
      <c r="M1723" s="3">
        <v>1132114.1100000001</v>
      </c>
      <c r="N1723" s="3">
        <v>692422.98</v>
      </c>
      <c r="O1723" s="3">
        <v>439691.13</v>
      </c>
      <c r="P1723" s="3" t="s">
        <v>52</v>
      </c>
      <c r="Q1723" s="3" t="s">
        <v>63</v>
      </c>
      <c r="R1723" s="3">
        <v>0</v>
      </c>
      <c r="S1723" s="3" t="s">
        <v>53</v>
      </c>
      <c r="T1723" s="3">
        <v>3182</v>
      </c>
      <c r="U1723" s="3">
        <v>11</v>
      </c>
      <c r="V1723" s="3"/>
    </row>
    <row r="1724" spans="1:22" x14ac:dyDescent="0.35">
      <c r="A1724" s="2" t="s">
        <v>4302</v>
      </c>
      <c r="B1724" s="2" t="s">
        <v>764</v>
      </c>
      <c r="C1724" s="2" t="s">
        <v>4303</v>
      </c>
      <c r="D1724" s="2" t="s">
        <v>4304</v>
      </c>
      <c r="E1724" s="2" t="s">
        <v>48</v>
      </c>
      <c r="F1724" s="2" t="s">
        <v>223</v>
      </c>
      <c r="G1724" s="2" t="s">
        <v>189</v>
      </c>
      <c r="H1724" s="2" t="s">
        <v>311</v>
      </c>
      <c r="I1724" s="4"/>
      <c r="J1724" s="2">
        <v>371</v>
      </c>
      <c r="K1724" s="2">
        <v>-0.5</v>
      </c>
      <c r="L1724" s="2">
        <v>1275.72</v>
      </c>
      <c r="M1724" s="2">
        <v>473292.12</v>
      </c>
      <c r="N1724" s="2">
        <v>414763.16</v>
      </c>
      <c r="O1724" s="2">
        <v>58528.959999999999</v>
      </c>
      <c r="P1724" s="2" t="s">
        <v>52</v>
      </c>
      <c r="Q1724" s="2" t="s">
        <v>32</v>
      </c>
      <c r="R1724" s="2">
        <v>14</v>
      </c>
      <c r="S1724" s="2" t="s">
        <v>86</v>
      </c>
      <c r="T1724" s="4" t="s">
        <v>980</v>
      </c>
      <c r="U1724" s="2">
        <v>2</v>
      </c>
      <c r="V1724" s="2"/>
    </row>
    <row r="1725" spans="1:22" x14ac:dyDescent="0.35">
      <c r="A1725" s="3" t="s">
        <v>4305</v>
      </c>
      <c r="B1725" s="3" t="s">
        <v>4306</v>
      </c>
      <c r="C1725" s="3" t="s">
        <v>1753</v>
      </c>
      <c r="D1725" s="3" t="s">
        <v>4307</v>
      </c>
      <c r="E1725" s="3" t="s">
        <v>48</v>
      </c>
      <c r="F1725" s="3" t="s">
        <v>281</v>
      </c>
      <c r="G1725" s="3" t="s">
        <v>93</v>
      </c>
      <c r="H1725" s="3" t="s">
        <v>1442</v>
      </c>
      <c r="I1725" s="3" t="s">
        <v>124</v>
      </c>
      <c r="J1725" s="3">
        <v>517</v>
      </c>
      <c r="K1725" s="3">
        <v>1025.3599999999999</v>
      </c>
      <c r="L1725" s="3">
        <v>1403.04</v>
      </c>
      <c r="M1725" s="3">
        <v>725371.68</v>
      </c>
      <c r="N1725" s="3">
        <v>530111.12</v>
      </c>
      <c r="O1725" s="3">
        <v>195260.56</v>
      </c>
      <c r="P1725" s="3" t="s">
        <v>52</v>
      </c>
      <c r="Q1725" s="3" t="s">
        <v>32</v>
      </c>
      <c r="R1725" s="3">
        <v>6</v>
      </c>
      <c r="S1725" s="3" t="s">
        <v>158</v>
      </c>
      <c r="T1725" s="3">
        <v>2879</v>
      </c>
      <c r="U1725" s="3">
        <v>24</v>
      </c>
      <c r="V1725" s="3"/>
    </row>
    <row r="1726" spans="1:22" x14ac:dyDescent="0.35">
      <c r="A1726" s="2" t="s">
        <v>4308</v>
      </c>
      <c r="B1726" s="2" t="s">
        <v>487</v>
      </c>
      <c r="C1726" s="2" t="s">
        <v>4309</v>
      </c>
      <c r="D1726" s="2" t="s">
        <v>4310</v>
      </c>
      <c r="E1726" s="2" t="s">
        <v>26</v>
      </c>
      <c r="F1726" s="2" t="s">
        <v>38</v>
      </c>
      <c r="G1726" s="2" t="s">
        <v>39</v>
      </c>
      <c r="H1726" s="2" t="s">
        <v>647</v>
      </c>
      <c r="I1726" s="2" t="s">
        <v>85</v>
      </c>
      <c r="J1726" s="2">
        <v>609</v>
      </c>
      <c r="K1726" s="2">
        <v>1098</v>
      </c>
      <c r="L1726" s="2">
        <v>1465.75</v>
      </c>
      <c r="M1726" s="2">
        <v>892641.75</v>
      </c>
      <c r="N1726" s="2">
        <v>668682</v>
      </c>
      <c r="O1726" s="2">
        <v>223959.75</v>
      </c>
      <c r="P1726" s="2" t="s">
        <v>42</v>
      </c>
      <c r="Q1726" s="2" t="s">
        <v>63</v>
      </c>
      <c r="R1726" s="2">
        <v>5</v>
      </c>
      <c r="S1726" s="2" t="s">
        <v>86</v>
      </c>
      <c r="T1726" s="2">
        <v>397</v>
      </c>
      <c r="U1726" s="2">
        <v>21</v>
      </c>
      <c r="V1726" s="2"/>
    </row>
    <row r="1727" spans="1:22" x14ac:dyDescent="0.35">
      <c r="A1727" s="3" t="s">
        <v>4311</v>
      </c>
      <c r="B1727" s="3" t="s">
        <v>650</v>
      </c>
      <c r="C1727" s="3" t="s">
        <v>1294</v>
      </c>
      <c r="D1727" s="3" t="s">
        <v>4312</v>
      </c>
      <c r="E1727" s="3" t="s">
        <v>26</v>
      </c>
      <c r="F1727" s="3" t="s">
        <v>38</v>
      </c>
      <c r="G1727" s="3" t="s">
        <v>78</v>
      </c>
      <c r="H1727" s="3" t="s">
        <v>628</v>
      </c>
      <c r="I1727" s="3" t="s">
        <v>124</v>
      </c>
      <c r="J1727" s="3">
        <v>397</v>
      </c>
      <c r="K1727" s="3">
        <v>235.58</v>
      </c>
      <c r="L1727" s="3">
        <v>346.45</v>
      </c>
      <c r="M1727" s="3">
        <v>137540.65</v>
      </c>
      <c r="N1727" s="3">
        <v>93525.26</v>
      </c>
      <c r="O1727" s="3">
        <v>44015.39</v>
      </c>
      <c r="P1727" s="3" t="s">
        <v>95</v>
      </c>
      <c r="Q1727" s="4"/>
      <c r="R1727" s="3">
        <v>13</v>
      </c>
      <c r="S1727" s="3" t="s">
        <v>33</v>
      </c>
      <c r="T1727" s="3">
        <v>4536</v>
      </c>
      <c r="U1727" s="3">
        <v>16</v>
      </c>
      <c r="V1727" s="3"/>
    </row>
    <row r="1728" spans="1:22" x14ac:dyDescent="0.35">
      <c r="A1728" s="2" t="s">
        <v>4313</v>
      </c>
      <c r="B1728" s="2" t="s">
        <v>2122</v>
      </c>
      <c r="C1728" s="2" t="s">
        <v>3976</v>
      </c>
      <c r="D1728" s="2" t="s">
        <v>4314</v>
      </c>
      <c r="E1728" s="2" t="s">
        <v>48</v>
      </c>
      <c r="F1728" s="2" t="s">
        <v>223</v>
      </c>
      <c r="G1728" s="2" t="s">
        <v>129</v>
      </c>
      <c r="H1728" s="2" t="s">
        <v>345</v>
      </c>
      <c r="I1728" s="2" t="s">
        <v>72</v>
      </c>
      <c r="J1728" s="2">
        <v>159</v>
      </c>
      <c r="K1728" s="2">
        <v>989.59</v>
      </c>
      <c r="L1728" s="2">
        <v>1374.57</v>
      </c>
      <c r="M1728" s="2">
        <v>218556.63</v>
      </c>
      <c r="N1728" s="2">
        <v>157344.81</v>
      </c>
      <c r="O1728" s="2">
        <v>61211.82</v>
      </c>
      <c r="P1728" s="2" t="s">
        <v>52</v>
      </c>
      <c r="Q1728" s="2" t="s">
        <v>63</v>
      </c>
      <c r="R1728" s="2">
        <v>3</v>
      </c>
      <c r="S1728" s="2" t="s">
        <v>86</v>
      </c>
      <c r="T1728" s="2">
        <v>1003</v>
      </c>
      <c r="U1728" s="2">
        <v>2</v>
      </c>
      <c r="V1728" s="2"/>
    </row>
    <row r="1729" spans="1:22" x14ac:dyDescent="0.35">
      <c r="A1729" s="3" t="s">
        <v>4315</v>
      </c>
      <c r="B1729" s="3" t="s">
        <v>1873</v>
      </c>
      <c r="C1729" s="3" t="s">
        <v>513</v>
      </c>
      <c r="D1729" s="3" t="s">
        <v>3023</v>
      </c>
      <c r="E1729" s="4"/>
      <c r="F1729" s="3" t="s">
        <v>77</v>
      </c>
      <c r="G1729" s="3" t="s">
        <v>70</v>
      </c>
      <c r="H1729" s="3" t="s">
        <v>84</v>
      </c>
      <c r="I1729" s="3" t="s">
        <v>72</v>
      </c>
      <c r="J1729" s="3">
        <v>460</v>
      </c>
      <c r="K1729" s="3">
        <v>168.36</v>
      </c>
      <c r="L1729" s="3">
        <v>241.97</v>
      </c>
      <c r="M1729" s="3">
        <v>111306.2</v>
      </c>
      <c r="N1729" s="3">
        <v>77445.600000000006</v>
      </c>
      <c r="O1729" s="3">
        <v>33860.6</v>
      </c>
      <c r="P1729" s="3" t="s">
        <v>95</v>
      </c>
      <c r="Q1729" s="3" t="s">
        <v>32</v>
      </c>
      <c r="R1729" s="3">
        <v>12</v>
      </c>
      <c r="S1729" s="3" t="s">
        <v>86</v>
      </c>
      <c r="T1729" s="3">
        <v>1947</v>
      </c>
      <c r="U1729" s="3">
        <v>5</v>
      </c>
      <c r="V1729" s="3"/>
    </row>
    <row r="1730" spans="1:22" x14ac:dyDescent="0.35">
      <c r="A1730" s="2" t="s">
        <v>4316</v>
      </c>
      <c r="B1730" s="2" t="s">
        <v>1995</v>
      </c>
      <c r="C1730" s="2" t="s">
        <v>181</v>
      </c>
      <c r="D1730" s="2" t="s">
        <v>4317</v>
      </c>
      <c r="E1730" s="2" t="s">
        <v>68</v>
      </c>
      <c r="F1730" s="2" t="s">
        <v>69</v>
      </c>
      <c r="G1730" s="2" t="s">
        <v>129</v>
      </c>
      <c r="H1730" s="2" t="s">
        <v>811</v>
      </c>
      <c r="I1730" s="2" t="s">
        <v>118</v>
      </c>
      <c r="J1730" s="2">
        <v>392</v>
      </c>
      <c r="K1730" s="2">
        <v>860.95</v>
      </c>
      <c r="L1730" s="2">
        <v>1054.6099999999999</v>
      </c>
      <c r="M1730" s="2">
        <v>413407.12</v>
      </c>
      <c r="N1730" s="2">
        <v>337492.4</v>
      </c>
      <c r="O1730" s="2">
        <v>75914.720000000001</v>
      </c>
      <c r="P1730" s="2" t="s">
        <v>31</v>
      </c>
      <c r="Q1730" s="2" t="s">
        <v>63</v>
      </c>
      <c r="R1730" s="2">
        <v>5</v>
      </c>
      <c r="S1730" s="2" t="s">
        <v>33</v>
      </c>
      <c r="T1730" s="2">
        <v>3364</v>
      </c>
      <c r="U1730" s="2">
        <v>11</v>
      </c>
      <c r="V1730" s="2"/>
    </row>
    <row r="1731" spans="1:22" x14ac:dyDescent="0.35">
      <c r="A1731" s="3" t="s">
        <v>4318</v>
      </c>
      <c r="B1731" s="3" t="s">
        <v>1043</v>
      </c>
      <c r="C1731" s="3" t="s">
        <v>1169</v>
      </c>
      <c r="D1731" s="3" t="s">
        <v>4319</v>
      </c>
      <c r="E1731" s="3" t="s">
        <v>48</v>
      </c>
      <c r="F1731" s="3" t="s">
        <v>281</v>
      </c>
      <c r="G1731" s="3" t="s">
        <v>129</v>
      </c>
      <c r="H1731" s="4"/>
      <c r="I1731" s="3" t="s">
        <v>30</v>
      </c>
      <c r="J1731" s="3">
        <v>552</v>
      </c>
      <c r="K1731" s="3">
        <v>685.38</v>
      </c>
      <c r="L1731" s="3">
        <v>862.79</v>
      </c>
      <c r="M1731" s="3">
        <v>476260.08</v>
      </c>
      <c r="N1731" s="3">
        <v>378329.76</v>
      </c>
      <c r="O1731" s="3">
        <v>97930.32</v>
      </c>
      <c r="P1731" s="3" t="s">
        <v>42</v>
      </c>
      <c r="Q1731" s="3" t="s">
        <v>32</v>
      </c>
      <c r="R1731" s="3">
        <v>10</v>
      </c>
      <c r="S1731" s="3" t="s">
        <v>33</v>
      </c>
      <c r="T1731" s="3">
        <v>1672</v>
      </c>
      <c r="U1731" s="3">
        <v>26</v>
      </c>
      <c r="V1731" s="3"/>
    </row>
    <row r="1732" spans="1:22" x14ac:dyDescent="0.35">
      <c r="A1732" s="2" t="s">
        <v>4320</v>
      </c>
      <c r="B1732" s="2" t="s">
        <v>181</v>
      </c>
      <c r="C1732" s="2" t="s">
        <v>1253</v>
      </c>
      <c r="D1732" s="2" t="s">
        <v>4321</v>
      </c>
      <c r="E1732" s="2" t="s">
        <v>58</v>
      </c>
      <c r="F1732" s="2" t="s">
        <v>59</v>
      </c>
      <c r="G1732" s="2" t="s">
        <v>28</v>
      </c>
      <c r="H1732" s="2" t="s">
        <v>674</v>
      </c>
      <c r="I1732" s="2" t="s">
        <v>72</v>
      </c>
      <c r="J1732" s="2">
        <v>784</v>
      </c>
      <c r="K1732" s="2">
        <v>101.77</v>
      </c>
      <c r="L1732" s="2">
        <v>153.13</v>
      </c>
      <c r="M1732" s="2">
        <v>120053.92</v>
      </c>
      <c r="N1732" s="2">
        <v>79787.679999999993</v>
      </c>
      <c r="O1732" s="2">
        <v>40266.239999999998</v>
      </c>
      <c r="P1732" s="2" t="s">
        <v>95</v>
      </c>
      <c r="Q1732" s="2" t="s">
        <v>32</v>
      </c>
      <c r="R1732" s="2">
        <v>6</v>
      </c>
      <c r="S1732" s="2" t="s">
        <v>158</v>
      </c>
      <c r="T1732" s="2">
        <v>1327</v>
      </c>
      <c r="U1732" s="2">
        <v>30</v>
      </c>
      <c r="V1732" s="2"/>
    </row>
    <row r="1733" spans="1:22" x14ac:dyDescent="0.35">
      <c r="A1733" s="2" t="s">
        <v>4322</v>
      </c>
      <c r="B1733" s="2" t="s">
        <v>850</v>
      </c>
      <c r="C1733" s="2" t="s">
        <v>1307</v>
      </c>
      <c r="D1733" s="2" t="s">
        <v>4323</v>
      </c>
      <c r="E1733" s="2" t="s">
        <v>100</v>
      </c>
      <c r="F1733" s="2" t="s">
        <v>330</v>
      </c>
      <c r="G1733" s="2" t="s">
        <v>50</v>
      </c>
      <c r="H1733" s="2" t="s">
        <v>260</v>
      </c>
      <c r="I1733" s="2" t="s">
        <v>2409</v>
      </c>
      <c r="J1733" s="2">
        <v>562</v>
      </c>
      <c r="K1733" s="2">
        <v>922.41</v>
      </c>
      <c r="L1733" s="2">
        <v>1046.6600000000001</v>
      </c>
      <c r="M1733" s="2">
        <v>588222.92000000004</v>
      </c>
      <c r="N1733" s="2">
        <v>518394.42</v>
      </c>
      <c r="O1733" s="2">
        <v>69828.5</v>
      </c>
      <c r="P1733" s="2" t="s">
        <v>42</v>
      </c>
      <c r="Q1733" s="2" t="s">
        <v>32</v>
      </c>
      <c r="R1733" s="2">
        <v>11</v>
      </c>
      <c r="S1733" s="2" t="s">
        <v>33</v>
      </c>
      <c r="T1733" s="2">
        <v>2337</v>
      </c>
      <c r="U1733" s="2">
        <v>20</v>
      </c>
      <c r="V1733" s="2"/>
    </row>
    <row r="1734" spans="1:22" x14ac:dyDescent="0.35">
      <c r="A1734" s="3" t="s">
        <v>4324</v>
      </c>
      <c r="B1734" s="3" t="s">
        <v>458</v>
      </c>
      <c r="C1734" s="3" t="s">
        <v>650</v>
      </c>
      <c r="D1734" s="3" t="s">
        <v>4325</v>
      </c>
      <c r="E1734" s="3" t="s">
        <v>26</v>
      </c>
      <c r="F1734" s="3" t="s">
        <v>38</v>
      </c>
      <c r="G1734" s="3" t="s">
        <v>93</v>
      </c>
      <c r="H1734" s="3" t="s">
        <v>321</v>
      </c>
      <c r="I1734" s="3" t="s">
        <v>293</v>
      </c>
      <c r="J1734" s="3">
        <v>475</v>
      </c>
      <c r="K1734" s="3">
        <v>577.79</v>
      </c>
      <c r="L1734" s="3">
        <v>939.49</v>
      </c>
      <c r="M1734" s="3">
        <v>446257.75</v>
      </c>
      <c r="N1734" s="3">
        <v>274450.25</v>
      </c>
      <c r="O1734" s="3">
        <v>171807.5</v>
      </c>
      <c r="P1734" s="3" t="s">
        <v>42</v>
      </c>
      <c r="Q1734" s="3" t="s">
        <v>63</v>
      </c>
      <c r="R1734" s="3">
        <v>4</v>
      </c>
      <c r="S1734" s="3" t="s">
        <v>53</v>
      </c>
      <c r="T1734" s="3">
        <v>2686</v>
      </c>
      <c r="U1734" s="3">
        <v>22</v>
      </c>
      <c r="V1734" s="3"/>
    </row>
    <row r="1735" spans="1:22" x14ac:dyDescent="0.35">
      <c r="A1735" s="2" t="s">
        <v>4326</v>
      </c>
      <c r="B1735" s="2" t="s">
        <v>1353</v>
      </c>
      <c r="C1735" s="2" t="s">
        <v>1445</v>
      </c>
      <c r="D1735" s="2" t="s">
        <v>913</v>
      </c>
      <c r="E1735" s="2" t="s">
        <v>100</v>
      </c>
      <c r="F1735" s="2" t="s">
        <v>330</v>
      </c>
      <c r="G1735" s="2" t="s">
        <v>129</v>
      </c>
      <c r="H1735" s="2" t="s">
        <v>152</v>
      </c>
      <c r="I1735" s="2" t="s">
        <v>191</v>
      </c>
      <c r="J1735" s="2">
        <v>429</v>
      </c>
      <c r="K1735" s="2">
        <v>476.22</v>
      </c>
      <c r="L1735" s="2">
        <v>720.41</v>
      </c>
      <c r="M1735" s="2">
        <v>309055.89</v>
      </c>
      <c r="N1735" s="2">
        <v>204298.38</v>
      </c>
      <c r="O1735" s="2">
        <v>104757.51</v>
      </c>
      <c r="P1735" s="2" t="s">
        <v>52</v>
      </c>
      <c r="Q1735" s="2" t="s">
        <v>63</v>
      </c>
      <c r="R1735" s="2">
        <v>3</v>
      </c>
      <c r="S1735" s="2" t="s">
        <v>158</v>
      </c>
      <c r="T1735" s="2">
        <v>3325</v>
      </c>
      <c r="U1735" s="2">
        <v>6</v>
      </c>
      <c r="V1735" s="2"/>
    </row>
    <row r="1736" spans="1:22" x14ac:dyDescent="0.35">
      <c r="A1736" s="3" t="s">
        <v>4327</v>
      </c>
      <c r="B1736" s="3" t="s">
        <v>1119</v>
      </c>
      <c r="C1736" s="3" t="s">
        <v>1566</v>
      </c>
      <c r="D1736" s="3" t="s">
        <v>4328</v>
      </c>
      <c r="E1736" s="3" t="s">
        <v>100</v>
      </c>
      <c r="F1736" s="3" t="s">
        <v>238</v>
      </c>
      <c r="G1736" s="3" t="s">
        <v>217</v>
      </c>
      <c r="H1736" s="3" t="s">
        <v>725</v>
      </c>
      <c r="I1736" s="3" t="s">
        <v>72</v>
      </c>
      <c r="J1736" s="3">
        <v>31</v>
      </c>
      <c r="K1736" s="3">
        <v>845.34</v>
      </c>
      <c r="L1736" s="3">
        <v>1198.0899999999999</v>
      </c>
      <c r="M1736" s="3">
        <v>37140.79</v>
      </c>
      <c r="N1736" s="3">
        <v>26205.54</v>
      </c>
      <c r="O1736" s="3">
        <v>10935.25</v>
      </c>
      <c r="P1736" s="3" t="s">
        <v>95</v>
      </c>
      <c r="Q1736" s="3" t="s">
        <v>32</v>
      </c>
      <c r="R1736" s="3">
        <v>11</v>
      </c>
      <c r="S1736" s="3" t="s">
        <v>33</v>
      </c>
      <c r="T1736" s="3">
        <v>3638</v>
      </c>
      <c r="U1736" s="3">
        <v>0</v>
      </c>
      <c r="V1736" s="3"/>
    </row>
    <row r="1737" spans="1:22" x14ac:dyDescent="0.35">
      <c r="A1737" s="2" t="s">
        <v>4329</v>
      </c>
      <c r="B1737" s="2" t="s">
        <v>309</v>
      </c>
      <c r="C1737" s="2" t="s">
        <v>992</v>
      </c>
      <c r="D1737" s="2" t="s">
        <v>4330</v>
      </c>
      <c r="E1737" s="2" t="s">
        <v>100</v>
      </c>
      <c r="F1737" s="2" t="s">
        <v>238</v>
      </c>
      <c r="G1737" s="2" t="s">
        <v>78</v>
      </c>
      <c r="H1737" s="2" t="s">
        <v>79</v>
      </c>
      <c r="I1737" s="2" t="s">
        <v>153</v>
      </c>
      <c r="J1737" s="2">
        <v>442</v>
      </c>
      <c r="K1737" s="2">
        <v>835.06</v>
      </c>
      <c r="L1737" s="2">
        <v>949.95</v>
      </c>
      <c r="M1737" s="2">
        <v>419877.9</v>
      </c>
      <c r="N1737" s="2">
        <v>369096.52</v>
      </c>
      <c r="O1737" s="2">
        <v>50781.38</v>
      </c>
      <c r="P1737" s="2" t="s">
        <v>52</v>
      </c>
      <c r="Q1737" s="2" t="s">
        <v>32</v>
      </c>
      <c r="R1737" s="2">
        <v>11</v>
      </c>
      <c r="S1737" s="2" t="s">
        <v>53</v>
      </c>
      <c r="T1737" s="2">
        <v>4386</v>
      </c>
      <c r="U1737" s="2">
        <v>0</v>
      </c>
      <c r="V1737" s="2"/>
    </row>
    <row r="1738" spans="1:22" x14ac:dyDescent="0.35">
      <c r="A1738" s="3" t="s">
        <v>4331</v>
      </c>
      <c r="B1738" s="3" t="s">
        <v>1471</v>
      </c>
      <c r="C1738" s="3" t="s">
        <v>1174</v>
      </c>
      <c r="D1738" s="3" t="s">
        <v>4332</v>
      </c>
      <c r="E1738" s="3" t="s">
        <v>26</v>
      </c>
      <c r="F1738" s="3" t="s">
        <v>92</v>
      </c>
      <c r="G1738" s="3" t="s">
        <v>93</v>
      </c>
      <c r="H1738" s="3" t="s">
        <v>94</v>
      </c>
      <c r="I1738" s="3" t="s">
        <v>124</v>
      </c>
      <c r="J1738" s="3">
        <v>178</v>
      </c>
      <c r="K1738" s="3">
        <v>739.23</v>
      </c>
      <c r="L1738" s="3">
        <v>964.88</v>
      </c>
      <c r="M1738" s="3">
        <v>171748.64</v>
      </c>
      <c r="N1738" s="3">
        <v>131582.94</v>
      </c>
      <c r="O1738" s="3">
        <v>40165.699999999997</v>
      </c>
      <c r="P1738" s="3" t="s">
        <v>95</v>
      </c>
      <c r="Q1738" s="3" t="s">
        <v>32</v>
      </c>
      <c r="R1738" s="3">
        <v>15</v>
      </c>
      <c r="S1738" s="3" t="s">
        <v>43</v>
      </c>
      <c r="T1738" s="3">
        <v>2746</v>
      </c>
      <c r="U1738" s="3">
        <v>3</v>
      </c>
      <c r="V1738" s="3"/>
    </row>
    <row r="1739" spans="1:22" x14ac:dyDescent="0.35">
      <c r="A1739" s="2" t="s">
        <v>4333</v>
      </c>
      <c r="B1739" s="2" t="s">
        <v>4334</v>
      </c>
      <c r="C1739" s="2" t="s">
        <v>4335</v>
      </c>
      <c r="D1739" s="2" t="s">
        <v>2421</v>
      </c>
      <c r="E1739" s="2" t="s">
        <v>68</v>
      </c>
      <c r="F1739" s="2" t="s">
        <v>163</v>
      </c>
      <c r="G1739" s="2" t="s">
        <v>78</v>
      </c>
      <c r="H1739" s="2" t="s">
        <v>840</v>
      </c>
      <c r="I1739" s="2" t="s">
        <v>240</v>
      </c>
      <c r="J1739" s="2">
        <v>449</v>
      </c>
      <c r="K1739" s="2">
        <v>977.99</v>
      </c>
      <c r="L1739" s="2">
        <v>1336.75</v>
      </c>
      <c r="M1739" s="2">
        <v>600200.75</v>
      </c>
      <c r="N1739" s="2">
        <v>439117.51</v>
      </c>
      <c r="O1739" s="2">
        <v>161083.24</v>
      </c>
      <c r="P1739" s="2" t="s">
        <v>31</v>
      </c>
      <c r="Q1739" s="2" t="s">
        <v>63</v>
      </c>
      <c r="R1739" s="2">
        <v>4</v>
      </c>
      <c r="S1739" s="2" t="s">
        <v>158</v>
      </c>
      <c r="T1739" s="2">
        <v>2739</v>
      </c>
      <c r="U1739" s="2">
        <v>7</v>
      </c>
      <c r="V1739" s="2"/>
    </row>
    <row r="1740" spans="1:22" x14ac:dyDescent="0.35">
      <c r="A1740" s="3" t="s">
        <v>4336</v>
      </c>
      <c r="B1740" s="3" t="s">
        <v>656</v>
      </c>
      <c r="C1740" s="3" t="s">
        <v>352</v>
      </c>
      <c r="D1740" s="3" t="s">
        <v>4337</v>
      </c>
      <c r="E1740" s="3" t="s">
        <v>68</v>
      </c>
      <c r="F1740" s="3" t="s">
        <v>276</v>
      </c>
      <c r="G1740" s="3" t="s">
        <v>28</v>
      </c>
      <c r="H1740" s="3" t="s">
        <v>29</v>
      </c>
      <c r="I1740" s="3" t="s">
        <v>293</v>
      </c>
      <c r="J1740" s="3">
        <v>600</v>
      </c>
      <c r="K1740" s="3">
        <v>390.91</v>
      </c>
      <c r="L1740" s="3">
        <v>561.77</v>
      </c>
      <c r="M1740" s="3">
        <v>337062</v>
      </c>
      <c r="N1740" s="3">
        <v>234546</v>
      </c>
      <c r="O1740" s="3">
        <v>102516</v>
      </c>
      <c r="P1740" s="3" t="s">
        <v>31</v>
      </c>
      <c r="Q1740" s="3" t="s">
        <v>32</v>
      </c>
      <c r="R1740" s="3">
        <v>13</v>
      </c>
      <c r="S1740" s="3" t="s">
        <v>53</v>
      </c>
      <c r="T1740" s="3">
        <v>3877</v>
      </c>
      <c r="U1740" s="3">
        <v>12</v>
      </c>
      <c r="V1740" s="3"/>
    </row>
    <row r="1741" spans="1:22" x14ac:dyDescent="0.35">
      <c r="A1741" s="2" t="s">
        <v>4338</v>
      </c>
      <c r="B1741" s="2" t="s">
        <v>337</v>
      </c>
      <c r="C1741" s="2" t="s">
        <v>711</v>
      </c>
      <c r="D1741" s="2" t="s">
        <v>4339</v>
      </c>
      <c r="E1741" s="2" t="s">
        <v>58</v>
      </c>
      <c r="F1741" s="2" t="s">
        <v>116</v>
      </c>
      <c r="G1741" s="2" t="s">
        <v>70</v>
      </c>
      <c r="H1741" s="2" t="s">
        <v>623</v>
      </c>
      <c r="I1741" s="2" t="s">
        <v>62</v>
      </c>
      <c r="J1741" s="2">
        <v>265</v>
      </c>
      <c r="K1741" s="2">
        <v>136.94</v>
      </c>
      <c r="L1741" s="2">
        <v>220.03</v>
      </c>
      <c r="M1741" s="2">
        <v>58307.95</v>
      </c>
      <c r="N1741" s="2">
        <v>36289.1</v>
      </c>
      <c r="O1741" s="2">
        <v>22018.85</v>
      </c>
      <c r="P1741" s="2" t="s">
        <v>52</v>
      </c>
      <c r="Q1741" s="2" t="s">
        <v>32</v>
      </c>
      <c r="R1741" s="2">
        <v>6</v>
      </c>
      <c r="S1741" s="2" t="s">
        <v>86</v>
      </c>
      <c r="T1741" s="2">
        <v>3710</v>
      </c>
      <c r="U1741" s="2">
        <v>2</v>
      </c>
      <c r="V1741" s="2"/>
    </row>
    <row r="1742" spans="1:22" x14ac:dyDescent="0.35">
      <c r="A1742" s="3" t="s">
        <v>4340</v>
      </c>
      <c r="B1742" s="3" t="s">
        <v>809</v>
      </c>
      <c r="C1742" s="3" t="s">
        <v>2008</v>
      </c>
      <c r="D1742" s="3" t="s">
        <v>4341</v>
      </c>
      <c r="E1742" s="3" t="s">
        <v>100</v>
      </c>
      <c r="F1742" s="3" t="s">
        <v>538</v>
      </c>
      <c r="G1742" s="3" t="s">
        <v>78</v>
      </c>
      <c r="H1742" s="3" t="s">
        <v>840</v>
      </c>
      <c r="I1742" s="3" t="s">
        <v>191</v>
      </c>
      <c r="J1742" s="3">
        <v>74</v>
      </c>
      <c r="K1742" s="3">
        <v>36.86</v>
      </c>
      <c r="L1742" s="3">
        <v>43.27</v>
      </c>
      <c r="M1742" s="3">
        <v>3201.98</v>
      </c>
      <c r="N1742" s="3">
        <v>2727.64</v>
      </c>
      <c r="O1742" s="3">
        <v>474.34</v>
      </c>
      <c r="P1742" s="3" t="s">
        <v>42</v>
      </c>
      <c r="Q1742" s="3" t="s">
        <v>32</v>
      </c>
      <c r="R1742" s="3">
        <v>15</v>
      </c>
      <c r="S1742" s="3" t="s">
        <v>33</v>
      </c>
      <c r="T1742" s="3">
        <v>2060</v>
      </c>
      <c r="U1742" s="3">
        <v>2</v>
      </c>
      <c r="V1742" s="3"/>
    </row>
    <row r="1743" spans="1:22" x14ac:dyDescent="0.35">
      <c r="A1743" s="2" t="s">
        <v>4342</v>
      </c>
      <c r="B1743" s="2" t="s">
        <v>155</v>
      </c>
      <c r="C1743" s="2" t="s">
        <v>4343</v>
      </c>
      <c r="D1743" s="2" t="s">
        <v>4344</v>
      </c>
      <c r="E1743" s="2" t="s">
        <v>100</v>
      </c>
      <c r="F1743" s="2" t="s">
        <v>330</v>
      </c>
      <c r="G1743" s="2" t="s">
        <v>28</v>
      </c>
      <c r="H1743" s="4"/>
      <c r="I1743" s="2" t="s">
        <v>41</v>
      </c>
      <c r="J1743" s="2">
        <v>168</v>
      </c>
      <c r="K1743" s="2">
        <v>94.55</v>
      </c>
      <c r="L1743" s="2">
        <v>139.94999999999999</v>
      </c>
      <c r="M1743" s="2">
        <v>23511.599999999999</v>
      </c>
      <c r="N1743" s="2">
        <v>15884.4</v>
      </c>
      <c r="O1743" s="2">
        <v>7627.2</v>
      </c>
      <c r="P1743" s="2" t="s">
        <v>31</v>
      </c>
      <c r="Q1743" s="2" t="s">
        <v>32</v>
      </c>
      <c r="R1743" s="2">
        <v>12</v>
      </c>
      <c r="S1743" s="2" t="s">
        <v>33</v>
      </c>
      <c r="T1743" s="2">
        <v>3162</v>
      </c>
      <c r="U1743" s="2">
        <v>0</v>
      </c>
      <c r="V1743" s="2"/>
    </row>
    <row r="1744" spans="1:22" x14ac:dyDescent="0.35">
      <c r="A1744" s="3" t="s">
        <v>4345</v>
      </c>
      <c r="B1744" s="3" t="s">
        <v>1474</v>
      </c>
      <c r="C1744" s="3" t="s">
        <v>625</v>
      </c>
      <c r="D1744" s="3" t="s">
        <v>4346</v>
      </c>
      <c r="E1744" s="3" t="s">
        <v>68</v>
      </c>
      <c r="F1744" s="3" t="s">
        <v>163</v>
      </c>
      <c r="G1744" s="3" t="s">
        <v>129</v>
      </c>
      <c r="H1744" s="3" t="s">
        <v>811</v>
      </c>
      <c r="I1744" s="3" t="s">
        <v>153</v>
      </c>
      <c r="J1744" s="3">
        <v>184</v>
      </c>
      <c r="K1744" s="3">
        <v>1053.8699999999999</v>
      </c>
      <c r="L1744" s="3">
        <v>1724.28</v>
      </c>
      <c r="M1744" s="3">
        <v>317267.52</v>
      </c>
      <c r="N1744" s="3">
        <v>193912.08</v>
      </c>
      <c r="O1744" s="3">
        <v>123355.44</v>
      </c>
      <c r="P1744" s="3" t="s">
        <v>95</v>
      </c>
      <c r="Q1744" s="3" t="s">
        <v>32</v>
      </c>
      <c r="R1744" s="3">
        <v>15</v>
      </c>
      <c r="S1744" s="3" t="s">
        <v>158</v>
      </c>
      <c r="T1744" s="3">
        <v>3219</v>
      </c>
      <c r="U1744" s="3">
        <v>6</v>
      </c>
      <c r="V1744" s="3"/>
    </row>
    <row r="1745" spans="1:22" x14ac:dyDescent="0.35">
      <c r="A1745" s="2" t="s">
        <v>4347</v>
      </c>
      <c r="B1745" s="2" t="s">
        <v>24</v>
      </c>
      <c r="C1745" s="2" t="s">
        <v>4303</v>
      </c>
      <c r="D1745" s="2" t="s">
        <v>4348</v>
      </c>
      <c r="E1745" s="2" t="s">
        <v>26</v>
      </c>
      <c r="F1745" s="2" t="s">
        <v>38</v>
      </c>
      <c r="G1745" s="2" t="s">
        <v>189</v>
      </c>
      <c r="H1745" s="2" t="s">
        <v>365</v>
      </c>
      <c r="I1745" s="2" t="s">
        <v>41</v>
      </c>
      <c r="J1745" s="2">
        <v>433</v>
      </c>
      <c r="K1745" s="2">
        <v>581.49</v>
      </c>
      <c r="L1745" s="2">
        <v>850.03</v>
      </c>
      <c r="M1745" s="2">
        <v>368062.99</v>
      </c>
      <c r="N1745" s="2">
        <v>251785.17</v>
      </c>
      <c r="O1745" s="2">
        <v>116277.82</v>
      </c>
      <c r="P1745" s="2" t="s">
        <v>31</v>
      </c>
      <c r="Q1745" s="2" t="s">
        <v>32</v>
      </c>
      <c r="R1745" s="2">
        <v>11</v>
      </c>
      <c r="S1745" s="2" t="s">
        <v>86</v>
      </c>
      <c r="T1745" s="2">
        <v>3134</v>
      </c>
      <c r="U1745" s="2">
        <v>21</v>
      </c>
      <c r="V1745" s="2"/>
    </row>
    <row r="1746" spans="1:22" x14ac:dyDescent="0.35">
      <c r="A1746" s="3" t="s">
        <v>4349</v>
      </c>
      <c r="B1746" s="3" t="s">
        <v>1775</v>
      </c>
      <c r="C1746" s="3" t="s">
        <v>2041</v>
      </c>
      <c r="D1746" s="3" t="s">
        <v>4350</v>
      </c>
      <c r="E1746" s="3" t="s">
        <v>68</v>
      </c>
      <c r="F1746" s="3" t="s">
        <v>163</v>
      </c>
      <c r="G1746" s="3" t="s">
        <v>78</v>
      </c>
      <c r="H1746" s="3" t="s">
        <v>123</v>
      </c>
      <c r="I1746" s="3" t="s">
        <v>141</v>
      </c>
      <c r="J1746" s="3">
        <v>433</v>
      </c>
      <c r="K1746" s="3">
        <v>346.94</v>
      </c>
      <c r="L1746" s="3">
        <v>405.3</v>
      </c>
      <c r="M1746" s="3">
        <v>175494.9</v>
      </c>
      <c r="N1746" s="3">
        <v>150225.01999999999</v>
      </c>
      <c r="O1746" s="3">
        <v>25269.88</v>
      </c>
      <c r="P1746" s="3" t="s">
        <v>42</v>
      </c>
      <c r="Q1746" s="3" t="s">
        <v>63</v>
      </c>
      <c r="R1746" s="3">
        <v>2</v>
      </c>
      <c r="S1746" s="3" t="s">
        <v>43</v>
      </c>
      <c r="T1746" s="3">
        <v>1232</v>
      </c>
      <c r="U1746" s="3">
        <v>15</v>
      </c>
      <c r="V1746" s="3"/>
    </row>
    <row r="1747" spans="1:22" x14ac:dyDescent="0.35">
      <c r="A1747" s="2" t="s">
        <v>4351</v>
      </c>
      <c r="B1747" s="2" t="s">
        <v>937</v>
      </c>
      <c r="C1747" s="2" t="s">
        <v>4352</v>
      </c>
      <c r="D1747" s="2" t="s">
        <v>4353</v>
      </c>
      <c r="E1747" s="2" t="s">
        <v>68</v>
      </c>
      <c r="F1747" s="2" t="s">
        <v>163</v>
      </c>
      <c r="G1747" s="2" t="s">
        <v>217</v>
      </c>
      <c r="H1747" s="2" t="s">
        <v>494</v>
      </c>
      <c r="I1747" s="2" t="s">
        <v>85</v>
      </c>
      <c r="J1747" s="2">
        <v>667</v>
      </c>
      <c r="K1747" s="2">
        <v>828.4</v>
      </c>
      <c r="L1747" s="2">
        <v>957.4</v>
      </c>
      <c r="M1747" s="2">
        <v>638585.80000000005</v>
      </c>
      <c r="N1747" s="2">
        <v>552542.80000000005</v>
      </c>
      <c r="O1747" s="2">
        <v>86043</v>
      </c>
      <c r="P1747" s="2" t="s">
        <v>42</v>
      </c>
      <c r="Q1747" s="2" t="s">
        <v>63</v>
      </c>
      <c r="R1747" s="2">
        <v>1</v>
      </c>
      <c r="S1747" s="2" t="s">
        <v>86</v>
      </c>
      <c r="T1747" s="2">
        <v>4558</v>
      </c>
      <c r="U1747" s="2">
        <v>2</v>
      </c>
      <c r="V1747" s="2"/>
    </row>
    <row r="1748" spans="1:22" x14ac:dyDescent="0.35">
      <c r="A1748" s="3" t="s">
        <v>4354</v>
      </c>
      <c r="B1748" s="3" t="s">
        <v>1393</v>
      </c>
      <c r="C1748" s="3" t="s">
        <v>3175</v>
      </c>
      <c r="D1748" s="3" t="s">
        <v>4355</v>
      </c>
      <c r="E1748" s="3" t="s">
        <v>58</v>
      </c>
      <c r="F1748" s="3" t="s">
        <v>259</v>
      </c>
      <c r="G1748" s="3" t="s">
        <v>60</v>
      </c>
      <c r="H1748" s="3" t="s">
        <v>780</v>
      </c>
      <c r="I1748" s="3" t="s">
        <v>30</v>
      </c>
      <c r="J1748" s="3">
        <v>755</v>
      </c>
      <c r="K1748" s="3">
        <v>699.09</v>
      </c>
      <c r="L1748" s="3">
        <v>1028.07</v>
      </c>
      <c r="M1748" s="3">
        <v>776192.85</v>
      </c>
      <c r="N1748" s="3">
        <v>527812.94999999995</v>
      </c>
      <c r="O1748" s="3">
        <v>248379.9</v>
      </c>
      <c r="P1748" s="3" t="s">
        <v>42</v>
      </c>
      <c r="Q1748" s="3" t="s">
        <v>32</v>
      </c>
      <c r="R1748" s="3">
        <v>11</v>
      </c>
      <c r="S1748" s="3" t="s">
        <v>158</v>
      </c>
      <c r="T1748" s="3">
        <v>1642</v>
      </c>
      <c r="U1748" s="3">
        <v>12</v>
      </c>
      <c r="V1748" s="3"/>
    </row>
    <row r="1749" spans="1:22" x14ac:dyDescent="0.35">
      <c r="A1749" s="2" t="s">
        <v>4356</v>
      </c>
      <c r="B1749" s="2" t="s">
        <v>4099</v>
      </c>
      <c r="C1749" s="2" t="s">
        <v>1043</v>
      </c>
      <c r="D1749" s="2" t="s">
        <v>4357</v>
      </c>
      <c r="E1749" s="2" t="s">
        <v>68</v>
      </c>
      <c r="F1749" s="2" t="s">
        <v>146</v>
      </c>
      <c r="G1749" s="2" t="s">
        <v>50</v>
      </c>
      <c r="H1749" s="2" t="s">
        <v>51</v>
      </c>
      <c r="I1749" s="2" t="s">
        <v>124</v>
      </c>
      <c r="J1749" s="2">
        <v>317</v>
      </c>
      <c r="K1749" s="2">
        <v>431.66</v>
      </c>
      <c r="L1749" s="2">
        <v>542.98</v>
      </c>
      <c r="M1749" s="2">
        <v>172124.66</v>
      </c>
      <c r="N1749" s="2">
        <v>136836.22</v>
      </c>
      <c r="O1749" s="2">
        <v>35288.44</v>
      </c>
      <c r="P1749" s="2" t="s">
        <v>42</v>
      </c>
      <c r="Q1749" s="2" t="s">
        <v>63</v>
      </c>
      <c r="R1749" s="2">
        <v>2</v>
      </c>
      <c r="S1749" s="2" t="s">
        <v>43</v>
      </c>
      <c r="T1749" s="2">
        <v>410</v>
      </c>
      <c r="U1749" s="2">
        <v>9</v>
      </c>
      <c r="V1749" s="2"/>
    </row>
    <row r="1750" spans="1:22" x14ac:dyDescent="0.35">
      <c r="A1750" s="3" t="s">
        <v>4358</v>
      </c>
      <c r="B1750" s="3" t="s">
        <v>4359</v>
      </c>
      <c r="C1750" s="3" t="s">
        <v>4360</v>
      </c>
      <c r="D1750" s="3" t="s">
        <v>4361</v>
      </c>
      <c r="E1750" s="3" t="s">
        <v>4362</v>
      </c>
      <c r="F1750" s="3" t="s">
        <v>330</v>
      </c>
      <c r="G1750" s="3" t="s">
        <v>189</v>
      </c>
      <c r="H1750" s="3" t="s">
        <v>437</v>
      </c>
      <c r="I1750" s="3" t="s">
        <v>153</v>
      </c>
      <c r="J1750" s="3">
        <v>234</v>
      </c>
      <c r="K1750" s="3">
        <v>285.81</v>
      </c>
      <c r="L1750" s="3">
        <v>452.75</v>
      </c>
      <c r="M1750" s="3">
        <v>105943.5</v>
      </c>
      <c r="N1750" s="3">
        <v>66879.539999999994</v>
      </c>
      <c r="O1750" s="3">
        <v>39063.96</v>
      </c>
      <c r="P1750" s="3" t="s">
        <v>52</v>
      </c>
      <c r="Q1750" s="3" t="s">
        <v>32</v>
      </c>
      <c r="R1750" s="3">
        <v>13</v>
      </c>
      <c r="S1750" s="3" t="s">
        <v>86</v>
      </c>
      <c r="T1750" s="3">
        <v>4780</v>
      </c>
      <c r="U1750" s="3">
        <v>2</v>
      </c>
      <c r="V1750" s="3"/>
    </row>
    <row r="1751" spans="1:22" x14ac:dyDescent="0.35">
      <c r="A1751" s="2" t="s">
        <v>4363</v>
      </c>
      <c r="B1751" s="2" t="s">
        <v>300</v>
      </c>
      <c r="C1751" s="2" t="s">
        <v>611</v>
      </c>
      <c r="D1751" s="2" t="s">
        <v>4364</v>
      </c>
      <c r="E1751" s="2" t="s">
        <v>58</v>
      </c>
      <c r="F1751" s="2" t="s">
        <v>116</v>
      </c>
      <c r="G1751" s="2" t="s">
        <v>129</v>
      </c>
      <c r="H1751" s="2" t="s">
        <v>152</v>
      </c>
      <c r="I1751" s="2" t="s">
        <v>153</v>
      </c>
      <c r="J1751" s="2">
        <v>728</v>
      </c>
      <c r="K1751" s="2">
        <v>129.25</v>
      </c>
      <c r="L1751" s="2">
        <v>200.12</v>
      </c>
      <c r="M1751" s="2">
        <v>145687.35999999999</v>
      </c>
      <c r="N1751" s="2">
        <v>94094</v>
      </c>
      <c r="O1751" s="2">
        <v>51593.36</v>
      </c>
      <c r="P1751" s="2" t="s">
        <v>31</v>
      </c>
      <c r="Q1751" s="2" t="s">
        <v>32</v>
      </c>
      <c r="R1751" s="2">
        <v>12</v>
      </c>
      <c r="S1751" s="2" t="s">
        <v>112</v>
      </c>
      <c r="T1751" s="2">
        <v>2379</v>
      </c>
      <c r="U1751" s="2">
        <v>22</v>
      </c>
      <c r="V1751" s="2"/>
    </row>
    <row r="1752" spans="1:22" x14ac:dyDescent="0.35">
      <c r="A1752" s="2" t="s">
        <v>4365</v>
      </c>
      <c r="B1752" s="2" t="s">
        <v>1022</v>
      </c>
      <c r="C1752" s="2" t="s">
        <v>1125</v>
      </c>
      <c r="D1752" s="2" t="s">
        <v>4366</v>
      </c>
      <c r="E1752" s="2" t="s">
        <v>68</v>
      </c>
      <c r="F1752" s="2" t="s">
        <v>163</v>
      </c>
      <c r="G1752" s="2" t="s">
        <v>70</v>
      </c>
      <c r="H1752" s="2" t="s">
        <v>623</v>
      </c>
      <c r="I1752" s="2" t="s">
        <v>293</v>
      </c>
      <c r="J1752" s="2">
        <v>170</v>
      </c>
      <c r="K1752" s="2">
        <v>472.75</v>
      </c>
      <c r="L1752" s="2">
        <v>581.64</v>
      </c>
      <c r="M1752" s="2">
        <v>98878.8</v>
      </c>
      <c r="N1752" s="2">
        <v>80367.5</v>
      </c>
      <c r="O1752" s="2">
        <v>18511.3</v>
      </c>
      <c r="P1752" s="2" t="s">
        <v>42</v>
      </c>
      <c r="Q1752" s="2" t="s">
        <v>32</v>
      </c>
      <c r="R1752" s="2">
        <v>10</v>
      </c>
      <c r="S1752" s="2" t="s">
        <v>86</v>
      </c>
      <c r="T1752" s="2">
        <v>244</v>
      </c>
      <c r="U1752" s="2">
        <v>8</v>
      </c>
      <c r="V1752" s="2"/>
    </row>
    <row r="1753" spans="1:22" x14ac:dyDescent="0.35">
      <c r="A1753" s="3" t="s">
        <v>3556</v>
      </c>
      <c r="B1753" s="3" t="s">
        <v>657</v>
      </c>
      <c r="C1753" s="3" t="s">
        <v>838</v>
      </c>
      <c r="D1753" s="3" t="s">
        <v>1809</v>
      </c>
      <c r="E1753" s="3" t="s">
        <v>48</v>
      </c>
      <c r="F1753" s="3" t="s">
        <v>49</v>
      </c>
      <c r="G1753" s="3" t="s">
        <v>60</v>
      </c>
      <c r="H1753" s="3" t="s">
        <v>61</v>
      </c>
      <c r="I1753" s="3" t="s">
        <v>153</v>
      </c>
      <c r="J1753" s="3">
        <v>593</v>
      </c>
      <c r="K1753" s="3">
        <v>198.57</v>
      </c>
      <c r="L1753" s="3">
        <v>230.59</v>
      </c>
      <c r="M1753" s="3">
        <v>136739.87</v>
      </c>
      <c r="N1753" s="3">
        <v>117752.01</v>
      </c>
      <c r="O1753" s="3">
        <v>18987.86</v>
      </c>
      <c r="P1753" s="3" t="s">
        <v>31</v>
      </c>
      <c r="Q1753" s="3" t="s">
        <v>63</v>
      </c>
      <c r="R1753" s="3">
        <v>1</v>
      </c>
      <c r="S1753" s="3" t="s">
        <v>86</v>
      </c>
      <c r="T1753" s="3">
        <v>4634</v>
      </c>
      <c r="U1753" s="3">
        <v>9</v>
      </c>
      <c r="V1753" s="3"/>
    </row>
    <row r="1754" spans="1:22" x14ac:dyDescent="0.35">
      <c r="A1754" s="2" t="s">
        <v>4367</v>
      </c>
      <c r="B1754" s="2" t="s">
        <v>671</v>
      </c>
      <c r="C1754" s="2" t="s">
        <v>4368</v>
      </c>
      <c r="D1754" s="2" t="s">
        <v>4369</v>
      </c>
      <c r="E1754" s="2" t="s">
        <v>68</v>
      </c>
      <c r="F1754" s="2" t="s">
        <v>249</v>
      </c>
      <c r="G1754" s="2" t="s">
        <v>39</v>
      </c>
      <c r="H1754" s="2" t="s">
        <v>527</v>
      </c>
      <c r="I1754" s="2" t="s">
        <v>72</v>
      </c>
      <c r="J1754" s="2">
        <v>208</v>
      </c>
      <c r="K1754" s="2">
        <v>25.35</v>
      </c>
      <c r="L1754" s="2">
        <v>30.78</v>
      </c>
      <c r="M1754" s="2">
        <v>6402.24</v>
      </c>
      <c r="N1754" s="2">
        <v>5272.8</v>
      </c>
      <c r="O1754" s="2">
        <v>1129.44</v>
      </c>
      <c r="P1754" s="2" t="s">
        <v>52</v>
      </c>
      <c r="Q1754" s="2" t="s">
        <v>32</v>
      </c>
      <c r="R1754" s="2">
        <v>10</v>
      </c>
      <c r="S1754" s="2" t="s">
        <v>43</v>
      </c>
      <c r="T1754" s="2">
        <v>1442</v>
      </c>
      <c r="U1754" s="2">
        <v>1</v>
      </c>
      <c r="V1754" s="2"/>
    </row>
    <row r="1755" spans="1:22" x14ac:dyDescent="0.35">
      <c r="A1755" s="3" t="s">
        <v>4370</v>
      </c>
      <c r="B1755" s="3" t="s">
        <v>2470</v>
      </c>
      <c r="C1755" s="3" t="s">
        <v>4371</v>
      </c>
      <c r="D1755" s="3" t="s">
        <v>4372</v>
      </c>
      <c r="E1755" s="3" t="s">
        <v>48</v>
      </c>
      <c r="F1755" s="3" t="s">
        <v>281</v>
      </c>
      <c r="G1755" s="3" t="s">
        <v>50</v>
      </c>
      <c r="H1755" s="3" t="s">
        <v>135</v>
      </c>
      <c r="I1755" s="3" t="s">
        <v>191</v>
      </c>
      <c r="J1755" s="3">
        <v>418</v>
      </c>
      <c r="K1755" s="3">
        <v>1161.22</v>
      </c>
      <c r="L1755" s="3">
        <v>1319.08</v>
      </c>
      <c r="M1755" s="3">
        <v>551375.43999999994</v>
      </c>
      <c r="N1755" s="3">
        <v>485389.96</v>
      </c>
      <c r="O1755" s="3">
        <v>65985.48</v>
      </c>
      <c r="P1755" s="3" t="s">
        <v>42</v>
      </c>
      <c r="Q1755" s="3" t="s">
        <v>63</v>
      </c>
      <c r="R1755" s="3">
        <v>1</v>
      </c>
      <c r="S1755" s="3" t="s">
        <v>86</v>
      </c>
      <c r="T1755" s="3">
        <v>3463</v>
      </c>
      <c r="U1755" s="3">
        <v>18</v>
      </c>
      <c r="V1755" s="3"/>
    </row>
    <row r="1756" spans="1:22" x14ac:dyDescent="0.35">
      <c r="A1756" s="2" t="s">
        <v>4373</v>
      </c>
      <c r="B1756" s="2" t="s">
        <v>953</v>
      </c>
      <c r="C1756" s="2" t="s">
        <v>592</v>
      </c>
      <c r="D1756" s="2" t="s">
        <v>4374</v>
      </c>
      <c r="E1756" s="2" t="s">
        <v>68</v>
      </c>
      <c r="F1756" s="2" t="s">
        <v>249</v>
      </c>
      <c r="G1756" s="2" t="s">
        <v>28</v>
      </c>
      <c r="H1756" s="2" t="s">
        <v>111</v>
      </c>
      <c r="I1756" s="2" t="s">
        <v>118</v>
      </c>
      <c r="J1756" s="2">
        <v>593</v>
      </c>
      <c r="K1756" s="2">
        <v>22.73</v>
      </c>
      <c r="L1756" s="2">
        <v>28.18</v>
      </c>
      <c r="M1756" s="2">
        <v>16710.740000000002</v>
      </c>
      <c r="N1756" s="2">
        <v>13478.89</v>
      </c>
      <c r="O1756" s="2">
        <v>3231.85</v>
      </c>
      <c r="P1756" s="2" t="s">
        <v>31</v>
      </c>
      <c r="Q1756" s="2" t="s">
        <v>63</v>
      </c>
      <c r="R1756" s="2">
        <v>2</v>
      </c>
      <c r="S1756" s="2" t="s">
        <v>43</v>
      </c>
      <c r="T1756" s="2">
        <v>1580</v>
      </c>
      <c r="U1756" s="2">
        <v>1</v>
      </c>
      <c r="V1756" s="2"/>
    </row>
    <row r="1757" spans="1:22" x14ac:dyDescent="0.35">
      <c r="A1757" s="3" t="s">
        <v>4375</v>
      </c>
      <c r="B1757" s="3" t="s">
        <v>2002</v>
      </c>
      <c r="C1757" s="3" t="s">
        <v>798</v>
      </c>
      <c r="D1757" s="3" t="s">
        <v>4376</v>
      </c>
      <c r="E1757" s="3" t="s">
        <v>68</v>
      </c>
      <c r="F1757" s="3" t="s">
        <v>163</v>
      </c>
      <c r="G1757" s="3" t="s">
        <v>129</v>
      </c>
      <c r="H1757" s="3" t="s">
        <v>811</v>
      </c>
      <c r="I1757" s="3" t="s">
        <v>41</v>
      </c>
      <c r="J1757" s="3">
        <v>510</v>
      </c>
      <c r="K1757" s="3">
        <v>915.29</v>
      </c>
      <c r="L1757" s="3">
        <v>1239.6400000000001</v>
      </c>
      <c r="M1757" s="3">
        <v>632216.4</v>
      </c>
      <c r="N1757" s="3">
        <v>466797.9</v>
      </c>
      <c r="O1757" s="3">
        <v>165418.5</v>
      </c>
      <c r="P1757" s="3" t="s">
        <v>52</v>
      </c>
      <c r="Q1757" s="3" t="s">
        <v>32</v>
      </c>
      <c r="R1757" s="3">
        <v>10</v>
      </c>
      <c r="S1757" s="3" t="s">
        <v>43</v>
      </c>
      <c r="T1757" s="3">
        <v>596</v>
      </c>
      <c r="U1757" s="3">
        <v>11</v>
      </c>
      <c r="V1757" s="3"/>
    </row>
    <row r="1758" spans="1:22" x14ac:dyDescent="0.35">
      <c r="A1758" s="2" t="s">
        <v>4377</v>
      </c>
      <c r="B1758" s="2" t="s">
        <v>327</v>
      </c>
      <c r="C1758" s="2" t="s">
        <v>1149</v>
      </c>
      <c r="D1758" s="2" t="s">
        <v>2037</v>
      </c>
      <c r="E1758" s="2" t="s">
        <v>68</v>
      </c>
      <c r="F1758" s="2" t="s">
        <v>276</v>
      </c>
      <c r="G1758" s="2" t="s">
        <v>93</v>
      </c>
      <c r="H1758" s="2" t="s">
        <v>1442</v>
      </c>
      <c r="I1758" s="2" t="s">
        <v>41</v>
      </c>
      <c r="J1758" s="2">
        <v>493</v>
      </c>
      <c r="K1758" s="2">
        <v>948.14</v>
      </c>
      <c r="L1758" s="2">
        <v>1217.2</v>
      </c>
      <c r="M1758" s="2">
        <v>600079.6</v>
      </c>
      <c r="N1758" s="2">
        <v>467433.02</v>
      </c>
      <c r="O1758" s="2">
        <v>132646.57999999999</v>
      </c>
      <c r="P1758" s="2" t="s">
        <v>52</v>
      </c>
      <c r="Q1758" s="2" t="s">
        <v>32</v>
      </c>
      <c r="R1758" s="2">
        <v>14</v>
      </c>
      <c r="S1758" s="2" t="s">
        <v>53</v>
      </c>
      <c r="T1758" s="2">
        <v>3786</v>
      </c>
      <c r="U1758" s="2">
        <v>8</v>
      </c>
      <c r="V1758" s="2"/>
    </row>
    <row r="1759" spans="1:22" x14ac:dyDescent="0.35">
      <c r="A1759" s="3" t="s">
        <v>4378</v>
      </c>
      <c r="B1759" s="3" t="s">
        <v>736</v>
      </c>
      <c r="C1759" s="3" t="s">
        <v>577</v>
      </c>
      <c r="D1759" s="3" t="s">
        <v>4379</v>
      </c>
      <c r="E1759" s="3" t="s">
        <v>58</v>
      </c>
      <c r="F1759" s="3" t="s">
        <v>259</v>
      </c>
      <c r="G1759" s="3" t="s">
        <v>217</v>
      </c>
      <c r="H1759" s="3" t="s">
        <v>340</v>
      </c>
      <c r="I1759" s="3" t="s">
        <v>118</v>
      </c>
      <c r="J1759" s="3">
        <v>536</v>
      </c>
      <c r="K1759" s="3">
        <v>468.73</v>
      </c>
      <c r="L1759" s="3">
        <v>620.49</v>
      </c>
      <c r="M1759" s="3">
        <v>332582.64</v>
      </c>
      <c r="N1759" s="3">
        <v>251239.28</v>
      </c>
      <c r="O1759" s="3">
        <v>81343.360000000001</v>
      </c>
      <c r="P1759" s="3" t="s">
        <v>1599</v>
      </c>
      <c r="Q1759" s="3" t="s">
        <v>63</v>
      </c>
      <c r="R1759" s="3">
        <v>3</v>
      </c>
      <c r="S1759" s="3" t="s">
        <v>43</v>
      </c>
      <c r="T1759" s="3">
        <v>3673</v>
      </c>
      <c r="U1759" s="3">
        <v>6</v>
      </c>
      <c r="V1759" s="3"/>
    </row>
    <row r="1760" spans="1:22" x14ac:dyDescent="0.35">
      <c r="A1760" s="2" t="s">
        <v>4380</v>
      </c>
      <c r="B1760" s="2" t="s">
        <v>1797</v>
      </c>
      <c r="C1760" s="2" t="s">
        <v>496</v>
      </c>
      <c r="D1760" s="2" t="s">
        <v>4381</v>
      </c>
      <c r="E1760" s="2" t="s">
        <v>48</v>
      </c>
      <c r="F1760" s="2" t="s">
        <v>183</v>
      </c>
      <c r="G1760" s="2" t="s">
        <v>70</v>
      </c>
      <c r="H1760" s="2" t="s">
        <v>623</v>
      </c>
      <c r="I1760" s="2" t="s">
        <v>72</v>
      </c>
      <c r="J1760" s="2">
        <v>132</v>
      </c>
      <c r="K1760" s="2">
        <v>8.5500000000000007</v>
      </c>
      <c r="L1760" s="2">
        <v>12.3</v>
      </c>
      <c r="M1760" s="2">
        <v>1623.6</v>
      </c>
      <c r="N1760" s="2">
        <v>1128.5999999999999</v>
      </c>
      <c r="O1760" s="2">
        <v>495</v>
      </c>
      <c r="P1760" s="2" t="s">
        <v>42</v>
      </c>
      <c r="Q1760" s="2" t="s">
        <v>63</v>
      </c>
      <c r="R1760" s="2">
        <v>2</v>
      </c>
      <c r="S1760" s="2" t="s">
        <v>86</v>
      </c>
      <c r="T1760" s="2">
        <v>892</v>
      </c>
      <c r="U1760" s="2">
        <v>1</v>
      </c>
      <c r="V1760" s="2"/>
    </row>
    <row r="1761" spans="1:22" x14ac:dyDescent="0.35">
      <c r="A1761" s="3" t="s">
        <v>4382</v>
      </c>
      <c r="B1761" s="3" t="s">
        <v>210</v>
      </c>
      <c r="C1761" s="3" t="s">
        <v>1445</v>
      </c>
      <c r="D1761" s="3" t="s">
        <v>4383</v>
      </c>
      <c r="E1761" s="3" t="s">
        <v>68</v>
      </c>
      <c r="F1761" s="3" t="s">
        <v>163</v>
      </c>
      <c r="G1761" s="3" t="s">
        <v>70</v>
      </c>
      <c r="H1761" s="3" t="s">
        <v>1019</v>
      </c>
      <c r="I1761" s="3" t="s">
        <v>41</v>
      </c>
      <c r="J1761" s="3">
        <v>544</v>
      </c>
      <c r="K1761" s="3">
        <v>53.94</v>
      </c>
      <c r="L1761" s="3">
        <v>82.6</v>
      </c>
      <c r="M1761" s="3">
        <v>44934.400000000001</v>
      </c>
      <c r="N1761" s="3">
        <v>29343.360000000001</v>
      </c>
      <c r="O1761" s="3">
        <v>15591.04</v>
      </c>
      <c r="P1761" s="3" t="s">
        <v>95</v>
      </c>
      <c r="Q1761" s="3" t="s">
        <v>32</v>
      </c>
      <c r="R1761" s="3">
        <v>8</v>
      </c>
      <c r="S1761" s="3" t="s">
        <v>158</v>
      </c>
      <c r="T1761" s="3">
        <v>4149</v>
      </c>
      <c r="U1761" s="3">
        <v>11</v>
      </c>
      <c r="V1761" s="3"/>
    </row>
    <row r="1762" spans="1:22" x14ac:dyDescent="0.35">
      <c r="A1762" s="2" t="s">
        <v>4384</v>
      </c>
      <c r="B1762" s="2" t="s">
        <v>379</v>
      </c>
      <c r="C1762" s="2" t="s">
        <v>274</v>
      </c>
      <c r="D1762" s="2" t="s">
        <v>4385</v>
      </c>
      <c r="E1762" s="2" t="s">
        <v>100</v>
      </c>
      <c r="F1762" s="2" t="s">
        <v>538</v>
      </c>
      <c r="G1762" s="2" t="s">
        <v>50</v>
      </c>
      <c r="H1762" s="2" t="s">
        <v>117</v>
      </c>
      <c r="I1762" s="2" t="s">
        <v>153</v>
      </c>
      <c r="J1762" s="2">
        <v>747</v>
      </c>
      <c r="K1762" s="2">
        <v>177.43</v>
      </c>
      <c r="L1762" s="2">
        <v>232.01</v>
      </c>
      <c r="M1762" s="2">
        <v>173311.47</v>
      </c>
      <c r="N1762" s="2">
        <v>132540.21</v>
      </c>
      <c r="O1762" s="2">
        <v>40771.26</v>
      </c>
      <c r="P1762" s="2" t="s">
        <v>31</v>
      </c>
      <c r="Q1762" s="2" t="s">
        <v>32</v>
      </c>
      <c r="R1762" s="2">
        <v>13</v>
      </c>
      <c r="S1762" s="2" t="s">
        <v>33</v>
      </c>
      <c r="T1762" s="2">
        <v>2667</v>
      </c>
      <c r="U1762" s="2">
        <v>32</v>
      </c>
      <c r="V1762" s="2"/>
    </row>
    <row r="1763" spans="1:22" x14ac:dyDescent="0.35">
      <c r="A1763" s="3" t="s">
        <v>4386</v>
      </c>
      <c r="B1763" s="3" t="s">
        <v>1049</v>
      </c>
      <c r="C1763" s="3" t="s">
        <v>1022</v>
      </c>
      <c r="D1763" s="3" t="s">
        <v>4387</v>
      </c>
      <c r="E1763" s="3" t="s">
        <v>48</v>
      </c>
      <c r="F1763" s="3" t="s">
        <v>183</v>
      </c>
      <c r="G1763" s="3" t="s">
        <v>93</v>
      </c>
      <c r="H1763" s="3" t="s">
        <v>485</v>
      </c>
      <c r="I1763" s="3" t="s">
        <v>240</v>
      </c>
      <c r="J1763" s="3">
        <v>37</v>
      </c>
      <c r="K1763" s="3">
        <v>510.31</v>
      </c>
      <c r="L1763" s="3">
        <v>751.96</v>
      </c>
      <c r="M1763" s="3">
        <v>27822.52</v>
      </c>
      <c r="N1763" s="3">
        <v>18881.47</v>
      </c>
      <c r="O1763" s="3">
        <v>8941.0499999999993</v>
      </c>
      <c r="P1763" s="3" t="s">
        <v>95</v>
      </c>
      <c r="Q1763" s="3" t="s">
        <v>63</v>
      </c>
      <c r="R1763" s="3">
        <v>4</v>
      </c>
      <c r="S1763" s="3" t="s">
        <v>53</v>
      </c>
      <c r="T1763" s="3">
        <v>4914</v>
      </c>
      <c r="U1763" s="4" t="s">
        <v>1893</v>
      </c>
      <c r="V1763" s="3"/>
    </row>
    <row r="1764" spans="1:22" x14ac:dyDescent="0.35">
      <c r="A1764" s="3" t="s">
        <v>4388</v>
      </c>
      <c r="B1764" s="3" t="s">
        <v>596</v>
      </c>
      <c r="C1764" s="3" t="s">
        <v>1295</v>
      </c>
      <c r="D1764" s="3" t="s">
        <v>4389</v>
      </c>
      <c r="E1764" s="3" t="s">
        <v>68</v>
      </c>
      <c r="F1764" s="3" t="s">
        <v>163</v>
      </c>
      <c r="G1764" s="3" t="s">
        <v>217</v>
      </c>
      <c r="H1764" s="3" t="s">
        <v>340</v>
      </c>
      <c r="I1764" s="3" t="s">
        <v>30</v>
      </c>
      <c r="J1764" s="3">
        <v>89</v>
      </c>
      <c r="K1764" s="3">
        <v>190.25</v>
      </c>
      <c r="L1764" s="3">
        <v>227.34</v>
      </c>
      <c r="M1764" s="3">
        <v>20233.259999999998</v>
      </c>
      <c r="N1764" s="3">
        <v>16932.25</v>
      </c>
      <c r="O1764" s="3">
        <v>3301.01</v>
      </c>
      <c r="P1764" s="3" t="s">
        <v>52</v>
      </c>
      <c r="Q1764" s="3" t="s">
        <v>32</v>
      </c>
      <c r="R1764" s="3">
        <v>10</v>
      </c>
      <c r="S1764" s="3" t="s">
        <v>112</v>
      </c>
      <c r="T1764" s="3">
        <v>3835</v>
      </c>
      <c r="U1764" s="3">
        <v>2</v>
      </c>
      <c r="V1764" s="3"/>
    </row>
    <row r="1765" spans="1:22" x14ac:dyDescent="0.35">
      <c r="A1765" s="2" t="s">
        <v>4390</v>
      </c>
      <c r="B1765" s="2" t="s">
        <v>3300</v>
      </c>
      <c r="C1765" s="2" t="s">
        <v>1814</v>
      </c>
      <c r="D1765" s="2" t="s">
        <v>4391</v>
      </c>
      <c r="E1765" s="2" t="s">
        <v>26</v>
      </c>
      <c r="F1765" s="2" t="s">
        <v>38</v>
      </c>
      <c r="G1765" s="2" t="s">
        <v>217</v>
      </c>
      <c r="H1765" s="2" t="s">
        <v>494</v>
      </c>
      <c r="I1765" s="2" t="s">
        <v>62</v>
      </c>
      <c r="J1765" s="2">
        <v>710</v>
      </c>
      <c r="K1765" s="2">
        <v>212.49</v>
      </c>
      <c r="L1765" s="2">
        <v>317.29000000000002</v>
      </c>
      <c r="M1765" s="2">
        <v>225275.9</v>
      </c>
      <c r="N1765" s="2">
        <v>150867.9</v>
      </c>
      <c r="O1765" s="2">
        <v>74408</v>
      </c>
      <c r="P1765" s="2" t="s">
        <v>42</v>
      </c>
      <c r="Q1765" s="2" t="s">
        <v>32</v>
      </c>
      <c r="R1765" s="2">
        <v>12</v>
      </c>
      <c r="S1765" s="2" t="s">
        <v>33</v>
      </c>
      <c r="T1765" s="2">
        <v>2964</v>
      </c>
      <c r="U1765" s="2">
        <v>10</v>
      </c>
      <c r="V1765" s="2"/>
    </row>
    <row r="1766" spans="1:22" x14ac:dyDescent="0.35">
      <c r="A1766" s="3" t="s">
        <v>4392</v>
      </c>
      <c r="B1766" s="3" t="s">
        <v>630</v>
      </c>
      <c r="C1766" s="3" t="s">
        <v>529</v>
      </c>
      <c r="D1766" s="3" t="s">
        <v>4393</v>
      </c>
      <c r="E1766" s="3" t="s">
        <v>58</v>
      </c>
      <c r="F1766" s="3" t="s">
        <v>417</v>
      </c>
      <c r="G1766" s="3" t="s">
        <v>39</v>
      </c>
      <c r="H1766" s="3" t="s">
        <v>664</v>
      </c>
      <c r="I1766" s="3" t="s">
        <v>240</v>
      </c>
      <c r="J1766" s="3">
        <v>292</v>
      </c>
      <c r="K1766" s="3">
        <v>861.26</v>
      </c>
      <c r="L1766" s="3">
        <v>1100.06</v>
      </c>
      <c r="M1766" s="3">
        <v>321217.52</v>
      </c>
      <c r="N1766" s="3">
        <v>251487.92</v>
      </c>
      <c r="O1766" s="3">
        <v>69729.600000000006</v>
      </c>
      <c r="P1766" s="3" t="s">
        <v>52</v>
      </c>
      <c r="Q1766" s="3" t="s">
        <v>32</v>
      </c>
      <c r="R1766" s="3">
        <v>6</v>
      </c>
      <c r="S1766" s="3" t="s">
        <v>158</v>
      </c>
      <c r="T1766" s="3">
        <v>4375</v>
      </c>
      <c r="U1766" s="3">
        <v>13</v>
      </c>
      <c r="V1766" s="3"/>
    </row>
    <row r="1767" spans="1:22" x14ac:dyDescent="0.35">
      <c r="A1767" s="2" t="s">
        <v>4394</v>
      </c>
      <c r="B1767" s="2" t="s">
        <v>1347</v>
      </c>
      <c r="C1767" s="2" t="s">
        <v>3509</v>
      </c>
      <c r="D1767" s="2" t="s">
        <v>4395</v>
      </c>
      <c r="E1767" s="2" t="s">
        <v>48</v>
      </c>
      <c r="F1767" s="2" t="s">
        <v>183</v>
      </c>
      <c r="G1767" s="2" t="s">
        <v>189</v>
      </c>
      <c r="H1767" s="2" t="s">
        <v>190</v>
      </c>
      <c r="I1767" s="2" t="s">
        <v>41</v>
      </c>
      <c r="J1767" s="2">
        <v>59</v>
      </c>
      <c r="K1767" s="2">
        <v>1194.4000000000001</v>
      </c>
      <c r="L1767" s="2">
        <v>1576.66</v>
      </c>
      <c r="M1767" s="2">
        <v>93022.94</v>
      </c>
      <c r="N1767" s="2">
        <v>70469.600000000006</v>
      </c>
      <c r="O1767" s="2">
        <v>22553.34</v>
      </c>
      <c r="P1767" s="2" t="s">
        <v>42</v>
      </c>
      <c r="Q1767" s="2" t="s">
        <v>32</v>
      </c>
      <c r="R1767" s="2">
        <v>12</v>
      </c>
      <c r="S1767" s="2" t="s">
        <v>86</v>
      </c>
      <c r="T1767" s="2">
        <v>3108</v>
      </c>
      <c r="U1767" s="2">
        <v>0</v>
      </c>
      <c r="V1767" s="2"/>
    </row>
    <row r="1768" spans="1:22" x14ac:dyDescent="0.35">
      <c r="A1768" s="3" t="s">
        <v>4396</v>
      </c>
      <c r="B1768" s="3" t="s">
        <v>992</v>
      </c>
      <c r="C1768" s="3" t="s">
        <v>694</v>
      </c>
      <c r="D1768" s="3" t="s">
        <v>4397</v>
      </c>
      <c r="E1768" s="3" t="s">
        <v>26</v>
      </c>
      <c r="F1768" s="3" t="s">
        <v>228</v>
      </c>
      <c r="G1768" s="3" t="s">
        <v>50</v>
      </c>
      <c r="H1768" s="3" t="s">
        <v>117</v>
      </c>
      <c r="I1768" s="3" t="s">
        <v>153</v>
      </c>
      <c r="J1768" s="3">
        <v>661</v>
      </c>
      <c r="K1768" s="3">
        <v>1078.67</v>
      </c>
      <c r="L1768" s="3">
        <v>1692.76</v>
      </c>
      <c r="M1768" s="3">
        <v>1118914.3600000001</v>
      </c>
      <c r="N1768" s="3">
        <v>713000.87</v>
      </c>
      <c r="O1768" s="3">
        <v>405913.49</v>
      </c>
      <c r="P1768" s="3" t="s">
        <v>42</v>
      </c>
      <c r="Q1768" s="3" t="s">
        <v>32</v>
      </c>
      <c r="R1768" s="3">
        <v>10</v>
      </c>
      <c r="S1768" s="3" t="s">
        <v>43</v>
      </c>
      <c r="T1768" s="3">
        <v>3679</v>
      </c>
      <c r="U1768" s="3">
        <v>2</v>
      </c>
      <c r="V1768" s="3"/>
    </row>
    <row r="1769" spans="1:22" x14ac:dyDescent="0.35">
      <c r="A1769" s="2" t="s">
        <v>4398</v>
      </c>
      <c r="B1769" s="2" t="s">
        <v>236</v>
      </c>
      <c r="C1769" s="2" t="s">
        <v>3139</v>
      </c>
      <c r="D1769" s="2" t="s">
        <v>4399</v>
      </c>
      <c r="E1769" s="2" t="s">
        <v>48</v>
      </c>
      <c r="F1769" s="4"/>
      <c r="G1769" s="2" t="s">
        <v>93</v>
      </c>
      <c r="H1769" s="2" t="s">
        <v>94</v>
      </c>
      <c r="I1769" s="2" t="s">
        <v>153</v>
      </c>
      <c r="J1769" s="2">
        <v>639</v>
      </c>
      <c r="K1769" s="2">
        <v>842.38</v>
      </c>
      <c r="L1769" s="2">
        <v>978</v>
      </c>
      <c r="M1769" s="2">
        <v>624942</v>
      </c>
      <c r="N1769" s="2">
        <v>538280.81999999995</v>
      </c>
      <c r="O1769" s="2">
        <v>86661.18</v>
      </c>
      <c r="P1769" s="2" t="s">
        <v>52</v>
      </c>
      <c r="Q1769" s="2" t="s">
        <v>32</v>
      </c>
      <c r="R1769" s="2">
        <v>12</v>
      </c>
      <c r="S1769" s="2" t="s">
        <v>158</v>
      </c>
      <c r="T1769" s="2">
        <v>4488</v>
      </c>
      <c r="U1769" s="2">
        <v>9</v>
      </c>
      <c r="V1769" s="2"/>
    </row>
    <row r="1770" spans="1:22" x14ac:dyDescent="0.35">
      <c r="A1770" s="3" t="s">
        <v>4400</v>
      </c>
      <c r="B1770" s="3" t="s">
        <v>4401</v>
      </c>
      <c r="C1770" s="3" t="s">
        <v>332</v>
      </c>
      <c r="D1770" s="3" t="s">
        <v>4402</v>
      </c>
      <c r="E1770" s="3" t="s">
        <v>68</v>
      </c>
      <c r="F1770" s="3" t="s">
        <v>69</v>
      </c>
      <c r="G1770" s="3" t="s">
        <v>70</v>
      </c>
      <c r="H1770" s="3" t="s">
        <v>623</v>
      </c>
      <c r="I1770" s="3" t="s">
        <v>124</v>
      </c>
      <c r="J1770" s="3">
        <v>61</v>
      </c>
      <c r="K1770" s="3">
        <v>464.78</v>
      </c>
      <c r="L1770" s="3">
        <v>648.79999999999995</v>
      </c>
      <c r="M1770" s="3">
        <v>39576.800000000003</v>
      </c>
      <c r="N1770" s="3">
        <v>28351.58</v>
      </c>
      <c r="O1770" s="3">
        <v>11225.22</v>
      </c>
      <c r="P1770" s="3" t="s">
        <v>95</v>
      </c>
      <c r="Q1770" s="3" t="s">
        <v>63</v>
      </c>
      <c r="R1770" s="3">
        <v>3</v>
      </c>
      <c r="S1770" s="3" t="s">
        <v>33</v>
      </c>
      <c r="T1770" s="3">
        <v>4376</v>
      </c>
      <c r="U1770" s="3">
        <v>0</v>
      </c>
      <c r="V1770" s="3"/>
    </row>
    <row r="1771" spans="1:22" x14ac:dyDescent="0.35">
      <c r="A1771" s="3" t="s">
        <v>4403</v>
      </c>
      <c r="B1771" s="3" t="s">
        <v>1688</v>
      </c>
      <c r="C1771" s="3" t="s">
        <v>24</v>
      </c>
      <c r="D1771" s="3" t="s">
        <v>4231</v>
      </c>
      <c r="E1771" s="3" t="s">
        <v>26</v>
      </c>
      <c r="F1771" s="3" t="s">
        <v>228</v>
      </c>
      <c r="G1771" s="3" t="s">
        <v>50</v>
      </c>
      <c r="H1771" s="3" t="s">
        <v>260</v>
      </c>
      <c r="I1771" s="3" t="s">
        <v>72</v>
      </c>
      <c r="J1771" s="3">
        <v>469</v>
      </c>
      <c r="K1771" s="3">
        <v>903.81</v>
      </c>
      <c r="L1771" s="3">
        <v>1157.1600000000001</v>
      </c>
      <c r="M1771" s="3">
        <v>542708.04</v>
      </c>
      <c r="N1771" s="3">
        <v>423886.89</v>
      </c>
      <c r="O1771" s="3">
        <v>118821.15</v>
      </c>
      <c r="P1771" s="3" t="s">
        <v>52</v>
      </c>
      <c r="Q1771" s="3" t="s">
        <v>32</v>
      </c>
      <c r="R1771" s="3">
        <v>11</v>
      </c>
      <c r="S1771" s="3" t="s">
        <v>43</v>
      </c>
      <c r="T1771" s="3">
        <v>1566</v>
      </c>
      <c r="U1771" s="3">
        <v>23</v>
      </c>
      <c r="V1771" s="3"/>
    </row>
    <row r="1772" spans="1:22" x14ac:dyDescent="0.35">
      <c r="A1772" s="2" t="s">
        <v>4404</v>
      </c>
      <c r="B1772" s="2" t="s">
        <v>1328</v>
      </c>
      <c r="C1772" s="2" t="s">
        <v>3408</v>
      </c>
      <c r="D1772" s="2" t="s">
        <v>4405</v>
      </c>
      <c r="E1772" s="2" t="s">
        <v>48</v>
      </c>
      <c r="F1772" s="2" t="s">
        <v>270</v>
      </c>
      <c r="G1772" s="2" t="s">
        <v>93</v>
      </c>
      <c r="H1772" s="2" t="s">
        <v>184</v>
      </c>
      <c r="I1772" s="2" t="s">
        <v>62</v>
      </c>
      <c r="J1772" s="2">
        <v>565</v>
      </c>
      <c r="K1772" s="2">
        <v>1175.8900000000001</v>
      </c>
      <c r="L1772" s="2">
        <v>1534.08</v>
      </c>
      <c r="M1772" s="2">
        <v>866755.2</v>
      </c>
      <c r="N1772" s="2">
        <v>664377.85</v>
      </c>
      <c r="O1772" s="2">
        <v>202377.35</v>
      </c>
      <c r="P1772" s="2" t="s">
        <v>52</v>
      </c>
      <c r="Q1772" s="2" t="s">
        <v>32</v>
      </c>
      <c r="R1772" s="2">
        <v>14</v>
      </c>
      <c r="S1772" s="2" t="s">
        <v>112</v>
      </c>
      <c r="T1772" s="2">
        <v>4526</v>
      </c>
      <c r="U1772" s="4" t="s">
        <v>980</v>
      </c>
      <c r="V1772" s="2"/>
    </row>
    <row r="1773" spans="1:22" x14ac:dyDescent="0.35">
      <c r="A1773" s="3" t="s">
        <v>4406</v>
      </c>
      <c r="B1773" s="3" t="s">
        <v>1186</v>
      </c>
      <c r="C1773" s="3" t="s">
        <v>649</v>
      </c>
      <c r="D1773" s="3" t="s">
        <v>2922</v>
      </c>
      <c r="E1773" s="3" t="s">
        <v>58</v>
      </c>
      <c r="F1773" s="3" t="s">
        <v>59</v>
      </c>
      <c r="G1773" s="3" t="s">
        <v>70</v>
      </c>
      <c r="H1773" s="3" t="s">
        <v>1019</v>
      </c>
      <c r="I1773" s="3" t="s">
        <v>118</v>
      </c>
      <c r="J1773" s="3">
        <v>69</v>
      </c>
      <c r="K1773" s="3">
        <v>600.94000000000005</v>
      </c>
      <c r="L1773" s="3">
        <v>702.32</v>
      </c>
      <c r="M1773" s="3">
        <v>48460.08</v>
      </c>
      <c r="N1773" s="3">
        <v>41464.86</v>
      </c>
      <c r="O1773" s="3">
        <v>6995.22</v>
      </c>
      <c r="P1773" s="3" t="s">
        <v>42</v>
      </c>
      <c r="Q1773" s="3" t="s">
        <v>32</v>
      </c>
      <c r="R1773" s="3">
        <v>10</v>
      </c>
      <c r="S1773" s="3" t="s">
        <v>53</v>
      </c>
      <c r="T1773" s="3">
        <v>4838</v>
      </c>
      <c r="U1773" s="3">
        <v>1</v>
      </c>
      <c r="V1773" s="3"/>
    </row>
    <row r="1774" spans="1:22" x14ac:dyDescent="0.35">
      <c r="A1774" s="2" t="s">
        <v>4407</v>
      </c>
      <c r="B1774" s="2" t="s">
        <v>1450</v>
      </c>
      <c r="C1774" s="2" t="s">
        <v>691</v>
      </c>
      <c r="D1774" s="2" t="s">
        <v>4408</v>
      </c>
      <c r="E1774" s="2" t="s">
        <v>26</v>
      </c>
      <c r="F1774" s="2" t="s">
        <v>38</v>
      </c>
      <c r="G1774" s="2" t="s">
        <v>70</v>
      </c>
      <c r="H1774" s="2" t="s">
        <v>384</v>
      </c>
      <c r="I1774" s="2" t="s">
        <v>72</v>
      </c>
      <c r="J1774" s="2">
        <v>118</v>
      </c>
      <c r="K1774" s="2">
        <v>695.08</v>
      </c>
      <c r="L1774" s="2">
        <v>875.72</v>
      </c>
      <c r="M1774" s="2">
        <v>103334.96</v>
      </c>
      <c r="N1774" s="2">
        <v>82019.44</v>
      </c>
      <c r="O1774" s="2">
        <v>21315.52</v>
      </c>
      <c r="P1774" s="2" t="s">
        <v>31</v>
      </c>
      <c r="Q1774" s="2" t="s">
        <v>63</v>
      </c>
      <c r="R1774" s="2">
        <v>1</v>
      </c>
      <c r="S1774" s="2" t="s">
        <v>43</v>
      </c>
      <c r="T1774" s="2">
        <v>877</v>
      </c>
      <c r="U1774" s="2">
        <v>3</v>
      </c>
      <c r="V1774" s="2"/>
    </row>
    <row r="1775" spans="1:22" x14ac:dyDescent="0.35">
      <c r="A1775" s="3" t="s">
        <v>4409</v>
      </c>
      <c r="B1775" s="3" t="s">
        <v>1612</v>
      </c>
      <c r="C1775" s="3" t="s">
        <v>1789</v>
      </c>
      <c r="D1775" s="3" t="s">
        <v>4295</v>
      </c>
      <c r="E1775" s="3" t="s">
        <v>68</v>
      </c>
      <c r="F1775" s="3" t="s">
        <v>146</v>
      </c>
      <c r="G1775" s="3" t="s">
        <v>217</v>
      </c>
      <c r="H1775" s="3" t="s">
        <v>684</v>
      </c>
      <c r="I1775" s="3" t="s">
        <v>41</v>
      </c>
      <c r="J1775" s="3">
        <v>205</v>
      </c>
      <c r="K1775" s="3">
        <v>1194.82</v>
      </c>
      <c r="L1775" s="3">
        <v>1410.63</v>
      </c>
      <c r="M1775" s="3">
        <v>289179.15000000002</v>
      </c>
      <c r="N1775" s="3">
        <v>244938.1</v>
      </c>
      <c r="O1775" s="3">
        <v>44241.05</v>
      </c>
      <c r="P1775" s="3" t="s">
        <v>31</v>
      </c>
      <c r="Q1775" s="3" t="s">
        <v>32</v>
      </c>
      <c r="R1775" s="3">
        <v>8</v>
      </c>
      <c r="S1775" s="3" t="s">
        <v>33</v>
      </c>
      <c r="T1775" s="3">
        <v>3849</v>
      </c>
      <c r="U1775" s="3">
        <v>4</v>
      </c>
      <c r="V1775" s="3"/>
    </row>
    <row r="1776" spans="1:22" x14ac:dyDescent="0.35">
      <c r="A1776" s="2" t="s">
        <v>4410</v>
      </c>
      <c r="B1776" s="2" t="s">
        <v>484</v>
      </c>
      <c r="C1776" s="2" t="s">
        <v>1125</v>
      </c>
      <c r="D1776" s="2" t="s">
        <v>4411</v>
      </c>
      <c r="E1776" s="2" t="s">
        <v>58</v>
      </c>
      <c r="F1776" s="2" t="s">
        <v>417</v>
      </c>
      <c r="G1776" s="2" t="s">
        <v>93</v>
      </c>
      <c r="H1776" s="2" t="s">
        <v>643</v>
      </c>
      <c r="I1776" s="2" t="s">
        <v>62</v>
      </c>
      <c r="J1776" s="2">
        <v>54</v>
      </c>
      <c r="K1776" s="2">
        <v>230.67</v>
      </c>
      <c r="L1776" s="2">
        <v>355</v>
      </c>
      <c r="M1776" s="2">
        <v>19170</v>
      </c>
      <c r="N1776" s="2">
        <v>12456.18</v>
      </c>
      <c r="O1776" s="2">
        <v>6713.82</v>
      </c>
      <c r="P1776" s="2" t="s">
        <v>31</v>
      </c>
      <c r="Q1776" s="2" t="s">
        <v>32</v>
      </c>
      <c r="R1776" s="2">
        <v>14</v>
      </c>
      <c r="S1776" s="2" t="s">
        <v>33</v>
      </c>
      <c r="T1776" s="2">
        <v>727</v>
      </c>
      <c r="U1776" s="2">
        <v>0</v>
      </c>
      <c r="V1776" s="2"/>
    </row>
    <row r="1777" spans="1:22" x14ac:dyDescent="0.35">
      <c r="A1777" s="3" t="s">
        <v>4412</v>
      </c>
      <c r="B1777" s="3" t="s">
        <v>723</v>
      </c>
      <c r="C1777" s="3" t="s">
        <v>747</v>
      </c>
      <c r="D1777" s="3" t="s">
        <v>4413</v>
      </c>
      <c r="E1777" s="3" t="s">
        <v>58</v>
      </c>
      <c r="F1777" s="3" t="s">
        <v>259</v>
      </c>
      <c r="G1777" s="3" t="s">
        <v>217</v>
      </c>
      <c r="H1777" s="3" t="s">
        <v>340</v>
      </c>
      <c r="I1777" s="3" t="s">
        <v>72</v>
      </c>
      <c r="J1777" s="3">
        <v>762</v>
      </c>
      <c r="K1777" s="3">
        <v>312.20999999999998</v>
      </c>
      <c r="L1777" s="3">
        <v>406.38</v>
      </c>
      <c r="M1777" s="3">
        <v>309661.56</v>
      </c>
      <c r="N1777" s="3">
        <v>237904.02</v>
      </c>
      <c r="O1777" s="3">
        <v>71757.539999999994</v>
      </c>
      <c r="P1777" s="3" t="s">
        <v>31</v>
      </c>
      <c r="Q1777" s="3" t="s">
        <v>63</v>
      </c>
      <c r="R1777" s="3">
        <v>5</v>
      </c>
      <c r="S1777" s="3" t="s">
        <v>53</v>
      </c>
      <c r="T1777" s="3">
        <v>4582</v>
      </c>
      <c r="U1777" s="3">
        <v>36</v>
      </c>
      <c r="V1777" s="3"/>
    </row>
    <row r="1778" spans="1:22" x14ac:dyDescent="0.35">
      <c r="A1778" s="2" t="s">
        <v>4414</v>
      </c>
      <c r="B1778" s="2" t="s">
        <v>829</v>
      </c>
      <c r="C1778" s="2" t="s">
        <v>617</v>
      </c>
      <c r="D1778" s="2" t="s">
        <v>4415</v>
      </c>
      <c r="E1778" s="2" t="s">
        <v>68</v>
      </c>
      <c r="F1778" s="2" t="s">
        <v>69</v>
      </c>
      <c r="G1778" s="2" t="s">
        <v>28</v>
      </c>
      <c r="H1778" s="2" t="s">
        <v>674</v>
      </c>
      <c r="I1778" s="2" t="s">
        <v>153</v>
      </c>
      <c r="J1778" s="2">
        <v>168</v>
      </c>
      <c r="K1778" s="2">
        <v>473.74</v>
      </c>
      <c r="L1778" s="2">
        <v>703.12</v>
      </c>
      <c r="M1778" s="2">
        <v>118124.16</v>
      </c>
      <c r="N1778" s="2">
        <v>79588.320000000007</v>
      </c>
      <c r="O1778" s="2">
        <v>38535.839999999997</v>
      </c>
      <c r="P1778" s="2" t="s">
        <v>52</v>
      </c>
      <c r="Q1778" s="2" t="s">
        <v>32</v>
      </c>
      <c r="R1778" s="2">
        <v>11</v>
      </c>
      <c r="S1778" s="2" t="s">
        <v>86</v>
      </c>
      <c r="T1778" s="2">
        <v>1498</v>
      </c>
      <c r="U1778" s="2">
        <v>7</v>
      </c>
      <c r="V1778" s="2"/>
    </row>
    <row r="1779" spans="1:22" x14ac:dyDescent="0.35">
      <c r="A1779" s="3" t="s">
        <v>4416</v>
      </c>
      <c r="B1779" s="3" t="s">
        <v>166</v>
      </c>
      <c r="C1779" s="3" t="s">
        <v>406</v>
      </c>
      <c r="D1779" s="3" t="s">
        <v>4417</v>
      </c>
      <c r="E1779" s="3" t="s">
        <v>26</v>
      </c>
      <c r="F1779" s="3" t="s">
        <v>77</v>
      </c>
      <c r="G1779" s="3" t="s">
        <v>28</v>
      </c>
      <c r="H1779" s="3" t="s">
        <v>714</v>
      </c>
      <c r="I1779" s="3" t="s">
        <v>72</v>
      </c>
      <c r="J1779" s="3">
        <v>600</v>
      </c>
      <c r="K1779" s="3">
        <v>1100.42</v>
      </c>
      <c r="L1779" s="3">
        <v>1517.13</v>
      </c>
      <c r="M1779" s="3">
        <v>910278</v>
      </c>
      <c r="N1779" s="3">
        <v>660252</v>
      </c>
      <c r="O1779" s="3">
        <v>250026</v>
      </c>
      <c r="P1779" s="3" t="s">
        <v>31</v>
      </c>
      <c r="Q1779" s="3" t="s">
        <v>32</v>
      </c>
      <c r="R1779" s="3">
        <v>11</v>
      </c>
      <c r="S1779" s="3" t="s">
        <v>43</v>
      </c>
      <c r="T1779" s="3">
        <v>4788</v>
      </c>
      <c r="U1779" s="3">
        <v>13</v>
      </c>
      <c r="V1779" s="3"/>
    </row>
    <row r="1780" spans="1:22" x14ac:dyDescent="0.35">
      <c r="A1780" s="2" t="s">
        <v>4418</v>
      </c>
      <c r="B1780" s="2" t="s">
        <v>328</v>
      </c>
      <c r="C1780" s="2" t="s">
        <v>23</v>
      </c>
      <c r="D1780" s="2" t="s">
        <v>4419</v>
      </c>
      <c r="E1780" s="2" t="s">
        <v>48</v>
      </c>
      <c r="F1780" s="2" t="s">
        <v>281</v>
      </c>
      <c r="G1780" s="2" t="s">
        <v>217</v>
      </c>
      <c r="H1780" s="2" t="s">
        <v>292</v>
      </c>
      <c r="I1780" s="2" t="s">
        <v>124</v>
      </c>
      <c r="J1780" s="2">
        <v>53</v>
      </c>
      <c r="K1780" s="2">
        <v>713.88</v>
      </c>
      <c r="L1780" s="2">
        <v>961.08</v>
      </c>
      <c r="M1780" s="2">
        <v>50937.24</v>
      </c>
      <c r="N1780" s="2">
        <v>37835.64</v>
      </c>
      <c r="O1780" s="2">
        <v>13101.6</v>
      </c>
      <c r="P1780" s="2" t="s">
        <v>95</v>
      </c>
      <c r="Q1780" s="2" t="s">
        <v>32</v>
      </c>
      <c r="R1780" s="2">
        <v>9</v>
      </c>
      <c r="S1780" s="2" t="s">
        <v>53</v>
      </c>
      <c r="T1780" s="2">
        <v>4947</v>
      </c>
      <c r="U1780" s="2">
        <v>2</v>
      </c>
      <c r="V1780" s="2"/>
    </row>
    <row r="1781" spans="1:22" x14ac:dyDescent="0.35">
      <c r="A1781" s="3" t="s">
        <v>4420</v>
      </c>
      <c r="B1781" s="3" t="s">
        <v>448</v>
      </c>
      <c r="C1781" s="3" t="s">
        <v>243</v>
      </c>
      <c r="D1781" s="3" t="s">
        <v>4421</v>
      </c>
      <c r="E1781" s="3" t="s">
        <v>26</v>
      </c>
      <c r="F1781" s="3" t="s">
        <v>709</v>
      </c>
      <c r="G1781" s="3" t="s">
        <v>28</v>
      </c>
      <c r="H1781" s="3" t="s">
        <v>111</v>
      </c>
      <c r="I1781" s="3" t="s">
        <v>1335</v>
      </c>
      <c r="J1781" s="3">
        <v>451</v>
      </c>
      <c r="K1781" s="3">
        <v>776.46</v>
      </c>
      <c r="L1781" s="3">
        <v>1059.44</v>
      </c>
      <c r="M1781" s="3">
        <v>477807.44</v>
      </c>
      <c r="N1781" s="3">
        <v>350183.46</v>
      </c>
      <c r="O1781" s="3">
        <v>127623.98</v>
      </c>
      <c r="P1781" s="3" t="s">
        <v>52</v>
      </c>
      <c r="Q1781" s="3" t="s">
        <v>63</v>
      </c>
      <c r="R1781" s="3">
        <v>5</v>
      </c>
      <c r="S1781" s="3" t="s">
        <v>158</v>
      </c>
      <c r="T1781" s="3">
        <v>206</v>
      </c>
      <c r="U1781" s="3">
        <v>20</v>
      </c>
      <c r="V1781" s="3"/>
    </row>
    <row r="1782" spans="1:22" x14ac:dyDescent="0.35">
      <c r="A1782" s="2" t="s">
        <v>4422</v>
      </c>
      <c r="B1782" s="2" t="s">
        <v>2313</v>
      </c>
      <c r="C1782" s="2" t="s">
        <v>4291</v>
      </c>
      <c r="D1782" s="2" t="s">
        <v>4423</v>
      </c>
      <c r="E1782" s="2" t="s">
        <v>26</v>
      </c>
      <c r="F1782" s="2" t="s">
        <v>38</v>
      </c>
      <c r="G1782" s="2" t="s">
        <v>28</v>
      </c>
      <c r="H1782" s="2" t="s">
        <v>254</v>
      </c>
      <c r="I1782" s="2" t="s">
        <v>30</v>
      </c>
      <c r="J1782" s="2">
        <v>533</v>
      </c>
      <c r="K1782" s="2">
        <v>803.54</v>
      </c>
      <c r="L1782" s="2">
        <v>950.31</v>
      </c>
      <c r="M1782" s="2">
        <v>506515.23</v>
      </c>
      <c r="N1782" s="2">
        <v>428286.82</v>
      </c>
      <c r="O1782" s="2">
        <v>78228.41</v>
      </c>
      <c r="P1782" s="2" t="s">
        <v>52</v>
      </c>
      <c r="Q1782" s="2" t="s">
        <v>63</v>
      </c>
      <c r="R1782" s="2">
        <v>5</v>
      </c>
      <c r="S1782" s="2" t="s">
        <v>158</v>
      </c>
      <c r="T1782" s="2">
        <v>3004</v>
      </c>
      <c r="U1782" s="2">
        <v>11</v>
      </c>
      <c r="V1782" s="2"/>
    </row>
    <row r="1783" spans="1:22" x14ac:dyDescent="0.35">
      <c r="A1783" s="3" t="s">
        <v>4424</v>
      </c>
      <c r="B1783" s="3" t="s">
        <v>1670</v>
      </c>
      <c r="C1783" s="3" t="s">
        <v>1143</v>
      </c>
      <c r="D1783" s="3" t="s">
        <v>4425</v>
      </c>
      <c r="E1783" s="3" t="s">
        <v>26</v>
      </c>
      <c r="F1783" s="3" t="s">
        <v>27</v>
      </c>
      <c r="G1783" s="3" t="s">
        <v>60</v>
      </c>
      <c r="H1783" s="3" t="s">
        <v>780</v>
      </c>
      <c r="I1783" s="3" t="s">
        <v>293</v>
      </c>
      <c r="J1783" s="3">
        <v>249</v>
      </c>
      <c r="K1783" s="3">
        <v>1125.97</v>
      </c>
      <c r="L1783" s="3">
        <v>1274.6099999999999</v>
      </c>
      <c r="M1783" s="3">
        <v>317377.89</v>
      </c>
      <c r="N1783" s="3">
        <v>280366.53000000003</v>
      </c>
      <c r="O1783" s="3">
        <v>37011.360000000001</v>
      </c>
      <c r="P1783" s="3" t="s">
        <v>42</v>
      </c>
      <c r="Q1783" s="3" t="s">
        <v>32</v>
      </c>
      <c r="R1783" s="3">
        <v>15</v>
      </c>
      <c r="S1783" s="3" t="s">
        <v>86</v>
      </c>
      <c r="T1783" s="3">
        <v>909</v>
      </c>
      <c r="U1783" s="3">
        <v>11</v>
      </c>
      <c r="V1783" s="3"/>
    </row>
    <row r="1784" spans="1:22" x14ac:dyDescent="0.35">
      <c r="A1784" s="2" t="s">
        <v>4426</v>
      </c>
      <c r="B1784" s="2" t="s">
        <v>472</v>
      </c>
      <c r="C1784" s="2" t="s">
        <v>4427</v>
      </c>
      <c r="D1784" s="2" t="s">
        <v>4428</v>
      </c>
      <c r="E1784" s="2" t="s">
        <v>48</v>
      </c>
      <c r="F1784" s="2" t="s">
        <v>270</v>
      </c>
      <c r="G1784" s="2" t="s">
        <v>129</v>
      </c>
      <c r="H1784" s="2" t="s">
        <v>704</v>
      </c>
      <c r="I1784" s="2" t="s">
        <v>124</v>
      </c>
      <c r="J1784" s="2">
        <v>800</v>
      </c>
      <c r="K1784" s="2">
        <v>82.58</v>
      </c>
      <c r="L1784" s="2">
        <v>134.97</v>
      </c>
      <c r="M1784" s="2">
        <v>107976</v>
      </c>
      <c r="N1784" s="2">
        <v>66064</v>
      </c>
      <c r="O1784" s="2">
        <v>41912</v>
      </c>
      <c r="P1784" s="2" t="s">
        <v>42</v>
      </c>
      <c r="Q1784" s="2" t="s">
        <v>63</v>
      </c>
      <c r="R1784" s="2">
        <v>4</v>
      </c>
      <c r="S1784" s="2" t="s">
        <v>43</v>
      </c>
      <c r="T1784" s="2">
        <v>2124</v>
      </c>
      <c r="U1784" s="2">
        <v>22</v>
      </c>
      <c r="V1784" s="2"/>
    </row>
    <row r="1785" spans="1:22" x14ac:dyDescent="0.35">
      <c r="A1785" s="3" t="s">
        <v>4429</v>
      </c>
      <c r="B1785" s="3" t="s">
        <v>2122</v>
      </c>
      <c r="C1785" s="3" t="s">
        <v>2008</v>
      </c>
      <c r="D1785" s="3" t="s">
        <v>4430</v>
      </c>
      <c r="E1785" s="3" t="s">
        <v>100</v>
      </c>
      <c r="F1785" s="3" t="s">
        <v>101</v>
      </c>
      <c r="G1785" s="3" t="s">
        <v>189</v>
      </c>
      <c r="H1785" s="3" t="s">
        <v>360</v>
      </c>
      <c r="I1785" s="3" t="s">
        <v>191</v>
      </c>
      <c r="J1785" s="3">
        <v>122</v>
      </c>
      <c r="K1785" s="3">
        <v>618.15</v>
      </c>
      <c r="L1785" s="3">
        <v>804.74</v>
      </c>
      <c r="M1785" s="3">
        <v>98178.28</v>
      </c>
      <c r="N1785" s="3">
        <v>75414.3</v>
      </c>
      <c r="O1785" s="3">
        <v>22763.98</v>
      </c>
      <c r="P1785" s="3" t="s">
        <v>31</v>
      </c>
      <c r="Q1785" s="3" t="s">
        <v>32</v>
      </c>
      <c r="R1785" s="3">
        <v>7</v>
      </c>
      <c r="S1785" s="3" t="s">
        <v>53</v>
      </c>
      <c r="T1785" s="3">
        <v>2955</v>
      </c>
      <c r="U1785" s="3">
        <v>1</v>
      </c>
      <c r="V1785" s="3"/>
    </row>
    <row r="1786" spans="1:22" x14ac:dyDescent="0.35">
      <c r="A1786" s="2" t="s">
        <v>4431</v>
      </c>
      <c r="B1786" s="2" t="s">
        <v>98</v>
      </c>
      <c r="C1786" s="2" t="s">
        <v>289</v>
      </c>
      <c r="D1786" s="2" t="s">
        <v>4432</v>
      </c>
      <c r="E1786" s="2" t="s">
        <v>26</v>
      </c>
      <c r="F1786" s="2" t="s">
        <v>27</v>
      </c>
      <c r="G1786" s="2" t="s">
        <v>60</v>
      </c>
      <c r="H1786" s="2" t="s">
        <v>780</v>
      </c>
      <c r="I1786" s="2" t="s">
        <v>124</v>
      </c>
      <c r="J1786" s="2">
        <v>685</v>
      </c>
      <c r="K1786" s="2">
        <v>284.11</v>
      </c>
      <c r="L1786" s="2">
        <v>419.64</v>
      </c>
      <c r="M1786" s="2">
        <v>287453.40000000002</v>
      </c>
      <c r="N1786" s="2">
        <v>194615.35</v>
      </c>
      <c r="O1786" s="2">
        <v>92838.05</v>
      </c>
      <c r="P1786" s="2" t="s">
        <v>95</v>
      </c>
      <c r="Q1786" s="2" t="s">
        <v>32</v>
      </c>
      <c r="R1786" s="2">
        <v>999</v>
      </c>
      <c r="S1786" s="2" t="s">
        <v>158</v>
      </c>
      <c r="T1786" s="2">
        <v>2655</v>
      </c>
      <c r="U1786" s="2">
        <v>18</v>
      </c>
      <c r="V1786" s="2"/>
    </row>
    <row r="1787" spans="1:22" x14ac:dyDescent="0.35">
      <c r="A1787" s="3" t="s">
        <v>4433</v>
      </c>
      <c r="B1787" s="3" t="s">
        <v>774</v>
      </c>
      <c r="C1787" s="3" t="s">
        <v>2015</v>
      </c>
      <c r="D1787" s="3" t="s">
        <v>4434</v>
      </c>
      <c r="E1787" s="3" t="s">
        <v>26</v>
      </c>
      <c r="F1787" s="3" t="s">
        <v>77</v>
      </c>
      <c r="G1787" s="3" t="s">
        <v>189</v>
      </c>
      <c r="H1787" s="3" t="s">
        <v>365</v>
      </c>
      <c r="I1787" s="4"/>
      <c r="J1787" s="3">
        <v>627</v>
      </c>
      <c r="K1787" s="3">
        <v>606.6</v>
      </c>
      <c r="L1787" s="3">
        <v>741.74</v>
      </c>
      <c r="M1787" s="3">
        <v>465070.98</v>
      </c>
      <c r="N1787" s="3">
        <v>380338.2</v>
      </c>
      <c r="O1787" s="3">
        <v>84732.78</v>
      </c>
      <c r="P1787" s="3" t="s">
        <v>42</v>
      </c>
      <c r="Q1787" s="3" t="s">
        <v>32</v>
      </c>
      <c r="R1787" s="3">
        <v>6</v>
      </c>
      <c r="S1787" s="3" t="s">
        <v>53</v>
      </c>
      <c r="T1787" s="3">
        <v>1437</v>
      </c>
      <c r="U1787" s="3">
        <v>6</v>
      </c>
      <c r="V1787" s="3"/>
    </row>
    <row r="1788" spans="1:22" x14ac:dyDescent="0.35">
      <c r="A1788" s="2" t="s">
        <v>4435</v>
      </c>
      <c r="B1788" s="2" t="s">
        <v>1295</v>
      </c>
      <c r="C1788" s="2" t="s">
        <v>356</v>
      </c>
      <c r="D1788" s="2" t="s">
        <v>4436</v>
      </c>
      <c r="E1788" s="2" t="s">
        <v>26</v>
      </c>
      <c r="F1788" s="2" t="s">
        <v>38</v>
      </c>
      <c r="G1788" s="2" t="s">
        <v>189</v>
      </c>
      <c r="H1788" s="2" t="s">
        <v>190</v>
      </c>
      <c r="I1788" s="2" t="s">
        <v>118</v>
      </c>
      <c r="J1788" s="2">
        <v>543</v>
      </c>
      <c r="K1788" s="2">
        <v>419.7</v>
      </c>
      <c r="L1788" s="2">
        <v>519.57000000000005</v>
      </c>
      <c r="M1788" s="2">
        <v>282126.51</v>
      </c>
      <c r="N1788" s="2">
        <v>227897.1</v>
      </c>
      <c r="O1788" s="2">
        <v>54229.41</v>
      </c>
      <c r="P1788" s="2" t="s">
        <v>42</v>
      </c>
      <c r="Q1788" s="2" t="s">
        <v>32</v>
      </c>
      <c r="R1788" s="2">
        <v>6</v>
      </c>
      <c r="S1788" s="2" t="s">
        <v>53</v>
      </c>
      <c r="T1788" s="2">
        <v>3601</v>
      </c>
      <c r="U1788" s="2">
        <v>20</v>
      </c>
      <c r="V1788" s="2"/>
    </row>
    <row r="1789" spans="1:22" x14ac:dyDescent="0.35">
      <c r="A1789" s="3" t="s">
        <v>4437</v>
      </c>
      <c r="B1789" s="3" t="s">
        <v>3603</v>
      </c>
      <c r="C1789" s="3" t="s">
        <v>308</v>
      </c>
      <c r="D1789" s="3" t="s">
        <v>4438</v>
      </c>
      <c r="E1789" s="3" t="s">
        <v>100</v>
      </c>
      <c r="F1789" s="3" t="s">
        <v>1606</v>
      </c>
      <c r="G1789" s="3" t="s">
        <v>70</v>
      </c>
      <c r="H1789" s="3" t="s">
        <v>4439</v>
      </c>
      <c r="I1789" s="3" t="s">
        <v>85</v>
      </c>
      <c r="J1789" s="3">
        <v>787</v>
      </c>
      <c r="K1789" s="3">
        <v>569.25</v>
      </c>
      <c r="L1789" s="3">
        <v>639.63</v>
      </c>
      <c r="M1789" s="3">
        <v>503388.81</v>
      </c>
      <c r="N1789" s="3">
        <v>447999.75</v>
      </c>
      <c r="O1789" s="3">
        <v>55389.06</v>
      </c>
      <c r="P1789" s="3" t="s">
        <v>31</v>
      </c>
      <c r="Q1789" s="3" t="s">
        <v>32</v>
      </c>
      <c r="R1789" s="3">
        <v>9</v>
      </c>
      <c r="S1789" s="3" t="s">
        <v>53</v>
      </c>
      <c r="T1789" s="3">
        <v>2568</v>
      </c>
      <c r="U1789" s="3">
        <v>33</v>
      </c>
      <c r="V1789" s="3"/>
    </row>
    <row r="1790" spans="1:22" x14ac:dyDescent="0.35">
      <c r="A1790" s="2" t="s">
        <v>4440</v>
      </c>
      <c r="B1790" s="2" t="s">
        <v>3892</v>
      </c>
      <c r="C1790" s="2" t="s">
        <v>4441</v>
      </c>
      <c r="D1790" s="2" t="s">
        <v>4442</v>
      </c>
      <c r="E1790" s="2" t="s">
        <v>48</v>
      </c>
      <c r="F1790" s="2" t="s">
        <v>49</v>
      </c>
      <c r="G1790" s="2" t="s">
        <v>217</v>
      </c>
      <c r="H1790" s="2" t="s">
        <v>340</v>
      </c>
      <c r="I1790" s="2" t="s">
        <v>30</v>
      </c>
      <c r="J1790" s="2">
        <v>115</v>
      </c>
      <c r="K1790" s="2">
        <v>54.06</v>
      </c>
      <c r="L1790" s="2">
        <v>82.42</v>
      </c>
      <c r="M1790" s="2">
        <v>9478.2999999999993</v>
      </c>
      <c r="N1790" s="2">
        <v>6216.9</v>
      </c>
      <c r="O1790" s="2">
        <v>3261.4</v>
      </c>
      <c r="P1790" s="2" t="s">
        <v>42</v>
      </c>
      <c r="Q1790" s="2" t="s">
        <v>32</v>
      </c>
      <c r="R1790" s="2">
        <v>8</v>
      </c>
      <c r="S1790" s="2" t="s">
        <v>53</v>
      </c>
      <c r="T1790" s="2">
        <v>1014</v>
      </c>
      <c r="U1790" s="2">
        <v>0</v>
      </c>
      <c r="V1790" s="2"/>
    </row>
    <row r="1791" spans="1:22" x14ac:dyDescent="0.35">
      <c r="A1791" s="3" t="s">
        <v>4443</v>
      </c>
      <c r="B1791" s="3" t="s">
        <v>1114</v>
      </c>
      <c r="C1791" s="3" t="s">
        <v>215</v>
      </c>
      <c r="D1791" s="3" t="s">
        <v>4444</v>
      </c>
      <c r="E1791" s="3" t="s">
        <v>58</v>
      </c>
      <c r="F1791" s="3" t="s">
        <v>259</v>
      </c>
      <c r="G1791" s="3" t="s">
        <v>39</v>
      </c>
      <c r="H1791" s="3" t="s">
        <v>412</v>
      </c>
      <c r="I1791" s="3" t="s">
        <v>72</v>
      </c>
      <c r="J1791" s="3">
        <v>235</v>
      </c>
      <c r="K1791" s="3">
        <v>600.29999999999995</v>
      </c>
      <c r="L1791" s="4" t="s">
        <v>2324</v>
      </c>
      <c r="M1791" s="3">
        <v>182195.5</v>
      </c>
      <c r="N1791" s="3">
        <v>141070.5</v>
      </c>
      <c r="O1791" s="3">
        <v>41125</v>
      </c>
      <c r="P1791" s="3" t="s">
        <v>52</v>
      </c>
      <c r="Q1791" s="3" t="s">
        <v>867</v>
      </c>
      <c r="R1791" s="3">
        <v>4</v>
      </c>
      <c r="S1791" s="3" t="s">
        <v>158</v>
      </c>
      <c r="T1791" s="3">
        <v>1998</v>
      </c>
      <c r="U1791" s="3">
        <v>11</v>
      </c>
      <c r="V1791" s="3"/>
    </row>
    <row r="1792" spans="1:22" x14ac:dyDescent="0.35">
      <c r="A1792" s="2" t="s">
        <v>4445</v>
      </c>
      <c r="B1792" s="2" t="s">
        <v>2153</v>
      </c>
      <c r="C1792" s="2" t="s">
        <v>4446</v>
      </c>
      <c r="D1792" s="2" t="s">
        <v>4447</v>
      </c>
      <c r="E1792" s="2" t="s">
        <v>58</v>
      </c>
      <c r="F1792" s="2" t="s">
        <v>122</v>
      </c>
      <c r="G1792" s="2" t="s">
        <v>28</v>
      </c>
      <c r="H1792" s="2" t="s">
        <v>714</v>
      </c>
      <c r="I1792" s="2" t="s">
        <v>62</v>
      </c>
      <c r="J1792" s="2">
        <v>250</v>
      </c>
      <c r="K1792" s="2">
        <v>180.07</v>
      </c>
      <c r="L1792" s="2">
        <v>213.09</v>
      </c>
      <c r="M1792" s="2">
        <v>53272.5</v>
      </c>
      <c r="N1792" s="2">
        <v>45017.5</v>
      </c>
      <c r="O1792" s="2">
        <v>8255</v>
      </c>
      <c r="P1792" s="2" t="s">
        <v>42</v>
      </c>
      <c r="Q1792" s="2" t="s">
        <v>32</v>
      </c>
      <c r="R1792" s="2">
        <v>6</v>
      </c>
      <c r="S1792" s="2" t="s">
        <v>112</v>
      </c>
      <c r="T1792" s="4"/>
      <c r="U1792" s="2">
        <v>10</v>
      </c>
      <c r="V1792" s="2"/>
    </row>
    <row r="1793" spans="1:22" x14ac:dyDescent="0.35">
      <c r="A1793" s="3" t="s">
        <v>4448</v>
      </c>
      <c r="B1793" s="3" t="s">
        <v>440</v>
      </c>
      <c r="C1793" s="3" t="s">
        <v>1873</v>
      </c>
      <c r="D1793" s="3" t="s">
        <v>4449</v>
      </c>
      <c r="E1793" s="3" t="s">
        <v>26</v>
      </c>
      <c r="F1793" s="3" t="s">
        <v>27</v>
      </c>
      <c r="G1793" s="3" t="s">
        <v>189</v>
      </c>
      <c r="H1793" s="3" t="s">
        <v>190</v>
      </c>
      <c r="I1793" s="3" t="s">
        <v>72</v>
      </c>
      <c r="J1793" s="3">
        <v>97</v>
      </c>
      <c r="K1793" s="3">
        <v>835.35</v>
      </c>
      <c r="L1793" s="3">
        <v>1170.6300000000001</v>
      </c>
      <c r="M1793" s="3">
        <v>113551.11</v>
      </c>
      <c r="N1793" s="3">
        <v>81028.95</v>
      </c>
      <c r="O1793" s="3">
        <v>32522.16</v>
      </c>
      <c r="P1793" s="3" t="s">
        <v>95</v>
      </c>
      <c r="Q1793" s="3" t="s">
        <v>63</v>
      </c>
      <c r="R1793" s="3">
        <v>3</v>
      </c>
      <c r="S1793" s="3" t="s">
        <v>158</v>
      </c>
      <c r="T1793" s="3">
        <v>2054</v>
      </c>
      <c r="U1793" s="3">
        <v>1</v>
      </c>
      <c r="V1793" s="3"/>
    </row>
    <row r="1794" spans="1:22" x14ac:dyDescent="0.35">
      <c r="A1794" s="2" t="s">
        <v>4450</v>
      </c>
      <c r="B1794" s="2" t="s">
        <v>657</v>
      </c>
      <c r="C1794" s="2" t="s">
        <v>1246</v>
      </c>
      <c r="D1794" s="2" t="s">
        <v>4449</v>
      </c>
      <c r="E1794" s="2" t="s">
        <v>26</v>
      </c>
      <c r="F1794" s="2" t="s">
        <v>27</v>
      </c>
      <c r="G1794" s="2" t="s">
        <v>217</v>
      </c>
      <c r="H1794" s="2" t="s">
        <v>524</v>
      </c>
      <c r="I1794" s="2" t="s">
        <v>240</v>
      </c>
      <c r="J1794" s="2">
        <v>540</v>
      </c>
      <c r="K1794" s="2">
        <v>678.19</v>
      </c>
      <c r="L1794" s="2">
        <v>869.45</v>
      </c>
      <c r="M1794" s="2">
        <v>469503</v>
      </c>
      <c r="N1794" s="2">
        <v>366222.6</v>
      </c>
      <c r="O1794" s="2">
        <v>103280.4</v>
      </c>
      <c r="P1794" s="2" t="s">
        <v>95</v>
      </c>
      <c r="Q1794" s="2" t="s">
        <v>63</v>
      </c>
      <c r="R1794" s="2">
        <v>1</v>
      </c>
      <c r="S1794" s="2" t="s">
        <v>158</v>
      </c>
      <c r="T1794" s="2">
        <v>650</v>
      </c>
      <c r="U1794" s="2">
        <v>7</v>
      </c>
      <c r="V1794" s="2"/>
    </row>
    <row r="1795" spans="1:22" x14ac:dyDescent="0.35">
      <c r="A1795" s="3" t="s">
        <v>4451</v>
      </c>
      <c r="B1795" s="3" t="s">
        <v>104</v>
      </c>
      <c r="C1795" s="3" t="s">
        <v>314</v>
      </c>
      <c r="D1795" s="3" t="s">
        <v>4452</v>
      </c>
      <c r="E1795" s="3" t="s">
        <v>58</v>
      </c>
      <c r="F1795" s="3" t="s">
        <v>417</v>
      </c>
      <c r="G1795" s="3" t="s">
        <v>39</v>
      </c>
      <c r="H1795" s="3" t="s">
        <v>477</v>
      </c>
      <c r="I1795" s="3" t="s">
        <v>72</v>
      </c>
      <c r="J1795" s="3">
        <v>86</v>
      </c>
      <c r="K1795" s="3">
        <v>421.02</v>
      </c>
      <c r="L1795" s="3">
        <v>551.32000000000005</v>
      </c>
      <c r="M1795" s="3">
        <v>47413.52</v>
      </c>
      <c r="N1795" s="3">
        <v>36207.72</v>
      </c>
      <c r="O1795" s="3">
        <v>11205.8</v>
      </c>
      <c r="P1795" s="3" t="s">
        <v>95</v>
      </c>
      <c r="Q1795" s="3" t="s">
        <v>63</v>
      </c>
      <c r="R1795" s="3">
        <v>5</v>
      </c>
      <c r="S1795" s="3" t="s">
        <v>86</v>
      </c>
      <c r="T1795" s="3">
        <v>773</v>
      </c>
      <c r="U1795" s="3">
        <v>1</v>
      </c>
      <c r="V1795" s="3"/>
    </row>
    <row r="1796" spans="1:22" x14ac:dyDescent="0.35">
      <c r="A1796" s="2" t="s">
        <v>4453</v>
      </c>
      <c r="B1796" s="2" t="s">
        <v>323</v>
      </c>
      <c r="C1796" s="2" t="s">
        <v>1192</v>
      </c>
      <c r="D1796" s="2" t="s">
        <v>4454</v>
      </c>
      <c r="E1796" s="2" t="s">
        <v>68</v>
      </c>
      <c r="F1796" s="2" t="s">
        <v>146</v>
      </c>
      <c r="G1796" s="2" t="s">
        <v>217</v>
      </c>
      <c r="H1796" s="2" t="s">
        <v>524</v>
      </c>
      <c r="I1796" s="2" t="s">
        <v>240</v>
      </c>
      <c r="J1796" s="2">
        <v>633</v>
      </c>
      <c r="K1796" s="2">
        <v>286.77</v>
      </c>
      <c r="L1796" s="2">
        <v>428.19</v>
      </c>
      <c r="M1796" s="2">
        <v>271044.27</v>
      </c>
      <c r="N1796" s="2">
        <v>181525.41</v>
      </c>
      <c r="O1796" s="2">
        <v>89518.86</v>
      </c>
      <c r="P1796" s="2" t="s">
        <v>31</v>
      </c>
      <c r="Q1796" s="2" t="s">
        <v>32</v>
      </c>
      <c r="R1796" s="2">
        <v>10</v>
      </c>
      <c r="S1796" s="2" t="s">
        <v>33</v>
      </c>
      <c r="T1796" s="2">
        <v>1953</v>
      </c>
      <c r="U1796" s="2">
        <v>29</v>
      </c>
      <c r="V1796" s="2"/>
    </row>
    <row r="1797" spans="1:22" x14ac:dyDescent="0.35">
      <c r="A1797" s="3" t="s">
        <v>4455</v>
      </c>
      <c r="B1797" s="3" t="s">
        <v>299</v>
      </c>
      <c r="C1797" s="3" t="s">
        <v>564</v>
      </c>
      <c r="D1797" s="3" t="s">
        <v>4456</v>
      </c>
      <c r="E1797" s="3" t="s">
        <v>48</v>
      </c>
      <c r="F1797" s="3" t="s">
        <v>270</v>
      </c>
      <c r="G1797" s="3" t="s">
        <v>189</v>
      </c>
      <c r="H1797" s="3" t="s">
        <v>360</v>
      </c>
      <c r="I1797" s="3" t="s">
        <v>240</v>
      </c>
      <c r="J1797" s="3">
        <v>170</v>
      </c>
      <c r="K1797" s="3">
        <v>868.74</v>
      </c>
      <c r="L1797" s="3">
        <v>1193.99</v>
      </c>
      <c r="M1797" s="3">
        <v>202978.3</v>
      </c>
      <c r="N1797" s="3">
        <v>147685.79999999999</v>
      </c>
      <c r="O1797" s="3">
        <v>55292.5</v>
      </c>
      <c r="P1797" s="3" t="s">
        <v>42</v>
      </c>
      <c r="Q1797" s="3" t="s">
        <v>63</v>
      </c>
      <c r="R1797" s="3">
        <v>4</v>
      </c>
      <c r="S1797" s="3" t="s">
        <v>158</v>
      </c>
      <c r="T1797" s="3">
        <v>2250</v>
      </c>
      <c r="U1797" s="3">
        <v>6</v>
      </c>
      <c r="V1797" s="3"/>
    </row>
    <row r="1798" spans="1:22" x14ac:dyDescent="0.35">
      <c r="A1798" s="2" t="s">
        <v>4457</v>
      </c>
      <c r="B1798" s="2" t="s">
        <v>1444</v>
      </c>
      <c r="C1798" s="2" t="s">
        <v>794</v>
      </c>
      <c r="D1798" s="2" t="s">
        <v>4458</v>
      </c>
      <c r="E1798" s="2" t="s">
        <v>68</v>
      </c>
      <c r="F1798" s="2" t="s">
        <v>249</v>
      </c>
      <c r="G1798" s="2" t="s">
        <v>28</v>
      </c>
      <c r="H1798" s="2" t="s">
        <v>714</v>
      </c>
      <c r="I1798" s="2" t="s">
        <v>85</v>
      </c>
      <c r="J1798" s="2">
        <v>567</v>
      </c>
      <c r="K1798" s="2">
        <v>123.01</v>
      </c>
      <c r="L1798" s="2">
        <v>189.3</v>
      </c>
      <c r="M1798" s="2">
        <v>107333.1</v>
      </c>
      <c r="N1798" s="2">
        <v>69746.67</v>
      </c>
      <c r="O1798" s="2">
        <v>37586.43</v>
      </c>
      <c r="P1798" s="2" t="s">
        <v>95</v>
      </c>
      <c r="Q1798" s="2" t="s">
        <v>32</v>
      </c>
      <c r="R1798" s="2">
        <v>8</v>
      </c>
      <c r="S1798" s="2" t="s">
        <v>158</v>
      </c>
      <c r="T1798" s="2">
        <v>4477</v>
      </c>
      <c r="U1798" s="2">
        <v>23</v>
      </c>
      <c r="V1798" s="2"/>
    </row>
    <row r="1799" spans="1:22" x14ac:dyDescent="0.35">
      <c r="A1799" s="3" t="s">
        <v>4000</v>
      </c>
      <c r="B1799" s="3" t="s">
        <v>1110</v>
      </c>
      <c r="C1799" s="3" t="s">
        <v>4459</v>
      </c>
      <c r="D1799" s="3" t="s">
        <v>4001</v>
      </c>
      <c r="E1799" s="3" t="s">
        <v>26</v>
      </c>
      <c r="F1799" s="3" t="s">
        <v>27</v>
      </c>
      <c r="G1799" s="3" t="s">
        <v>60</v>
      </c>
      <c r="H1799" s="3" t="s">
        <v>400</v>
      </c>
      <c r="I1799" s="3" t="s">
        <v>41</v>
      </c>
      <c r="J1799" s="3">
        <v>75</v>
      </c>
      <c r="K1799" s="3">
        <v>883.54</v>
      </c>
      <c r="L1799" s="3">
        <v>1298.25</v>
      </c>
      <c r="M1799" s="3">
        <v>97368.75</v>
      </c>
      <c r="N1799" s="3">
        <v>66265.5</v>
      </c>
      <c r="O1799" s="3">
        <v>31103.25</v>
      </c>
      <c r="P1799" s="3" t="s">
        <v>31</v>
      </c>
      <c r="Q1799" s="3" t="s">
        <v>63</v>
      </c>
      <c r="R1799" s="3">
        <v>3</v>
      </c>
      <c r="S1799" s="3" t="s">
        <v>158</v>
      </c>
      <c r="T1799" s="3">
        <v>1980</v>
      </c>
      <c r="U1799" s="3">
        <v>1</v>
      </c>
      <c r="V1799" s="3"/>
    </row>
    <row r="1800" spans="1:22" x14ac:dyDescent="0.35">
      <c r="A1800" s="2" t="s">
        <v>4460</v>
      </c>
      <c r="B1800" s="2" t="s">
        <v>440</v>
      </c>
      <c r="C1800" s="2" t="s">
        <v>585</v>
      </c>
      <c r="D1800" s="2" t="s">
        <v>4461</v>
      </c>
      <c r="E1800" s="2" t="s">
        <v>48</v>
      </c>
      <c r="F1800" s="2" t="s">
        <v>49</v>
      </c>
      <c r="G1800" s="2" t="s">
        <v>70</v>
      </c>
      <c r="H1800" s="2" t="s">
        <v>446</v>
      </c>
      <c r="I1800" s="2" t="s">
        <v>62</v>
      </c>
      <c r="J1800" s="2">
        <v>81</v>
      </c>
      <c r="K1800" s="2">
        <v>215.84</v>
      </c>
      <c r="L1800" s="2">
        <v>274.75</v>
      </c>
      <c r="M1800" s="2">
        <v>22254.75</v>
      </c>
      <c r="N1800" s="2">
        <v>17483.04</v>
      </c>
      <c r="O1800" s="2">
        <v>4771.71</v>
      </c>
      <c r="P1800" s="2" t="s">
        <v>95</v>
      </c>
      <c r="Q1800" s="2" t="s">
        <v>63</v>
      </c>
      <c r="R1800" s="2">
        <v>5</v>
      </c>
      <c r="S1800" s="2" t="s">
        <v>112</v>
      </c>
      <c r="T1800" s="2">
        <v>3381</v>
      </c>
      <c r="U1800" s="2">
        <v>1</v>
      </c>
      <c r="V1800" s="2"/>
    </row>
    <row r="1801" spans="1:22" x14ac:dyDescent="0.35">
      <c r="A1801" s="3" t="s">
        <v>4462</v>
      </c>
      <c r="B1801" s="3" t="s">
        <v>1483</v>
      </c>
      <c r="C1801" s="3" t="s">
        <v>363</v>
      </c>
      <c r="D1801" s="3" t="s">
        <v>4463</v>
      </c>
      <c r="E1801" s="3" t="s">
        <v>100</v>
      </c>
      <c r="F1801" s="3" t="s">
        <v>238</v>
      </c>
      <c r="G1801" s="3" t="s">
        <v>78</v>
      </c>
      <c r="H1801" s="3" t="s">
        <v>840</v>
      </c>
      <c r="I1801" s="3" t="s">
        <v>30</v>
      </c>
      <c r="J1801" s="3">
        <v>50</v>
      </c>
      <c r="K1801" s="3">
        <v>804.46</v>
      </c>
      <c r="L1801" s="3">
        <v>940.63</v>
      </c>
      <c r="M1801" s="3">
        <v>47031.5</v>
      </c>
      <c r="N1801" s="3">
        <v>40223</v>
      </c>
      <c r="O1801" s="3">
        <v>6808.5</v>
      </c>
      <c r="P1801" s="3" t="s">
        <v>95</v>
      </c>
      <c r="Q1801" s="3" t="s">
        <v>32</v>
      </c>
      <c r="R1801" s="3">
        <v>9</v>
      </c>
      <c r="S1801" s="3" t="s">
        <v>1613</v>
      </c>
      <c r="T1801" s="3">
        <v>2804</v>
      </c>
      <c r="U1801" s="3">
        <v>1</v>
      </c>
      <c r="V1801" s="3"/>
    </row>
    <row r="1802" spans="1:22" x14ac:dyDescent="0.35">
      <c r="A1802" s="2" t="s">
        <v>4464</v>
      </c>
      <c r="B1802" s="2" t="s">
        <v>1474</v>
      </c>
      <c r="C1802" s="2" t="s">
        <v>668</v>
      </c>
      <c r="D1802" s="2" t="s">
        <v>4465</v>
      </c>
      <c r="E1802" s="2" t="s">
        <v>58</v>
      </c>
      <c r="F1802" s="2" t="s">
        <v>116</v>
      </c>
      <c r="G1802" s="2" t="s">
        <v>189</v>
      </c>
      <c r="H1802" s="2" t="s">
        <v>271</v>
      </c>
      <c r="I1802" s="2" t="s">
        <v>240</v>
      </c>
      <c r="J1802" s="2">
        <v>563</v>
      </c>
      <c r="K1802" s="2">
        <v>234.65</v>
      </c>
      <c r="L1802" s="2">
        <v>358.86</v>
      </c>
      <c r="M1802" s="2">
        <v>202038.18</v>
      </c>
      <c r="N1802" s="2">
        <v>132107.95000000001</v>
      </c>
      <c r="O1802" s="2">
        <v>69930.23</v>
      </c>
      <c r="P1802" s="2" t="s">
        <v>31</v>
      </c>
      <c r="Q1802" s="2" t="s">
        <v>32</v>
      </c>
      <c r="R1802" s="2">
        <v>9</v>
      </c>
      <c r="S1802" s="2" t="s">
        <v>158</v>
      </c>
      <c r="T1802" s="2">
        <v>4731</v>
      </c>
      <c r="U1802" s="2">
        <v>19</v>
      </c>
      <c r="V1802" s="2"/>
    </row>
    <row r="1803" spans="1:22" x14ac:dyDescent="0.35">
      <c r="A1803" s="3" t="s">
        <v>4466</v>
      </c>
      <c r="B1803" s="3" t="s">
        <v>3733</v>
      </c>
      <c r="C1803" s="3" t="s">
        <v>2153</v>
      </c>
      <c r="D1803" s="3" t="s">
        <v>1888</v>
      </c>
      <c r="E1803" s="3" t="s">
        <v>100</v>
      </c>
      <c r="F1803" s="3" t="s">
        <v>101</v>
      </c>
      <c r="G1803" s="3" t="s">
        <v>50</v>
      </c>
      <c r="H1803" s="3" t="s">
        <v>282</v>
      </c>
      <c r="I1803" s="3" t="s">
        <v>293</v>
      </c>
      <c r="J1803" s="3">
        <v>129</v>
      </c>
      <c r="K1803" s="3">
        <v>706.05</v>
      </c>
      <c r="L1803" s="3">
        <v>926.14</v>
      </c>
      <c r="M1803" s="3">
        <v>119472.06</v>
      </c>
      <c r="N1803" s="3">
        <v>91080.45</v>
      </c>
      <c r="O1803" s="3">
        <v>28391.61</v>
      </c>
      <c r="P1803" s="3" t="s">
        <v>52</v>
      </c>
      <c r="Q1803" s="3" t="s">
        <v>32</v>
      </c>
      <c r="R1803" s="3">
        <v>10</v>
      </c>
      <c r="S1803" s="3" t="s">
        <v>43</v>
      </c>
      <c r="T1803" s="3">
        <v>4948</v>
      </c>
      <c r="U1803" s="3">
        <v>4</v>
      </c>
      <c r="V1803" s="3"/>
    </row>
    <row r="1804" spans="1:22" x14ac:dyDescent="0.35">
      <c r="A1804" s="2" t="s">
        <v>4467</v>
      </c>
      <c r="B1804" s="2" t="s">
        <v>657</v>
      </c>
      <c r="C1804" s="2" t="s">
        <v>850</v>
      </c>
      <c r="D1804" s="2" t="s">
        <v>2215</v>
      </c>
      <c r="E1804" s="2" t="s">
        <v>100</v>
      </c>
      <c r="F1804" s="2" t="s">
        <v>330</v>
      </c>
      <c r="G1804" s="2" t="s">
        <v>189</v>
      </c>
      <c r="H1804" s="2" t="s">
        <v>360</v>
      </c>
      <c r="I1804" s="2" t="s">
        <v>240</v>
      </c>
      <c r="J1804" s="2">
        <v>47</v>
      </c>
      <c r="K1804" s="2">
        <v>951.29</v>
      </c>
      <c r="L1804" s="2">
        <v>1292.7</v>
      </c>
      <c r="M1804" s="2">
        <v>60756.9</v>
      </c>
      <c r="N1804" s="2">
        <v>44710.63</v>
      </c>
      <c r="O1804" s="2">
        <v>16046.27</v>
      </c>
      <c r="P1804" s="2" t="s">
        <v>52</v>
      </c>
      <c r="Q1804" s="2" t="s">
        <v>32</v>
      </c>
      <c r="R1804" s="2">
        <v>7</v>
      </c>
      <c r="S1804" s="2" t="s">
        <v>43</v>
      </c>
      <c r="T1804" s="2">
        <v>3594</v>
      </c>
      <c r="U1804" s="2">
        <v>2</v>
      </c>
      <c r="V1804" s="2"/>
    </row>
    <row r="1805" spans="1:22" x14ac:dyDescent="0.35">
      <c r="A1805" s="3" t="s">
        <v>4468</v>
      </c>
      <c r="B1805" s="3" t="s">
        <v>2130</v>
      </c>
      <c r="C1805" s="3" t="s">
        <v>887</v>
      </c>
      <c r="D1805" s="3" t="s">
        <v>4469</v>
      </c>
      <c r="E1805" s="3" t="s">
        <v>48</v>
      </c>
      <c r="F1805" s="3" t="s">
        <v>223</v>
      </c>
      <c r="G1805" s="3" t="s">
        <v>217</v>
      </c>
      <c r="H1805" s="3" t="s">
        <v>684</v>
      </c>
      <c r="I1805" s="3" t="s">
        <v>41</v>
      </c>
      <c r="J1805" s="3">
        <v>701</v>
      </c>
      <c r="K1805" s="3">
        <v>641.02</v>
      </c>
      <c r="L1805" s="3">
        <v>933.17</v>
      </c>
      <c r="M1805" s="3">
        <v>654152.17000000004</v>
      </c>
      <c r="N1805" s="3">
        <v>449355.02</v>
      </c>
      <c r="O1805" s="3">
        <v>204797.15</v>
      </c>
      <c r="P1805" s="3" t="s">
        <v>42</v>
      </c>
      <c r="Q1805" s="3" t="s">
        <v>32</v>
      </c>
      <c r="R1805" s="3">
        <v>7</v>
      </c>
      <c r="S1805" s="3" t="s">
        <v>43</v>
      </c>
      <c r="T1805" s="3">
        <v>1359</v>
      </c>
      <c r="U1805" s="3">
        <v>8</v>
      </c>
      <c r="V1805" s="3"/>
    </row>
    <row r="1806" spans="1:22" x14ac:dyDescent="0.35">
      <c r="A1806" s="2" t="s">
        <v>4470</v>
      </c>
      <c r="B1806" s="2" t="s">
        <v>1797</v>
      </c>
      <c r="C1806" s="2" t="s">
        <v>137</v>
      </c>
      <c r="D1806" s="2" t="s">
        <v>4471</v>
      </c>
      <c r="E1806" s="2" t="s">
        <v>26</v>
      </c>
      <c r="F1806" s="2" t="s">
        <v>38</v>
      </c>
      <c r="G1806" s="2" t="s">
        <v>78</v>
      </c>
      <c r="H1806" s="2" t="s">
        <v>572</v>
      </c>
      <c r="I1806" s="2" t="s">
        <v>191</v>
      </c>
      <c r="J1806" s="2">
        <v>669</v>
      </c>
      <c r="K1806" s="2">
        <v>509.4</v>
      </c>
      <c r="L1806" s="2">
        <v>642.36</v>
      </c>
      <c r="M1806" s="2">
        <v>429738.84</v>
      </c>
      <c r="N1806" s="2">
        <v>340788.6</v>
      </c>
      <c r="O1806" s="2">
        <v>88950.24</v>
      </c>
      <c r="P1806" s="2" t="s">
        <v>42</v>
      </c>
      <c r="Q1806" s="2" t="s">
        <v>32</v>
      </c>
      <c r="R1806" s="2">
        <v>13</v>
      </c>
      <c r="S1806" s="2" t="s">
        <v>43</v>
      </c>
      <c r="T1806" s="2">
        <v>2738</v>
      </c>
      <c r="U1806" s="2">
        <v>4</v>
      </c>
      <c r="V1806" s="2"/>
    </row>
    <row r="1807" spans="1:22" x14ac:dyDescent="0.35">
      <c r="A1807" s="3" t="s">
        <v>4472</v>
      </c>
      <c r="B1807" s="3" t="s">
        <v>1249</v>
      </c>
      <c r="C1807" s="3" t="s">
        <v>1040</v>
      </c>
      <c r="D1807" s="3" t="s">
        <v>4473</v>
      </c>
      <c r="E1807" s="3" t="s">
        <v>58</v>
      </c>
      <c r="F1807" s="3" t="s">
        <v>259</v>
      </c>
      <c r="G1807" s="3" t="s">
        <v>93</v>
      </c>
      <c r="H1807" s="3" t="s">
        <v>643</v>
      </c>
      <c r="I1807" s="3" t="s">
        <v>240</v>
      </c>
      <c r="J1807" s="3">
        <v>178</v>
      </c>
      <c r="K1807" s="3">
        <v>1015.99</v>
      </c>
      <c r="L1807" s="3">
        <v>1206.1400000000001</v>
      </c>
      <c r="M1807" s="3">
        <v>214692.92</v>
      </c>
      <c r="N1807" s="3">
        <v>180846.22</v>
      </c>
      <c r="O1807" s="3">
        <v>33846.699999999997</v>
      </c>
      <c r="P1807" s="3" t="s">
        <v>52</v>
      </c>
      <c r="Q1807" s="3" t="s">
        <v>32</v>
      </c>
      <c r="R1807" s="3">
        <v>12</v>
      </c>
      <c r="S1807" s="3" t="s">
        <v>53</v>
      </c>
      <c r="T1807" s="3">
        <v>2854</v>
      </c>
      <c r="U1807" s="3">
        <v>6</v>
      </c>
      <c r="V1807" s="3"/>
    </row>
    <row r="1808" spans="1:22" x14ac:dyDescent="0.35">
      <c r="A1808" s="2" t="s">
        <v>4474</v>
      </c>
      <c r="B1808" s="2" t="s">
        <v>1107</v>
      </c>
      <c r="C1808" s="2" t="s">
        <v>1143</v>
      </c>
      <c r="D1808" s="2" t="s">
        <v>4475</v>
      </c>
      <c r="E1808" s="2" t="s">
        <v>68</v>
      </c>
      <c r="F1808" s="2" t="s">
        <v>146</v>
      </c>
      <c r="G1808" s="2" t="s">
        <v>93</v>
      </c>
      <c r="H1808" s="2" t="s">
        <v>321</v>
      </c>
      <c r="I1808" s="2" t="s">
        <v>41</v>
      </c>
      <c r="J1808" s="2">
        <v>399</v>
      </c>
      <c r="K1808" s="2">
        <v>548.14</v>
      </c>
      <c r="L1808" s="2">
        <v>903.45</v>
      </c>
      <c r="M1808" s="2">
        <v>360476.55</v>
      </c>
      <c r="N1808" s="2">
        <v>218707.86</v>
      </c>
      <c r="O1808" s="2">
        <v>141768.69</v>
      </c>
      <c r="P1808" s="2" t="s">
        <v>42</v>
      </c>
      <c r="Q1808" s="2" t="s">
        <v>32</v>
      </c>
      <c r="R1808" s="2">
        <v>9</v>
      </c>
      <c r="S1808" s="2" t="s">
        <v>33</v>
      </c>
      <c r="T1808" s="2">
        <v>1651</v>
      </c>
      <c r="U1808" s="2">
        <v>2</v>
      </c>
      <c r="V1808" s="2"/>
    </row>
    <row r="1809" spans="1:22" x14ac:dyDescent="0.35">
      <c r="A1809" s="3" t="s">
        <v>4476</v>
      </c>
      <c r="B1809" s="3" t="s">
        <v>1022</v>
      </c>
      <c r="C1809" s="3" t="s">
        <v>723</v>
      </c>
      <c r="D1809" s="3" t="s">
        <v>1369</v>
      </c>
      <c r="E1809" s="3" t="s">
        <v>26</v>
      </c>
      <c r="F1809" s="3" t="s">
        <v>228</v>
      </c>
      <c r="G1809" s="3" t="s">
        <v>28</v>
      </c>
      <c r="H1809" s="3" t="s">
        <v>254</v>
      </c>
      <c r="I1809" s="3" t="s">
        <v>153</v>
      </c>
      <c r="J1809" s="3">
        <v>63</v>
      </c>
      <c r="K1809" s="3">
        <v>835.56</v>
      </c>
      <c r="L1809" s="3">
        <v>1120.81</v>
      </c>
      <c r="M1809" s="3">
        <v>70611.03</v>
      </c>
      <c r="N1809" s="3">
        <v>52640.28</v>
      </c>
      <c r="O1809" s="3">
        <v>17970.75</v>
      </c>
      <c r="P1809" s="3" t="s">
        <v>31</v>
      </c>
      <c r="Q1809" s="3" t="s">
        <v>63</v>
      </c>
      <c r="R1809" s="3">
        <v>2</v>
      </c>
      <c r="S1809" s="3" t="s">
        <v>86</v>
      </c>
      <c r="T1809" s="3">
        <v>1407</v>
      </c>
      <c r="U1809" s="3">
        <v>2</v>
      </c>
      <c r="V1809" s="3"/>
    </row>
    <row r="1810" spans="1:22" x14ac:dyDescent="0.35">
      <c r="A1810" s="2" t="s">
        <v>4477</v>
      </c>
      <c r="B1810" s="2" t="s">
        <v>2063</v>
      </c>
      <c r="C1810" s="2" t="s">
        <v>3041</v>
      </c>
      <c r="D1810" s="2" t="s">
        <v>4478</v>
      </c>
      <c r="E1810" s="2" t="s">
        <v>100</v>
      </c>
      <c r="F1810" s="2" t="s">
        <v>101</v>
      </c>
      <c r="G1810" s="2" t="s">
        <v>78</v>
      </c>
      <c r="H1810" s="2" t="s">
        <v>178</v>
      </c>
      <c r="I1810" s="2" t="s">
        <v>62</v>
      </c>
      <c r="J1810" s="2">
        <v>589</v>
      </c>
      <c r="K1810" s="2">
        <v>490.8</v>
      </c>
      <c r="L1810" s="2">
        <v>752.5</v>
      </c>
      <c r="M1810" s="2">
        <v>443222.5</v>
      </c>
      <c r="N1810" s="2">
        <v>289081.2</v>
      </c>
      <c r="O1810" s="2">
        <v>154141.29999999999</v>
      </c>
      <c r="P1810" s="2" t="s">
        <v>42</v>
      </c>
      <c r="Q1810" s="2" t="s">
        <v>32</v>
      </c>
      <c r="R1810" s="2">
        <v>6</v>
      </c>
      <c r="S1810" s="2" t="s">
        <v>53</v>
      </c>
      <c r="T1810" s="2">
        <v>2118</v>
      </c>
      <c r="U1810" s="2">
        <v>19</v>
      </c>
      <c r="V1810" s="2"/>
    </row>
    <row r="1811" spans="1:22" x14ac:dyDescent="0.35">
      <c r="A1811" s="3" t="s">
        <v>4479</v>
      </c>
      <c r="B1811" s="3" t="s">
        <v>226</v>
      </c>
      <c r="C1811" s="3" t="s">
        <v>357</v>
      </c>
      <c r="D1811" s="3" t="s">
        <v>4480</v>
      </c>
      <c r="E1811" s="3" t="s">
        <v>26</v>
      </c>
      <c r="F1811" s="3" t="s">
        <v>38</v>
      </c>
      <c r="G1811" s="3" t="s">
        <v>129</v>
      </c>
      <c r="H1811" s="3" t="s">
        <v>811</v>
      </c>
      <c r="I1811" s="3" t="s">
        <v>293</v>
      </c>
      <c r="J1811" s="3">
        <v>425</v>
      </c>
      <c r="K1811" s="3">
        <v>69.3</v>
      </c>
      <c r="L1811" s="3">
        <v>97.69</v>
      </c>
      <c r="M1811" s="3">
        <v>41518.25</v>
      </c>
      <c r="N1811" s="3">
        <v>29452.5</v>
      </c>
      <c r="O1811" s="3">
        <v>12065.75</v>
      </c>
      <c r="P1811" s="3" t="s">
        <v>42</v>
      </c>
      <c r="Q1811" s="3" t="s">
        <v>32</v>
      </c>
      <c r="R1811" s="3">
        <v>7</v>
      </c>
      <c r="S1811" s="3" t="s">
        <v>86</v>
      </c>
      <c r="T1811" s="3">
        <v>846</v>
      </c>
      <c r="U1811" s="3">
        <v>21</v>
      </c>
      <c r="V1811" s="3"/>
    </row>
    <row r="1812" spans="1:22" x14ac:dyDescent="0.35">
      <c r="A1812" s="2" t="s">
        <v>4481</v>
      </c>
      <c r="B1812" s="2" t="s">
        <v>1322</v>
      </c>
      <c r="C1812" s="2" t="s">
        <v>328</v>
      </c>
      <c r="D1812" s="2" t="s">
        <v>4482</v>
      </c>
      <c r="E1812" s="2" t="s">
        <v>26</v>
      </c>
      <c r="F1812" s="2" t="s">
        <v>27</v>
      </c>
      <c r="G1812" s="2" t="s">
        <v>129</v>
      </c>
      <c r="H1812" s="2" t="s">
        <v>345</v>
      </c>
      <c r="I1812" s="4"/>
      <c r="J1812" s="2">
        <v>125</v>
      </c>
      <c r="K1812" s="2">
        <v>569.1</v>
      </c>
      <c r="L1812" s="2">
        <v>670.56</v>
      </c>
      <c r="M1812" s="2">
        <v>83820</v>
      </c>
      <c r="N1812" s="2">
        <v>71137.5</v>
      </c>
      <c r="O1812" s="2">
        <v>12682.5</v>
      </c>
      <c r="P1812" s="2" t="s">
        <v>2841</v>
      </c>
      <c r="Q1812" s="2" t="s">
        <v>63</v>
      </c>
      <c r="R1812" s="2">
        <v>1</v>
      </c>
      <c r="S1812" s="2" t="s">
        <v>112</v>
      </c>
      <c r="T1812" s="2">
        <v>1264</v>
      </c>
      <c r="U1812" s="2">
        <v>3</v>
      </c>
      <c r="V1812" s="2"/>
    </row>
    <row r="1813" spans="1:22" x14ac:dyDescent="0.35">
      <c r="A1813" s="3" t="s">
        <v>4483</v>
      </c>
      <c r="B1813" s="3" t="s">
        <v>4484</v>
      </c>
      <c r="C1813" s="3" t="s">
        <v>777</v>
      </c>
      <c r="D1813" s="3" t="s">
        <v>4485</v>
      </c>
      <c r="E1813" s="3" t="s">
        <v>48</v>
      </c>
      <c r="F1813" s="3" t="s">
        <v>49</v>
      </c>
      <c r="G1813" s="3" t="s">
        <v>78</v>
      </c>
      <c r="H1813" s="3" t="s">
        <v>572</v>
      </c>
      <c r="I1813" s="3" t="s">
        <v>293</v>
      </c>
      <c r="J1813" s="3">
        <v>402</v>
      </c>
      <c r="K1813" s="3">
        <v>1141</v>
      </c>
      <c r="L1813" s="3">
        <v>1524.9</v>
      </c>
      <c r="M1813" s="3">
        <v>613009.80000000005</v>
      </c>
      <c r="N1813" s="3">
        <v>458682</v>
      </c>
      <c r="O1813" s="3">
        <v>154327.79999999999</v>
      </c>
      <c r="P1813" s="3" t="s">
        <v>42</v>
      </c>
      <c r="Q1813" s="3" t="s">
        <v>63</v>
      </c>
      <c r="R1813" s="3">
        <v>3</v>
      </c>
      <c r="S1813" s="3" t="s">
        <v>158</v>
      </c>
      <c r="T1813" s="3">
        <v>567</v>
      </c>
      <c r="U1813" s="3">
        <v>7</v>
      </c>
      <c r="V1813" s="3"/>
    </row>
    <row r="1814" spans="1:22" x14ac:dyDescent="0.35">
      <c r="A1814" s="2" t="s">
        <v>4486</v>
      </c>
      <c r="B1814" s="2" t="s">
        <v>1077</v>
      </c>
      <c r="C1814" s="2" t="s">
        <v>193</v>
      </c>
      <c r="D1814" s="2" t="s">
        <v>4487</v>
      </c>
      <c r="E1814" s="2" t="s">
        <v>58</v>
      </c>
      <c r="F1814" s="2" t="s">
        <v>59</v>
      </c>
      <c r="G1814" s="2" t="s">
        <v>129</v>
      </c>
      <c r="H1814" s="2" t="s">
        <v>168</v>
      </c>
      <c r="I1814" s="2" t="s">
        <v>191</v>
      </c>
      <c r="J1814" s="2">
        <v>359</v>
      </c>
      <c r="K1814" s="2">
        <v>689.17</v>
      </c>
      <c r="L1814" s="2">
        <v>1021.7</v>
      </c>
      <c r="M1814" s="2">
        <v>366790.3</v>
      </c>
      <c r="N1814" s="2">
        <v>247412.03</v>
      </c>
      <c r="O1814" s="2">
        <v>119378.27</v>
      </c>
      <c r="P1814" s="2" t="s">
        <v>42</v>
      </c>
      <c r="Q1814" s="2" t="s">
        <v>32</v>
      </c>
      <c r="R1814" s="2">
        <v>6</v>
      </c>
      <c r="S1814" s="2" t="s">
        <v>86</v>
      </c>
      <c r="T1814" s="2">
        <v>2401</v>
      </c>
      <c r="U1814" s="2">
        <v>7</v>
      </c>
      <c r="V1814" s="2"/>
    </row>
    <row r="1815" spans="1:22" x14ac:dyDescent="0.35">
      <c r="A1815" s="3" t="s">
        <v>4488</v>
      </c>
      <c r="B1815" s="3" t="s">
        <v>657</v>
      </c>
      <c r="C1815" s="3" t="s">
        <v>82</v>
      </c>
      <c r="D1815" s="3" t="s">
        <v>4489</v>
      </c>
      <c r="E1815" s="3" t="s">
        <v>26</v>
      </c>
      <c r="F1815" s="3" t="s">
        <v>92</v>
      </c>
      <c r="G1815" s="3" t="s">
        <v>93</v>
      </c>
      <c r="H1815" s="3" t="s">
        <v>643</v>
      </c>
      <c r="I1815" s="3" t="s">
        <v>30</v>
      </c>
      <c r="J1815" s="4" t="s">
        <v>2634</v>
      </c>
      <c r="K1815" s="3">
        <v>1160.02</v>
      </c>
      <c r="L1815" s="3">
        <v>1785.26</v>
      </c>
      <c r="M1815" s="3">
        <v>1337159.74</v>
      </c>
      <c r="N1815" s="3">
        <v>868854.98</v>
      </c>
      <c r="O1815" s="3">
        <v>468304.76</v>
      </c>
      <c r="P1815" s="3" t="s">
        <v>52</v>
      </c>
      <c r="Q1815" s="3" t="s">
        <v>32</v>
      </c>
      <c r="R1815" s="3">
        <v>11</v>
      </c>
      <c r="S1815" s="3" t="s">
        <v>86</v>
      </c>
      <c r="T1815" s="3">
        <v>689</v>
      </c>
      <c r="U1815" s="3">
        <v>13</v>
      </c>
      <c r="V1815" s="3"/>
    </row>
    <row r="1816" spans="1:22" x14ac:dyDescent="0.35">
      <c r="A1816" s="2" t="s">
        <v>4490</v>
      </c>
      <c r="B1816" s="2" t="s">
        <v>2636</v>
      </c>
      <c r="C1816" s="2" t="s">
        <v>3019</v>
      </c>
      <c r="D1816" s="2" t="s">
        <v>4491</v>
      </c>
      <c r="E1816" s="2" t="s">
        <v>26</v>
      </c>
      <c r="F1816" s="2" t="s">
        <v>27</v>
      </c>
      <c r="G1816" s="2" t="s">
        <v>50</v>
      </c>
      <c r="H1816" s="2" t="s">
        <v>107</v>
      </c>
      <c r="I1816" s="2" t="s">
        <v>293</v>
      </c>
      <c r="J1816" s="2">
        <v>288</v>
      </c>
      <c r="K1816" s="2">
        <v>666.78</v>
      </c>
      <c r="L1816" s="2">
        <v>815.47</v>
      </c>
      <c r="M1816" s="2">
        <v>234855.36</v>
      </c>
      <c r="N1816" s="2">
        <v>192032.64000000001</v>
      </c>
      <c r="O1816" s="2">
        <v>42822.720000000001</v>
      </c>
      <c r="P1816" s="2" t="s">
        <v>42</v>
      </c>
      <c r="Q1816" s="2" t="s">
        <v>63</v>
      </c>
      <c r="R1816" s="2">
        <v>1</v>
      </c>
      <c r="S1816" s="2" t="s">
        <v>158</v>
      </c>
      <c r="T1816" s="2">
        <v>2196</v>
      </c>
      <c r="U1816" s="2">
        <v>13</v>
      </c>
      <c r="V1816" s="2"/>
    </row>
    <row r="1817" spans="1:22" x14ac:dyDescent="0.35">
      <c r="A1817" s="3" t="s">
        <v>4492</v>
      </c>
      <c r="B1817" s="3" t="s">
        <v>379</v>
      </c>
      <c r="C1817" s="3" t="s">
        <v>214</v>
      </c>
      <c r="D1817" s="3" t="s">
        <v>4493</v>
      </c>
      <c r="E1817" s="3" t="s">
        <v>58</v>
      </c>
      <c r="F1817" s="3" t="s">
        <v>122</v>
      </c>
      <c r="G1817" s="3" t="s">
        <v>93</v>
      </c>
      <c r="H1817" s="3" t="s">
        <v>1442</v>
      </c>
      <c r="I1817" s="3" t="s">
        <v>141</v>
      </c>
      <c r="J1817" s="3">
        <v>395</v>
      </c>
      <c r="K1817" s="3">
        <v>623.59</v>
      </c>
      <c r="L1817" s="4"/>
      <c r="M1817" s="3">
        <v>367263.1</v>
      </c>
      <c r="N1817" s="3">
        <v>246318.05</v>
      </c>
      <c r="O1817" s="3">
        <v>120945.05</v>
      </c>
      <c r="P1817" s="3" t="s">
        <v>2435</v>
      </c>
      <c r="Q1817" s="3" t="s">
        <v>32</v>
      </c>
      <c r="R1817" s="3">
        <v>14</v>
      </c>
      <c r="S1817" s="3" t="s">
        <v>43</v>
      </c>
      <c r="T1817" s="3">
        <v>2105</v>
      </c>
      <c r="U1817" s="3">
        <v>15</v>
      </c>
      <c r="V1817" s="3"/>
    </row>
    <row r="1818" spans="1:22" x14ac:dyDescent="0.35">
      <c r="A1818" s="2" t="s">
        <v>4494</v>
      </c>
      <c r="B1818" s="2" t="s">
        <v>427</v>
      </c>
      <c r="C1818" s="2" t="s">
        <v>327</v>
      </c>
      <c r="D1818" s="2" t="s">
        <v>4495</v>
      </c>
      <c r="E1818" s="2" t="s">
        <v>68</v>
      </c>
      <c r="F1818" s="2" t="s">
        <v>276</v>
      </c>
      <c r="G1818" s="2" t="s">
        <v>60</v>
      </c>
      <c r="H1818" s="2" t="s">
        <v>265</v>
      </c>
      <c r="I1818" s="2" t="s">
        <v>153</v>
      </c>
      <c r="J1818" s="2">
        <v>631</v>
      </c>
      <c r="K1818" s="2">
        <v>892.02</v>
      </c>
      <c r="L1818" s="2">
        <v>1264.0999999999999</v>
      </c>
      <c r="M1818" s="2">
        <v>797647.1</v>
      </c>
      <c r="N1818" s="2">
        <v>562864.62</v>
      </c>
      <c r="O1818" s="2">
        <v>234782.48</v>
      </c>
      <c r="P1818" s="2" t="s">
        <v>52</v>
      </c>
      <c r="Q1818" s="2" t="s">
        <v>32</v>
      </c>
      <c r="R1818" s="2">
        <v>7</v>
      </c>
      <c r="S1818" s="2" t="s">
        <v>43</v>
      </c>
      <c r="T1818" s="2">
        <v>4749</v>
      </c>
      <c r="U1818" s="2">
        <v>27</v>
      </c>
      <c r="V1818" s="2"/>
    </row>
    <row r="1819" spans="1:22" x14ac:dyDescent="0.35">
      <c r="A1819" s="3" t="s">
        <v>4496</v>
      </c>
      <c r="B1819" s="3" t="s">
        <v>3275</v>
      </c>
      <c r="C1819" s="3" t="s">
        <v>604</v>
      </c>
      <c r="D1819" s="3" t="s">
        <v>4497</v>
      </c>
      <c r="E1819" s="3" t="s">
        <v>100</v>
      </c>
      <c r="F1819" s="3" t="s">
        <v>101</v>
      </c>
      <c r="G1819" s="3" t="s">
        <v>28</v>
      </c>
      <c r="H1819" s="3" t="s">
        <v>714</v>
      </c>
      <c r="I1819" s="4"/>
      <c r="J1819" s="3">
        <v>497</v>
      </c>
      <c r="K1819" s="3">
        <v>962.18</v>
      </c>
      <c r="L1819" s="3">
        <v>1477.86</v>
      </c>
      <c r="M1819" s="3">
        <v>734496.42</v>
      </c>
      <c r="N1819" s="3">
        <v>478203.46</v>
      </c>
      <c r="O1819" s="3">
        <v>256292.96</v>
      </c>
      <c r="P1819" s="3" t="s">
        <v>42</v>
      </c>
      <c r="Q1819" s="3" t="s">
        <v>32</v>
      </c>
      <c r="R1819" s="3">
        <v>15</v>
      </c>
      <c r="S1819" s="3" t="s">
        <v>43</v>
      </c>
      <c r="T1819" s="3">
        <v>171</v>
      </c>
      <c r="U1819" s="3">
        <v>14</v>
      </c>
      <c r="V1819" s="3"/>
    </row>
    <row r="1820" spans="1:22" x14ac:dyDescent="0.35">
      <c r="A1820" s="2" t="s">
        <v>4498</v>
      </c>
      <c r="B1820" s="2" t="s">
        <v>407</v>
      </c>
      <c r="C1820" s="2" t="s">
        <v>1146</v>
      </c>
      <c r="D1820" s="2" t="s">
        <v>4499</v>
      </c>
      <c r="E1820" s="2" t="s">
        <v>100</v>
      </c>
      <c r="F1820" s="2" t="s">
        <v>538</v>
      </c>
      <c r="G1820" s="2" t="s">
        <v>39</v>
      </c>
      <c r="H1820" s="2" t="s">
        <v>354</v>
      </c>
      <c r="I1820" s="2" t="s">
        <v>293</v>
      </c>
      <c r="J1820" s="2">
        <v>536</v>
      </c>
      <c r="K1820" s="2">
        <v>1008.14</v>
      </c>
      <c r="L1820" s="2">
        <v>1474.82</v>
      </c>
      <c r="M1820" s="2">
        <v>790503.52</v>
      </c>
      <c r="N1820" s="2">
        <v>540363.04</v>
      </c>
      <c r="O1820" s="2">
        <v>250140.48</v>
      </c>
      <c r="P1820" s="2" t="s">
        <v>31</v>
      </c>
      <c r="Q1820" s="2" t="s">
        <v>32</v>
      </c>
      <c r="R1820" s="2">
        <v>13</v>
      </c>
      <c r="S1820" s="2" t="s">
        <v>112</v>
      </c>
      <c r="T1820" s="2">
        <v>2769</v>
      </c>
      <c r="U1820" s="2">
        <v>26</v>
      </c>
      <c r="V1820" s="2"/>
    </row>
    <row r="1821" spans="1:22" x14ac:dyDescent="0.35">
      <c r="A1821" s="3" t="s">
        <v>4500</v>
      </c>
      <c r="B1821" s="3" t="s">
        <v>4501</v>
      </c>
      <c r="C1821" s="3" t="s">
        <v>2833</v>
      </c>
      <c r="D1821" s="3" t="s">
        <v>4502</v>
      </c>
      <c r="E1821" s="3" t="s">
        <v>68</v>
      </c>
      <c r="F1821" s="3" t="s">
        <v>146</v>
      </c>
      <c r="G1821" s="3" t="s">
        <v>189</v>
      </c>
      <c r="H1821" s="3" t="s">
        <v>365</v>
      </c>
      <c r="I1821" s="3" t="s">
        <v>240</v>
      </c>
      <c r="J1821" s="3">
        <v>381</v>
      </c>
      <c r="K1821" s="3">
        <v>597.17999999999995</v>
      </c>
      <c r="L1821" s="3">
        <v>775.67</v>
      </c>
      <c r="M1821" s="3">
        <v>295530.27</v>
      </c>
      <c r="N1821" s="3">
        <v>227525.58</v>
      </c>
      <c r="O1821" s="3">
        <v>68004.69</v>
      </c>
      <c r="P1821" s="3" t="s">
        <v>42</v>
      </c>
      <c r="Q1821" s="3" t="s">
        <v>32</v>
      </c>
      <c r="R1821" s="3">
        <v>9</v>
      </c>
      <c r="S1821" s="3" t="s">
        <v>112</v>
      </c>
      <c r="T1821" s="3">
        <v>1731</v>
      </c>
      <c r="U1821" s="3">
        <v>9</v>
      </c>
      <c r="V1821" s="3"/>
    </row>
    <row r="1822" spans="1:22" x14ac:dyDescent="0.35">
      <c r="A1822" s="2" t="s">
        <v>4503</v>
      </c>
      <c r="B1822" s="2" t="s">
        <v>1253</v>
      </c>
      <c r="C1822" s="2" t="s">
        <v>630</v>
      </c>
      <c r="D1822" s="2" t="s">
        <v>4504</v>
      </c>
      <c r="E1822" s="2" t="s">
        <v>100</v>
      </c>
      <c r="F1822" s="2" t="s">
        <v>238</v>
      </c>
      <c r="G1822" s="2" t="s">
        <v>189</v>
      </c>
      <c r="H1822" s="2" t="s">
        <v>190</v>
      </c>
      <c r="I1822" s="2" t="s">
        <v>62</v>
      </c>
      <c r="J1822" s="2">
        <v>459</v>
      </c>
      <c r="K1822" s="2">
        <v>646.64</v>
      </c>
      <c r="L1822" s="2">
        <v>764.43</v>
      </c>
      <c r="M1822" s="2">
        <v>350873.37</v>
      </c>
      <c r="N1822" s="2">
        <v>296807.76</v>
      </c>
      <c r="O1822" s="2">
        <v>54065.61</v>
      </c>
      <c r="P1822" s="2" t="s">
        <v>42</v>
      </c>
      <c r="Q1822" s="2" t="s">
        <v>63</v>
      </c>
      <c r="R1822" s="2">
        <v>1</v>
      </c>
      <c r="S1822" s="2" t="s">
        <v>158</v>
      </c>
      <c r="T1822" s="2">
        <v>551</v>
      </c>
      <c r="U1822" s="2">
        <v>18</v>
      </c>
      <c r="V1822" s="2"/>
    </row>
    <row r="1823" spans="1:22" x14ac:dyDescent="0.35">
      <c r="A1823" s="3" t="s">
        <v>4505</v>
      </c>
      <c r="B1823" s="3" t="s">
        <v>4506</v>
      </c>
      <c r="C1823" s="3" t="s">
        <v>874</v>
      </c>
      <c r="D1823" s="3" t="s">
        <v>4507</v>
      </c>
      <c r="E1823" s="3" t="s">
        <v>68</v>
      </c>
      <c r="F1823" s="3" t="s">
        <v>69</v>
      </c>
      <c r="G1823" s="3" t="s">
        <v>60</v>
      </c>
      <c r="H1823" s="3" t="s">
        <v>164</v>
      </c>
      <c r="I1823" s="3" t="s">
        <v>191</v>
      </c>
      <c r="J1823" s="3">
        <v>382</v>
      </c>
      <c r="K1823" s="3">
        <v>151.68</v>
      </c>
      <c r="L1823" s="3">
        <v>186.5</v>
      </c>
      <c r="M1823" s="3">
        <v>71243</v>
      </c>
      <c r="N1823" s="3">
        <v>57941.760000000002</v>
      </c>
      <c r="O1823" s="3">
        <v>13301.24</v>
      </c>
      <c r="P1823" s="3" t="s">
        <v>31</v>
      </c>
      <c r="Q1823" s="3" t="s">
        <v>63</v>
      </c>
      <c r="R1823" s="3">
        <v>4</v>
      </c>
      <c r="S1823" s="3" t="s">
        <v>112</v>
      </c>
      <c r="T1823" s="3">
        <v>2841</v>
      </c>
      <c r="U1823" s="3">
        <v>2</v>
      </c>
      <c r="V1823" s="3"/>
    </row>
    <row r="1824" spans="1:22" x14ac:dyDescent="0.35">
      <c r="A1824" s="2" t="s">
        <v>4508</v>
      </c>
      <c r="B1824" s="2" t="s">
        <v>1130</v>
      </c>
      <c r="C1824" s="2" t="s">
        <v>2569</v>
      </c>
      <c r="D1824" s="2" t="s">
        <v>4509</v>
      </c>
      <c r="E1824" s="2" t="s">
        <v>68</v>
      </c>
      <c r="F1824" s="2" t="s">
        <v>163</v>
      </c>
      <c r="G1824" s="2" t="s">
        <v>39</v>
      </c>
      <c r="H1824" s="2" t="s">
        <v>664</v>
      </c>
      <c r="I1824" s="2" t="s">
        <v>85</v>
      </c>
      <c r="J1824" s="2">
        <v>234</v>
      </c>
      <c r="K1824" s="2">
        <v>1069.8399999999999</v>
      </c>
      <c r="L1824" s="2">
        <v>1673.15</v>
      </c>
      <c r="M1824" s="2">
        <v>391517.1</v>
      </c>
      <c r="N1824" s="2">
        <v>250342.56</v>
      </c>
      <c r="O1824" s="2">
        <v>141174.54</v>
      </c>
      <c r="P1824" s="2" t="s">
        <v>1781</v>
      </c>
      <c r="Q1824" s="2" t="s">
        <v>32</v>
      </c>
      <c r="R1824" s="2">
        <v>12</v>
      </c>
      <c r="S1824" s="2" t="s">
        <v>43</v>
      </c>
      <c r="T1824" s="2">
        <v>337</v>
      </c>
      <c r="U1824" s="2">
        <v>6</v>
      </c>
      <c r="V1824" s="2"/>
    </row>
    <row r="1825" spans="1:22" x14ac:dyDescent="0.35">
      <c r="A1825" s="3" t="s">
        <v>4510</v>
      </c>
      <c r="B1825" s="3" t="s">
        <v>427</v>
      </c>
      <c r="C1825" s="3" t="s">
        <v>2301</v>
      </c>
      <c r="D1825" s="3" t="s">
        <v>4511</v>
      </c>
      <c r="E1825" s="3" t="s">
        <v>26</v>
      </c>
      <c r="F1825" s="3" t="s">
        <v>38</v>
      </c>
      <c r="G1825" s="3" t="s">
        <v>50</v>
      </c>
      <c r="H1825" s="3" t="s">
        <v>734</v>
      </c>
      <c r="I1825" s="3" t="s">
        <v>72</v>
      </c>
      <c r="J1825" s="3">
        <v>116</v>
      </c>
      <c r="K1825" s="3">
        <v>685.98</v>
      </c>
      <c r="L1825" s="3">
        <v>980.08</v>
      </c>
      <c r="M1825" s="3">
        <v>113689.28</v>
      </c>
      <c r="N1825" s="3">
        <v>79573.679999999993</v>
      </c>
      <c r="O1825" s="3">
        <v>34115.599999999999</v>
      </c>
      <c r="P1825" s="3" t="s">
        <v>52</v>
      </c>
      <c r="Q1825" s="3" t="s">
        <v>32</v>
      </c>
      <c r="R1825" s="3">
        <v>7</v>
      </c>
      <c r="S1825" s="3" t="s">
        <v>53</v>
      </c>
      <c r="T1825" s="3">
        <v>3503</v>
      </c>
      <c r="U1825" s="3">
        <v>1</v>
      </c>
      <c r="V1825" s="3"/>
    </row>
    <row r="1826" spans="1:22" x14ac:dyDescent="0.35">
      <c r="A1826" s="2" t="s">
        <v>4512</v>
      </c>
      <c r="B1826" s="2" t="s">
        <v>1509</v>
      </c>
      <c r="C1826" s="2" t="s">
        <v>235</v>
      </c>
      <c r="D1826" s="2" t="s">
        <v>4513</v>
      </c>
      <c r="E1826" s="2" t="s">
        <v>100</v>
      </c>
      <c r="F1826" s="2" t="s">
        <v>238</v>
      </c>
      <c r="G1826" s="2" t="s">
        <v>78</v>
      </c>
      <c r="H1826" s="2" t="s">
        <v>572</v>
      </c>
      <c r="I1826" s="2" t="s">
        <v>153</v>
      </c>
      <c r="J1826" s="2">
        <v>302</v>
      </c>
      <c r="K1826" s="2">
        <v>25.88</v>
      </c>
      <c r="L1826" s="2">
        <v>34.270000000000003</v>
      </c>
      <c r="M1826" s="2">
        <v>10349.540000000001</v>
      </c>
      <c r="N1826" s="2">
        <v>7815.76</v>
      </c>
      <c r="O1826" s="2">
        <v>2533.7800000000002</v>
      </c>
      <c r="P1826" s="2" t="s">
        <v>42</v>
      </c>
      <c r="Q1826" s="2" t="s">
        <v>32</v>
      </c>
      <c r="R1826" s="2">
        <v>9</v>
      </c>
      <c r="S1826" s="2" t="s">
        <v>43</v>
      </c>
      <c r="T1826" s="2">
        <v>219</v>
      </c>
      <c r="U1826" s="2">
        <v>13</v>
      </c>
      <c r="V1826" s="2"/>
    </row>
    <row r="1827" spans="1:22" x14ac:dyDescent="0.35">
      <c r="A1827" s="3" t="s">
        <v>4514</v>
      </c>
      <c r="B1827" s="3" t="s">
        <v>1641</v>
      </c>
      <c r="C1827" s="3" t="s">
        <v>347</v>
      </c>
      <c r="D1827" s="3" t="s">
        <v>4515</v>
      </c>
      <c r="E1827" s="3" t="s">
        <v>58</v>
      </c>
      <c r="F1827" s="3" t="s">
        <v>59</v>
      </c>
      <c r="G1827" s="3" t="s">
        <v>28</v>
      </c>
      <c r="H1827" s="3" t="s">
        <v>507</v>
      </c>
      <c r="I1827" s="3" t="s">
        <v>153</v>
      </c>
      <c r="J1827" s="3">
        <v>235</v>
      </c>
      <c r="K1827" s="3">
        <v>568.17999999999995</v>
      </c>
      <c r="L1827" s="3">
        <v>875.93</v>
      </c>
      <c r="M1827" s="3">
        <v>205843.55</v>
      </c>
      <c r="N1827" s="3">
        <v>133522.29999999999</v>
      </c>
      <c r="O1827" s="3">
        <v>72321.25</v>
      </c>
      <c r="P1827" s="3" t="s">
        <v>42</v>
      </c>
      <c r="Q1827" s="3" t="s">
        <v>32</v>
      </c>
      <c r="R1827" s="3">
        <v>12</v>
      </c>
      <c r="S1827" s="3" t="s">
        <v>43</v>
      </c>
      <c r="T1827" s="3">
        <v>4025</v>
      </c>
      <c r="U1827" s="4"/>
      <c r="V1827" s="3"/>
    </row>
    <row r="1828" spans="1:22" x14ac:dyDescent="0.35">
      <c r="A1828" s="2" t="s">
        <v>4516</v>
      </c>
      <c r="B1828" s="2" t="s">
        <v>637</v>
      </c>
      <c r="C1828" s="2" t="s">
        <v>2500</v>
      </c>
      <c r="D1828" s="2" t="s">
        <v>4517</v>
      </c>
      <c r="E1828" s="2" t="s">
        <v>58</v>
      </c>
      <c r="F1828" s="2" t="s">
        <v>417</v>
      </c>
      <c r="G1828" s="2" t="s">
        <v>70</v>
      </c>
      <c r="H1828" s="2" t="s">
        <v>239</v>
      </c>
      <c r="I1828" s="2" t="s">
        <v>124</v>
      </c>
      <c r="J1828" s="2">
        <v>498</v>
      </c>
      <c r="K1828" s="2">
        <v>70.849999999999994</v>
      </c>
      <c r="L1828" s="2">
        <v>115.42</v>
      </c>
      <c r="M1828" s="2">
        <v>57479.16</v>
      </c>
      <c r="N1828" s="2">
        <v>35283.300000000003</v>
      </c>
      <c r="O1828" s="2">
        <v>22195.86</v>
      </c>
      <c r="P1828" s="2" t="s">
        <v>95</v>
      </c>
      <c r="Q1828" s="2" t="s">
        <v>32</v>
      </c>
      <c r="R1828" s="2">
        <v>8</v>
      </c>
      <c r="S1828" s="2" t="s">
        <v>112</v>
      </c>
      <c r="T1828" s="2">
        <v>748</v>
      </c>
      <c r="U1828" s="2">
        <v>8</v>
      </c>
      <c r="V1828" s="2"/>
    </row>
    <row r="1829" spans="1:22" x14ac:dyDescent="0.35">
      <c r="A1829" s="3" t="s">
        <v>4518</v>
      </c>
      <c r="B1829" s="3" t="s">
        <v>581</v>
      </c>
      <c r="C1829" s="3" t="s">
        <v>1566</v>
      </c>
      <c r="D1829" s="3" t="s">
        <v>4519</v>
      </c>
      <c r="E1829" s="3" t="s">
        <v>48</v>
      </c>
      <c r="F1829" s="3" t="s">
        <v>223</v>
      </c>
      <c r="G1829" s="3" t="s">
        <v>70</v>
      </c>
      <c r="H1829" s="3" t="s">
        <v>623</v>
      </c>
      <c r="I1829" s="3" t="s">
        <v>124</v>
      </c>
      <c r="J1829" s="3">
        <v>87</v>
      </c>
      <c r="K1829" s="3">
        <v>1124.8900000000001</v>
      </c>
      <c r="L1829" s="3">
        <v>1479.78</v>
      </c>
      <c r="M1829" s="3">
        <v>128740.86</v>
      </c>
      <c r="N1829" s="3">
        <v>97865.43</v>
      </c>
      <c r="O1829" s="3">
        <v>30875.43</v>
      </c>
      <c r="P1829" s="3" t="s">
        <v>42</v>
      </c>
      <c r="Q1829" s="3" t="s">
        <v>32</v>
      </c>
      <c r="R1829" s="3">
        <v>9</v>
      </c>
      <c r="S1829" s="3" t="s">
        <v>33</v>
      </c>
      <c r="T1829" s="3">
        <v>4036</v>
      </c>
      <c r="U1829" s="3">
        <v>2</v>
      </c>
      <c r="V1829" s="3"/>
    </row>
    <row r="1830" spans="1:22" x14ac:dyDescent="0.35">
      <c r="A1830" s="2" t="s">
        <v>4520</v>
      </c>
      <c r="B1830" s="2" t="s">
        <v>2843</v>
      </c>
      <c r="C1830" s="2" t="s">
        <v>916</v>
      </c>
      <c r="D1830" s="2" t="s">
        <v>4521</v>
      </c>
      <c r="E1830" s="2" t="s">
        <v>48</v>
      </c>
      <c r="F1830" s="2" t="s">
        <v>281</v>
      </c>
      <c r="G1830" s="2" t="s">
        <v>78</v>
      </c>
      <c r="H1830" s="2" t="s">
        <v>481</v>
      </c>
      <c r="I1830" s="2" t="s">
        <v>41</v>
      </c>
      <c r="J1830" s="2">
        <v>73</v>
      </c>
      <c r="K1830" s="2">
        <v>295.36</v>
      </c>
      <c r="L1830" s="2">
        <v>413.73</v>
      </c>
      <c r="M1830" s="2">
        <v>30202.29</v>
      </c>
      <c r="N1830" s="2">
        <v>21561.279999999999</v>
      </c>
      <c r="O1830" s="2">
        <v>8641.01</v>
      </c>
      <c r="P1830" s="2" t="s">
        <v>31</v>
      </c>
      <c r="Q1830" s="2" t="s">
        <v>32</v>
      </c>
      <c r="R1830" s="2">
        <v>6</v>
      </c>
      <c r="S1830" s="2" t="s">
        <v>86</v>
      </c>
      <c r="T1830" s="2">
        <v>475</v>
      </c>
      <c r="U1830" s="2">
        <v>0</v>
      </c>
      <c r="V1830" s="2"/>
    </row>
    <row r="1831" spans="1:22" x14ac:dyDescent="0.35">
      <c r="A1831" s="3" t="s">
        <v>4522</v>
      </c>
      <c r="B1831" s="3" t="s">
        <v>1265</v>
      </c>
      <c r="C1831" s="3" t="s">
        <v>156</v>
      </c>
      <c r="D1831" s="3" t="s">
        <v>4523</v>
      </c>
      <c r="E1831" s="3" t="s">
        <v>58</v>
      </c>
      <c r="F1831" s="3" t="s">
        <v>417</v>
      </c>
      <c r="G1831" s="3" t="s">
        <v>70</v>
      </c>
      <c r="H1831" s="3" t="s">
        <v>239</v>
      </c>
      <c r="I1831" s="3" t="s">
        <v>62</v>
      </c>
      <c r="J1831" s="3">
        <v>42</v>
      </c>
      <c r="K1831" s="3">
        <v>1059.97</v>
      </c>
      <c r="L1831" s="3">
        <v>1454.02</v>
      </c>
      <c r="M1831" s="3">
        <v>61068.84</v>
      </c>
      <c r="N1831" s="3">
        <v>44518.74</v>
      </c>
      <c r="O1831" s="3">
        <v>16550.099999999999</v>
      </c>
      <c r="P1831" s="3" t="s">
        <v>42</v>
      </c>
      <c r="Q1831" s="3" t="s">
        <v>32</v>
      </c>
      <c r="R1831" s="3">
        <v>13</v>
      </c>
      <c r="S1831" s="3" t="s">
        <v>53</v>
      </c>
      <c r="T1831" s="3">
        <v>2877</v>
      </c>
      <c r="U1831" s="3">
        <v>2</v>
      </c>
      <c r="V1831" s="3"/>
    </row>
    <row r="1832" spans="1:22" x14ac:dyDescent="0.35">
      <c r="A1832" s="2" t="s">
        <v>4524</v>
      </c>
      <c r="B1832" s="2" t="s">
        <v>1750</v>
      </c>
      <c r="C1832" s="2" t="s">
        <v>1206</v>
      </c>
      <c r="D1832" s="2" t="s">
        <v>4525</v>
      </c>
      <c r="E1832" s="2" t="s">
        <v>58</v>
      </c>
      <c r="F1832" s="2" t="s">
        <v>116</v>
      </c>
      <c r="G1832" s="2" t="s">
        <v>50</v>
      </c>
      <c r="H1832" s="2" t="s">
        <v>135</v>
      </c>
      <c r="I1832" s="2" t="s">
        <v>124</v>
      </c>
      <c r="J1832" s="2">
        <v>138</v>
      </c>
      <c r="K1832" s="2">
        <v>892.39</v>
      </c>
      <c r="L1832" s="2">
        <v>1372.13</v>
      </c>
      <c r="M1832" s="2">
        <v>189353.94</v>
      </c>
      <c r="N1832" s="2">
        <v>123149.82</v>
      </c>
      <c r="O1832" s="2">
        <v>66204.12</v>
      </c>
      <c r="P1832" s="2" t="s">
        <v>95</v>
      </c>
      <c r="Q1832" s="2" t="s">
        <v>32</v>
      </c>
      <c r="R1832" s="2">
        <v>15</v>
      </c>
      <c r="S1832" s="2" t="s">
        <v>53</v>
      </c>
      <c r="T1832" s="2">
        <v>2937</v>
      </c>
      <c r="U1832" s="2">
        <v>3</v>
      </c>
      <c r="V1832" s="2"/>
    </row>
    <row r="1833" spans="1:22" x14ac:dyDescent="0.35">
      <c r="A1833" s="3" t="s">
        <v>4526</v>
      </c>
      <c r="B1833" s="3" t="s">
        <v>2687</v>
      </c>
      <c r="C1833" s="3" t="s">
        <v>2779</v>
      </c>
      <c r="D1833" s="3" t="s">
        <v>4527</v>
      </c>
      <c r="E1833" s="3" t="s">
        <v>26</v>
      </c>
      <c r="F1833" s="3" t="s">
        <v>77</v>
      </c>
      <c r="G1833" s="3" t="s">
        <v>78</v>
      </c>
      <c r="H1833" s="3" t="s">
        <v>425</v>
      </c>
      <c r="I1833" s="3" t="s">
        <v>240</v>
      </c>
      <c r="J1833" s="3">
        <v>781</v>
      </c>
      <c r="K1833" s="3">
        <v>689.44</v>
      </c>
      <c r="L1833" s="3">
        <v>992.1</v>
      </c>
      <c r="M1833" s="3">
        <v>774830.1</v>
      </c>
      <c r="N1833" s="3">
        <v>538452.64</v>
      </c>
      <c r="O1833" s="3">
        <v>236377.46</v>
      </c>
      <c r="P1833" s="3" t="s">
        <v>95</v>
      </c>
      <c r="Q1833" s="3" t="s">
        <v>32</v>
      </c>
      <c r="R1833" s="3">
        <v>6</v>
      </c>
      <c r="S1833" s="3" t="s">
        <v>53</v>
      </c>
      <c r="T1833" s="3">
        <v>2720</v>
      </c>
      <c r="U1833" s="3">
        <v>1</v>
      </c>
      <c r="V1833" s="3"/>
    </row>
    <row r="1834" spans="1:22" x14ac:dyDescent="0.35">
      <c r="A1834" s="2" t="s">
        <v>4528</v>
      </c>
      <c r="B1834" s="2" t="s">
        <v>23</v>
      </c>
      <c r="C1834" s="2" t="s">
        <v>591</v>
      </c>
      <c r="D1834" s="2" t="s">
        <v>1949</v>
      </c>
      <c r="E1834" s="2" t="s">
        <v>48</v>
      </c>
      <c r="F1834" s="2" t="s">
        <v>281</v>
      </c>
      <c r="G1834" s="2" t="s">
        <v>70</v>
      </c>
      <c r="H1834" s="2" t="s">
        <v>1019</v>
      </c>
      <c r="I1834" s="2" t="s">
        <v>118</v>
      </c>
      <c r="J1834" s="2">
        <v>701</v>
      </c>
      <c r="K1834" s="2">
        <v>651.24</v>
      </c>
      <c r="L1834" s="2">
        <v>965.03</v>
      </c>
      <c r="M1834" s="2">
        <v>676486.03</v>
      </c>
      <c r="N1834" s="2">
        <v>456519.24</v>
      </c>
      <c r="O1834" s="2">
        <v>219966.79</v>
      </c>
      <c r="P1834" s="2" t="s">
        <v>42</v>
      </c>
      <c r="Q1834" s="2" t="s">
        <v>32</v>
      </c>
      <c r="R1834" s="2">
        <v>14</v>
      </c>
      <c r="S1834" s="2" t="s">
        <v>158</v>
      </c>
      <c r="T1834" s="2">
        <v>2871</v>
      </c>
      <c r="U1834" s="2">
        <v>16</v>
      </c>
      <c r="V1834" s="2"/>
    </row>
    <row r="1835" spans="1:22" x14ac:dyDescent="0.35">
      <c r="A1835" s="3" t="s">
        <v>4529</v>
      </c>
      <c r="B1835" s="3" t="s">
        <v>4530</v>
      </c>
      <c r="C1835" s="3" t="s">
        <v>1474</v>
      </c>
      <c r="D1835" s="3" t="s">
        <v>4531</v>
      </c>
      <c r="E1835" s="3" t="s">
        <v>100</v>
      </c>
      <c r="F1835" s="3" t="s">
        <v>538</v>
      </c>
      <c r="G1835" s="3" t="s">
        <v>60</v>
      </c>
      <c r="H1835" s="3" t="s">
        <v>164</v>
      </c>
      <c r="I1835" s="3" t="s">
        <v>118</v>
      </c>
      <c r="J1835" s="3">
        <v>781</v>
      </c>
      <c r="K1835" s="3">
        <v>1174.26</v>
      </c>
      <c r="L1835" s="3">
        <v>1442.88</v>
      </c>
      <c r="M1835" s="3">
        <v>1126889.28</v>
      </c>
      <c r="N1835" s="3">
        <v>917097.06</v>
      </c>
      <c r="O1835" s="3">
        <v>209792.22</v>
      </c>
      <c r="P1835" s="3" t="s">
        <v>52</v>
      </c>
      <c r="Q1835" s="3" t="s">
        <v>32</v>
      </c>
      <c r="R1835" s="3">
        <v>9</v>
      </c>
      <c r="S1835" s="3" t="s">
        <v>33</v>
      </c>
      <c r="T1835" s="3">
        <v>3170</v>
      </c>
      <c r="U1835" s="3">
        <v>2</v>
      </c>
      <c r="V1835" s="3"/>
    </row>
    <row r="1836" spans="1:22" x14ac:dyDescent="0.35">
      <c r="A1836" s="2" t="s">
        <v>4532</v>
      </c>
      <c r="B1836" s="2" t="s">
        <v>1180</v>
      </c>
      <c r="C1836" s="2" t="s">
        <v>4533</v>
      </c>
      <c r="D1836" s="2" t="s">
        <v>4534</v>
      </c>
      <c r="E1836" s="2" t="s">
        <v>26</v>
      </c>
      <c r="F1836" s="2" t="s">
        <v>92</v>
      </c>
      <c r="G1836" s="2" t="s">
        <v>129</v>
      </c>
      <c r="H1836" s="2" t="s">
        <v>152</v>
      </c>
      <c r="I1836" s="2" t="s">
        <v>85</v>
      </c>
      <c r="J1836" s="2">
        <v>467</v>
      </c>
      <c r="K1836" s="2">
        <v>146.01</v>
      </c>
      <c r="L1836" s="2">
        <v>224.35</v>
      </c>
      <c r="M1836" s="2">
        <v>104771.45</v>
      </c>
      <c r="N1836" s="2">
        <v>68186.67</v>
      </c>
      <c r="O1836" s="2">
        <v>36584.78</v>
      </c>
      <c r="P1836" s="2" t="s">
        <v>31</v>
      </c>
      <c r="Q1836" s="2" t="s">
        <v>63</v>
      </c>
      <c r="R1836" s="2">
        <v>4</v>
      </c>
      <c r="S1836" s="2" t="s">
        <v>112</v>
      </c>
      <c r="T1836" s="2">
        <v>3617</v>
      </c>
      <c r="U1836" s="2">
        <v>7</v>
      </c>
      <c r="V1836" s="2"/>
    </row>
    <row r="1837" spans="1:22" x14ac:dyDescent="0.35">
      <c r="A1837" s="3" t="s">
        <v>4535</v>
      </c>
      <c r="B1837" s="3" t="s">
        <v>702</v>
      </c>
      <c r="C1837" s="3" t="s">
        <v>513</v>
      </c>
      <c r="D1837" s="3" t="s">
        <v>4536</v>
      </c>
      <c r="E1837" s="3" t="s">
        <v>100</v>
      </c>
      <c r="F1837" s="3" t="s">
        <v>238</v>
      </c>
      <c r="G1837" s="3" t="s">
        <v>78</v>
      </c>
      <c r="H1837" s="3" t="s">
        <v>840</v>
      </c>
      <c r="I1837" s="3" t="s">
        <v>293</v>
      </c>
      <c r="J1837" s="3">
        <v>307</v>
      </c>
      <c r="K1837" s="3">
        <v>413.84</v>
      </c>
      <c r="L1837" s="3">
        <v>488.29</v>
      </c>
      <c r="M1837" s="3">
        <v>149905.03</v>
      </c>
      <c r="N1837" s="3">
        <v>127048.88</v>
      </c>
      <c r="O1837" s="3">
        <v>22856.15</v>
      </c>
      <c r="P1837" s="3" t="s">
        <v>31</v>
      </c>
      <c r="Q1837" s="3" t="s">
        <v>32</v>
      </c>
      <c r="R1837" s="3">
        <v>6</v>
      </c>
      <c r="S1837" s="3" t="s">
        <v>43</v>
      </c>
      <c r="T1837" s="3">
        <v>1151</v>
      </c>
      <c r="U1837" s="3">
        <v>10</v>
      </c>
      <c r="V1837" s="3"/>
    </row>
    <row r="1838" spans="1:22" x14ac:dyDescent="0.35">
      <c r="A1838" s="2" t="s">
        <v>4537</v>
      </c>
      <c r="B1838" s="2" t="s">
        <v>701</v>
      </c>
      <c r="C1838" s="2" t="s">
        <v>633</v>
      </c>
      <c r="D1838" s="2" t="s">
        <v>4538</v>
      </c>
      <c r="E1838" s="2" t="s">
        <v>26</v>
      </c>
      <c r="F1838" s="2" t="s">
        <v>27</v>
      </c>
      <c r="G1838" s="2" t="s">
        <v>50</v>
      </c>
      <c r="H1838" s="2" t="s">
        <v>173</v>
      </c>
      <c r="I1838" s="2" t="s">
        <v>191</v>
      </c>
      <c r="J1838" s="2">
        <v>565</v>
      </c>
      <c r="K1838" s="2">
        <v>836.49</v>
      </c>
      <c r="L1838" s="2">
        <v>1004.31</v>
      </c>
      <c r="M1838" s="2">
        <v>567435.15</v>
      </c>
      <c r="N1838" s="2">
        <v>472616.85</v>
      </c>
      <c r="O1838" s="2">
        <v>94818.3</v>
      </c>
      <c r="P1838" s="2" t="s">
        <v>52</v>
      </c>
      <c r="Q1838" s="2" t="s">
        <v>32</v>
      </c>
      <c r="R1838" s="2">
        <v>11</v>
      </c>
      <c r="S1838" s="2" t="s">
        <v>158</v>
      </c>
      <c r="T1838" s="2">
        <v>4870</v>
      </c>
      <c r="U1838" s="2">
        <v>14</v>
      </c>
      <c r="V1838" s="2"/>
    </row>
    <row r="1839" spans="1:22" x14ac:dyDescent="0.35">
      <c r="A1839" s="3" t="s">
        <v>4539</v>
      </c>
      <c r="B1839" s="3" t="s">
        <v>98</v>
      </c>
      <c r="C1839" s="3" t="s">
        <v>1233</v>
      </c>
      <c r="D1839" s="3" t="s">
        <v>4540</v>
      </c>
      <c r="E1839" s="3" t="s">
        <v>100</v>
      </c>
      <c r="F1839" s="3" t="s">
        <v>106</v>
      </c>
      <c r="G1839" s="3" t="s">
        <v>217</v>
      </c>
      <c r="H1839" s="3" t="s">
        <v>292</v>
      </c>
      <c r="I1839" s="3" t="s">
        <v>191</v>
      </c>
      <c r="J1839" s="3">
        <v>696</v>
      </c>
      <c r="K1839" s="3">
        <v>1104.0999999999999</v>
      </c>
      <c r="L1839" s="3">
        <v>1816.39</v>
      </c>
      <c r="M1839" s="3">
        <v>1264207.44</v>
      </c>
      <c r="N1839" s="3">
        <v>768453.6</v>
      </c>
      <c r="O1839" s="3">
        <v>495753.84</v>
      </c>
      <c r="P1839" s="3" t="s">
        <v>42</v>
      </c>
      <c r="Q1839" s="3" t="s">
        <v>906</v>
      </c>
      <c r="R1839" s="3">
        <v>6</v>
      </c>
      <c r="S1839" s="3" t="s">
        <v>33</v>
      </c>
      <c r="T1839" s="3">
        <v>437</v>
      </c>
      <c r="U1839" s="3">
        <v>15</v>
      </c>
      <c r="V1839" s="3"/>
    </row>
    <row r="1840" spans="1:22" x14ac:dyDescent="0.35">
      <c r="A1840" s="2" t="s">
        <v>4541</v>
      </c>
      <c r="B1840" s="2" t="s">
        <v>289</v>
      </c>
      <c r="C1840" s="2" t="s">
        <v>402</v>
      </c>
      <c r="D1840" s="2" t="s">
        <v>1706</v>
      </c>
      <c r="E1840" s="2" t="s">
        <v>68</v>
      </c>
      <c r="F1840" s="2" t="s">
        <v>163</v>
      </c>
      <c r="G1840" s="2" t="s">
        <v>217</v>
      </c>
      <c r="H1840" s="2" t="s">
        <v>218</v>
      </c>
      <c r="I1840" s="2" t="s">
        <v>293</v>
      </c>
      <c r="J1840" s="2">
        <v>471</v>
      </c>
      <c r="K1840" s="2">
        <v>1101.56</v>
      </c>
      <c r="L1840" s="2">
        <v>1272.8</v>
      </c>
      <c r="M1840" s="2">
        <v>599488.80000000005</v>
      </c>
      <c r="N1840" s="2">
        <v>518834.76</v>
      </c>
      <c r="O1840" s="2">
        <v>80654.039999999994</v>
      </c>
      <c r="P1840" s="2" t="s">
        <v>42</v>
      </c>
      <c r="Q1840" s="2" t="s">
        <v>32</v>
      </c>
      <c r="R1840" s="2">
        <v>11</v>
      </c>
      <c r="S1840" s="2" t="s">
        <v>86</v>
      </c>
      <c r="T1840" s="2">
        <v>3662</v>
      </c>
      <c r="U1840" s="2">
        <v>9</v>
      </c>
      <c r="V1840" s="2"/>
    </row>
    <row r="1841" spans="1:22" x14ac:dyDescent="0.35">
      <c r="A1841" s="3" t="s">
        <v>4542</v>
      </c>
      <c r="B1841" s="3" t="s">
        <v>4446</v>
      </c>
      <c r="C1841" s="3" t="s">
        <v>2812</v>
      </c>
      <c r="D1841" s="3" t="s">
        <v>4543</v>
      </c>
      <c r="E1841" s="3" t="s">
        <v>68</v>
      </c>
      <c r="F1841" s="3" t="s">
        <v>249</v>
      </c>
      <c r="G1841" s="3" t="s">
        <v>129</v>
      </c>
      <c r="H1841" s="3" t="s">
        <v>152</v>
      </c>
      <c r="I1841" s="3" t="s">
        <v>118</v>
      </c>
      <c r="J1841" s="3">
        <v>555</v>
      </c>
      <c r="K1841" s="3">
        <v>151.84</v>
      </c>
      <c r="L1841" s="3">
        <v>192.28</v>
      </c>
      <c r="M1841" s="3">
        <v>106715.4</v>
      </c>
      <c r="N1841" s="3">
        <v>84271.2</v>
      </c>
      <c r="O1841" s="3">
        <v>22444.2</v>
      </c>
      <c r="P1841" s="3" t="s">
        <v>2581</v>
      </c>
      <c r="Q1841" s="3" t="s">
        <v>32</v>
      </c>
      <c r="R1841" s="3">
        <v>15</v>
      </c>
      <c r="S1841" s="3" t="s">
        <v>43</v>
      </c>
      <c r="T1841" s="3">
        <v>1879</v>
      </c>
      <c r="U1841" s="3">
        <v>3</v>
      </c>
      <c r="V1841" s="3"/>
    </row>
    <row r="1842" spans="1:22" x14ac:dyDescent="0.35">
      <c r="A1842" s="2" t="s">
        <v>4544</v>
      </c>
      <c r="B1842" s="2" t="s">
        <v>390</v>
      </c>
      <c r="C1842" s="2" t="s">
        <v>2706</v>
      </c>
      <c r="D1842" s="2" t="s">
        <v>4545</v>
      </c>
      <c r="E1842" s="2" t="s">
        <v>68</v>
      </c>
      <c r="F1842" s="2" t="s">
        <v>276</v>
      </c>
      <c r="G1842" s="2" t="s">
        <v>50</v>
      </c>
      <c r="H1842" s="2" t="s">
        <v>135</v>
      </c>
      <c r="I1842" s="2" t="s">
        <v>118</v>
      </c>
      <c r="J1842" s="2">
        <v>131</v>
      </c>
      <c r="K1842" s="2">
        <v>627.57000000000005</v>
      </c>
      <c r="L1842" s="2">
        <v>1016.65</v>
      </c>
      <c r="M1842" s="2">
        <v>133181.15</v>
      </c>
      <c r="N1842" s="2">
        <v>82211.67</v>
      </c>
      <c r="O1842" s="2">
        <v>50969.48</v>
      </c>
      <c r="P1842" s="2" t="s">
        <v>52</v>
      </c>
      <c r="Q1842" s="2" t="s">
        <v>63</v>
      </c>
      <c r="R1842" s="2">
        <v>1</v>
      </c>
      <c r="S1842" s="2" t="s">
        <v>112</v>
      </c>
      <c r="T1842" s="2">
        <v>882</v>
      </c>
      <c r="U1842" s="2">
        <v>0</v>
      </c>
      <c r="V1842" s="2"/>
    </row>
    <row r="1843" spans="1:22" x14ac:dyDescent="0.35">
      <c r="A1843" s="3" t="s">
        <v>4546</v>
      </c>
      <c r="B1843" s="3" t="s">
        <v>235</v>
      </c>
      <c r="C1843" s="3" t="s">
        <v>256</v>
      </c>
      <c r="D1843" s="3" t="s">
        <v>4547</v>
      </c>
      <c r="E1843" s="3" t="s">
        <v>68</v>
      </c>
      <c r="F1843" s="3" t="s">
        <v>163</v>
      </c>
      <c r="G1843" s="3" t="s">
        <v>189</v>
      </c>
      <c r="H1843" s="3" t="s">
        <v>437</v>
      </c>
      <c r="I1843" s="3" t="s">
        <v>72</v>
      </c>
      <c r="J1843" s="3">
        <v>514</v>
      </c>
      <c r="K1843" s="3">
        <v>537.53</v>
      </c>
      <c r="L1843" s="3">
        <v>625.78</v>
      </c>
      <c r="M1843" s="3">
        <v>321650.92</v>
      </c>
      <c r="N1843" s="3">
        <v>276290.42</v>
      </c>
      <c r="O1843" s="3">
        <v>45360.5</v>
      </c>
      <c r="P1843" s="3" t="s">
        <v>95</v>
      </c>
      <c r="Q1843" s="3" t="s">
        <v>63</v>
      </c>
      <c r="R1843" s="3">
        <v>5</v>
      </c>
      <c r="S1843" s="3" t="s">
        <v>112</v>
      </c>
      <c r="T1843" s="3">
        <v>2806</v>
      </c>
      <c r="U1843" s="3">
        <v>9</v>
      </c>
      <c r="V1843" s="3"/>
    </row>
    <row r="1844" spans="1:22" x14ac:dyDescent="0.35">
      <c r="A1844" s="2" t="s">
        <v>4548</v>
      </c>
      <c r="B1844" s="2" t="s">
        <v>1483</v>
      </c>
      <c r="C1844" s="2" t="s">
        <v>611</v>
      </c>
      <c r="D1844" s="2" t="s">
        <v>4549</v>
      </c>
      <c r="E1844" s="2" t="s">
        <v>1549</v>
      </c>
      <c r="F1844" s="2" t="s">
        <v>223</v>
      </c>
      <c r="G1844" s="2" t="s">
        <v>78</v>
      </c>
      <c r="H1844" s="2" t="s">
        <v>425</v>
      </c>
      <c r="I1844" s="2" t="s">
        <v>30</v>
      </c>
      <c r="J1844" s="2">
        <v>528</v>
      </c>
      <c r="K1844" s="2">
        <v>462.49</v>
      </c>
      <c r="L1844" s="2">
        <v>582.79</v>
      </c>
      <c r="M1844" s="2">
        <v>307713.12</v>
      </c>
      <c r="N1844" s="2">
        <v>244194.72</v>
      </c>
      <c r="O1844" s="2">
        <v>63518.400000000001</v>
      </c>
      <c r="P1844" s="2" t="s">
        <v>4550</v>
      </c>
      <c r="Q1844" s="2" t="s">
        <v>63</v>
      </c>
      <c r="R1844" s="2">
        <v>5</v>
      </c>
      <c r="S1844" s="2" t="s">
        <v>86</v>
      </c>
      <c r="T1844" s="2">
        <v>2712</v>
      </c>
      <c r="U1844" s="2">
        <v>10</v>
      </c>
      <c r="V1844" s="2"/>
    </row>
    <row r="1845" spans="1:22" x14ac:dyDescent="0.35">
      <c r="A1845" s="3" t="s">
        <v>4551</v>
      </c>
      <c r="B1845" s="3" t="s">
        <v>1474</v>
      </c>
      <c r="C1845" s="3" t="s">
        <v>1133</v>
      </c>
      <c r="D1845" s="3" t="s">
        <v>4552</v>
      </c>
      <c r="E1845" s="3" t="s">
        <v>26</v>
      </c>
      <c r="F1845" s="3" t="s">
        <v>228</v>
      </c>
      <c r="G1845" s="3" t="s">
        <v>60</v>
      </c>
      <c r="H1845" s="3" t="s">
        <v>164</v>
      </c>
      <c r="I1845" s="3" t="s">
        <v>293</v>
      </c>
      <c r="J1845" s="3">
        <v>230</v>
      </c>
      <c r="K1845" s="3">
        <v>1113.5999999999999</v>
      </c>
      <c r="L1845" s="3">
        <v>1664.03</v>
      </c>
      <c r="M1845" s="3">
        <v>382726.9</v>
      </c>
      <c r="N1845" s="3">
        <v>256128</v>
      </c>
      <c r="O1845" s="3">
        <v>126598.9</v>
      </c>
      <c r="P1845" s="3" t="s">
        <v>31</v>
      </c>
      <c r="Q1845" s="3" t="s">
        <v>32</v>
      </c>
      <c r="R1845" s="3">
        <v>9</v>
      </c>
      <c r="S1845" s="3" t="s">
        <v>43</v>
      </c>
      <c r="T1845" s="3">
        <v>24</v>
      </c>
      <c r="U1845" s="3">
        <v>4</v>
      </c>
      <c r="V1845" s="3"/>
    </row>
    <row r="1846" spans="1:22" x14ac:dyDescent="0.35">
      <c r="A1846" s="2" t="s">
        <v>1082</v>
      </c>
      <c r="B1846" s="2" t="s">
        <v>395</v>
      </c>
      <c r="C1846" s="2" t="s">
        <v>194</v>
      </c>
      <c r="D1846" s="2" t="s">
        <v>1083</v>
      </c>
      <c r="E1846" s="2" t="s">
        <v>26</v>
      </c>
      <c r="F1846" s="4"/>
      <c r="G1846" s="2" t="s">
        <v>60</v>
      </c>
      <c r="H1846" s="2" t="s">
        <v>780</v>
      </c>
      <c r="I1846" s="2" t="s">
        <v>41</v>
      </c>
      <c r="J1846" s="2">
        <v>679</v>
      </c>
      <c r="K1846" s="2">
        <v>208.74</v>
      </c>
      <c r="L1846" s="2">
        <v>342.6</v>
      </c>
      <c r="M1846" s="2">
        <v>232625.4</v>
      </c>
      <c r="N1846" s="2">
        <v>141734.46</v>
      </c>
      <c r="O1846" s="2">
        <v>90890.94</v>
      </c>
      <c r="P1846" s="2" t="s">
        <v>95</v>
      </c>
      <c r="Q1846" s="2" t="s">
        <v>63</v>
      </c>
      <c r="R1846" s="2">
        <v>4</v>
      </c>
      <c r="S1846" s="2" t="s">
        <v>112</v>
      </c>
      <c r="T1846" s="4"/>
      <c r="U1846" s="2">
        <v>21</v>
      </c>
      <c r="V1846" s="2"/>
    </row>
    <row r="1847" spans="1:22" x14ac:dyDescent="0.35">
      <c r="A1847" s="3" t="s">
        <v>4553</v>
      </c>
      <c r="B1847" s="3" t="s">
        <v>1612</v>
      </c>
      <c r="C1847" s="3" t="s">
        <v>1438</v>
      </c>
      <c r="D1847" s="3" t="s">
        <v>4554</v>
      </c>
      <c r="E1847" s="3" t="s">
        <v>68</v>
      </c>
      <c r="F1847" s="3" t="s">
        <v>146</v>
      </c>
      <c r="G1847" s="3" t="s">
        <v>93</v>
      </c>
      <c r="H1847" s="3" t="s">
        <v>321</v>
      </c>
      <c r="I1847" s="3" t="s">
        <v>141</v>
      </c>
      <c r="J1847" s="3">
        <v>23</v>
      </c>
      <c r="K1847" s="3">
        <v>535.21</v>
      </c>
      <c r="L1847" s="3">
        <v>856.43</v>
      </c>
      <c r="M1847" s="3">
        <v>19697.89</v>
      </c>
      <c r="N1847" s="3">
        <v>12309.83</v>
      </c>
      <c r="O1847" s="3">
        <v>7388.06</v>
      </c>
      <c r="P1847" s="3" t="s">
        <v>42</v>
      </c>
      <c r="Q1847" s="3" t="s">
        <v>32</v>
      </c>
      <c r="R1847" s="3">
        <v>12</v>
      </c>
      <c r="S1847" s="3" t="s">
        <v>86</v>
      </c>
      <c r="T1847" s="3">
        <v>1919</v>
      </c>
      <c r="U1847" s="3">
        <v>1</v>
      </c>
      <c r="V1847" s="3"/>
    </row>
    <row r="1848" spans="1:22" x14ac:dyDescent="0.35">
      <c r="A1848" s="2" t="s">
        <v>4555</v>
      </c>
      <c r="B1848" s="2" t="s">
        <v>2932</v>
      </c>
      <c r="C1848" s="2" t="s">
        <v>1003</v>
      </c>
      <c r="D1848" s="2" t="s">
        <v>4556</v>
      </c>
      <c r="E1848" s="2" t="s">
        <v>26</v>
      </c>
      <c r="F1848" s="2" t="s">
        <v>38</v>
      </c>
      <c r="G1848" s="2" t="s">
        <v>70</v>
      </c>
      <c r="H1848" s="2" t="s">
        <v>71</v>
      </c>
      <c r="I1848" s="2" t="s">
        <v>85</v>
      </c>
      <c r="J1848" s="2">
        <v>17</v>
      </c>
      <c r="K1848" s="2">
        <v>720.57</v>
      </c>
      <c r="L1848" s="2">
        <v>986.54</v>
      </c>
      <c r="M1848" s="2">
        <v>16771.18</v>
      </c>
      <c r="N1848" s="2">
        <v>12249.69</v>
      </c>
      <c r="O1848" s="2">
        <v>4521.49</v>
      </c>
      <c r="P1848" s="2" t="s">
        <v>52</v>
      </c>
      <c r="Q1848" s="2" t="s">
        <v>959</v>
      </c>
      <c r="R1848" s="2">
        <v>7</v>
      </c>
      <c r="S1848" s="2" t="s">
        <v>112</v>
      </c>
      <c r="T1848" s="2">
        <v>2505</v>
      </c>
      <c r="U1848" s="2">
        <v>0</v>
      </c>
      <c r="V1848" s="2"/>
    </row>
    <row r="1849" spans="1:22" x14ac:dyDescent="0.35">
      <c r="A1849" s="3" t="s">
        <v>4557</v>
      </c>
      <c r="B1849" s="3" t="s">
        <v>596</v>
      </c>
      <c r="C1849" s="3" t="s">
        <v>702</v>
      </c>
      <c r="D1849" s="3" t="s">
        <v>4558</v>
      </c>
      <c r="E1849" s="3" t="s">
        <v>58</v>
      </c>
      <c r="F1849" s="3" t="s">
        <v>259</v>
      </c>
      <c r="G1849" s="3" t="s">
        <v>217</v>
      </c>
      <c r="H1849" s="3" t="s">
        <v>524</v>
      </c>
      <c r="I1849" s="3" t="s">
        <v>124</v>
      </c>
      <c r="J1849" s="3">
        <v>786</v>
      </c>
      <c r="K1849" s="3">
        <v>1015.99</v>
      </c>
      <c r="L1849" s="3">
        <v>1442.22</v>
      </c>
      <c r="M1849" s="3">
        <v>1133584.92</v>
      </c>
      <c r="N1849" s="3">
        <v>798568.14</v>
      </c>
      <c r="O1849" s="3">
        <v>335016.78000000003</v>
      </c>
      <c r="P1849" s="3" t="s">
        <v>42</v>
      </c>
      <c r="Q1849" s="3" t="s">
        <v>32</v>
      </c>
      <c r="R1849" s="3">
        <v>8</v>
      </c>
      <c r="S1849" s="3" t="s">
        <v>86</v>
      </c>
      <c r="T1849" s="3">
        <v>4607</v>
      </c>
      <c r="U1849" s="3">
        <v>11</v>
      </c>
      <c r="V1849" s="3"/>
    </row>
    <row r="1850" spans="1:22" x14ac:dyDescent="0.35">
      <c r="A1850" s="2" t="s">
        <v>4559</v>
      </c>
      <c r="B1850" s="2" t="s">
        <v>2012</v>
      </c>
      <c r="C1850" s="2" t="s">
        <v>89</v>
      </c>
      <c r="D1850" s="2" t="s">
        <v>4560</v>
      </c>
      <c r="E1850" s="2" t="s">
        <v>48</v>
      </c>
      <c r="F1850" s="2" t="s">
        <v>183</v>
      </c>
      <c r="G1850" s="2" t="s">
        <v>217</v>
      </c>
      <c r="H1850" s="2" t="s">
        <v>292</v>
      </c>
      <c r="I1850" s="2" t="s">
        <v>141</v>
      </c>
      <c r="J1850" s="2">
        <v>-5</v>
      </c>
      <c r="K1850" s="2">
        <v>374.64</v>
      </c>
      <c r="L1850" s="2">
        <v>425.75</v>
      </c>
      <c r="M1850" s="2">
        <v>219687</v>
      </c>
      <c r="N1850" s="2">
        <v>193314.24</v>
      </c>
      <c r="O1850" s="2">
        <v>26372.76</v>
      </c>
      <c r="P1850" s="2" t="s">
        <v>95</v>
      </c>
      <c r="Q1850" s="2" t="s">
        <v>32</v>
      </c>
      <c r="R1850" s="2">
        <v>10</v>
      </c>
      <c r="S1850" s="2" t="s">
        <v>158</v>
      </c>
      <c r="T1850" s="2">
        <v>4713</v>
      </c>
      <c r="U1850" s="2">
        <v>0</v>
      </c>
      <c r="V1850" s="2"/>
    </row>
    <row r="1851" spans="1:22" x14ac:dyDescent="0.35">
      <c r="A1851" s="3" t="s">
        <v>4561</v>
      </c>
      <c r="B1851" s="3" t="s">
        <v>419</v>
      </c>
      <c r="C1851" s="3" t="s">
        <v>175</v>
      </c>
      <c r="D1851" s="3" t="s">
        <v>4037</v>
      </c>
      <c r="E1851" s="3" t="s">
        <v>26</v>
      </c>
      <c r="F1851" s="3" t="s">
        <v>27</v>
      </c>
      <c r="G1851" s="3" t="s">
        <v>28</v>
      </c>
      <c r="H1851" s="3" t="s">
        <v>254</v>
      </c>
      <c r="I1851" s="3" t="s">
        <v>124</v>
      </c>
      <c r="J1851" s="3">
        <v>562</v>
      </c>
      <c r="K1851" s="3">
        <v>1025.0899999999999</v>
      </c>
      <c r="L1851" s="3">
        <v>1446.24</v>
      </c>
      <c r="M1851" s="3">
        <v>812786.88</v>
      </c>
      <c r="N1851" s="3">
        <v>576100.57999999996</v>
      </c>
      <c r="O1851" s="3">
        <v>236686.3</v>
      </c>
      <c r="P1851" s="3" t="s">
        <v>42</v>
      </c>
      <c r="Q1851" s="3" t="s">
        <v>63</v>
      </c>
      <c r="R1851" s="3">
        <v>5</v>
      </c>
      <c r="S1851" s="3" t="s">
        <v>53</v>
      </c>
      <c r="T1851" s="3">
        <v>4666</v>
      </c>
      <c r="U1851" s="3">
        <v>22</v>
      </c>
      <c r="V1851" s="3"/>
    </row>
    <row r="1852" spans="1:22" x14ac:dyDescent="0.35">
      <c r="A1852" s="2" t="s">
        <v>4562</v>
      </c>
      <c r="B1852" s="2" t="s">
        <v>3976</v>
      </c>
      <c r="C1852" s="2" t="s">
        <v>727</v>
      </c>
      <c r="D1852" s="2" t="s">
        <v>1503</v>
      </c>
      <c r="E1852" s="2" t="s">
        <v>100</v>
      </c>
      <c r="F1852" s="2" t="s">
        <v>330</v>
      </c>
      <c r="G1852" s="2" t="s">
        <v>60</v>
      </c>
      <c r="H1852" s="2" t="s">
        <v>61</v>
      </c>
      <c r="I1852" s="2" t="s">
        <v>62</v>
      </c>
      <c r="J1852" s="2">
        <v>452</v>
      </c>
      <c r="K1852" s="2">
        <v>343.8</v>
      </c>
      <c r="L1852" s="2">
        <v>510.72</v>
      </c>
      <c r="M1852" s="2">
        <v>230845.44</v>
      </c>
      <c r="N1852" s="2">
        <v>155397.6</v>
      </c>
      <c r="O1852" s="2">
        <v>75447.839999999997</v>
      </c>
      <c r="P1852" s="2" t="s">
        <v>95</v>
      </c>
      <c r="Q1852" s="2" t="s">
        <v>32</v>
      </c>
      <c r="R1852" s="2">
        <v>11</v>
      </c>
      <c r="S1852" s="2" t="s">
        <v>33</v>
      </c>
      <c r="T1852" s="2">
        <v>2946</v>
      </c>
      <c r="U1852" s="2">
        <v>20</v>
      </c>
      <c r="V1852" s="2"/>
    </row>
    <row r="1853" spans="1:22" x14ac:dyDescent="0.35">
      <c r="A1853" s="3" t="s">
        <v>4563</v>
      </c>
      <c r="B1853" s="3" t="s">
        <v>4564</v>
      </c>
      <c r="C1853" s="3" t="s">
        <v>1240</v>
      </c>
      <c r="D1853" s="3" t="s">
        <v>4565</v>
      </c>
      <c r="E1853" s="3" t="s">
        <v>100</v>
      </c>
      <c r="F1853" s="3" t="s">
        <v>106</v>
      </c>
      <c r="G1853" s="3" t="s">
        <v>39</v>
      </c>
      <c r="H1853" s="3" t="s">
        <v>412</v>
      </c>
      <c r="I1853" s="3" t="s">
        <v>153</v>
      </c>
      <c r="J1853" s="3">
        <v>520</v>
      </c>
      <c r="K1853" s="3">
        <v>75.94</v>
      </c>
      <c r="L1853" s="4"/>
      <c r="M1853" s="3">
        <v>46987.199999999997</v>
      </c>
      <c r="N1853" s="3">
        <v>39488.800000000003</v>
      </c>
      <c r="O1853" s="3">
        <v>7498.4</v>
      </c>
      <c r="P1853" s="3" t="s">
        <v>95</v>
      </c>
      <c r="Q1853" s="3" t="s">
        <v>32</v>
      </c>
      <c r="R1853" s="3">
        <v>10</v>
      </c>
      <c r="S1853" s="3" t="s">
        <v>86</v>
      </c>
      <c r="T1853" s="3">
        <v>3025</v>
      </c>
      <c r="U1853" s="3">
        <v>11</v>
      </c>
      <c r="V1853" s="3"/>
    </row>
    <row r="1854" spans="1:22" x14ac:dyDescent="0.35">
      <c r="A1854" s="2" t="s">
        <v>4566</v>
      </c>
      <c r="B1854" s="2" t="s">
        <v>2665</v>
      </c>
      <c r="C1854" s="2" t="s">
        <v>1152</v>
      </c>
      <c r="D1854" s="2" t="s">
        <v>4567</v>
      </c>
      <c r="E1854" s="2" t="s">
        <v>48</v>
      </c>
      <c r="F1854" s="2" t="s">
        <v>183</v>
      </c>
      <c r="G1854" s="2" t="s">
        <v>50</v>
      </c>
      <c r="H1854" s="2" t="s">
        <v>734</v>
      </c>
      <c r="I1854" s="2" t="s">
        <v>293</v>
      </c>
      <c r="J1854" s="2">
        <v>555</v>
      </c>
      <c r="K1854" s="2">
        <v>1090.03</v>
      </c>
      <c r="L1854" s="2">
        <v>1650.03</v>
      </c>
      <c r="M1854" s="2">
        <v>915766.65</v>
      </c>
      <c r="N1854" s="2">
        <v>604966.65</v>
      </c>
      <c r="O1854" s="2">
        <v>310800</v>
      </c>
      <c r="P1854" s="2" t="s">
        <v>31</v>
      </c>
      <c r="Q1854" s="2" t="s">
        <v>63</v>
      </c>
      <c r="R1854" s="2">
        <v>2</v>
      </c>
      <c r="S1854" s="2" t="s">
        <v>86</v>
      </c>
      <c r="T1854" s="2">
        <v>2151</v>
      </c>
      <c r="U1854" s="2">
        <v>11</v>
      </c>
      <c r="V1854" s="2"/>
    </row>
    <row r="1855" spans="1:22" x14ac:dyDescent="0.35">
      <c r="A1855" s="3" t="s">
        <v>4568</v>
      </c>
      <c r="B1855" s="3" t="s">
        <v>1077</v>
      </c>
      <c r="C1855" s="3" t="s">
        <v>138</v>
      </c>
      <c r="D1855" s="3" t="s">
        <v>4569</v>
      </c>
      <c r="E1855" s="3" t="s">
        <v>26</v>
      </c>
      <c r="F1855" s="3" t="s">
        <v>92</v>
      </c>
      <c r="G1855" s="3" t="s">
        <v>93</v>
      </c>
      <c r="H1855" s="3" t="s">
        <v>94</v>
      </c>
      <c r="I1855" s="3" t="s">
        <v>41</v>
      </c>
      <c r="J1855" s="3">
        <v>422</v>
      </c>
      <c r="K1855" s="3">
        <v>806.01</v>
      </c>
      <c r="L1855" s="3">
        <v>1058.33</v>
      </c>
      <c r="M1855" s="3">
        <v>446615.26</v>
      </c>
      <c r="N1855" s="3">
        <v>340136.22</v>
      </c>
      <c r="O1855" s="3">
        <v>106479.03999999999</v>
      </c>
      <c r="P1855" s="3" t="s">
        <v>42</v>
      </c>
      <c r="Q1855" s="3" t="s">
        <v>63</v>
      </c>
      <c r="R1855" s="3">
        <v>4</v>
      </c>
      <c r="S1855" s="3" t="s">
        <v>43</v>
      </c>
      <c r="T1855" s="3">
        <v>2749</v>
      </c>
      <c r="U1855" s="3">
        <v>14</v>
      </c>
      <c r="V1855" s="3"/>
    </row>
    <row r="1856" spans="1:22" x14ac:dyDescent="0.35">
      <c r="A1856" s="2" t="s">
        <v>4570</v>
      </c>
      <c r="B1856" s="2" t="s">
        <v>338</v>
      </c>
      <c r="C1856" s="2" t="s">
        <v>2496</v>
      </c>
      <c r="D1856" s="2" t="s">
        <v>4571</v>
      </c>
      <c r="E1856" s="2" t="s">
        <v>26</v>
      </c>
      <c r="F1856" s="2" t="s">
        <v>228</v>
      </c>
      <c r="G1856" s="2" t="s">
        <v>78</v>
      </c>
      <c r="H1856" s="2" t="s">
        <v>425</v>
      </c>
      <c r="I1856" s="2" t="s">
        <v>191</v>
      </c>
      <c r="J1856" s="2">
        <v>544</v>
      </c>
      <c r="K1856" s="2">
        <v>393.44</v>
      </c>
      <c r="L1856" s="2">
        <v>503.95</v>
      </c>
      <c r="M1856" s="2">
        <v>274148.8</v>
      </c>
      <c r="N1856" s="2">
        <v>214031.35999999999</v>
      </c>
      <c r="O1856" s="2">
        <v>60117.440000000002</v>
      </c>
      <c r="P1856" s="2" t="s">
        <v>31</v>
      </c>
      <c r="Q1856" s="2" t="s">
        <v>32</v>
      </c>
      <c r="R1856" s="2">
        <v>12</v>
      </c>
      <c r="S1856" s="2" t="s">
        <v>86</v>
      </c>
      <c r="T1856" s="2">
        <v>1753</v>
      </c>
      <c r="U1856" s="2">
        <v>23</v>
      </c>
      <c r="V1856" s="2"/>
    </row>
    <row r="1857" spans="1:22" x14ac:dyDescent="0.35">
      <c r="A1857" s="3" t="s">
        <v>4572</v>
      </c>
      <c r="B1857" s="3" t="s">
        <v>263</v>
      </c>
      <c r="C1857" s="3" t="s">
        <v>262</v>
      </c>
      <c r="D1857" s="3" t="s">
        <v>4573</v>
      </c>
      <c r="E1857" s="3" t="s">
        <v>26</v>
      </c>
      <c r="F1857" s="3" t="s">
        <v>38</v>
      </c>
      <c r="G1857" s="3" t="s">
        <v>70</v>
      </c>
      <c r="H1857" s="3" t="s">
        <v>239</v>
      </c>
      <c r="I1857" s="3" t="s">
        <v>124</v>
      </c>
      <c r="J1857" s="3">
        <v>404</v>
      </c>
      <c r="K1857" s="3">
        <v>296.39999999999998</v>
      </c>
      <c r="L1857" s="3">
        <v>368.25</v>
      </c>
      <c r="M1857" s="3">
        <v>148773</v>
      </c>
      <c r="N1857" s="3">
        <v>119745.60000000001</v>
      </c>
      <c r="O1857" s="3">
        <v>29027.4</v>
      </c>
      <c r="P1857" s="3" t="s">
        <v>95</v>
      </c>
      <c r="Q1857" s="3" t="s">
        <v>32</v>
      </c>
      <c r="R1857" s="3">
        <v>13</v>
      </c>
      <c r="S1857" s="3" t="s">
        <v>158</v>
      </c>
      <c r="T1857" s="3">
        <v>3545</v>
      </c>
      <c r="U1857" s="3">
        <v>11</v>
      </c>
      <c r="V1857" s="3"/>
    </row>
    <row r="1858" spans="1:22" x14ac:dyDescent="0.35">
      <c r="A1858" s="2" t="s">
        <v>4574</v>
      </c>
      <c r="B1858" s="2" t="s">
        <v>2604</v>
      </c>
      <c r="C1858" s="2" t="s">
        <v>3678</v>
      </c>
      <c r="D1858" s="2" t="s">
        <v>4575</v>
      </c>
      <c r="E1858" s="2" t="s">
        <v>100</v>
      </c>
      <c r="F1858" s="2" t="s">
        <v>238</v>
      </c>
      <c r="G1858" s="2" t="s">
        <v>78</v>
      </c>
      <c r="H1858" s="2" t="s">
        <v>481</v>
      </c>
      <c r="I1858" s="2" t="s">
        <v>141</v>
      </c>
      <c r="J1858" s="2">
        <v>383</v>
      </c>
      <c r="K1858" s="2">
        <v>1029.02</v>
      </c>
      <c r="L1858" s="2">
        <v>1182.6500000000001</v>
      </c>
      <c r="M1858" s="2">
        <v>452954.95</v>
      </c>
      <c r="N1858" s="2">
        <v>394114.66</v>
      </c>
      <c r="O1858" s="2">
        <v>58840.29</v>
      </c>
      <c r="P1858" s="2" t="s">
        <v>95</v>
      </c>
      <c r="Q1858" s="2" t="s">
        <v>2234</v>
      </c>
      <c r="R1858" s="2">
        <v>2</v>
      </c>
      <c r="S1858" s="2" t="s">
        <v>86</v>
      </c>
      <c r="T1858" s="2">
        <v>3342</v>
      </c>
      <c r="U1858" s="2">
        <v>12</v>
      </c>
      <c r="V1858" s="2"/>
    </row>
    <row r="1859" spans="1:22" x14ac:dyDescent="0.35">
      <c r="A1859" s="3" t="s">
        <v>4576</v>
      </c>
      <c r="B1859" s="3" t="s">
        <v>764</v>
      </c>
      <c r="C1859" s="3" t="s">
        <v>630</v>
      </c>
      <c r="D1859" s="3" t="s">
        <v>4577</v>
      </c>
      <c r="E1859" s="3" t="s">
        <v>48</v>
      </c>
      <c r="F1859" s="3" t="s">
        <v>281</v>
      </c>
      <c r="G1859" s="3" t="s">
        <v>217</v>
      </c>
      <c r="H1859" s="3" t="s">
        <v>292</v>
      </c>
      <c r="I1859" s="3" t="s">
        <v>293</v>
      </c>
      <c r="J1859" s="3">
        <v>786</v>
      </c>
      <c r="K1859" s="3">
        <v>13.89</v>
      </c>
      <c r="L1859" s="3">
        <v>18.91</v>
      </c>
      <c r="M1859" s="3">
        <v>14863.26</v>
      </c>
      <c r="N1859" s="3">
        <v>10917.54</v>
      </c>
      <c r="O1859" s="3">
        <v>3945.72</v>
      </c>
      <c r="P1859" s="3" t="s">
        <v>52</v>
      </c>
      <c r="Q1859" s="3" t="s">
        <v>32</v>
      </c>
      <c r="R1859" s="3">
        <v>15</v>
      </c>
      <c r="S1859" s="3" t="s">
        <v>53</v>
      </c>
      <c r="T1859" s="3">
        <v>3189</v>
      </c>
      <c r="U1859" s="3">
        <v>35</v>
      </c>
      <c r="V1859" s="3"/>
    </row>
    <row r="1860" spans="1:22" x14ac:dyDescent="0.35">
      <c r="A1860" s="2" t="s">
        <v>754</v>
      </c>
      <c r="B1860" s="2" t="s">
        <v>410</v>
      </c>
      <c r="C1860" s="2" t="s">
        <v>755</v>
      </c>
      <c r="D1860" s="2" t="s">
        <v>756</v>
      </c>
      <c r="E1860" s="2" t="s">
        <v>26</v>
      </c>
      <c r="F1860" s="2" t="s">
        <v>27</v>
      </c>
      <c r="G1860" s="2" t="s">
        <v>50</v>
      </c>
      <c r="H1860" s="2" t="s">
        <v>51</v>
      </c>
      <c r="I1860" s="2" t="s">
        <v>62</v>
      </c>
      <c r="J1860" s="2">
        <v>686</v>
      </c>
      <c r="K1860" s="2">
        <v>364.87</v>
      </c>
      <c r="L1860" s="2">
        <v>554.29999999999995</v>
      </c>
      <c r="M1860" s="2">
        <v>380249.8</v>
      </c>
      <c r="N1860" s="2">
        <v>250300.82</v>
      </c>
      <c r="O1860" s="2">
        <v>129948.98</v>
      </c>
      <c r="P1860" s="2" t="s">
        <v>52</v>
      </c>
      <c r="Q1860" s="2" t="s">
        <v>32</v>
      </c>
      <c r="R1860" s="2">
        <v>12</v>
      </c>
      <c r="S1860" s="2" t="s">
        <v>112</v>
      </c>
      <c r="T1860" s="2">
        <v>341</v>
      </c>
      <c r="U1860" s="2">
        <v>32</v>
      </c>
      <c r="V1860" s="2"/>
    </row>
    <row r="1861" spans="1:22" x14ac:dyDescent="0.35">
      <c r="A1861" s="3" t="s">
        <v>4578</v>
      </c>
      <c r="B1861" s="3" t="s">
        <v>1375</v>
      </c>
      <c r="C1861" s="3" t="s">
        <v>898</v>
      </c>
      <c r="D1861" s="3" t="s">
        <v>4579</v>
      </c>
      <c r="E1861" s="3" t="s">
        <v>26</v>
      </c>
      <c r="F1861" s="3" t="s">
        <v>27</v>
      </c>
      <c r="G1861" s="3" t="s">
        <v>217</v>
      </c>
      <c r="H1861" s="3" t="s">
        <v>218</v>
      </c>
      <c r="I1861" s="3" t="s">
        <v>85</v>
      </c>
      <c r="J1861" s="3">
        <v>163</v>
      </c>
      <c r="K1861" s="3">
        <v>786.47</v>
      </c>
      <c r="L1861" s="3">
        <v>1102.7</v>
      </c>
      <c r="M1861" s="3">
        <v>179740.1</v>
      </c>
      <c r="N1861" s="3">
        <v>128194.61</v>
      </c>
      <c r="O1861" s="3">
        <v>51545.49</v>
      </c>
      <c r="P1861" s="3" t="s">
        <v>95</v>
      </c>
      <c r="Q1861" s="3" t="s">
        <v>32</v>
      </c>
      <c r="R1861" s="3">
        <v>9</v>
      </c>
      <c r="S1861" s="3" t="s">
        <v>112</v>
      </c>
      <c r="T1861" s="3">
        <v>4063</v>
      </c>
      <c r="U1861" s="3">
        <v>8</v>
      </c>
      <c r="V1861" s="3"/>
    </row>
    <row r="1862" spans="1:22" x14ac:dyDescent="0.35">
      <c r="A1862" s="2" t="s">
        <v>4580</v>
      </c>
      <c r="B1862" s="2" t="s">
        <v>1483</v>
      </c>
      <c r="C1862" s="2" t="s">
        <v>1797</v>
      </c>
      <c r="D1862" s="2" t="s">
        <v>4235</v>
      </c>
      <c r="E1862" s="2" t="s">
        <v>26</v>
      </c>
      <c r="F1862" s="2" t="s">
        <v>38</v>
      </c>
      <c r="G1862" s="2" t="s">
        <v>60</v>
      </c>
      <c r="H1862" s="2" t="s">
        <v>539</v>
      </c>
      <c r="I1862" s="2" t="s">
        <v>30</v>
      </c>
      <c r="J1862" s="2">
        <v>740</v>
      </c>
      <c r="K1862" s="2">
        <v>631.65</v>
      </c>
      <c r="L1862" s="2">
        <v>1007.02</v>
      </c>
      <c r="M1862" s="2">
        <v>745194.8</v>
      </c>
      <c r="N1862" s="2">
        <v>467421</v>
      </c>
      <c r="O1862" s="2">
        <v>277773.8</v>
      </c>
      <c r="P1862" s="2" t="s">
        <v>52</v>
      </c>
      <c r="Q1862" s="2" t="s">
        <v>63</v>
      </c>
      <c r="R1862" s="2">
        <v>3</v>
      </c>
      <c r="S1862" s="2" t="s">
        <v>158</v>
      </c>
      <c r="T1862" s="2">
        <v>2726</v>
      </c>
      <c r="U1862" s="2">
        <v>24</v>
      </c>
      <c r="V1862" s="2"/>
    </row>
    <row r="1863" spans="1:22" x14ac:dyDescent="0.35">
      <c r="A1863" s="3" t="s">
        <v>4581</v>
      </c>
      <c r="B1863" s="3" t="s">
        <v>338</v>
      </c>
      <c r="C1863" s="3" t="s">
        <v>2496</v>
      </c>
      <c r="D1863" s="3" t="s">
        <v>1313</v>
      </c>
      <c r="E1863" s="3" t="s">
        <v>26</v>
      </c>
      <c r="F1863" s="3" t="s">
        <v>92</v>
      </c>
      <c r="G1863" s="3" t="s">
        <v>189</v>
      </c>
      <c r="H1863" s="3" t="s">
        <v>437</v>
      </c>
      <c r="I1863" s="3" t="s">
        <v>41</v>
      </c>
      <c r="J1863" s="3">
        <v>252</v>
      </c>
      <c r="K1863" s="3">
        <v>1036.0899999999999</v>
      </c>
      <c r="L1863" s="3">
        <v>1510.4</v>
      </c>
      <c r="M1863" s="3">
        <v>380620.79999999999</v>
      </c>
      <c r="N1863" s="3">
        <v>261094.68</v>
      </c>
      <c r="O1863" s="3">
        <v>119526.12</v>
      </c>
      <c r="P1863" s="3" t="s">
        <v>52</v>
      </c>
      <c r="Q1863" s="3" t="s">
        <v>32</v>
      </c>
      <c r="R1863" s="3">
        <v>12</v>
      </c>
      <c r="S1863" s="3" t="s">
        <v>86</v>
      </c>
      <c r="T1863" s="3">
        <v>714</v>
      </c>
      <c r="U1863" s="3">
        <v>1</v>
      </c>
      <c r="V1863" s="3"/>
    </row>
    <row r="1864" spans="1:22" x14ac:dyDescent="0.35">
      <c r="A1864" s="2" t="s">
        <v>4582</v>
      </c>
      <c r="B1864" s="2" t="s">
        <v>231</v>
      </c>
      <c r="C1864" s="2" t="s">
        <v>1034</v>
      </c>
      <c r="D1864" s="2" t="s">
        <v>4583</v>
      </c>
      <c r="E1864" s="2" t="s">
        <v>58</v>
      </c>
      <c r="F1864" s="2" t="s">
        <v>59</v>
      </c>
      <c r="G1864" s="2" t="s">
        <v>39</v>
      </c>
      <c r="H1864" s="2" t="s">
        <v>40</v>
      </c>
      <c r="I1864" s="2" t="s">
        <v>30</v>
      </c>
      <c r="J1864" s="2">
        <v>123</v>
      </c>
      <c r="K1864" s="2">
        <v>1017.66</v>
      </c>
      <c r="L1864" s="2">
        <v>1251.92</v>
      </c>
      <c r="M1864" s="2">
        <v>153986.16</v>
      </c>
      <c r="N1864" s="2">
        <v>125172.18</v>
      </c>
      <c r="O1864" s="2">
        <v>28813.98</v>
      </c>
      <c r="P1864" s="2" t="s">
        <v>31</v>
      </c>
      <c r="Q1864" s="2" t="s">
        <v>32</v>
      </c>
      <c r="R1864" s="2">
        <v>7</v>
      </c>
      <c r="S1864" s="2" t="s">
        <v>158</v>
      </c>
      <c r="T1864" s="2">
        <v>1752</v>
      </c>
      <c r="U1864" s="2">
        <v>2</v>
      </c>
      <c r="V1864" s="2"/>
    </row>
    <row r="1865" spans="1:22" x14ac:dyDescent="0.35">
      <c r="A1865" s="3" t="s">
        <v>4584</v>
      </c>
      <c r="B1865" s="3" t="s">
        <v>671</v>
      </c>
      <c r="C1865" s="3" t="s">
        <v>356</v>
      </c>
      <c r="D1865" s="3" t="s">
        <v>4585</v>
      </c>
      <c r="E1865" s="3" t="s">
        <v>68</v>
      </c>
      <c r="F1865" s="3" t="s">
        <v>249</v>
      </c>
      <c r="G1865" s="3" t="s">
        <v>217</v>
      </c>
      <c r="H1865" s="3" t="s">
        <v>494</v>
      </c>
      <c r="I1865" s="3" t="s">
        <v>153</v>
      </c>
      <c r="J1865" s="3">
        <v>145</v>
      </c>
      <c r="K1865" s="3">
        <v>1117.58</v>
      </c>
      <c r="L1865" s="3">
        <v>1800.27</v>
      </c>
      <c r="M1865" s="3">
        <v>261039.15</v>
      </c>
      <c r="N1865" s="3">
        <v>162049.1</v>
      </c>
      <c r="O1865" s="3">
        <v>98990.05</v>
      </c>
      <c r="P1865" s="3" t="s">
        <v>31</v>
      </c>
      <c r="Q1865" s="3" t="s">
        <v>32</v>
      </c>
      <c r="R1865" s="3">
        <v>10</v>
      </c>
      <c r="S1865" s="3" t="s">
        <v>4586</v>
      </c>
      <c r="T1865" s="3">
        <v>2994</v>
      </c>
      <c r="U1865" s="3">
        <v>0</v>
      </c>
      <c r="V1865" s="3"/>
    </row>
    <row r="1866" spans="1:22" x14ac:dyDescent="0.35">
      <c r="A1866" s="2" t="s">
        <v>4587</v>
      </c>
      <c r="B1866" s="2" t="s">
        <v>2579</v>
      </c>
      <c r="C1866" s="2" t="s">
        <v>1077</v>
      </c>
      <c r="D1866" s="2" t="s">
        <v>4588</v>
      </c>
      <c r="E1866" s="2" t="s">
        <v>48</v>
      </c>
      <c r="F1866" s="2" t="s">
        <v>281</v>
      </c>
      <c r="G1866" s="2" t="s">
        <v>39</v>
      </c>
      <c r="H1866" s="2" t="s">
        <v>477</v>
      </c>
      <c r="I1866" s="2" t="s">
        <v>1712</v>
      </c>
      <c r="J1866" s="2">
        <v>326</v>
      </c>
      <c r="K1866" s="2">
        <v>329.95</v>
      </c>
      <c r="L1866" s="2">
        <v>390.39</v>
      </c>
      <c r="M1866" s="2">
        <v>127267.14</v>
      </c>
      <c r="N1866" s="2">
        <v>107563.7</v>
      </c>
      <c r="O1866" s="2">
        <v>19703.439999999999</v>
      </c>
      <c r="P1866" s="2" t="s">
        <v>52</v>
      </c>
      <c r="Q1866" s="2" t="s">
        <v>63</v>
      </c>
      <c r="R1866" s="2">
        <v>4</v>
      </c>
      <c r="S1866" s="2" t="s">
        <v>43</v>
      </c>
      <c r="T1866" s="2">
        <v>839</v>
      </c>
      <c r="U1866" s="2">
        <v>2</v>
      </c>
      <c r="V1866" s="2"/>
    </row>
    <row r="1867" spans="1:22" x14ac:dyDescent="0.35">
      <c r="A1867" s="3" t="s">
        <v>4589</v>
      </c>
      <c r="B1867" s="3" t="s">
        <v>347</v>
      </c>
      <c r="C1867" s="3" t="s">
        <v>402</v>
      </c>
      <c r="D1867" s="3" t="s">
        <v>4590</v>
      </c>
      <c r="E1867" s="3" t="s">
        <v>58</v>
      </c>
      <c r="F1867" s="3" t="s">
        <v>116</v>
      </c>
      <c r="G1867" s="3" t="s">
        <v>60</v>
      </c>
      <c r="H1867" s="3" t="s">
        <v>400</v>
      </c>
      <c r="I1867" s="3" t="s">
        <v>153</v>
      </c>
      <c r="J1867" s="3">
        <v>234</v>
      </c>
      <c r="K1867" s="3">
        <v>1027.71</v>
      </c>
      <c r="L1867" s="3">
        <v>1690.17</v>
      </c>
      <c r="M1867" s="3">
        <v>395499.78</v>
      </c>
      <c r="N1867" s="3">
        <v>240484.14</v>
      </c>
      <c r="O1867" s="3">
        <v>155015.64000000001</v>
      </c>
      <c r="P1867" s="3" t="s">
        <v>52</v>
      </c>
      <c r="Q1867" s="3" t="s">
        <v>32</v>
      </c>
      <c r="R1867" s="3">
        <v>8</v>
      </c>
      <c r="S1867" s="3" t="s">
        <v>33</v>
      </c>
      <c r="T1867" s="3">
        <v>770</v>
      </c>
      <c r="U1867" s="3">
        <v>0</v>
      </c>
      <c r="V1867" s="3"/>
    </row>
    <row r="1868" spans="1:22" x14ac:dyDescent="0.35">
      <c r="A1868" s="2" t="s">
        <v>4591</v>
      </c>
      <c r="B1868" s="2" t="s">
        <v>274</v>
      </c>
      <c r="C1868" s="2" t="s">
        <v>45</v>
      </c>
      <c r="D1868" s="2" t="s">
        <v>4592</v>
      </c>
      <c r="E1868" s="2" t="s">
        <v>26</v>
      </c>
      <c r="F1868" s="2" t="s">
        <v>92</v>
      </c>
      <c r="G1868" s="2" t="s">
        <v>189</v>
      </c>
      <c r="H1868" s="2" t="s">
        <v>311</v>
      </c>
      <c r="I1868" s="2" t="s">
        <v>62</v>
      </c>
      <c r="J1868" s="2">
        <v>103</v>
      </c>
      <c r="K1868" s="2">
        <v>561.5</v>
      </c>
      <c r="L1868" s="2">
        <v>820.77</v>
      </c>
      <c r="M1868" s="2">
        <v>84539.31</v>
      </c>
      <c r="N1868" s="2">
        <v>57834.5</v>
      </c>
      <c r="O1868" s="2">
        <v>26704.81</v>
      </c>
      <c r="P1868" s="2" t="s">
        <v>52</v>
      </c>
      <c r="Q1868" s="2" t="s">
        <v>32</v>
      </c>
      <c r="R1868" s="2">
        <v>6</v>
      </c>
      <c r="S1868" s="2" t="s">
        <v>53</v>
      </c>
      <c r="T1868" s="2">
        <v>4534</v>
      </c>
      <c r="U1868" s="2">
        <v>2</v>
      </c>
      <c r="V1868" s="2"/>
    </row>
    <row r="1869" spans="1:22" x14ac:dyDescent="0.35">
      <c r="A1869" s="3" t="s">
        <v>4593</v>
      </c>
      <c r="B1869" s="3" t="s">
        <v>1789</v>
      </c>
      <c r="C1869" s="3" t="s">
        <v>351</v>
      </c>
      <c r="D1869" s="3" t="s">
        <v>4594</v>
      </c>
      <c r="E1869" s="3" t="s">
        <v>100</v>
      </c>
      <c r="F1869" s="3" t="s">
        <v>106</v>
      </c>
      <c r="G1869" s="3" t="s">
        <v>28</v>
      </c>
      <c r="H1869" s="3" t="s">
        <v>212</v>
      </c>
      <c r="I1869" s="3" t="s">
        <v>72</v>
      </c>
      <c r="J1869" s="3">
        <v>389</v>
      </c>
      <c r="K1869" s="3">
        <v>119.23</v>
      </c>
      <c r="L1869" s="3">
        <v>147.22999999999999</v>
      </c>
      <c r="M1869" s="3">
        <v>57272.47</v>
      </c>
      <c r="N1869" s="3">
        <v>46380.47</v>
      </c>
      <c r="O1869" s="3">
        <v>10892</v>
      </c>
      <c r="P1869" s="3" t="s">
        <v>52</v>
      </c>
      <c r="Q1869" s="3" t="s">
        <v>63</v>
      </c>
      <c r="R1869" s="3">
        <v>2</v>
      </c>
      <c r="S1869" s="3" t="s">
        <v>112</v>
      </c>
      <c r="T1869" s="3">
        <v>1756</v>
      </c>
      <c r="U1869" s="3">
        <v>6</v>
      </c>
      <c r="V1869" s="3"/>
    </row>
    <row r="1870" spans="1:22" x14ac:dyDescent="0.35">
      <c r="A1870" s="2" t="s">
        <v>4595</v>
      </c>
      <c r="B1870" s="2" t="s">
        <v>496</v>
      </c>
      <c r="C1870" s="2" t="s">
        <v>2199</v>
      </c>
      <c r="D1870" s="2" t="s">
        <v>4596</v>
      </c>
      <c r="E1870" s="2" t="s">
        <v>48</v>
      </c>
      <c r="F1870" s="2" t="s">
        <v>223</v>
      </c>
      <c r="G1870" s="2" t="s">
        <v>93</v>
      </c>
      <c r="H1870" s="2" t="s">
        <v>485</v>
      </c>
      <c r="I1870" s="2" t="s">
        <v>72</v>
      </c>
      <c r="J1870" s="2">
        <v>254</v>
      </c>
      <c r="K1870" s="2">
        <v>771.88</v>
      </c>
      <c r="L1870" s="2">
        <v>1013.86</v>
      </c>
      <c r="M1870" s="2">
        <v>257520.44</v>
      </c>
      <c r="N1870" s="2">
        <v>196057.52</v>
      </c>
      <c r="O1870" s="2">
        <v>61462.92</v>
      </c>
      <c r="P1870" s="2" t="s">
        <v>52</v>
      </c>
      <c r="Q1870" s="2" t="s">
        <v>32</v>
      </c>
      <c r="R1870" s="2">
        <v>13</v>
      </c>
      <c r="S1870" s="2" t="s">
        <v>33</v>
      </c>
      <c r="T1870" s="2">
        <v>1236</v>
      </c>
      <c r="U1870" s="2">
        <v>2</v>
      </c>
      <c r="V1870" s="2"/>
    </row>
    <row r="1871" spans="1:22" x14ac:dyDescent="0.35">
      <c r="A1871" s="3" t="s">
        <v>3627</v>
      </c>
      <c r="B1871" s="3" t="s">
        <v>702</v>
      </c>
      <c r="C1871" s="3" t="s">
        <v>595</v>
      </c>
      <c r="D1871" s="3" t="s">
        <v>3628</v>
      </c>
      <c r="E1871" s="3" t="s">
        <v>58</v>
      </c>
      <c r="F1871" s="3" t="s">
        <v>122</v>
      </c>
      <c r="G1871" s="3" t="s">
        <v>78</v>
      </c>
      <c r="H1871" s="3" t="s">
        <v>425</v>
      </c>
      <c r="I1871" s="3" t="s">
        <v>41</v>
      </c>
      <c r="J1871" s="3">
        <v>375</v>
      </c>
      <c r="K1871" s="3">
        <v>540.20000000000005</v>
      </c>
      <c r="L1871" s="3">
        <v>615.83000000000004</v>
      </c>
      <c r="M1871" s="3">
        <v>230936.25</v>
      </c>
      <c r="N1871" s="3">
        <v>202575</v>
      </c>
      <c r="O1871" s="3">
        <v>28361.25</v>
      </c>
      <c r="P1871" s="3" t="s">
        <v>95</v>
      </c>
      <c r="Q1871" s="3" t="s">
        <v>32</v>
      </c>
      <c r="R1871" s="3">
        <v>12</v>
      </c>
      <c r="S1871" s="3" t="s">
        <v>33</v>
      </c>
      <c r="T1871" s="3">
        <v>1098</v>
      </c>
      <c r="U1871" s="3">
        <v>7</v>
      </c>
      <c r="V1871" s="3"/>
    </row>
    <row r="1872" spans="1:22" x14ac:dyDescent="0.35">
      <c r="A1872" s="2" t="s">
        <v>4597</v>
      </c>
      <c r="B1872" s="2" t="s">
        <v>1995</v>
      </c>
      <c r="C1872" s="2" t="s">
        <v>300</v>
      </c>
      <c r="D1872" s="2" t="s">
        <v>4598</v>
      </c>
      <c r="E1872" s="2" t="s">
        <v>68</v>
      </c>
      <c r="F1872" s="2" t="s">
        <v>276</v>
      </c>
      <c r="G1872" s="2" t="s">
        <v>217</v>
      </c>
      <c r="H1872" s="2" t="s">
        <v>292</v>
      </c>
      <c r="I1872" s="2" t="s">
        <v>30</v>
      </c>
      <c r="J1872" s="2">
        <v>224</v>
      </c>
      <c r="K1872" s="2">
        <v>555.75</v>
      </c>
      <c r="L1872" s="2">
        <v>838.74</v>
      </c>
      <c r="M1872" s="2">
        <v>187877.76000000001</v>
      </c>
      <c r="N1872" s="2">
        <v>124488</v>
      </c>
      <c r="O1872" s="2">
        <v>63389.760000000002</v>
      </c>
      <c r="P1872" s="2" t="s">
        <v>31</v>
      </c>
      <c r="Q1872" s="2" t="s">
        <v>32</v>
      </c>
      <c r="R1872" s="2">
        <v>11</v>
      </c>
      <c r="S1872" s="2" t="s">
        <v>33</v>
      </c>
      <c r="T1872" s="2">
        <v>2092</v>
      </c>
      <c r="U1872" s="2">
        <v>6</v>
      </c>
      <c r="V1872" s="2"/>
    </row>
    <row r="1873" spans="1:22" x14ac:dyDescent="0.35">
      <c r="A1873" s="3" t="s">
        <v>4599</v>
      </c>
      <c r="B1873" s="3" t="s">
        <v>1226</v>
      </c>
      <c r="C1873" s="3" t="s">
        <v>55</v>
      </c>
      <c r="D1873" s="3" t="s">
        <v>4600</v>
      </c>
      <c r="E1873" s="3" t="s">
        <v>48</v>
      </c>
      <c r="F1873" s="3" t="s">
        <v>223</v>
      </c>
      <c r="G1873" s="3" t="s">
        <v>60</v>
      </c>
      <c r="H1873" s="3" t="s">
        <v>61</v>
      </c>
      <c r="I1873" s="3" t="s">
        <v>141</v>
      </c>
      <c r="J1873" s="3">
        <v>495</v>
      </c>
      <c r="K1873" s="3">
        <v>869.85</v>
      </c>
      <c r="L1873" s="3">
        <v>1281.1500000000001</v>
      </c>
      <c r="M1873" s="3">
        <v>634169.25</v>
      </c>
      <c r="N1873" s="3">
        <v>430575.75</v>
      </c>
      <c r="O1873" s="3">
        <v>203593.5</v>
      </c>
      <c r="P1873" s="3" t="s">
        <v>95</v>
      </c>
      <c r="Q1873" s="3" t="s">
        <v>32</v>
      </c>
      <c r="R1873" s="3">
        <v>-1</v>
      </c>
      <c r="S1873" s="3" t="s">
        <v>86</v>
      </c>
      <c r="T1873" s="3">
        <v>4565</v>
      </c>
      <c r="U1873" s="3">
        <v>22</v>
      </c>
      <c r="V1873" s="3"/>
    </row>
    <row r="1874" spans="1:22" x14ac:dyDescent="0.35">
      <c r="A1874" s="2" t="s">
        <v>4601</v>
      </c>
      <c r="B1874" s="2" t="s">
        <v>723</v>
      </c>
      <c r="C1874" s="2" t="s">
        <v>390</v>
      </c>
      <c r="D1874" s="2" t="s">
        <v>4602</v>
      </c>
      <c r="E1874" s="2" t="s">
        <v>48</v>
      </c>
      <c r="F1874" s="2" t="s">
        <v>223</v>
      </c>
      <c r="G1874" s="2" t="s">
        <v>50</v>
      </c>
      <c r="H1874" s="2" t="s">
        <v>173</v>
      </c>
      <c r="I1874" s="2" t="s">
        <v>124</v>
      </c>
      <c r="J1874" s="2">
        <v>97</v>
      </c>
      <c r="K1874" s="2">
        <v>0</v>
      </c>
      <c r="L1874" s="2">
        <v>1235.5899999999999</v>
      </c>
      <c r="M1874" s="2">
        <v>119852.23</v>
      </c>
      <c r="N1874" s="2">
        <v>89919</v>
      </c>
      <c r="O1874" s="2">
        <v>29933.23</v>
      </c>
      <c r="P1874" s="2" t="s">
        <v>95</v>
      </c>
      <c r="Q1874" s="2" t="s">
        <v>63</v>
      </c>
      <c r="R1874" s="2">
        <v>3</v>
      </c>
      <c r="S1874" s="2" t="s">
        <v>43</v>
      </c>
      <c r="T1874" s="2">
        <v>2424</v>
      </c>
      <c r="U1874" s="2">
        <v>4</v>
      </c>
      <c r="V1874" s="2"/>
    </row>
    <row r="1875" spans="1:22" x14ac:dyDescent="0.35">
      <c r="A1875" s="3" t="s">
        <v>4603</v>
      </c>
      <c r="B1875" s="3" t="s">
        <v>45</v>
      </c>
      <c r="C1875" s="3" t="s">
        <v>1217</v>
      </c>
      <c r="D1875" s="3" t="s">
        <v>4604</v>
      </c>
      <c r="E1875" s="3" t="s">
        <v>48</v>
      </c>
      <c r="F1875" s="3" t="s">
        <v>183</v>
      </c>
      <c r="G1875" s="3" t="s">
        <v>70</v>
      </c>
      <c r="H1875" s="3" t="s">
        <v>71</v>
      </c>
      <c r="I1875" s="3" t="s">
        <v>124</v>
      </c>
      <c r="J1875" s="3">
        <v>295</v>
      </c>
      <c r="K1875" s="3">
        <v>639.29</v>
      </c>
      <c r="L1875" s="3">
        <v>942.42</v>
      </c>
      <c r="M1875" s="3">
        <v>278013.90000000002</v>
      </c>
      <c r="N1875" s="3">
        <v>188590.55</v>
      </c>
      <c r="O1875" s="3">
        <v>89423.35</v>
      </c>
      <c r="P1875" s="3" t="s">
        <v>31</v>
      </c>
      <c r="Q1875" s="3" t="s">
        <v>63</v>
      </c>
      <c r="R1875" s="3">
        <v>5</v>
      </c>
      <c r="S1875" s="3" t="s">
        <v>53</v>
      </c>
      <c r="T1875" s="3">
        <v>3007</v>
      </c>
      <c r="U1875" s="3">
        <v>5</v>
      </c>
      <c r="V1875" s="3"/>
    </row>
    <row r="1876" spans="1:22" x14ac:dyDescent="0.35">
      <c r="A1876" s="2" t="s">
        <v>4605</v>
      </c>
      <c r="B1876" s="2" t="s">
        <v>454</v>
      </c>
      <c r="C1876" s="2" t="s">
        <v>2015</v>
      </c>
      <c r="D1876" s="2" t="s">
        <v>4606</v>
      </c>
      <c r="E1876" s="2" t="s">
        <v>58</v>
      </c>
      <c r="F1876" s="2" t="s">
        <v>122</v>
      </c>
      <c r="G1876" s="2" t="s">
        <v>50</v>
      </c>
      <c r="H1876" s="2" t="s">
        <v>51</v>
      </c>
      <c r="I1876" s="2" t="s">
        <v>30</v>
      </c>
      <c r="J1876" s="2">
        <v>163</v>
      </c>
      <c r="K1876" s="2">
        <v>1036.02</v>
      </c>
      <c r="L1876" s="2">
        <v>1188.24</v>
      </c>
      <c r="M1876" s="2">
        <v>193683.12</v>
      </c>
      <c r="N1876" s="2">
        <v>168871.26</v>
      </c>
      <c r="O1876" s="2">
        <v>24811.86</v>
      </c>
      <c r="P1876" s="2" t="s">
        <v>42</v>
      </c>
      <c r="Q1876" s="2" t="s">
        <v>32</v>
      </c>
      <c r="R1876" s="2">
        <v>7</v>
      </c>
      <c r="S1876" s="2" t="s">
        <v>53</v>
      </c>
      <c r="T1876" s="2">
        <v>1746</v>
      </c>
      <c r="U1876" s="2">
        <v>8</v>
      </c>
      <c r="V1876" s="2"/>
    </row>
    <row r="1877" spans="1:22" x14ac:dyDescent="0.35">
      <c r="A1877" s="3" t="s">
        <v>4607</v>
      </c>
      <c r="B1877" s="3" t="s">
        <v>1522</v>
      </c>
      <c r="C1877" s="3" t="s">
        <v>2496</v>
      </c>
      <c r="D1877" s="3" t="s">
        <v>4111</v>
      </c>
      <c r="E1877" s="3" t="s">
        <v>68</v>
      </c>
      <c r="F1877" s="3" t="s">
        <v>249</v>
      </c>
      <c r="G1877" s="3" t="s">
        <v>70</v>
      </c>
      <c r="H1877" s="3" t="s">
        <v>623</v>
      </c>
      <c r="I1877" s="3" t="s">
        <v>30</v>
      </c>
      <c r="J1877" s="3">
        <v>591</v>
      </c>
      <c r="K1877" s="3">
        <v>18.14</v>
      </c>
      <c r="L1877" s="3">
        <v>21.68</v>
      </c>
      <c r="M1877" s="3">
        <v>12812.88</v>
      </c>
      <c r="N1877" s="3">
        <v>10720.74</v>
      </c>
      <c r="O1877" s="3">
        <v>2092.14</v>
      </c>
      <c r="P1877" s="3" t="s">
        <v>42</v>
      </c>
      <c r="Q1877" s="3" t="s">
        <v>32</v>
      </c>
      <c r="R1877" s="3">
        <v>10</v>
      </c>
      <c r="S1877" s="3" t="s">
        <v>33</v>
      </c>
      <c r="T1877" s="3">
        <v>2341</v>
      </c>
      <c r="U1877" s="3">
        <v>26</v>
      </c>
      <c r="V1877" s="3"/>
    </row>
    <row r="1878" spans="1:22" x14ac:dyDescent="0.35">
      <c r="A1878" s="2" t="s">
        <v>4608</v>
      </c>
      <c r="B1878" s="2" t="s">
        <v>862</v>
      </c>
      <c r="C1878" s="2" t="s">
        <v>577</v>
      </c>
      <c r="D1878" s="2" t="s">
        <v>4609</v>
      </c>
      <c r="E1878" s="2" t="s">
        <v>26</v>
      </c>
      <c r="F1878" s="2" t="s">
        <v>228</v>
      </c>
      <c r="G1878" s="2" t="s">
        <v>39</v>
      </c>
      <c r="H1878" s="2" t="s">
        <v>412</v>
      </c>
      <c r="I1878" s="2" t="s">
        <v>41</v>
      </c>
      <c r="J1878" s="2">
        <v>464</v>
      </c>
      <c r="K1878" s="2">
        <v>633.16999999999996</v>
      </c>
      <c r="L1878" s="2">
        <v>793.98</v>
      </c>
      <c r="M1878" s="2">
        <v>368406.72</v>
      </c>
      <c r="N1878" s="2">
        <v>293790.88</v>
      </c>
      <c r="O1878" s="2">
        <v>74615.839999999997</v>
      </c>
      <c r="P1878" s="2" t="s">
        <v>95</v>
      </c>
      <c r="Q1878" s="2" t="s">
        <v>32</v>
      </c>
      <c r="R1878" s="2">
        <v>10</v>
      </c>
      <c r="S1878" s="2" t="s">
        <v>158</v>
      </c>
      <c r="T1878" s="2">
        <v>2802</v>
      </c>
      <c r="U1878" s="2">
        <v>12</v>
      </c>
      <c r="V1878" s="2"/>
    </row>
    <row r="1879" spans="1:22" x14ac:dyDescent="0.35">
      <c r="A1879" s="3" t="s">
        <v>4610</v>
      </c>
      <c r="B1879" s="3" t="s">
        <v>1236</v>
      </c>
      <c r="C1879" s="3" t="s">
        <v>3740</v>
      </c>
      <c r="D1879" s="3" t="s">
        <v>4611</v>
      </c>
      <c r="E1879" s="3" t="s">
        <v>100</v>
      </c>
      <c r="F1879" s="3" t="s">
        <v>238</v>
      </c>
      <c r="G1879" s="3" t="s">
        <v>50</v>
      </c>
      <c r="H1879" s="3" t="s">
        <v>734</v>
      </c>
      <c r="I1879" s="3" t="s">
        <v>62</v>
      </c>
      <c r="J1879" s="3">
        <v>327</v>
      </c>
      <c r="K1879" s="3">
        <v>110.55</v>
      </c>
      <c r="L1879" s="3">
        <v>180.11</v>
      </c>
      <c r="M1879" s="3">
        <v>58895.97</v>
      </c>
      <c r="N1879" s="3">
        <v>36149.85</v>
      </c>
      <c r="O1879" s="3">
        <v>22746.12</v>
      </c>
      <c r="P1879" s="3" t="s">
        <v>52</v>
      </c>
      <c r="Q1879" s="3" t="s">
        <v>32</v>
      </c>
      <c r="R1879" s="3">
        <v>11</v>
      </c>
      <c r="S1879" s="3" t="s">
        <v>43</v>
      </c>
      <c r="T1879" s="3">
        <v>91</v>
      </c>
      <c r="U1879" s="3">
        <v>9</v>
      </c>
      <c r="V1879" s="3"/>
    </row>
    <row r="1880" spans="1:22" x14ac:dyDescent="0.35">
      <c r="A1880" s="2" t="s">
        <v>4612</v>
      </c>
      <c r="B1880" s="2" t="s">
        <v>440</v>
      </c>
      <c r="C1880" s="2" t="s">
        <v>912</v>
      </c>
      <c r="D1880" s="2" t="s">
        <v>4613</v>
      </c>
      <c r="E1880" s="2" t="s">
        <v>58</v>
      </c>
      <c r="F1880" s="2" t="s">
        <v>59</v>
      </c>
      <c r="G1880" s="2" t="s">
        <v>93</v>
      </c>
      <c r="H1880" s="2" t="s">
        <v>94</v>
      </c>
      <c r="I1880" s="2" t="s">
        <v>118</v>
      </c>
      <c r="J1880" s="2">
        <v>268</v>
      </c>
      <c r="K1880" s="2">
        <v>550.59</v>
      </c>
      <c r="L1880" s="2">
        <v>872.3</v>
      </c>
      <c r="M1880" s="2">
        <v>233776.4</v>
      </c>
      <c r="N1880" s="2">
        <v>147558.12</v>
      </c>
      <c r="O1880" s="2">
        <v>86218.28</v>
      </c>
      <c r="P1880" s="2" t="s">
        <v>52</v>
      </c>
      <c r="Q1880" s="2" t="s">
        <v>63</v>
      </c>
      <c r="R1880" s="2">
        <v>3</v>
      </c>
      <c r="S1880" s="2" t="s">
        <v>112</v>
      </c>
      <c r="T1880" s="2">
        <v>1683</v>
      </c>
      <c r="U1880" s="2">
        <v>13</v>
      </c>
      <c r="V1880" s="2"/>
    </row>
    <row r="1881" spans="1:22" x14ac:dyDescent="0.35">
      <c r="A1881" s="3" t="s">
        <v>4614</v>
      </c>
      <c r="B1881" s="3" t="s">
        <v>1433</v>
      </c>
      <c r="C1881" s="3" t="s">
        <v>2762</v>
      </c>
      <c r="D1881" s="3" t="s">
        <v>4615</v>
      </c>
      <c r="E1881" s="3" t="s">
        <v>100</v>
      </c>
      <c r="F1881" s="3" t="s">
        <v>101</v>
      </c>
      <c r="G1881" s="3" t="s">
        <v>189</v>
      </c>
      <c r="H1881" s="3" t="s">
        <v>190</v>
      </c>
      <c r="I1881" s="3" t="s">
        <v>41</v>
      </c>
      <c r="J1881" s="3">
        <v>629</v>
      </c>
      <c r="K1881" s="3">
        <v>865.36</v>
      </c>
      <c r="L1881" s="3">
        <v>1082.54</v>
      </c>
      <c r="M1881" s="3">
        <v>680917.66</v>
      </c>
      <c r="N1881" s="3">
        <v>544311.43999999994</v>
      </c>
      <c r="O1881" s="3">
        <v>136606.22</v>
      </c>
      <c r="P1881" s="3" t="s">
        <v>31</v>
      </c>
      <c r="Q1881" s="3" t="s">
        <v>32</v>
      </c>
      <c r="R1881" s="3">
        <v>8</v>
      </c>
      <c r="S1881" s="3" t="s">
        <v>33</v>
      </c>
      <c r="T1881" s="3">
        <v>3115</v>
      </c>
      <c r="U1881" s="3">
        <v>28</v>
      </c>
      <c r="V1881" s="3"/>
    </row>
    <row r="1882" spans="1:22" x14ac:dyDescent="0.35">
      <c r="A1882" s="2" t="s">
        <v>4616</v>
      </c>
      <c r="B1882" s="2" t="s">
        <v>488</v>
      </c>
      <c r="C1882" s="2" t="s">
        <v>805</v>
      </c>
      <c r="D1882" s="2" t="s">
        <v>4617</v>
      </c>
      <c r="E1882" s="2" t="s">
        <v>26</v>
      </c>
      <c r="F1882" s="2" t="s">
        <v>77</v>
      </c>
      <c r="G1882" s="2" t="s">
        <v>129</v>
      </c>
      <c r="H1882" s="2" t="s">
        <v>345</v>
      </c>
      <c r="I1882" s="2" t="s">
        <v>240</v>
      </c>
      <c r="J1882" s="2">
        <v>734</v>
      </c>
      <c r="K1882" s="2">
        <v>690.25</v>
      </c>
      <c r="L1882" s="4"/>
      <c r="M1882" s="2">
        <v>691883.08</v>
      </c>
      <c r="N1882" s="2">
        <v>506643.5</v>
      </c>
      <c r="O1882" s="2">
        <v>185239.58</v>
      </c>
      <c r="P1882" s="2" t="s">
        <v>31</v>
      </c>
      <c r="Q1882" s="2" t="s">
        <v>32</v>
      </c>
      <c r="R1882" s="2">
        <v>12</v>
      </c>
      <c r="S1882" s="2" t="s">
        <v>158</v>
      </c>
      <c r="T1882" s="2">
        <v>734</v>
      </c>
      <c r="U1882" s="2">
        <v>26</v>
      </c>
      <c r="V1882" s="2"/>
    </row>
    <row r="1883" spans="1:22" x14ac:dyDescent="0.35">
      <c r="A1883" s="3" t="s">
        <v>4618</v>
      </c>
      <c r="B1883" s="3" t="s">
        <v>221</v>
      </c>
      <c r="C1883" s="3" t="s">
        <v>2612</v>
      </c>
      <c r="D1883" s="3" t="s">
        <v>4619</v>
      </c>
      <c r="E1883" s="3" t="s">
        <v>58</v>
      </c>
      <c r="F1883" s="3" t="s">
        <v>116</v>
      </c>
      <c r="G1883" s="3" t="s">
        <v>70</v>
      </c>
      <c r="H1883" s="3" t="s">
        <v>239</v>
      </c>
      <c r="I1883" s="3" t="s">
        <v>240</v>
      </c>
      <c r="J1883" s="3">
        <v>261</v>
      </c>
      <c r="K1883" s="3">
        <v>7.95</v>
      </c>
      <c r="L1883" s="3">
        <v>12.26</v>
      </c>
      <c r="M1883" s="3">
        <v>3199.86</v>
      </c>
      <c r="N1883" s="3">
        <v>2074.9499999999998</v>
      </c>
      <c r="O1883" s="3">
        <v>1124.9100000000001</v>
      </c>
      <c r="P1883" s="3" t="s">
        <v>95</v>
      </c>
      <c r="Q1883" s="3" t="s">
        <v>32</v>
      </c>
      <c r="R1883" s="3">
        <v>9</v>
      </c>
      <c r="S1883" s="3" t="s">
        <v>158</v>
      </c>
      <c r="T1883" s="3">
        <v>3610</v>
      </c>
      <c r="U1883" s="3">
        <v>11</v>
      </c>
      <c r="V1883" s="3"/>
    </row>
    <row r="1884" spans="1:22" x14ac:dyDescent="0.35">
      <c r="A1884" s="2" t="s">
        <v>4620</v>
      </c>
      <c r="B1884" s="2" t="s">
        <v>1007</v>
      </c>
      <c r="C1884" s="2" t="s">
        <v>1007</v>
      </c>
      <c r="D1884" s="2" t="s">
        <v>4621</v>
      </c>
      <c r="E1884" s="2" t="s">
        <v>58</v>
      </c>
      <c r="F1884" s="2" t="s">
        <v>116</v>
      </c>
      <c r="G1884" s="2" t="s">
        <v>28</v>
      </c>
      <c r="H1884" s="2" t="s">
        <v>111</v>
      </c>
      <c r="I1884" s="2" t="s">
        <v>72</v>
      </c>
      <c r="J1884" s="2">
        <v>519</v>
      </c>
      <c r="K1884" s="2">
        <v>51.7</v>
      </c>
      <c r="L1884" s="2">
        <v>74.569999999999993</v>
      </c>
      <c r="M1884" s="2">
        <v>38701.83</v>
      </c>
      <c r="N1884" s="2">
        <v>26832.3</v>
      </c>
      <c r="O1884" s="2">
        <v>11869.53</v>
      </c>
      <c r="P1884" s="2" t="s">
        <v>31</v>
      </c>
      <c r="Q1884" s="2" t="s">
        <v>32</v>
      </c>
      <c r="R1884" s="2">
        <v>15</v>
      </c>
      <c r="S1884" s="2" t="s">
        <v>33</v>
      </c>
      <c r="T1884" s="2">
        <v>1062</v>
      </c>
      <c r="U1884" s="2">
        <v>25</v>
      </c>
      <c r="V1884" s="2"/>
    </row>
    <row r="1885" spans="1:22" x14ac:dyDescent="0.35">
      <c r="A1885" s="3" t="s">
        <v>4622</v>
      </c>
      <c r="B1885" s="3" t="s">
        <v>4623</v>
      </c>
      <c r="C1885" s="3" t="s">
        <v>4624</v>
      </c>
      <c r="D1885" s="3" t="s">
        <v>4625</v>
      </c>
      <c r="E1885" s="3" t="s">
        <v>68</v>
      </c>
      <c r="F1885" s="3" t="s">
        <v>276</v>
      </c>
      <c r="G1885" s="3" t="s">
        <v>93</v>
      </c>
      <c r="H1885" s="3" t="s">
        <v>184</v>
      </c>
      <c r="I1885" s="3" t="s">
        <v>293</v>
      </c>
      <c r="J1885" s="3">
        <v>723</v>
      </c>
      <c r="K1885" s="3">
        <v>1141.5899999999999</v>
      </c>
      <c r="L1885" s="3">
        <v>1342.23</v>
      </c>
      <c r="M1885" s="3">
        <v>970432.29</v>
      </c>
      <c r="N1885" s="3">
        <v>825369.57</v>
      </c>
      <c r="O1885" s="3">
        <v>145062.72</v>
      </c>
      <c r="P1885" s="3" t="s">
        <v>31</v>
      </c>
      <c r="Q1885" s="3" t="s">
        <v>32</v>
      </c>
      <c r="R1885" s="3">
        <v>15</v>
      </c>
      <c r="S1885" s="3" t="s">
        <v>112</v>
      </c>
      <c r="T1885" s="3">
        <v>1263</v>
      </c>
      <c r="U1885" s="3">
        <v>34</v>
      </c>
      <c r="V1885" s="3"/>
    </row>
    <row r="1886" spans="1:22" x14ac:dyDescent="0.35">
      <c r="A1886" s="2" t="s">
        <v>4626</v>
      </c>
      <c r="B1886" s="2" t="s">
        <v>1097</v>
      </c>
      <c r="C1886" s="2" t="s">
        <v>3857</v>
      </c>
      <c r="D1886" s="2" t="s">
        <v>4627</v>
      </c>
      <c r="E1886" s="2" t="s">
        <v>68</v>
      </c>
      <c r="F1886" s="2" t="s">
        <v>249</v>
      </c>
      <c r="G1886" s="2" t="s">
        <v>217</v>
      </c>
      <c r="H1886" s="2" t="s">
        <v>494</v>
      </c>
      <c r="I1886" s="2" t="s">
        <v>293</v>
      </c>
      <c r="J1886" s="2">
        <v>328</v>
      </c>
      <c r="K1886" s="2">
        <v>332.66</v>
      </c>
      <c r="L1886" s="2">
        <v>427.57</v>
      </c>
      <c r="M1886" s="2">
        <v>140242.96</v>
      </c>
      <c r="N1886" s="2">
        <v>109112.48</v>
      </c>
      <c r="O1886" s="2">
        <v>31130.48</v>
      </c>
      <c r="P1886" s="2" t="s">
        <v>52</v>
      </c>
      <c r="Q1886" s="2" t="s">
        <v>32</v>
      </c>
      <c r="R1886" s="2">
        <v>6</v>
      </c>
      <c r="S1886" s="2" t="s">
        <v>53</v>
      </c>
      <c r="T1886" s="2">
        <v>2028</v>
      </c>
      <c r="U1886" s="2">
        <v>5</v>
      </c>
      <c r="V1886" s="2"/>
    </row>
    <row r="1887" spans="1:22" x14ac:dyDescent="0.35">
      <c r="A1887" s="3" t="s">
        <v>4628</v>
      </c>
      <c r="B1887" s="3" t="s">
        <v>954</v>
      </c>
      <c r="C1887" s="3" t="s">
        <v>1114</v>
      </c>
      <c r="D1887" s="3" t="s">
        <v>4629</v>
      </c>
      <c r="E1887" s="3" t="s">
        <v>100</v>
      </c>
      <c r="F1887" s="3" t="s">
        <v>238</v>
      </c>
      <c r="G1887" s="3" t="s">
        <v>189</v>
      </c>
      <c r="H1887" s="3" t="s">
        <v>561</v>
      </c>
      <c r="I1887" s="3" t="s">
        <v>72</v>
      </c>
      <c r="J1887" s="3">
        <v>21</v>
      </c>
      <c r="K1887" s="3">
        <v>855.4</v>
      </c>
      <c r="L1887" s="3">
        <v>1076.83</v>
      </c>
      <c r="M1887" s="3">
        <v>22613.43</v>
      </c>
      <c r="N1887" s="3">
        <v>17963.400000000001</v>
      </c>
      <c r="O1887" s="3">
        <v>4650.03</v>
      </c>
      <c r="P1887" s="3" t="s">
        <v>95</v>
      </c>
      <c r="Q1887" s="3" t="s">
        <v>32</v>
      </c>
      <c r="R1887" s="3">
        <v>12</v>
      </c>
      <c r="S1887" s="3" t="s">
        <v>158</v>
      </c>
      <c r="T1887" s="3">
        <v>332</v>
      </c>
      <c r="U1887" s="3">
        <v>1</v>
      </c>
      <c r="V1887" s="3"/>
    </row>
    <row r="1888" spans="1:22" x14ac:dyDescent="0.35">
      <c r="A1888" s="2" t="s">
        <v>4630</v>
      </c>
      <c r="B1888" s="2" t="s">
        <v>1474</v>
      </c>
      <c r="C1888" s="2" t="s">
        <v>1380</v>
      </c>
      <c r="D1888" s="2" t="s">
        <v>4631</v>
      </c>
      <c r="E1888" s="2" t="s">
        <v>4632</v>
      </c>
      <c r="F1888" s="2" t="s">
        <v>77</v>
      </c>
      <c r="G1888" s="2" t="s">
        <v>50</v>
      </c>
      <c r="H1888" s="2" t="s">
        <v>51</v>
      </c>
      <c r="I1888" s="2" t="s">
        <v>293</v>
      </c>
      <c r="J1888" s="2">
        <v>253</v>
      </c>
      <c r="K1888" s="2">
        <v>348</v>
      </c>
      <c r="L1888" s="2">
        <v>464.52</v>
      </c>
      <c r="M1888" s="2">
        <v>117523.56</v>
      </c>
      <c r="N1888" s="2">
        <v>88044</v>
      </c>
      <c r="O1888" s="2">
        <v>29479.56</v>
      </c>
      <c r="P1888" s="2" t="s">
        <v>52</v>
      </c>
      <c r="Q1888" s="2" t="s">
        <v>32</v>
      </c>
      <c r="R1888" s="2">
        <v>9</v>
      </c>
      <c r="S1888" s="2" t="s">
        <v>86</v>
      </c>
      <c r="T1888" s="2">
        <v>3379</v>
      </c>
      <c r="U1888" s="2">
        <v>5</v>
      </c>
      <c r="V1888" s="2"/>
    </row>
    <row r="1889" spans="1:22" x14ac:dyDescent="0.35">
      <c r="A1889" s="3" t="s">
        <v>4633</v>
      </c>
      <c r="B1889" s="3" t="s">
        <v>1824</v>
      </c>
      <c r="C1889" s="3" t="s">
        <v>2851</v>
      </c>
      <c r="D1889" s="3" t="s">
        <v>4634</v>
      </c>
      <c r="E1889" s="3" t="s">
        <v>58</v>
      </c>
      <c r="F1889" s="3" t="s">
        <v>417</v>
      </c>
      <c r="G1889" s="3" t="s">
        <v>129</v>
      </c>
      <c r="H1889" s="3" t="s">
        <v>316</v>
      </c>
      <c r="I1889" s="3" t="s">
        <v>41</v>
      </c>
      <c r="J1889" s="3">
        <v>344</v>
      </c>
      <c r="K1889" s="3">
        <v>678.88</v>
      </c>
      <c r="L1889" s="3">
        <v>1070.1400000000001</v>
      </c>
      <c r="M1889" s="3">
        <v>368128.16</v>
      </c>
      <c r="N1889" s="3">
        <v>233534.72</v>
      </c>
      <c r="O1889" s="3">
        <v>134593.44</v>
      </c>
      <c r="P1889" s="3" t="s">
        <v>31</v>
      </c>
      <c r="Q1889" s="3" t="s">
        <v>63</v>
      </c>
      <c r="R1889" s="3">
        <v>2</v>
      </c>
      <c r="S1889" s="3" t="s">
        <v>112</v>
      </c>
      <c r="T1889" s="3">
        <v>4622</v>
      </c>
      <c r="U1889" s="3">
        <v>14</v>
      </c>
      <c r="V1889" s="3"/>
    </row>
    <row r="1890" spans="1:22" x14ac:dyDescent="0.35">
      <c r="A1890" s="2" t="s">
        <v>4635</v>
      </c>
      <c r="B1890" s="2" t="s">
        <v>1022</v>
      </c>
      <c r="C1890" s="2" t="s">
        <v>343</v>
      </c>
      <c r="D1890" s="2" t="s">
        <v>4636</v>
      </c>
      <c r="E1890" s="2" t="s">
        <v>26</v>
      </c>
      <c r="F1890" s="2" t="s">
        <v>38</v>
      </c>
      <c r="G1890" s="2" t="s">
        <v>93</v>
      </c>
      <c r="H1890" s="2" t="s">
        <v>302</v>
      </c>
      <c r="I1890" s="2" t="s">
        <v>30</v>
      </c>
      <c r="J1890" s="2">
        <v>300</v>
      </c>
      <c r="K1890" s="2">
        <v>247.44</v>
      </c>
      <c r="L1890" s="2">
        <v>361.79</v>
      </c>
      <c r="M1890" s="2">
        <v>108537</v>
      </c>
      <c r="N1890" s="2">
        <v>74232</v>
      </c>
      <c r="O1890" s="2">
        <v>34305</v>
      </c>
      <c r="P1890" s="2" t="s">
        <v>95</v>
      </c>
      <c r="Q1890" s="2" t="s">
        <v>63</v>
      </c>
      <c r="R1890" s="2">
        <v>1</v>
      </c>
      <c r="S1890" s="2" t="s">
        <v>33</v>
      </c>
      <c r="T1890" s="2">
        <v>270</v>
      </c>
      <c r="U1890" s="2">
        <v>5</v>
      </c>
      <c r="V1890" s="2"/>
    </row>
    <row r="1891" spans="1:22" x14ac:dyDescent="0.35">
      <c r="A1891" s="3" t="s">
        <v>4637</v>
      </c>
      <c r="B1891" s="3" t="s">
        <v>591</v>
      </c>
      <c r="C1891" s="3" t="s">
        <v>912</v>
      </c>
      <c r="D1891" s="3" t="s">
        <v>4638</v>
      </c>
      <c r="E1891" s="3" t="s">
        <v>58</v>
      </c>
      <c r="F1891" s="3" t="s">
        <v>59</v>
      </c>
      <c r="G1891" s="3" t="s">
        <v>28</v>
      </c>
      <c r="H1891" s="3" t="s">
        <v>674</v>
      </c>
      <c r="I1891" s="3" t="s">
        <v>141</v>
      </c>
      <c r="J1891" s="3">
        <v>694</v>
      </c>
      <c r="K1891" s="3">
        <v>1047.31</v>
      </c>
      <c r="L1891" s="3">
        <v>1395.89</v>
      </c>
      <c r="M1891" s="3">
        <v>968747.66</v>
      </c>
      <c r="N1891" s="3">
        <v>726833.14</v>
      </c>
      <c r="O1891" s="3">
        <v>241914.52</v>
      </c>
      <c r="P1891" s="3" t="s">
        <v>52</v>
      </c>
      <c r="Q1891" s="3" t="s">
        <v>63</v>
      </c>
      <c r="R1891" s="3">
        <v>2</v>
      </c>
      <c r="S1891" s="3" t="s">
        <v>112</v>
      </c>
      <c r="T1891" s="3">
        <v>1613</v>
      </c>
      <c r="U1891" s="3">
        <v>6</v>
      </c>
      <c r="V1891" s="3"/>
    </row>
    <row r="1892" spans="1:22" x14ac:dyDescent="0.35">
      <c r="A1892" s="2" t="s">
        <v>4639</v>
      </c>
      <c r="B1892" s="2" t="s">
        <v>1265</v>
      </c>
      <c r="C1892" s="2" t="s">
        <v>1077</v>
      </c>
      <c r="D1892" s="2" t="s">
        <v>4640</v>
      </c>
      <c r="E1892" s="2" t="s">
        <v>68</v>
      </c>
      <c r="F1892" s="2" t="s">
        <v>276</v>
      </c>
      <c r="G1892" s="2" t="s">
        <v>78</v>
      </c>
      <c r="H1892" s="2" t="s">
        <v>572</v>
      </c>
      <c r="I1892" s="2" t="s">
        <v>72</v>
      </c>
      <c r="J1892" s="2">
        <v>122</v>
      </c>
      <c r="K1892" s="2">
        <v>704.14</v>
      </c>
      <c r="L1892" s="2">
        <v>1132.1099999999999</v>
      </c>
      <c r="M1892" s="2">
        <v>138117.42000000001</v>
      </c>
      <c r="N1892" s="2">
        <v>85905.08</v>
      </c>
      <c r="O1892" s="2">
        <v>52212.34</v>
      </c>
      <c r="P1892" s="2" t="s">
        <v>95</v>
      </c>
      <c r="Q1892" s="2" t="s">
        <v>32</v>
      </c>
      <c r="R1892" s="2">
        <v>9</v>
      </c>
      <c r="S1892" s="2" t="s">
        <v>43</v>
      </c>
      <c r="T1892" s="2">
        <v>3946</v>
      </c>
      <c r="U1892" s="2">
        <v>3</v>
      </c>
      <c r="V1892" s="2"/>
    </row>
    <row r="1893" spans="1:22" x14ac:dyDescent="0.35">
      <c r="A1893" s="3" t="s">
        <v>4641</v>
      </c>
      <c r="B1893" s="3" t="s">
        <v>3101</v>
      </c>
      <c r="C1893" s="3" t="s">
        <v>1043</v>
      </c>
      <c r="D1893" s="3" t="s">
        <v>4642</v>
      </c>
      <c r="E1893" s="3" t="s">
        <v>58</v>
      </c>
      <c r="F1893" s="3" t="s">
        <v>122</v>
      </c>
      <c r="G1893" s="3" t="s">
        <v>93</v>
      </c>
      <c r="H1893" s="3" t="s">
        <v>485</v>
      </c>
      <c r="I1893" s="3" t="s">
        <v>153</v>
      </c>
      <c r="J1893" s="3">
        <v>485</v>
      </c>
      <c r="K1893" s="3">
        <v>296.70999999999998</v>
      </c>
      <c r="L1893" s="3">
        <v>428.74</v>
      </c>
      <c r="M1893" s="3">
        <v>207938.9</v>
      </c>
      <c r="N1893" s="3">
        <v>143904.35</v>
      </c>
      <c r="O1893" s="3">
        <v>64034.55</v>
      </c>
      <c r="P1893" s="3" t="s">
        <v>52</v>
      </c>
      <c r="Q1893" s="3" t="s">
        <v>63</v>
      </c>
      <c r="R1893" s="3">
        <v>4</v>
      </c>
      <c r="S1893" s="3" t="s">
        <v>112</v>
      </c>
      <c r="T1893" s="3">
        <v>2492</v>
      </c>
      <c r="U1893" s="3">
        <v>8</v>
      </c>
      <c r="V1893" s="3"/>
    </row>
    <row r="1894" spans="1:22" x14ac:dyDescent="0.35">
      <c r="A1894" s="2" t="s">
        <v>4643</v>
      </c>
      <c r="B1894" s="2" t="s">
        <v>422</v>
      </c>
      <c r="C1894" s="2" t="s">
        <v>2199</v>
      </c>
      <c r="D1894" s="2" t="s">
        <v>4644</v>
      </c>
      <c r="E1894" s="2" t="s">
        <v>68</v>
      </c>
      <c r="F1894" s="2" t="s">
        <v>249</v>
      </c>
      <c r="G1894" s="2" t="s">
        <v>70</v>
      </c>
      <c r="H1894" s="2" t="s">
        <v>71</v>
      </c>
      <c r="I1894" s="2" t="s">
        <v>153</v>
      </c>
      <c r="J1894" s="2">
        <v>67</v>
      </c>
      <c r="K1894" s="2">
        <v>908.75</v>
      </c>
      <c r="L1894" s="2">
        <v>1456.89</v>
      </c>
      <c r="M1894" s="2">
        <v>97611.63</v>
      </c>
      <c r="N1894" s="2">
        <v>60886.25</v>
      </c>
      <c r="O1894" s="2">
        <v>36725.379999999997</v>
      </c>
      <c r="P1894" s="2" t="s">
        <v>52</v>
      </c>
      <c r="Q1894" s="2" t="s">
        <v>63</v>
      </c>
      <c r="R1894" s="2">
        <v>999</v>
      </c>
      <c r="S1894" s="2" t="s">
        <v>112</v>
      </c>
      <c r="T1894" s="2">
        <v>2165</v>
      </c>
      <c r="U1894" s="2">
        <v>0</v>
      </c>
      <c r="V1894" s="2"/>
    </row>
    <row r="1895" spans="1:22" x14ac:dyDescent="0.35">
      <c r="A1895" s="3" t="s">
        <v>4645</v>
      </c>
      <c r="B1895" s="3" t="s">
        <v>419</v>
      </c>
      <c r="C1895" s="3" t="s">
        <v>1380</v>
      </c>
      <c r="D1895" s="3" t="s">
        <v>1193</v>
      </c>
      <c r="E1895" s="3" t="s">
        <v>4646</v>
      </c>
      <c r="F1895" s="3" t="s">
        <v>417</v>
      </c>
      <c r="G1895" s="3" t="s">
        <v>189</v>
      </c>
      <c r="H1895" s="3" t="s">
        <v>360</v>
      </c>
      <c r="I1895" s="3" t="s">
        <v>141</v>
      </c>
      <c r="J1895" s="3">
        <v>37</v>
      </c>
      <c r="K1895" s="3">
        <v>706.4</v>
      </c>
      <c r="L1895" s="3">
        <v>1025.79</v>
      </c>
      <c r="M1895" s="3">
        <v>37954.230000000003</v>
      </c>
      <c r="N1895" s="3">
        <v>26136.799999999999</v>
      </c>
      <c r="O1895" s="3">
        <v>11817.43</v>
      </c>
      <c r="P1895" s="3" t="s">
        <v>52</v>
      </c>
      <c r="Q1895" s="3" t="s">
        <v>32</v>
      </c>
      <c r="R1895" s="3">
        <v>14</v>
      </c>
      <c r="S1895" s="3" t="s">
        <v>43</v>
      </c>
      <c r="T1895" s="3">
        <v>33</v>
      </c>
      <c r="U1895" s="3">
        <v>1</v>
      </c>
      <c r="V1895" s="3"/>
    </row>
    <row r="1896" spans="1:22" x14ac:dyDescent="0.35">
      <c r="A1896" s="2" t="s">
        <v>4647</v>
      </c>
      <c r="B1896" s="2" t="s">
        <v>2130</v>
      </c>
      <c r="C1896" s="2" t="s">
        <v>175</v>
      </c>
      <c r="D1896" s="2" t="s">
        <v>2019</v>
      </c>
      <c r="E1896" s="2" t="s">
        <v>58</v>
      </c>
      <c r="F1896" s="2" t="s">
        <v>259</v>
      </c>
      <c r="G1896" s="2" t="s">
        <v>50</v>
      </c>
      <c r="H1896" s="2" t="s">
        <v>51</v>
      </c>
      <c r="I1896" s="2" t="s">
        <v>72</v>
      </c>
      <c r="J1896" s="2">
        <v>237</v>
      </c>
      <c r="K1896" s="2">
        <v>992.18</v>
      </c>
      <c r="L1896" s="2">
        <v>1513.77</v>
      </c>
      <c r="M1896" s="2">
        <v>358763.49</v>
      </c>
      <c r="N1896" s="2">
        <v>235146.66</v>
      </c>
      <c r="O1896" s="2">
        <v>123616.83</v>
      </c>
      <c r="P1896" s="2" t="s">
        <v>42</v>
      </c>
      <c r="Q1896" s="2" t="s">
        <v>63</v>
      </c>
      <c r="R1896" s="2">
        <v>1</v>
      </c>
      <c r="S1896" s="2" t="s">
        <v>53</v>
      </c>
      <c r="T1896" s="2">
        <v>1120</v>
      </c>
      <c r="U1896" s="2">
        <v>6</v>
      </c>
      <c r="V1896" s="2"/>
    </row>
    <row r="1897" spans="1:22" x14ac:dyDescent="0.35">
      <c r="A1897" s="3" t="s">
        <v>4648</v>
      </c>
      <c r="B1897" s="3" t="s">
        <v>394</v>
      </c>
      <c r="C1897" s="3" t="s">
        <v>862</v>
      </c>
      <c r="D1897" s="3" t="s">
        <v>4649</v>
      </c>
      <c r="E1897" s="3" t="s">
        <v>58</v>
      </c>
      <c r="F1897" s="3" t="s">
        <v>116</v>
      </c>
      <c r="G1897" s="3" t="s">
        <v>189</v>
      </c>
      <c r="H1897" s="3" t="s">
        <v>311</v>
      </c>
      <c r="I1897" s="3" t="s">
        <v>293</v>
      </c>
      <c r="J1897" s="3">
        <v>31</v>
      </c>
      <c r="K1897" s="3">
        <v>295.45999999999998</v>
      </c>
      <c r="L1897" s="3">
        <v>463.7</v>
      </c>
      <c r="M1897" s="3">
        <v>14374.7</v>
      </c>
      <c r="N1897" s="3">
        <v>9159.26</v>
      </c>
      <c r="O1897" s="3">
        <v>5215.4399999999996</v>
      </c>
      <c r="P1897" s="3" t="s">
        <v>52</v>
      </c>
      <c r="Q1897" s="3" t="s">
        <v>32</v>
      </c>
      <c r="R1897" s="3">
        <v>12</v>
      </c>
      <c r="S1897" s="3" t="s">
        <v>43</v>
      </c>
      <c r="T1897" s="3">
        <v>3207</v>
      </c>
      <c r="U1897" s="3">
        <v>1</v>
      </c>
      <c r="V1897" s="3"/>
    </row>
    <row r="1898" spans="1:22" x14ac:dyDescent="0.35">
      <c r="A1898" s="2" t="s">
        <v>4650</v>
      </c>
      <c r="B1898" s="2" t="s">
        <v>1157</v>
      </c>
      <c r="C1898" s="2" t="s">
        <v>120</v>
      </c>
      <c r="D1898" s="2" t="s">
        <v>4651</v>
      </c>
      <c r="E1898" s="2" t="s">
        <v>26</v>
      </c>
      <c r="F1898" s="2" t="s">
        <v>38</v>
      </c>
      <c r="G1898" s="2" t="s">
        <v>129</v>
      </c>
      <c r="H1898" s="2" t="s">
        <v>520</v>
      </c>
      <c r="I1898" s="2" t="s">
        <v>240</v>
      </c>
      <c r="J1898" s="2">
        <v>232</v>
      </c>
      <c r="K1898" s="2">
        <v>511.92</v>
      </c>
      <c r="L1898" s="2">
        <v>650.47</v>
      </c>
      <c r="M1898" s="2">
        <v>150909.04</v>
      </c>
      <c r="N1898" s="2">
        <v>118765.44</v>
      </c>
      <c r="O1898" s="2">
        <v>32143.599999999999</v>
      </c>
      <c r="P1898" s="2" t="s">
        <v>31</v>
      </c>
      <c r="Q1898" s="2" t="s">
        <v>63</v>
      </c>
      <c r="R1898" s="2">
        <v>3</v>
      </c>
      <c r="S1898" s="2" t="s">
        <v>112</v>
      </c>
      <c r="T1898" s="2">
        <v>1230</v>
      </c>
      <c r="U1898" s="2">
        <v>8</v>
      </c>
      <c r="V1898" s="2"/>
    </row>
    <row r="1899" spans="1:22" x14ac:dyDescent="0.35">
      <c r="A1899" s="3" t="s">
        <v>4652</v>
      </c>
      <c r="B1899" s="3" t="s">
        <v>468</v>
      </c>
      <c r="C1899" s="3" t="s">
        <v>3603</v>
      </c>
      <c r="D1899" s="3" t="s">
        <v>4653</v>
      </c>
      <c r="E1899" s="3" t="s">
        <v>68</v>
      </c>
      <c r="F1899" s="3" t="s">
        <v>69</v>
      </c>
      <c r="G1899" s="3" t="s">
        <v>189</v>
      </c>
      <c r="H1899" s="3" t="s">
        <v>369</v>
      </c>
      <c r="I1899" s="3" t="s">
        <v>62</v>
      </c>
      <c r="J1899" s="3">
        <v>446</v>
      </c>
      <c r="K1899" s="3">
        <v>863.77</v>
      </c>
      <c r="L1899" s="3">
        <v>1406.34</v>
      </c>
      <c r="M1899" s="3">
        <v>627227.64</v>
      </c>
      <c r="N1899" s="3">
        <v>385241.42</v>
      </c>
      <c r="O1899" s="3">
        <v>241986.22</v>
      </c>
      <c r="P1899" s="3" t="s">
        <v>52</v>
      </c>
      <c r="Q1899" s="3" t="s">
        <v>32</v>
      </c>
      <c r="R1899" s="3">
        <v>8</v>
      </c>
      <c r="S1899" s="3" t="s">
        <v>43</v>
      </c>
      <c r="T1899" s="3">
        <v>168</v>
      </c>
      <c r="U1899" s="3">
        <v>8</v>
      </c>
      <c r="V1899" s="3"/>
    </row>
    <row r="1900" spans="1:22" x14ac:dyDescent="0.35">
      <c r="A1900" s="2" t="s">
        <v>4654</v>
      </c>
      <c r="B1900" s="2" t="s">
        <v>391</v>
      </c>
      <c r="C1900" s="2" t="s">
        <v>175</v>
      </c>
      <c r="D1900" s="2" t="s">
        <v>3530</v>
      </c>
      <c r="E1900" s="2" t="s">
        <v>100</v>
      </c>
      <c r="F1900" s="2" t="s">
        <v>538</v>
      </c>
      <c r="G1900" s="2" t="s">
        <v>50</v>
      </c>
      <c r="H1900" s="2" t="s">
        <v>282</v>
      </c>
      <c r="I1900" s="2" t="s">
        <v>72</v>
      </c>
      <c r="J1900" s="2">
        <v>245</v>
      </c>
      <c r="K1900" s="2">
        <v>1174.47</v>
      </c>
      <c r="L1900" s="2">
        <v>1676.62</v>
      </c>
      <c r="M1900" s="2">
        <v>410771.9</v>
      </c>
      <c r="N1900" s="2">
        <v>287745.15000000002</v>
      </c>
      <c r="O1900" s="2">
        <v>123026.75</v>
      </c>
      <c r="P1900" s="2" t="s">
        <v>52</v>
      </c>
      <c r="Q1900" s="2" t="s">
        <v>63</v>
      </c>
      <c r="R1900" s="2">
        <v>3</v>
      </c>
      <c r="S1900" s="2" t="s">
        <v>43</v>
      </c>
      <c r="T1900" s="2">
        <v>4811</v>
      </c>
      <c r="U1900" s="2">
        <v>3</v>
      </c>
      <c r="V1900" s="2"/>
    </row>
    <row r="1901" spans="1:22" x14ac:dyDescent="0.35">
      <c r="A1901" s="3" t="s">
        <v>4655</v>
      </c>
      <c r="B1901" s="3" t="s">
        <v>1192</v>
      </c>
      <c r="C1901" s="3" t="s">
        <v>1804</v>
      </c>
      <c r="D1901" s="3" t="s">
        <v>4656</v>
      </c>
      <c r="E1901" s="3" t="s">
        <v>58</v>
      </c>
      <c r="F1901" s="3" t="s">
        <v>59</v>
      </c>
      <c r="G1901" s="3" t="s">
        <v>60</v>
      </c>
      <c r="H1901" s="3" t="s">
        <v>229</v>
      </c>
      <c r="I1901" s="3" t="s">
        <v>293</v>
      </c>
      <c r="J1901" s="3">
        <v>629</v>
      </c>
      <c r="K1901" s="3">
        <v>41.42</v>
      </c>
      <c r="L1901" s="3">
        <v>57.98</v>
      </c>
      <c r="M1901" s="3">
        <v>36469.42</v>
      </c>
      <c r="N1901" s="3">
        <v>26053.18</v>
      </c>
      <c r="O1901" s="3">
        <v>10416.24</v>
      </c>
      <c r="P1901" s="3" t="s">
        <v>31</v>
      </c>
      <c r="Q1901" s="3" t="s">
        <v>32</v>
      </c>
      <c r="R1901" s="3">
        <v>6</v>
      </c>
      <c r="S1901" s="3" t="s">
        <v>158</v>
      </c>
      <c r="T1901" s="3">
        <v>4807</v>
      </c>
      <c r="U1901" s="3">
        <v>15</v>
      </c>
      <c r="V1901" s="3"/>
    </row>
    <row r="1902" spans="1:22" x14ac:dyDescent="0.35">
      <c r="A1902" s="2" t="s">
        <v>3801</v>
      </c>
      <c r="B1902" s="2" t="s">
        <v>4657</v>
      </c>
      <c r="C1902" s="2" t="s">
        <v>138</v>
      </c>
      <c r="D1902" s="2" t="s">
        <v>3802</v>
      </c>
      <c r="E1902" s="2" t="s">
        <v>100</v>
      </c>
      <c r="F1902" s="2" t="s">
        <v>538</v>
      </c>
      <c r="G1902" s="2" t="s">
        <v>28</v>
      </c>
      <c r="H1902" s="2" t="s">
        <v>29</v>
      </c>
      <c r="I1902" s="2" t="s">
        <v>62</v>
      </c>
      <c r="J1902" s="2">
        <v>724</v>
      </c>
      <c r="K1902" s="2">
        <v>965.51</v>
      </c>
      <c r="L1902" s="2">
        <v>1435.18</v>
      </c>
      <c r="M1902" s="2">
        <v>1039070.32</v>
      </c>
      <c r="N1902" s="2">
        <v>699029.24</v>
      </c>
      <c r="O1902" s="2">
        <v>340041.08</v>
      </c>
      <c r="P1902" s="2" t="s">
        <v>2581</v>
      </c>
      <c r="Q1902" s="2" t="s">
        <v>32</v>
      </c>
      <c r="R1902" s="2">
        <v>14</v>
      </c>
      <c r="S1902" s="2" t="s">
        <v>86</v>
      </c>
      <c r="T1902" s="2">
        <v>2973</v>
      </c>
      <c r="U1902" s="2">
        <v>19</v>
      </c>
      <c r="V1902" s="2"/>
    </row>
    <row r="1903" spans="1:22" x14ac:dyDescent="0.35">
      <c r="A1903" s="3" t="s">
        <v>4658</v>
      </c>
      <c r="B1903" s="3" t="s">
        <v>1010</v>
      </c>
      <c r="C1903" s="3" t="s">
        <v>4506</v>
      </c>
      <c r="D1903" s="3" t="s">
        <v>4659</v>
      </c>
      <c r="E1903" s="3" t="s">
        <v>100</v>
      </c>
      <c r="F1903" s="3" t="s">
        <v>330</v>
      </c>
      <c r="G1903" s="3" t="s">
        <v>28</v>
      </c>
      <c r="H1903" s="3" t="s">
        <v>29</v>
      </c>
      <c r="I1903" s="3" t="s">
        <v>240</v>
      </c>
      <c r="J1903" s="3">
        <v>707</v>
      </c>
      <c r="K1903" s="3">
        <v>1035.53</v>
      </c>
      <c r="L1903" s="3">
        <v>1627.33</v>
      </c>
      <c r="M1903" s="3">
        <v>1150522.31</v>
      </c>
      <c r="N1903" s="3">
        <v>732119.71</v>
      </c>
      <c r="O1903" s="3">
        <v>418402.6</v>
      </c>
      <c r="P1903" s="3" t="s">
        <v>95</v>
      </c>
      <c r="Q1903" s="3" t="s">
        <v>32</v>
      </c>
      <c r="R1903" s="3">
        <v>13</v>
      </c>
      <c r="S1903" s="3" t="s">
        <v>158</v>
      </c>
      <c r="T1903" s="3">
        <v>1752</v>
      </c>
      <c r="U1903" s="3">
        <v>2</v>
      </c>
      <c r="V1903" s="3"/>
    </row>
    <row r="1904" spans="1:22" x14ac:dyDescent="0.35">
      <c r="A1904" s="2" t="s">
        <v>4660</v>
      </c>
      <c r="B1904" s="2" t="s">
        <v>965</v>
      </c>
      <c r="C1904" s="2" t="s">
        <v>343</v>
      </c>
      <c r="D1904" s="2" t="s">
        <v>4661</v>
      </c>
      <c r="E1904" s="2" t="s">
        <v>58</v>
      </c>
      <c r="F1904" s="2" t="s">
        <v>259</v>
      </c>
      <c r="G1904" s="2" t="s">
        <v>93</v>
      </c>
      <c r="H1904" s="2" t="s">
        <v>94</v>
      </c>
      <c r="I1904" s="2" t="s">
        <v>124</v>
      </c>
      <c r="J1904" s="2">
        <v>705</v>
      </c>
      <c r="K1904" s="2">
        <v>318.42</v>
      </c>
      <c r="L1904" s="2">
        <v>422.84</v>
      </c>
      <c r="M1904" s="2">
        <v>298102.2</v>
      </c>
      <c r="N1904" s="2">
        <v>224486.1</v>
      </c>
      <c r="O1904" s="2">
        <v>73616.100000000006</v>
      </c>
      <c r="P1904" s="2" t="s">
        <v>95</v>
      </c>
      <c r="Q1904" s="2" t="s">
        <v>63</v>
      </c>
      <c r="R1904" s="2">
        <v>5</v>
      </c>
      <c r="S1904" s="2" t="s">
        <v>112</v>
      </c>
      <c r="T1904" s="4" t="s">
        <v>87</v>
      </c>
      <c r="U1904" s="2">
        <v>7</v>
      </c>
      <c r="V1904" s="2"/>
    </row>
    <row r="1905" spans="1:22" x14ac:dyDescent="0.35">
      <c r="A1905" s="3" t="s">
        <v>4662</v>
      </c>
      <c r="B1905" s="3" t="s">
        <v>23</v>
      </c>
      <c r="C1905" s="3" t="s">
        <v>488</v>
      </c>
      <c r="D1905" s="3" t="s">
        <v>4663</v>
      </c>
      <c r="E1905" s="3" t="s">
        <v>26</v>
      </c>
      <c r="F1905" s="3" t="s">
        <v>27</v>
      </c>
      <c r="G1905" s="3" t="s">
        <v>93</v>
      </c>
      <c r="H1905" s="3" t="s">
        <v>485</v>
      </c>
      <c r="I1905" s="3" t="s">
        <v>41</v>
      </c>
      <c r="J1905" s="3">
        <v>734</v>
      </c>
      <c r="K1905" s="3">
        <v>891.59</v>
      </c>
      <c r="L1905" s="3">
        <v>1027.6600000000001</v>
      </c>
      <c r="M1905" s="3">
        <v>754302.44</v>
      </c>
      <c r="N1905" s="3">
        <v>654427.06000000006</v>
      </c>
      <c r="O1905" s="3">
        <v>99875.38</v>
      </c>
      <c r="P1905" s="3" t="s">
        <v>52</v>
      </c>
      <c r="Q1905" s="3" t="s">
        <v>63</v>
      </c>
      <c r="R1905" s="3">
        <v>1</v>
      </c>
      <c r="S1905" s="3" t="s">
        <v>33</v>
      </c>
      <c r="T1905" s="3">
        <v>2175</v>
      </c>
      <c r="U1905" s="3">
        <v>1</v>
      </c>
      <c r="V1905" s="3"/>
    </row>
    <row r="1906" spans="1:22" x14ac:dyDescent="0.35">
      <c r="A1906" s="2" t="s">
        <v>4664</v>
      </c>
      <c r="B1906" s="2" t="s">
        <v>137</v>
      </c>
      <c r="C1906" s="2" t="s">
        <v>1444</v>
      </c>
      <c r="D1906" s="2" t="s">
        <v>4665</v>
      </c>
      <c r="E1906" s="2" t="s">
        <v>26</v>
      </c>
      <c r="F1906" s="2" t="s">
        <v>38</v>
      </c>
      <c r="G1906" s="2" t="s">
        <v>39</v>
      </c>
      <c r="H1906" s="2" t="s">
        <v>412</v>
      </c>
      <c r="I1906" s="2" t="s">
        <v>85</v>
      </c>
      <c r="J1906" s="2">
        <v>276</v>
      </c>
      <c r="K1906" s="2">
        <v>163.22</v>
      </c>
      <c r="L1906" s="2">
        <v>222.52</v>
      </c>
      <c r="M1906" s="2">
        <v>61415.519999999997</v>
      </c>
      <c r="N1906" s="2">
        <v>45048.72</v>
      </c>
      <c r="O1906" s="2">
        <v>16366.8</v>
      </c>
      <c r="P1906" s="2" t="s">
        <v>95</v>
      </c>
      <c r="Q1906" s="2" t="s">
        <v>63</v>
      </c>
      <c r="R1906" s="2">
        <v>5</v>
      </c>
      <c r="S1906" s="2" t="s">
        <v>112</v>
      </c>
      <c r="T1906" s="2">
        <v>612</v>
      </c>
      <c r="U1906" s="2">
        <v>3</v>
      </c>
      <c r="V1906" s="2"/>
    </row>
    <row r="1907" spans="1:22" x14ac:dyDescent="0.35">
      <c r="A1907" s="3" t="s">
        <v>4666</v>
      </c>
      <c r="B1907" s="3" t="s">
        <v>1935</v>
      </c>
      <c r="C1907" s="3" t="s">
        <v>3733</v>
      </c>
      <c r="D1907" s="3" t="s">
        <v>4667</v>
      </c>
      <c r="E1907" s="3" t="s">
        <v>26</v>
      </c>
      <c r="F1907" s="3" t="s">
        <v>228</v>
      </c>
      <c r="G1907" s="3" t="s">
        <v>93</v>
      </c>
      <c r="H1907" s="3" t="s">
        <v>1442</v>
      </c>
      <c r="I1907" s="3" t="s">
        <v>124</v>
      </c>
      <c r="J1907" s="3">
        <v>457</v>
      </c>
      <c r="K1907" s="3">
        <v>639.29999999999995</v>
      </c>
      <c r="L1907" s="3">
        <v>1023.88</v>
      </c>
      <c r="M1907" s="3">
        <v>467913.16</v>
      </c>
      <c r="N1907" s="3">
        <v>292160.09999999998</v>
      </c>
      <c r="O1907" s="3">
        <v>175753.06</v>
      </c>
      <c r="P1907" s="3" t="s">
        <v>31</v>
      </c>
      <c r="Q1907" s="3" t="s">
        <v>32</v>
      </c>
      <c r="R1907" s="3">
        <v>8</v>
      </c>
      <c r="S1907" s="3" t="s">
        <v>33</v>
      </c>
      <c r="T1907" s="3">
        <v>1556</v>
      </c>
      <c r="U1907" s="3">
        <v>0</v>
      </c>
      <c r="V1907" s="3"/>
    </row>
    <row r="1908" spans="1:22" x14ac:dyDescent="0.35">
      <c r="A1908" s="2" t="s">
        <v>4668</v>
      </c>
      <c r="B1908" s="2" t="s">
        <v>1002</v>
      </c>
      <c r="C1908" s="2" t="s">
        <v>1217</v>
      </c>
      <c r="D1908" s="2" t="s">
        <v>4669</v>
      </c>
      <c r="E1908" s="2" t="s">
        <v>68</v>
      </c>
      <c r="F1908" s="2" t="s">
        <v>69</v>
      </c>
      <c r="G1908" s="2" t="s">
        <v>39</v>
      </c>
      <c r="H1908" s="2" t="s">
        <v>354</v>
      </c>
      <c r="I1908" s="2" t="s">
        <v>85</v>
      </c>
      <c r="J1908" s="2">
        <v>522</v>
      </c>
      <c r="K1908" s="2">
        <v>357.64</v>
      </c>
      <c r="L1908" s="2">
        <v>581.16999999999996</v>
      </c>
      <c r="M1908" s="2">
        <v>303370.74</v>
      </c>
      <c r="N1908" s="2">
        <v>186688.08</v>
      </c>
      <c r="O1908" s="2">
        <v>116682.66</v>
      </c>
      <c r="P1908" s="2" t="s">
        <v>42</v>
      </c>
      <c r="Q1908" s="2" t="s">
        <v>63</v>
      </c>
      <c r="R1908" s="2">
        <v>3</v>
      </c>
      <c r="S1908" s="2" t="s">
        <v>112</v>
      </c>
      <c r="T1908" s="2">
        <v>2573</v>
      </c>
      <c r="U1908" s="2">
        <v>7</v>
      </c>
      <c r="V1908" s="2"/>
    </row>
    <row r="1909" spans="1:22" x14ac:dyDescent="0.35">
      <c r="A1909" s="3" t="s">
        <v>4670</v>
      </c>
      <c r="B1909" s="3" t="s">
        <v>898</v>
      </c>
      <c r="C1909" s="3" t="s">
        <v>479</v>
      </c>
      <c r="D1909" s="3" t="s">
        <v>4671</v>
      </c>
      <c r="E1909" s="3" t="s">
        <v>58</v>
      </c>
      <c r="F1909" s="3" t="s">
        <v>59</v>
      </c>
      <c r="G1909" s="3" t="s">
        <v>70</v>
      </c>
      <c r="H1909" s="3" t="s">
        <v>623</v>
      </c>
      <c r="I1909" s="3" t="s">
        <v>293</v>
      </c>
      <c r="J1909" s="3">
        <v>373</v>
      </c>
      <c r="K1909" s="3">
        <v>68.56</v>
      </c>
      <c r="L1909" s="3">
        <v>98.73</v>
      </c>
      <c r="M1909" s="3">
        <v>36826.29</v>
      </c>
      <c r="N1909" s="3">
        <v>25572.880000000001</v>
      </c>
      <c r="O1909" s="3">
        <v>11253.41</v>
      </c>
      <c r="P1909" s="3" t="s">
        <v>42</v>
      </c>
      <c r="Q1909" s="3" t="s">
        <v>63</v>
      </c>
      <c r="R1909" s="3">
        <v>4</v>
      </c>
      <c r="S1909" s="3" t="s">
        <v>158</v>
      </c>
      <c r="T1909" s="3">
        <v>678</v>
      </c>
      <c r="U1909" s="3">
        <v>15</v>
      </c>
      <c r="V1909" s="3"/>
    </row>
    <row r="1910" spans="1:22" x14ac:dyDescent="0.35">
      <c r="A1910" s="2" t="s">
        <v>4672</v>
      </c>
      <c r="B1910" s="2" t="s">
        <v>2734</v>
      </c>
      <c r="C1910" s="2" t="s">
        <v>1288</v>
      </c>
      <c r="D1910" s="2" t="s">
        <v>4673</v>
      </c>
      <c r="E1910" s="2" t="s">
        <v>48</v>
      </c>
      <c r="F1910" s="4"/>
      <c r="G1910" s="2" t="s">
        <v>28</v>
      </c>
      <c r="H1910" s="2" t="s">
        <v>111</v>
      </c>
      <c r="I1910" s="2" t="s">
        <v>30</v>
      </c>
      <c r="J1910" s="2">
        <v>130</v>
      </c>
      <c r="K1910" s="2">
        <v>250.19</v>
      </c>
      <c r="L1910" s="2">
        <v>333.94</v>
      </c>
      <c r="M1910" s="2">
        <v>43412.2</v>
      </c>
      <c r="N1910" s="2">
        <v>32524.7</v>
      </c>
      <c r="O1910" s="2">
        <v>10887.5</v>
      </c>
      <c r="P1910" s="2" t="s">
        <v>31</v>
      </c>
      <c r="Q1910" s="2" t="s">
        <v>63</v>
      </c>
      <c r="R1910" s="2">
        <v>5</v>
      </c>
      <c r="S1910" s="2" t="s">
        <v>86</v>
      </c>
      <c r="T1910" s="2">
        <v>2778</v>
      </c>
      <c r="U1910" s="2">
        <v>2</v>
      </c>
      <c r="V1910" s="2"/>
    </row>
    <row r="1911" spans="1:22" x14ac:dyDescent="0.35">
      <c r="A1911" s="3" t="s">
        <v>4674</v>
      </c>
      <c r="B1911" s="3" t="s">
        <v>1319</v>
      </c>
      <c r="C1911" s="3" t="s">
        <v>449</v>
      </c>
      <c r="D1911" s="3" t="s">
        <v>4675</v>
      </c>
      <c r="E1911" s="3" t="s">
        <v>26</v>
      </c>
      <c r="F1911" s="3" t="s">
        <v>27</v>
      </c>
      <c r="G1911" s="3" t="s">
        <v>60</v>
      </c>
      <c r="H1911" s="3" t="s">
        <v>539</v>
      </c>
      <c r="I1911" s="3" t="s">
        <v>141</v>
      </c>
      <c r="J1911" s="3">
        <v>337</v>
      </c>
      <c r="K1911" s="3">
        <v>27.74</v>
      </c>
      <c r="L1911" s="3">
        <v>44.5</v>
      </c>
      <c r="M1911" s="3">
        <v>14996.5</v>
      </c>
      <c r="N1911" s="3">
        <v>9348.3799999999992</v>
      </c>
      <c r="O1911" s="4" t="s">
        <v>980</v>
      </c>
      <c r="P1911" s="3" t="s">
        <v>42</v>
      </c>
      <c r="Q1911" s="3" t="s">
        <v>32</v>
      </c>
      <c r="R1911" s="3">
        <v>15</v>
      </c>
      <c r="S1911" s="3" t="s">
        <v>33</v>
      </c>
      <c r="T1911" s="3">
        <v>3235</v>
      </c>
      <c r="U1911" s="3">
        <v>7</v>
      </c>
      <c r="V1911" s="3"/>
    </row>
    <row r="1912" spans="1:22" x14ac:dyDescent="0.35">
      <c r="A1912" s="2" t="s">
        <v>4676</v>
      </c>
      <c r="B1912" s="2" t="s">
        <v>2939</v>
      </c>
      <c r="C1912" s="2" t="s">
        <v>323</v>
      </c>
      <c r="D1912" s="2" t="s">
        <v>4677</v>
      </c>
      <c r="E1912" s="2" t="s">
        <v>58</v>
      </c>
      <c r="F1912" s="2" t="s">
        <v>259</v>
      </c>
      <c r="G1912" s="2" t="s">
        <v>129</v>
      </c>
      <c r="H1912" s="2" t="s">
        <v>811</v>
      </c>
      <c r="I1912" s="2" t="s">
        <v>124</v>
      </c>
      <c r="J1912" s="2">
        <v>653</v>
      </c>
      <c r="K1912" s="2">
        <v>453.83</v>
      </c>
      <c r="L1912" s="2">
        <v>517.05999999999995</v>
      </c>
      <c r="M1912" s="2">
        <v>337640.18</v>
      </c>
      <c r="N1912" s="2">
        <v>296350.99</v>
      </c>
      <c r="O1912" s="2">
        <v>41289.19</v>
      </c>
      <c r="P1912" s="2" t="s">
        <v>42</v>
      </c>
      <c r="Q1912" s="2" t="s">
        <v>32</v>
      </c>
      <c r="R1912" s="2">
        <v>10</v>
      </c>
      <c r="S1912" s="2" t="s">
        <v>86</v>
      </c>
      <c r="T1912" s="2">
        <v>4663</v>
      </c>
      <c r="U1912" s="2">
        <v>25</v>
      </c>
      <c r="V1912" s="2"/>
    </row>
    <row r="1913" spans="1:22" x14ac:dyDescent="0.35">
      <c r="A1913" s="3" t="s">
        <v>4678</v>
      </c>
      <c r="B1913" s="3" t="s">
        <v>4679</v>
      </c>
      <c r="C1913" s="3" t="s">
        <v>2507</v>
      </c>
      <c r="D1913" s="3" t="s">
        <v>4680</v>
      </c>
      <c r="E1913" s="3" t="s">
        <v>48</v>
      </c>
      <c r="F1913" s="3" t="s">
        <v>49</v>
      </c>
      <c r="G1913" s="3" t="s">
        <v>70</v>
      </c>
      <c r="H1913" s="3" t="s">
        <v>623</v>
      </c>
      <c r="I1913" s="3" t="s">
        <v>72</v>
      </c>
      <c r="J1913" s="3">
        <v>289</v>
      </c>
      <c r="K1913" s="3">
        <v>722.05</v>
      </c>
      <c r="L1913" s="3">
        <v>856.86</v>
      </c>
      <c r="M1913" s="3">
        <v>247632.54</v>
      </c>
      <c r="N1913" s="3">
        <v>208672.45</v>
      </c>
      <c r="O1913" s="3">
        <v>38960.089999999997</v>
      </c>
      <c r="P1913" s="3" t="s">
        <v>52</v>
      </c>
      <c r="Q1913" s="3" t="s">
        <v>32</v>
      </c>
      <c r="R1913" s="3">
        <v>10</v>
      </c>
      <c r="S1913" s="3" t="s">
        <v>158</v>
      </c>
      <c r="T1913" s="3">
        <v>1931</v>
      </c>
      <c r="U1913" s="3">
        <v>5</v>
      </c>
      <c r="V1913" s="3"/>
    </row>
    <row r="1914" spans="1:22" x14ac:dyDescent="0.35">
      <c r="A1914" s="2" t="s">
        <v>4681</v>
      </c>
      <c r="B1914" s="2" t="s">
        <v>4682</v>
      </c>
      <c r="C1914" s="2" t="s">
        <v>1133</v>
      </c>
      <c r="D1914" s="2" t="s">
        <v>4683</v>
      </c>
      <c r="E1914" s="2" t="s">
        <v>68</v>
      </c>
      <c r="F1914" s="2" t="s">
        <v>249</v>
      </c>
      <c r="G1914" s="2" t="s">
        <v>60</v>
      </c>
      <c r="H1914" s="2" t="s">
        <v>164</v>
      </c>
      <c r="I1914" s="2" t="s">
        <v>118</v>
      </c>
      <c r="J1914" s="2">
        <v>380</v>
      </c>
      <c r="K1914" s="2">
        <v>924.6</v>
      </c>
      <c r="L1914" s="2">
        <v>1469.71</v>
      </c>
      <c r="M1914" s="2">
        <v>558489.80000000005</v>
      </c>
      <c r="N1914" s="2">
        <v>351348</v>
      </c>
      <c r="O1914" s="2">
        <v>207141.8</v>
      </c>
      <c r="P1914" s="2" t="s">
        <v>42</v>
      </c>
      <c r="Q1914" s="2" t="s">
        <v>32</v>
      </c>
      <c r="R1914" s="2">
        <v>11</v>
      </c>
      <c r="S1914" s="2" t="s">
        <v>112</v>
      </c>
      <c r="T1914" s="2">
        <v>1382</v>
      </c>
      <c r="U1914" s="2">
        <v>10</v>
      </c>
      <c r="V1914" s="2"/>
    </row>
    <row r="1915" spans="1:22" x14ac:dyDescent="0.35">
      <c r="A1915" s="3" t="s">
        <v>4684</v>
      </c>
      <c r="B1915" s="3" t="s">
        <v>1325</v>
      </c>
      <c r="C1915" s="3" t="s">
        <v>1750</v>
      </c>
      <c r="D1915" s="3" t="s">
        <v>4685</v>
      </c>
      <c r="E1915" s="3" t="s">
        <v>68</v>
      </c>
      <c r="F1915" s="3" t="s">
        <v>276</v>
      </c>
      <c r="G1915" s="3" t="s">
        <v>39</v>
      </c>
      <c r="H1915" s="3" t="s">
        <v>647</v>
      </c>
      <c r="I1915" s="3" t="s">
        <v>41</v>
      </c>
      <c r="J1915" s="3">
        <v>162</v>
      </c>
      <c r="K1915" s="3">
        <v>751.71</v>
      </c>
      <c r="L1915" s="3">
        <v>1087.05</v>
      </c>
      <c r="M1915" s="3">
        <v>176102.1</v>
      </c>
      <c r="N1915" s="3">
        <v>121777.02</v>
      </c>
      <c r="O1915" s="3">
        <v>54325.08</v>
      </c>
      <c r="P1915" s="3" t="s">
        <v>31</v>
      </c>
      <c r="Q1915" s="3" t="s">
        <v>32</v>
      </c>
      <c r="R1915" s="3">
        <v>15</v>
      </c>
      <c r="S1915" s="3" t="s">
        <v>112</v>
      </c>
      <c r="T1915" s="3">
        <v>8</v>
      </c>
      <c r="U1915" s="3">
        <v>7</v>
      </c>
      <c r="V1915" s="3"/>
    </row>
    <row r="1916" spans="1:22" x14ac:dyDescent="0.35">
      <c r="A1916" s="2" t="s">
        <v>4686</v>
      </c>
      <c r="B1916" s="2" t="s">
        <v>176</v>
      </c>
      <c r="C1916" s="2" t="s">
        <v>1765</v>
      </c>
      <c r="D1916" s="2" t="s">
        <v>4687</v>
      </c>
      <c r="E1916" s="2" t="s">
        <v>26</v>
      </c>
      <c r="F1916" s="2" t="s">
        <v>77</v>
      </c>
      <c r="G1916" s="2" t="s">
        <v>93</v>
      </c>
      <c r="H1916" s="2" t="s">
        <v>643</v>
      </c>
      <c r="I1916" s="2" t="s">
        <v>141</v>
      </c>
      <c r="J1916" s="2">
        <v>66</v>
      </c>
      <c r="K1916" s="4" t="s">
        <v>87</v>
      </c>
      <c r="L1916" s="2">
        <v>1299.3399999999999</v>
      </c>
      <c r="M1916" s="2">
        <v>85756.44</v>
      </c>
      <c r="N1916" s="2">
        <v>74527.86</v>
      </c>
      <c r="O1916" s="2">
        <v>11228.58</v>
      </c>
      <c r="P1916" s="2" t="s">
        <v>31</v>
      </c>
      <c r="Q1916" s="2" t="s">
        <v>63</v>
      </c>
      <c r="R1916" s="2">
        <v>5</v>
      </c>
      <c r="S1916" s="2" t="s">
        <v>86</v>
      </c>
      <c r="T1916" s="2">
        <v>601</v>
      </c>
      <c r="U1916" s="4"/>
      <c r="V1916" s="2"/>
    </row>
    <row r="1917" spans="1:22" x14ac:dyDescent="0.35">
      <c r="A1917" s="3" t="s">
        <v>4688</v>
      </c>
      <c r="B1917" s="3" t="s">
        <v>4689</v>
      </c>
      <c r="C1917" s="3" t="s">
        <v>1409</v>
      </c>
      <c r="D1917" s="3" t="s">
        <v>4690</v>
      </c>
      <c r="E1917" s="3" t="s">
        <v>58</v>
      </c>
      <c r="F1917" s="3" t="s">
        <v>59</v>
      </c>
      <c r="G1917" s="3" t="s">
        <v>70</v>
      </c>
      <c r="H1917" s="3" t="s">
        <v>623</v>
      </c>
      <c r="I1917" s="3" t="s">
        <v>118</v>
      </c>
      <c r="J1917" s="3">
        <v>730</v>
      </c>
      <c r="K1917" s="3">
        <v>375.06</v>
      </c>
      <c r="L1917" s="3">
        <v>457.97</v>
      </c>
      <c r="M1917" s="3">
        <v>334318.09999999998</v>
      </c>
      <c r="N1917" s="3">
        <v>273793.8</v>
      </c>
      <c r="O1917" s="3">
        <v>60524.3</v>
      </c>
      <c r="P1917" s="3" t="s">
        <v>42</v>
      </c>
      <c r="Q1917" s="3" t="s">
        <v>63</v>
      </c>
      <c r="R1917" s="3">
        <v>5</v>
      </c>
      <c r="S1917" s="3" t="s">
        <v>86</v>
      </c>
      <c r="T1917" s="3">
        <v>3103</v>
      </c>
      <c r="U1917" s="3">
        <v>7</v>
      </c>
      <c r="V1917" s="3"/>
    </row>
    <row r="1918" spans="1:22" x14ac:dyDescent="0.35">
      <c r="A1918" s="2" t="s">
        <v>4691</v>
      </c>
      <c r="B1918" s="2" t="s">
        <v>2932</v>
      </c>
      <c r="C1918" s="2" t="s">
        <v>279</v>
      </c>
      <c r="D1918" s="2" t="s">
        <v>4692</v>
      </c>
      <c r="E1918" s="2" t="s">
        <v>100</v>
      </c>
      <c r="F1918" s="2" t="s">
        <v>238</v>
      </c>
      <c r="G1918" s="2" t="s">
        <v>217</v>
      </c>
      <c r="H1918" s="2" t="s">
        <v>494</v>
      </c>
      <c r="I1918" s="2" t="s">
        <v>62</v>
      </c>
      <c r="J1918" s="2">
        <v>526</v>
      </c>
      <c r="K1918" s="2">
        <v>1116.1600000000001</v>
      </c>
      <c r="L1918" s="2">
        <v>1250.1199999999999</v>
      </c>
      <c r="M1918" s="2">
        <v>657563.12</v>
      </c>
      <c r="N1918" s="2">
        <v>587100.16000000003</v>
      </c>
      <c r="O1918" s="2">
        <v>70462.960000000006</v>
      </c>
      <c r="P1918" s="2" t="s">
        <v>42</v>
      </c>
      <c r="Q1918" s="2" t="s">
        <v>63</v>
      </c>
      <c r="R1918" s="2">
        <v>2</v>
      </c>
      <c r="S1918" s="2" t="s">
        <v>112</v>
      </c>
      <c r="T1918" s="2">
        <v>712</v>
      </c>
      <c r="U1918" s="2">
        <v>14</v>
      </c>
      <c r="V1918" s="2"/>
    </row>
    <row r="1919" spans="1:22" x14ac:dyDescent="0.35">
      <c r="A1919" s="3" t="s">
        <v>4693</v>
      </c>
      <c r="B1919" s="3" t="s">
        <v>1140</v>
      </c>
      <c r="C1919" s="3" t="s">
        <v>1821</v>
      </c>
      <c r="D1919" s="3" t="s">
        <v>4694</v>
      </c>
      <c r="E1919" s="3" t="s">
        <v>26</v>
      </c>
      <c r="F1919" s="3" t="s">
        <v>92</v>
      </c>
      <c r="G1919" s="3" t="s">
        <v>39</v>
      </c>
      <c r="H1919" s="3" t="s">
        <v>40</v>
      </c>
      <c r="I1919" s="3" t="s">
        <v>124</v>
      </c>
      <c r="J1919" s="3">
        <v>148</v>
      </c>
      <c r="K1919" s="3">
        <v>1173.8499999999999</v>
      </c>
      <c r="L1919" s="3">
        <v>1385.4</v>
      </c>
      <c r="M1919" s="3">
        <v>205039.2</v>
      </c>
      <c r="N1919" s="3">
        <v>173729.8</v>
      </c>
      <c r="O1919" s="3">
        <v>31309.4</v>
      </c>
      <c r="P1919" s="3" t="s">
        <v>2293</v>
      </c>
      <c r="Q1919" s="3" t="s">
        <v>63</v>
      </c>
      <c r="R1919" s="3">
        <v>2</v>
      </c>
      <c r="S1919" s="3" t="s">
        <v>158</v>
      </c>
      <c r="T1919" s="3">
        <v>4603</v>
      </c>
      <c r="U1919" s="3">
        <v>4</v>
      </c>
      <c r="V1919" s="3"/>
    </row>
    <row r="1920" spans="1:22" x14ac:dyDescent="0.35">
      <c r="A1920" s="2" t="s">
        <v>4695</v>
      </c>
      <c r="B1920" s="2" t="s">
        <v>439</v>
      </c>
      <c r="C1920" s="2" t="s">
        <v>1253</v>
      </c>
      <c r="D1920" s="2" t="s">
        <v>4696</v>
      </c>
      <c r="E1920" s="2" t="s">
        <v>68</v>
      </c>
      <c r="F1920" s="2" t="s">
        <v>249</v>
      </c>
      <c r="G1920" s="2" t="s">
        <v>189</v>
      </c>
      <c r="H1920" s="2" t="s">
        <v>365</v>
      </c>
      <c r="I1920" s="2" t="s">
        <v>191</v>
      </c>
      <c r="J1920" s="2">
        <v>313</v>
      </c>
      <c r="K1920" s="2">
        <v>945.32</v>
      </c>
      <c r="L1920" s="2">
        <v>1299.3</v>
      </c>
      <c r="M1920" s="2">
        <v>406680.9</v>
      </c>
      <c r="N1920" s="2">
        <v>295885.15999999997</v>
      </c>
      <c r="O1920" s="2">
        <v>110795.74</v>
      </c>
      <c r="P1920" s="2" t="s">
        <v>52</v>
      </c>
      <c r="Q1920" s="2" t="s">
        <v>63</v>
      </c>
      <c r="R1920" s="2">
        <v>1</v>
      </c>
      <c r="S1920" s="2" t="s">
        <v>86</v>
      </c>
      <c r="T1920" s="2">
        <v>234</v>
      </c>
      <c r="U1920" s="2">
        <v>8</v>
      </c>
      <c r="V1920" s="2"/>
    </row>
    <row r="1921" spans="1:22" x14ac:dyDescent="0.35">
      <c r="A1921" s="3" t="s">
        <v>4697</v>
      </c>
      <c r="B1921" s="3" t="s">
        <v>449</v>
      </c>
      <c r="C1921" s="3" t="s">
        <v>210</v>
      </c>
      <c r="D1921" s="3" t="s">
        <v>4698</v>
      </c>
      <c r="E1921" s="3" t="s">
        <v>26</v>
      </c>
      <c r="F1921" s="3" t="s">
        <v>92</v>
      </c>
      <c r="G1921" s="3" t="s">
        <v>60</v>
      </c>
      <c r="H1921" s="3" t="s">
        <v>265</v>
      </c>
      <c r="I1921" s="3" t="s">
        <v>293</v>
      </c>
      <c r="J1921" s="3">
        <v>658</v>
      </c>
      <c r="K1921" s="3">
        <v>151.82</v>
      </c>
      <c r="L1921" s="3">
        <v>208.54</v>
      </c>
      <c r="M1921" s="3">
        <v>137219.32</v>
      </c>
      <c r="N1921" s="3">
        <v>99897.56</v>
      </c>
      <c r="O1921" s="3">
        <v>37321.760000000002</v>
      </c>
      <c r="P1921" s="3" t="s">
        <v>31</v>
      </c>
      <c r="Q1921" s="3" t="s">
        <v>32</v>
      </c>
      <c r="R1921" s="3">
        <v>10</v>
      </c>
      <c r="S1921" s="3" t="s">
        <v>112</v>
      </c>
      <c r="T1921" s="3">
        <v>1695</v>
      </c>
      <c r="U1921" s="3">
        <v>28</v>
      </c>
      <c r="V1921" s="3"/>
    </row>
    <row r="1922" spans="1:22" x14ac:dyDescent="0.35">
      <c r="A1922" s="2" t="s">
        <v>4699</v>
      </c>
      <c r="B1922" s="2" t="s">
        <v>4352</v>
      </c>
      <c r="C1922" s="2" t="s">
        <v>1222</v>
      </c>
      <c r="D1922" s="2" t="s">
        <v>4700</v>
      </c>
      <c r="E1922" s="4"/>
      <c r="F1922" s="2" t="s">
        <v>77</v>
      </c>
      <c r="G1922" s="2" t="s">
        <v>129</v>
      </c>
      <c r="H1922" s="2" t="s">
        <v>130</v>
      </c>
      <c r="I1922" s="2" t="s">
        <v>72</v>
      </c>
      <c r="J1922" s="2">
        <v>443</v>
      </c>
      <c r="K1922" s="2">
        <v>1056.58</v>
      </c>
      <c r="L1922" s="2">
        <v>1223.22</v>
      </c>
      <c r="M1922" s="2">
        <v>541886.46</v>
      </c>
      <c r="N1922" s="2">
        <v>468064.94</v>
      </c>
      <c r="O1922" s="2">
        <v>73821.52</v>
      </c>
      <c r="P1922" s="2" t="s">
        <v>42</v>
      </c>
      <c r="Q1922" s="2" t="s">
        <v>63</v>
      </c>
      <c r="R1922" s="2">
        <v>4</v>
      </c>
      <c r="S1922" s="2" t="s">
        <v>43</v>
      </c>
      <c r="T1922" s="2">
        <v>2457</v>
      </c>
      <c r="U1922" s="2">
        <v>12</v>
      </c>
      <c r="V1922" s="2"/>
    </row>
    <row r="1923" spans="1:22" x14ac:dyDescent="0.35">
      <c r="A1923" s="2" t="s">
        <v>4701</v>
      </c>
      <c r="B1923" s="2" t="s">
        <v>4702</v>
      </c>
      <c r="C1923" s="2" t="s">
        <v>2773</v>
      </c>
      <c r="D1923" s="2" t="s">
        <v>1108</v>
      </c>
      <c r="E1923" s="2" t="s">
        <v>26</v>
      </c>
      <c r="F1923" s="2" t="s">
        <v>38</v>
      </c>
      <c r="G1923" s="2" t="s">
        <v>50</v>
      </c>
      <c r="H1923" s="2" t="s">
        <v>135</v>
      </c>
      <c r="I1923" s="2" t="s">
        <v>62</v>
      </c>
      <c r="J1923" s="2">
        <v>525</v>
      </c>
      <c r="K1923" s="2">
        <v>312.99</v>
      </c>
      <c r="L1923" s="2">
        <v>438.69</v>
      </c>
      <c r="M1923" s="2">
        <v>230312.25</v>
      </c>
      <c r="N1923" s="2">
        <v>164319.75</v>
      </c>
      <c r="O1923" s="4"/>
      <c r="P1923" s="2" t="s">
        <v>52</v>
      </c>
      <c r="Q1923" s="2" t="s">
        <v>32</v>
      </c>
      <c r="R1923" s="2">
        <v>6</v>
      </c>
      <c r="S1923" s="2" t="s">
        <v>33</v>
      </c>
      <c r="T1923" s="2">
        <v>2679</v>
      </c>
      <c r="U1923" s="2">
        <v>12</v>
      </c>
      <c r="V1923" s="2"/>
    </row>
    <row r="1924" spans="1:22" x14ac:dyDescent="0.35">
      <c r="A1924" s="3" t="s">
        <v>4703</v>
      </c>
      <c r="B1924" s="3" t="s">
        <v>1213</v>
      </c>
      <c r="C1924" s="3" t="s">
        <v>850</v>
      </c>
      <c r="D1924" s="3" t="s">
        <v>2316</v>
      </c>
      <c r="E1924" s="3" t="s">
        <v>26</v>
      </c>
      <c r="F1924" s="3" t="s">
        <v>38</v>
      </c>
      <c r="G1924" s="3" t="s">
        <v>28</v>
      </c>
      <c r="H1924" s="3" t="s">
        <v>29</v>
      </c>
      <c r="I1924" s="3" t="s">
        <v>85</v>
      </c>
      <c r="J1924" s="3">
        <v>710</v>
      </c>
      <c r="K1924" s="3">
        <v>156.96</v>
      </c>
      <c r="L1924" s="3">
        <v>249.19</v>
      </c>
      <c r="M1924" s="3">
        <v>176924.9</v>
      </c>
      <c r="N1924" s="3">
        <v>111441.60000000001</v>
      </c>
      <c r="O1924" s="3">
        <v>65483.3</v>
      </c>
      <c r="P1924" s="3" t="s">
        <v>42</v>
      </c>
      <c r="Q1924" s="3" t="s">
        <v>32</v>
      </c>
      <c r="R1924" s="3">
        <v>6</v>
      </c>
      <c r="S1924" s="3" t="s">
        <v>43</v>
      </c>
      <c r="T1924" s="3">
        <v>724</v>
      </c>
      <c r="U1924" s="3">
        <v>28</v>
      </c>
      <c r="V1924" s="3"/>
    </row>
    <row r="1925" spans="1:22" x14ac:dyDescent="0.35">
      <c r="A1925" s="2" t="s">
        <v>4704</v>
      </c>
      <c r="B1925" s="2" t="s">
        <v>343</v>
      </c>
      <c r="C1925" s="2" t="s">
        <v>702</v>
      </c>
      <c r="D1925" s="2" t="s">
        <v>4705</v>
      </c>
      <c r="E1925" s="2" t="s">
        <v>26</v>
      </c>
      <c r="F1925" s="2" t="s">
        <v>38</v>
      </c>
      <c r="G1925" s="2" t="s">
        <v>70</v>
      </c>
      <c r="H1925" s="2" t="s">
        <v>84</v>
      </c>
      <c r="I1925" s="2" t="s">
        <v>153</v>
      </c>
      <c r="J1925" s="2">
        <v>461</v>
      </c>
      <c r="K1925" s="2">
        <v>960.68</v>
      </c>
      <c r="L1925" s="2">
        <v>1512.75</v>
      </c>
      <c r="M1925" s="2">
        <v>697377.75</v>
      </c>
      <c r="N1925" s="2">
        <v>442873.48</v>
      </c>
      <c r="O1925" s="2">
        <v>254504.27</v>
      </c>
      <c r="P1925" s="2" t="s">
        <v>31</v>
      </c>
      <c r="Q1925" s="2" t="s">
        <v>63</v>
      </c>
      <c r="R1925" s="2">
        <v>2</v>
      </c>
      <c r="S1925" s="2" t="s">
        <v>53</v>
      </c>
      <c r="T1925" s="2">
        <v>4500</v>
      </c>
      <c r="U1925" s="2">
        <v>20</v>
      </c>
      <c r="V1925" s="2"/>
    </row>
    <row r="1926" spans="1:22" x14ac:dyDescent="0.35">
      <c r="A1926" s="3" t="s">
        <v>4706</v>
      </c>
      <c r="B1926" s="3" t="s">
        <v>2950</v>
      </c>
      <c r="C1926" s="3" t="s">
        <v>2080</v>
      </c>
      <c r="D1926" s="3" t="s">
        <v>4707</v>
      </c>
      <c r="E1926" s="3" t="s">
        <v>58</v>
      </c>
      <c r="F1926" s="3" t="s">
        <v>122</v>
      </c>
      <c r="G1926" s="3" t="s">
        <v>217</v>
      </c>
      <c r="H1926" s="3" t="s">
        <v>494</v>
      </c>
      <c r="I1926" s="3" t="s">
        <v>153</v>
      </c>
      <c r="J1926" s="3">
        <v>302</v>
      </c>
      <c r="K1926" s="3">
        <v>460.98</v>
      </c>
      <c r="L1926" s="3">
        <v>696.88</v>
      </c>
      <c r="M1926" s="3">
        <v>210457.76</v>
      </c>
      <c r="N1926" s="3">
        <v>139215.96</v>
      </c>
      <c r="O1926" s="3">
        <v>71241.8</v>
      </c>
      <c r="P1926" s="3" t="s">
        <v>42</v>
      </c>
      <c r="Q1926" s="3" t="s">
        <v>32</v>
      </c>
      <c r="R1926" s="3">
        <v>15</v>
      </c>
      <c r="S1926" s="3" t="s">
        <v>53</v>
      </c>
      <c r="T1926" s="3">
        <v>1773</v>
      </c>
      <c r="U1926" s="3">
        <v>9</v>
      </c>
      <c r="V1926" s="3"/>
    </row>
    <row r="1927" spans="1:22" x14ac:dyDescent="0.35">
      <c r="A1927" s="2" t="s">
        <v>4708</v>
      </c>
      <c r="B1927" s="2" t="s">
        <v>954</v>
      </c>
      <c r="C1927" s="2" t="s">
        <v>4709</v>
      </c>
      <c r="D1927" s="2" t="s">
        <v>3765</v>
      </c>
      <c r="E1927" s="2" t="s">
        <v>26</v>
      </c>
      <c r="F1927" s="2" t="s">
        <v>228</v>
      </c>
      <c r="G1927" s="2" t="s">
        <v>39</v>
      </c>
      <c r="H1927" s="2" t="s">
        <v>527</v>
      </c>
      <c r="I1927" s="2" t="s">
        <v>293</v>
      </c>
      <c r="J1927" s="2">
        <v>680</v>
      </c>
      <c r="K1927" s="2">
        <v>929.83</v>
      </c>
      <c r="L1927" s="2">
        <v>1053.49</v>
      </c>
      <c r="M1927" s="2">
        <v>716373.2</v>
      </c>
      <c r="N1927" s="2">
        <v>632284.4</v>
      </c>
      <c r="O1927" s="2">
        <v>84088.8</v>
      </c>
      <c r="P1927" s="2" t="s">
        <v>2959</v>
      </c>
      <c r="Q1927" s="2" t="s">
        <v>63</v>
      </c>
      <c r="R1927" s="2">
        <v>4</v>
      </c>
      <c r="S1927" s="2" t="s">
        <v>53</v>
      </c>
      <c r="T1927" s="2">
        <v>333</v>
      </c>
      <c r="U1927" s="2">
        <v>32</v>
      </c>
      <c r="V1927" s="2"/>
    </row>
    <row r="1928" spans="1:22" x14ac:dyDescent="0.35">
      <c r="A1928" s="3" t="s">
        <v>4710</v>
      </c>
      <c r="B1928" s="3" t="s">
        <v>1192</v>
      </c>
      <c r="C1928" s="3" t="s">
        <v>574</v>
      </c>
      <c r="D1928" s="3" t="s">
        <v>4711</v>
      </c>
      <c r="E1928" s="3" t="s">
        <v>48</v>
      </c>
      <c r="F1928" s="3" t="s">
        <v>183</v>
      </c>
      <c r="G1928" s="3" t="s">
        <v>70</v>
      </c>
      <c r="H1928" s="3" t="s">
        <v>446</v>
      </c>
      <c r="I1928" s="3" t="s">
        <v>191</v>
      </c>
      <c r="J1928" s="3">
        <v>170</v>
      </c>
      <c r="K1928" s="3">
        <v>549.91999999999996</v>
      </c>
      <c r="L1928" s="3">
        <v>693.07</v>
      </c>
      <c r="M1928" s="3">
        <v>117821.9</v>
      </c>
      <c r="N1928" s="3">
        <v>93486.399999999994</v>
      </c>
      <c r="O1928" s="3">
        <v>24335.5</v>
      </c>
      <c r="P1928" s="3" t="s">
        <v>31</v>
      </c>
      <c r="Q1928" s="3" t="s">
        <v>63</v>
      </c>
      <c r="R1928" s="3">
        <v>4</v>
      </c>
      <c r="S1928" s="3" t="s">
        <v>112</v>
      </c>
      <c r="T1928" s="3">
        <v>2823</v>
      </c>
      <c r="U1928" s="3">
        <v>7</v>
      </c>
      <c r="V1928" s="3"/>
    </row>
    <row r="1929" spans="1:22" x14ac:dyDescent="0.35">
      <c r="A1929" s="2" t="s">
        <v>4712</v>
      </c>
      <c r="B1929" s="2" t="s">
        <v>1804</v>
      </c>
      <c r="C1929" s="2" t="s">
        <v>1295</v>
      </c>
      <c r="D1929" s="2" t="s">
        <v>4713</v>
      </c>
      <c r="E1929" s="2" t="s">
        <v>58</v>
      </c>
      <c r="F1929" s="2" t="s">
        <v>59</v>
      </c>
      <c r="G1929" s="2" t="s">
        <v>189</v>
      </c>
      <c r="H1929" s="2" t="s">
        <v>311</v>
      </c>
      <c r="I1929" s="2" t="s">
        <v>141</v>
      </c>
      <c r="J1929" s="2">
        <v>334</v>
      </c>
      <c r="K1929" s="2">
        <v>620.73</v>
      </c>
      <c r="L1929" s="2">
        <v>834.29</v>
      </c>
      <c r="M1929" s="2">
        <v>278652.86</v>
      </c>
      <c r="N1929" s="2">
        <v>207323.82</v>
      </c>
      <c r="O1929" s="2">
        <v>71329.039999999994</v>
      </c>
      <c r="P1929" s="2" t="s">
        <v>42</v>
      </c>
      <c r="Q1929" s="2" t="s">
        <v>63</v>
      </c>
      <c r="R1929" s="2">
        <v>1</v>
      </c>
      <c r="S1929" s="2" t="s">
        <v>158</v>
      </c>
      <c r="T1929" s="2">
        <v>4982</v>
      </c>
      <c r="U1929" s="2">
        <v>8</v>
      </c>
      <c r="V1929" s="2"/>
    </row>
    <row r="1930" spans="1:22" x14ac:dyDescent="0.35">
      <c r="A1930" s="3" t="s">
        <v>4714</v>
      </c>
      <c r="B1930" s="3" t="s">
        <v>483</v>
      </c>
      <c r="C1930" s="3" t="s">
        <v>1114</v>
      </c>
      <c r="D1930" s="3" t="s">
        <v>4715</v>
      </c>
      <c r="E1930" s="3" t="s">
        <v>68</v>
      </c>
      <c r="F1930" s="3" t="s">
        <v>276</v>
      </c>
      <c r="G1930" s="3" t="s">
        <v>39</v>
      </c>
      <c r="H1930" s="3" t="s">
        <v>147</v>
      </c>
      <c r="I1930" s="3" t="s">
        <v>118</v>
      </c>
      <c r="J1930" s="3">
        <v>57</v>
      </c>
      <c r="K1930" s="3">
        <v>805.6</v>
      </c>
      <c r="L1930" s="3">
        <v>973.82</v>
      </c>
      <c r="M1930" s="3">
        <v>55507.74</v>
      </c>
      <c r="N1930" s="3">
        <v>45919.199999999997</v>
      </c>
      <c r="O1930" s="3">
        <v>9588.5400000000009</v>
      </c>
      <c r="P1930" s="3" t="s">
        <v>52</v>
      </c>
      <c r="Q1930" s="3" t="s">
        <v>63</v>
      </c>
      <c r="R1930" s="3">
        <v>4</v>
      </c>
      <c r="S1930" s="3" t="s">
        <v>43</v>
      </c>
      <c r="T1930" s="3">
        <v>1658</v>
      </c>
      <c r="U1930" s="3">
        <v>0</v>
      </c>
      <c r="V1930" s="3"/>
    </row>
    <row r="1931" spans="1:22" x14ac:dyDescent="0.35">
      <c r="A1931" s="2" t="s">
        <v>4716</v>
      </c>
      <c r="B1931" s="2" t="s">
        <v>1552</v>
      </c>
      <c r="C1931" s="2" t="s">
        <v>2047</v>
      </c>
      <c r="D1931" s="2" t="s">
        <v>4033</v>
      </c>
      <c r="E1931" s="2" t="s">
        <v>58</v>
      </c>
      <c r="F1931" s="2" t="s">
        <v>122</v>
      </c>
      <c r="G1931" s="2" t="s">
        <v>217</v>
      </c>
      <c r="H1931" s="2" t="s">
        <v>218</v>
      </c>
      <c r="I1931" s="2" t="s">
        <v>1853</v>
      </c>
      <c r="J1931" s="2">
        <v>474</v>
      </c>
      <c r="K1931" s="2">
        <v>1035.6300000000001</v>
      </c>
      <c r="L1931" s="2">
        <v>1212.77</v>
      </c>
      <c r="M1931" s="2">
        <v>574852.98</v>
      </c>
      <c r="N1931" s="2">
        <v>490888.62</v>
      </c>
      <c r="O1931" s="2">
        <v>83964.36</v>
      </c>
      <c r="P1931" s="2" t="s">
        <v>31</v>
      </c>
      <c r="Q1931" s="2" t="s">
        <v>63</v>
      </c>
      <c r="R1931" s="2">
        <v>4</v>
      </c>
      <c r="S1931" s="2" t="s">
        <v>158</v>
      </c>
      <c r="T1931" s="2">
        <v>232</v>
      </c>
      <c r="U1931" s="2">
        <v>10</v>
      </c>
      <c r="V1931" s="2"/>
    </row>
    <row r="1932" spans="1:22" x14ac:dyDescent="0.35">
      <c r="A1932" s="3" t="s">
        <v>4717</v>
      </c>
      <c r="B1932" s="3" t="s">
        <v>144</v>
      </c>
      <c r="C1932" s="3" t="s">
        <v>1010</v>
      </c>
      <c r="D1932" s="3" t="s">
        <v>4718</v>
      </c>
      <c r="E1932" s="3" t="s">
        <v>100</v>
      </c>
      <c r="F1932" s="3" t="s">
        <v>538</v>
      </c>
      <c r="G1932" s="3" t="s">
        <v>78</v>
      </c>
      <c r="H1932" s="3" t="s">
        <v>123</v>
      </c>
      <c r="I1932" s="3" t="s">
        <v>85</v>
      </c>
      <c r="J1932" s="3">
        <v>504</v>
      </c>
      <c r="K1932" s="3">
        <v>874.36</v>
      </c>
      <c r="L1932" s="3">
        <v>1365.39</v>
      </c>
      <c r="M1932" s="3">
        <v>688156.56</v>
      </c>
      <c r="N1932" s="3">
        <v>440677.44</v>
      </c>
      <c r="O1932" s="3">
        <v>247479.12</v>
      </c>
      <c r="P1932" s="3" t="s">
        <v>95</v>
      </c>
      <c r="Q1932" s="3" t="s">
        <v>63</v>
      </c>
      <c r="R1932" s="3">
        <v>3</v>
      </c>
      <c r="S1932" s="3" t="s">
        <v>53</v>
      </c>
      <c r="T1932" s="4"/>
      <c r="U1932" s="3">
        <v>16</v>
      </c>
      <c r="V1932" s="3"/>
    </row>
    <row r="1933" spans="1:22" x14ac:dyDescent="0.35">
      <c r="A1933" s="2" t="s">
        <v>4719</v>
      </c>
      <c r="B1933" s="2" t="s">
        <v>2569</v>
      </c>
      <c r="C1933" s="2" t="s">
        <v>1090</v>
      </c>
      <c r="D1933" s="2" t="s">
        <v>4720</v>
      </c>
      <c r="E1933" s="2" t="s">
        <v>100</v>
      </c>
      <c r="F1933" s="2" t="s">
        <v>1529</v>
      </c>
      <c r="G1933" s="2" t="s">
        <v>60</v>
      </c>
      <c r="H1933" s="2" t="s">
        <v>265</v>
      </c>
      <c r="I1933" s="2" t="s">
        <v>240</v>
      </c>
      <c r="J1933" s="2">
        <v>289</v>
      </c>
      <c r="K1933" s="2">
        <v>872.12</v>
      </c>
      <c r="L1933" s="2">
        <v>1238.92</v>
      </c>
      <c r="M1933" s="2">
        <v>358047.88</v>
      </c>
      <c r="N1933" s="2">
        <v>252042.68</v>
      </c>
      <c r="O1933" s="2">
        <v>106005.2</v>
      </c>
      <c r="P1933" s="2" t="s">
        <v>2581</v>
      </c>
      <c r="Q1933" s="2" t="s">
        <v>63</v>
      </c>
      <c r="R1933" s="2">
        <v>1</v>
      </c>
      <c r="S1933" s="2" t="s">
        <v>53</v>
      </c>
      <c r="T1933" s="2">
        <v>3749</v>
      </c>
      <c r="U1933" s="2">
        <v>5</v>
      </c>
      <c r="V1933" s="2"/>
    </row>
    <row r="1934" spans="1:22" x14ac:dyDescent="0.35">
      <c r="A1934" s="3" t="s">
        <v>4721</v>
      </c>
      <c r="B1934" s="3" t="s">
        <v>1536</v>
      </c>
      <c r="C1934" s="3" t="s">
        <v>391</v>
      </c>
      <c r="D1934" s="3" t="s">
        <v>4722</v>
      </c>
      <c r="E1934" s="3" t="s">
        <v>58</v>
      </c>
      <c r="F1934" s="3" t="s">
        <v>59</v>
      </c>
      <c r="G1934" s="3" t="s">
        <v>93</v>
      </c>
      <c r="H1934" s="3" t="s">
        <v>140</v>
      </c>
      <c r="I1934" s="3" t="s">
        <v>62</v>
      </c>
      <c r="J1934" s="3">
        <v>535</v>
      </c>
      <c r="K1934" s="3">
        <v>708.4</v>
      </c>
      <c r="L1934" s="3">
        <v>802.89</v>
      </c>
      <c r="M1934" s="3">
        <v>429546.15</v>
      </c>
      <c r="N1934" s="3">
        <v>378994</v>
      </c>
      <c r="O1934" s="3">
        <v>50552.15</v>
      </c>
      <c r="P1934" s="3" t="s">
        <v>2435</v>
      </c>
      <c r="Q1934" s="3" t="s">
        <v>32</v>
      </c>
      <c r="R1934" s="3">
        <v>8</v>
      </c>
      <c r="S1934" s="3" t="s">
        <v>33</v>
      </c>
      <c r="T1934" s="3">
        <v>2980</v>
      </c>
      <c r="U1934" s="3">
        <v>8</v>
      </c>
      <c r="V1934" s="3"/>
    </row>
    <row r="1935" spans="1:22" x14ac:dyDescent="0.35">
      <c r="A1935" s="2" t="s">
        <v>4723</v>
      </c>
      <c r="B1935" s="2" t="s">
        <v>347</v>
      </c>
      <c r="C1935" s="2" t="s">
        <v>98</v>
      </c>
      <c r="D1935" s="2" t="s">
        <v>4724</v>
      </c>
      <c r="E1935" s="2" t="s">
        <v>26</v>
      </c>
      <c r="F1935" s="2" t="s">
        <v>228</v>
      </c>
      <c r="G1935" s="2" t="s">
        <v>39</v>
      </c>
      <c r="H1935" s="2" t="s">
        <v>477</v>
      </c>
      <c r="I1935" s="2" t="s">
        <v>85</v>
      </c>
      <c r="J1935" s="2">
        <v>512</v>
      </c>
      <c r="K1935" s="2">
        <v>657.87</v>
      </c>
      <c r="L1935" s="2">
        <v>1046.46</v>
      </c>
      <c r="M1935" s="2">
        <v>535787.52000000002</v>
      </c>
      <c r="N1935" s="2">
        <v>336829.44</v>
      </c>
      <c r="O1935" s="2">
        <v>198958.07999999999</v>
      </c>
      <c r="P1935" s="2" t="s">
        <v>42</v>
      </c>
      <c r="Q1935" s="2" t="s">
        <v>63</v>
      </c>
      <c r="R1935" s="2">
        <v>1</v>
      </c>
      <c r="S1935" s="2" t="s">
        <v>112</v>
      </c>
      <c r="T1935" s="2">
        <v>192</v>
      </c>
      <c r="U1935" s="2">
        <v>21</v>
      </c>
      <c r="V1935" s="2"/>
    </row>
    <row r="1936" spans="1:22" x14ac:dyDescent="0.35">
      <c r="A1936" s="3" t="s">
        <v>4725</v>
      </c>
      <c r="B1936" s="3" t="s">
        <v>2612</v>
      </c>
      <c r="C1936" s="3" t="s">
        <v>2812</v>
      </c>
      <c r="D1936" s="3" t="s">
        <v>4726</v>
      </c>
      <c r="E1936" s="3" t="s">
        <v>58</v>
      </c>
      <c r="F1936" s="3" t="s">
        <v>259</v>
      </c>
      <c r="G1936" s="3" t="s">
        <v>217</v>
      </c>
      <c r="H1936" s="3" t="s">
        <v>725</v>
      </c>
      <c r="I1936" s="3" t="s">
        <v>85</v>
      </c>
      <c r="J1936" s="3">
        <v>110</v>
      </c>
      <c r="K1936" s="3">
        <v>470.74</v>
      </c>
      <c r="L1936" s="3">
        <v>564.16999999999996</v>
      </c>
      <c r="M1936" s="3">
        <v>62058.7</v>
      </c>
      <c r="N1936" s="3">
        <v>51781.4</v>
      </c>
      <c r="O1936" s="3">
        <v>10277.299999999999</v>
      </c>
      <c r="P1936" s="3" t="s">
        <v>95</v>
      </c>
      <c r="Q1936" s="3" t="s">
        <v>32</v>
      </c>
      <c r="R1936" s="3">
        <v>9</v>
      </c>
      <c r="S1936" s="3" t="s">
        <v>112</v>
      </c>
      <c r="T1936" s="3">
        <v>2825</v>
      </c>
      <c r="U1936" s="3">
        <v>2</v>
      </c>
      <c r="V1936" s="3"/>
    </row>
    <row r="1937" spans="1:22" x14ac:dyDescent="0.35">
      <c r="A1937" s="2" t="s">
        <v>512</v>
      </c>
      <c r="B1937" s="2" t="s">
        <v>138</v>
      </c>
      <c r="C1937" s="2" t="s">
        <v>513</v>
      </c>
      <c r="D1937" s="2" t="s">
        <v>514</v>
      </c>
      <c r="E1937" s="2" t="s">
        <v>100</v>
      </c>
      <c r="F1937" s="2" t="s">
        <v>330</v>
      </c>
      <c r="G1937" s="2" t="s">
        <v>189</v>
      </c>
      <c r="H1937" s="2" t="s">
        <v>437</v>
      </c>
      <c r="I1937" s="2" t="s">
        <v>191</v>
      </c>
      <c r="J1937" s="2">
        <v>180</v>
      </c>
      <c r="K1937" s="2">
        <v>436.35</v>
      </c>
      <c r="L1937" s="2">
        <v>652.29</v>
      </c>
      <c r="M1937" s="2">
        <v>117412.2</v>
      </c>
      <c r="N1937" s="2">
        <v>78543</v>
      </c>
      <c r="O1937" s="2">
        <v>38869.199999999997</v>
      </c>
      <c r="P1937" s="2" t="s">
        <v>31</v>
      </c>
      <c r="Q1937" s="2" t="s">
        <v>32</v>
      </c>
      <c r="R1937" s="2">
        <v>6</v>
      </c>
      <c r="S1937" s="2" t="s">
        <v>33</v>
      </c>
      <c r="T1937" s="2">
        <v>4261</v>
      </c>
      <c r="U1937" s="2">
        <v>0</v>
      </c>
      <c r="V1937" s="2"/>
    </row>
    <row r="1938" spans="1:22" x14ac:dyDescent="0.35">
      <c r="A1938" s="3" t="s">
        <v>4727</v>
      </c>
      <c r="B1938" s="3" t="s">
        <v>4100</v>
      </c>
      <c r="C1938" s="3" t="s">
        <v>4728</v>
      </c>
      <c r="D1938" s="3" t="s">
        <v>4729</v>
      </c>
      <c r="E1938" s="3" t="s">
        <v>48</v>
      </c>
      <c r="F1938" s="3" t="s">
        <v>183</v>
      </c>
      <c r="G1938" s="3" t="s">
        <v>50</v>
      </c>
      <c r="H1938" s="3" t="s">
        <v>117</v>
      </c>
      <c r="I1938" s="3" t="s">
        <v>191</v>
      </c>
      <c r="J1938" s="3">
        <v>793</v>
      </c>
      <c r="K1938" s="3">
        <v>1049.4100000000001</v>
      </c>
      <c r="L1938" s="3">
        <v>1330.63</v>
      </c>
      <c r="M1938" s="3">
        <v>1055189.5900000001</v>
      </c>
      <c r="N1938" s="3">
        <v>832182.13</v>
      </c>
      <c r="O1938" s="3">
        <v>223007.46</v>
      </c>
      <c r="P1938" s="3" t="s">
        <v>95</v>
      </c>
      <c r="Q1938" s="3" t="s">
        <v>63</v>
      </c>
      <c r="R1938" s="3">
        <v>2</v>
      </c>
      <c r="S1938" s="3" t="s">
        <v>158</v>
      </c>
      <c r="T1938" s="3">
        <v>801</v>
      </c>
      <c r="U1938" s="3">
        <v>13</v>
      </c>
      <c r="V1938" s="3"/>
    </row>
    <row r="1939" spans="1:22" x14ac:dyDescent="0.35">
      <c r="A1939" s="2" t="s">
        <v>4730</v>
      </c>
      <c r="B1939" s="2" t="s">
        <v>853</v>
      </c>
      <c r="C1939" s="2" t="s">
        <v>650</v>
      </c>
      <c r="D1939" s="2" t="s">
        <v>4731</v>
      </c>
      <c r="E1939" s="2" t="s">
        <v>68</v>
      </c>
      <c r="F1939" s="2" t="s">
        <v>163</v>
      </c>
      <c r="G1939" s="2" t="s">
        <v>217</v>
      </c>
      <c r="H1939" s="2" t="s">
        <v>335</v>
      </c>
      <c r="I1939" s="2" t="s">
        <v>85</v>
      </c>
      <c r="J1939" s="2">
        <v>449</v>
      </c>
      <c r="K1939" s="2">
        <v>188.68</v>
      </c>
      <c r="L1939" s="2">
        <v>225.39</v>
      </c>
      <c r="M1939" s="2">
        <v>101200.11</v>
      </c>
      <c r="N1939" s="2">
        <v>84717.32</v>
      </c>
      <c r="O1939" s="2">
        <v>16482.79</v>
      </c>
      <c r="P1939" s="2" t="s">
        <v>31</v>
      </c>
      <c r="Q1939" s="2" t="s">
        <v>32</v>
      </c>
      <c r="R1939" s="2">
        <v>6</v>
      </c>
      <c r="S1939" s="2" t="s">
        <v>43</v>
      </c>
      <c r="T1939" s="2">
        <v>4104</v>
      </c>
      <c r="U1939" s="2">
        <v>0</v>
      </c>
      <c r="V1939" s="2"/>
    </row>
    <row r="1940" spans="1:22" x14ac:dyDescent="0.35">
      <c r="A1940" s="3" t="s">
        <v>3712</v>
      </c>
      <c r="B1940" s="3" t="s">
        <v>137</v>
      </c>
      <c r="C1940" s="3" t="s">
        <v>103</v>
      </c>
      <c r="D1940" s="3" t="s">
        <v>1963</v>
      </c>
      <c r="E1940" s="3" t="s">
        <v>58</v>
      </c>
      <c r="F1940" s="3" t="s">
        <v>417</v>
      </c>
      <c r="G1940" s="3" t="s">
        <v>129</v>
      </c>
      <c r="H1940" s="3" t="s">
        <v>152</v>
      </c>
      <c r="I1940" s="3" t="s">
        <v>293</v>
      </c>
      <c r="J1940" s="3">
        <v>252</v>
      </c>
      <c r="K1940" s="3">
        <v>187.89</v>
      </c>
      <c r="L1940" s="3">
        <v>253.56</v>
      </c>
      <c r="M1940" s="3">
        <v>63897.120000000003</v>
      </c>
      <c r="N1940" s="3">
        <v>47348.28</v>
      </c>
      <c r="O1940" s="3">
        <v>16548.84</v>
      </c>
      <c r="P1940" s="3" t="s">
        <v>95</v>
      </c>
      <c r="Q1940" s="3" t="s">
        <v>32</v>
      </c>
      <c r="R1940" s="3">
        <v>15</v>
      </c>
      <c r="S1940" s="3" t="s">
        <v>33</v>
      </c>
      <c r="T1940" s="3">
        <v>3388</v>
      </c>
      <c r="U1940" s="3">
        <v>6</v>
      </c>
      <c r="V1940" s="3"/>
    </row>
    <row r="1941" spans="1:22" x14ac:dyDescent="0.35">
      <c r="A1941" s="2" t="s">
        <v>4732</v>
      </c>
      <c r="B1941" s="2" t="s">
        <v>357</v>
      </c>
      <c r="C1941" s="2" t="s">
        <v>1578</v>
      </c>
      <c r="D1941" s="2" t="s">
        <v>4733</v>
      </c>
      <c r="E1941" s="2" t="s">
        <v>58</v>
      </c>
      <c r="F1941" s="2" t="s">
        <v>417</v>
      </c>
      <c r="G1941" s="2" t="s">
        <v>217</v>
      </c>
      <c r="H1941" s="2" t="s">
        <v>218</v>
      </c>
      <c r="I1941" s="2" t="s">
        <v>153</v>
      </c>
      <c r="J1941" s="2">
        <v>643</v>
      </c>
      <c r="K1941" s="2">
        <v>995.25</v>
      </c>
      <c r="L1941" s="2">
        <v>1191.49</v>
      </c>
      <c r="M1941" s="2">
        <v>766128.07</v>
      </c>
      <c r="N1941" s="2">
        <v>639945.75</v>
      </c>
      <c r="O1941" s="2">
        <v>126182.32</v>
      </c>
      <c r="P1941" s="2" t="s">
        <v>52</v>
      </c>
      <c r="Q1941" s="2" t="s">
        <v>32</v>
      </c>
      <c r="R1941" s="2">
        <v>6</v>
      </c>
      <c r="S1941" s="2" t="s">
        <v>53</v>
      </c>
      <c r="T1941" s="2">
        <v>1248</v>
      </c>
      <c r="U1941" s="2">
        <v>2</v>
      </c>
      <c r="V1941" s="2"/>
    </row>
    <row r="1942" spans="1:22" x14ac:dyDescent="0.35">
      <c r="A1942" s="3" t="s">
        <v>4734</v>
      </c>
      <c r="B1942" s="3" t="s">
        <v>1536</v>
      </c>
      <c r="C1942" s="3" t="s">
        <v>556</v>
      </c>
      <c r="D1942" s="3" t="s">
        <v>4735</v>
      </c>
      <c r="E1942" s="3" t="s">
        <v>58</v>
      </c>
      <c r="F1942" s="3" t="s">
        <v>417</v>
      </c>
      <c r="G1942" s="3" t="s">
        <v>70</v>
      </c>
      <c r="H1942" s="3" t="s">
        <v>384</v>
      </c>
      <c r="I1942" s="3" t="s">
        <v>124</v>
      </c>
      <c r="J1942" s="3">
        <v>488</v>
      </c>
      <c r="K1942" s="3">
        <v>389.92</v>
      </c>
      <c r="L1942" s="3">
        <v>489.18</v>
      </c>
      <c r="M1942" s="3">
        <v>238719.84</v>
      </c>
      <c r="N1942" s="3">
        <v>190280.95999999999</v>
      </c>
      <c r="O1942" s="3">
        <v>48438.879999999997</v>
      </c>
      <c r="P1942" s="3" t="s">
        <v>31</v>
      </c>
      <c r="Q1942" s="3" t="s">
        <v>63</v>
      </c>
      <c r="R1942" s="3">
        <v>1</v>
      </c>
      <c r="S1942" s="3" t="s">
        <v>33</v>
      </c>
      <c r="T1942" s="3">
        <v>2018</v>
      </c>
      <c r="U1942" s="3">
        <v>2</v>
      </c>
      <c r="V1942" s="3"/>
    </row>
    <row r="1943" spans="1:22" x14ac:dyDescent="0.35">
      <c r="A1943" s="2" t="s">
        <v>4736</v>
      </c>
      <c r="B1943" s="2" t="s">
        <v>337</v>
      </c>
      <c r="C1943" s="2" t="s">
        <v>427</v>
      </c>
      <c r="D1943" s="2" t="s">
        <v>1534</v>
      </c>
      <c r="E1943" s="2" t="s">
        <v>68</v>
      </c>
      <c r="F1943" s="2" t="s">
        <v>163</v>
      </c>
      <c r="G1943" s="2" t="s">
        <v>60</v>
      </c>
      <c r="H1943" s="2" t="s">
        <v>539</v>
      </c>
      <c r="I1943" s="2" t="s">
        <v>240</v>
      </c>
      <c r="J1943" s="2">
        <v>302</v>
      </c>
      <c r="K1943" s="2">
        <v>367.87</v>
      </c>
      <c r="L1943" s="2">
        <v>480.54</v>
      </c>
      <c r="M1943" s="2">
        <v>145123.07999999999</v>
      </c>
      <c r="N1943" s="2">
        <v>111096.74</v>
      </c>
      <c r="O1943" s="2">
        <v>34026.339999999997</v>
      </c>
      <c r="P1943" s="2" t="s">
        <v>42</v>
      </c>
      <c r="Q1943" s="2" t="s">
        <v>63</v>
      </c>
      <c r="R1943" s="2">
        <v>1</v>
      </c>
      <c r="S1943" s="2" t="s">
        <v>33</v>
      </c>
      <c r="T1943" s="2">
        <v>2527</v>
      </c>
      <c r="U1943" s="2">
        <v>1</v>
      </c>
      <c r="V1943" s="2"/>
    </row>
    <row r="1944" spans="1:22" x14ac:dyDescent="0.35">
      <c r="A1944" s="3" t="s">
        <v>4737</v>
      </c>
      <c r="B1944" s="3" t="s">
        <v>4738</v>
      </c>
      <c r="C1944" s="3" t="s">
        <v>3678</v>
      </c>
      <c r="D1944" s="3" t="s">
        <v>4739</v>
      </c>
      <c r="E1944" s="3" t="s">
        <v>58</v>
      </c>
      <c r="F1944" s="3" t="s">
        <v>259</v>
      </c>
      <c r="G1944" s="3" t="s">
        <v>70</v>
      </c>
      <c r="H1944" s="3" t="s">
        <v>84</v>
      </c>
      <c r="I1944" s="3" t="s">
        <v>62</v>
      </c>
      <c r="J1944" s="3">
        <v>659</v>
      </c>
      <c r="K1944" s="3">
        <v>98.95</v>
      </c>
      <c r="L1944" s="3">
        <v>139.18</v>
      </c>
      <c r="M1944" s="3">
        <v>91719.62</v>
      </c>
      <c r="N1944" s="3">
        <v>65208.05</v>
      </c>
      <c r="O1944" s="3">
        <v>26511.57</v>
      </c>
      <c r="P1944" s="3" t="s">
        <v>95</v>
      </c>
      <c r="Q1944" s="3" t="s">
        <v>32</v>
      </c>
      <c r="R1944" s="3">
        <v>6</v>
      </c>
      <c r="S1944" s="3" t="s">
        <v>86</v>
      </c>
      <c r="T1944" s="3">
        <v>1018</v>
      </c>
      <c r="U1944" s="3">
        <v>27</v>
      </c>
      <c r="V1944" s="3"/>
    </row>
    <row r="1945" spans="1:22" x14ac:dyDescent="0.35">
      <c r="A1945" s="3" t="s">
        <v>4740</v>
      </c>
      <c r="B1945" s="3" t="s">
        <v>1114</v>
      </c>
      <c r="C1945" s="3" t="s">
        <v>856</v>
      </c>
      <c r="D1945" s="3" t="s">
        <v>4741</v>
      </c>
      <c r="E1945" s="3" t="s">
        <v>26</v>
      </c>
      <c r="F1945" s="3" t="s">
        <v>4742</v>
      </c>
      <c r="G1945" s="3" t="s">
        <v>60</v>
      </c>
      <c r="H1945" s="3" t="s">
        <v>780</v>
      </c>
      <c r="I1945" s="3" t="s">
        <v>153</v>
      </c>
      <c r="J1945" s="3">
        <v>777</v>
      </c>
      <c r="K1945" s="3">
        <v>963.76</v>
      </c>
      <c r="L1945" s="3">
        <v>1097.56</v>
      </c>
      <c r="M1945" s="3">
        <v>852804.12</v>
      </c>
      <c r="N1945" s="3">
        <v>748841.52</v>
      </c>
      <c r="O1945" s="3">
        <v>103962.6</v>
      </c>
      <c r="P1945" s="3" t="s">
        <v>42</v>
      </c>
      <c r="Q1945" s="3" t="s">
        <v>63</v>
      </c>
      <c r="R1945" s="3">
        <v>2</v>
      </c>
      <c r="S1945" s="3" t="s">
        <v>43</v>
      </c>
      <c r="T1945" s="3">
        <v>2203</v>
      </c>
      <c r="U1945" s="3">
        <v>35</v>
      </c>
      <c r="V1945" s="3"/>
    </row>
    <row r="1946" spans="1:22" x14ac:dyDescent="0.35">
      <c r="A1946" s="2" t="s">
        <v>4743</v>
      </c>
      <c r="B1946" s="2" t="s">
        <v>884</v>
      </c>
      <c r="C1946" s="2" t="s">
        <v>150</v>
      </c>
      <c r="D1946" s="2" t="s">
        <v>4744</v>
      </c>
      <c r="E1946" s="2" t="s">
        <v>58</v>
      </c>
      <c r="F1946" s="2" t="s">
        <v>417</v>
      </c>
      <c r="G1946" s="2" t="s">
        <v>70</v>
      </c>
      <c r="H1946" s="2" t="s">
        <v>1019</v>
      </c>
      <c r="I1946" s="2" t="s">
        <v>141</v>
      </c>
      <c r="J1946" s="2">
        <v>251</v>
      </c>
      <c r="K1946" s="2">
        <v>741.68</v>
      </c>
      <c r="L1946" s="2">
        <v>1075.29</v>
      </c>
      <c r="M1946" s="2">
        <v>269897.78999999998</v>
      </c>
      <c r="N1946" s="2">
        <v>186161.68</v>
      </c>
      <c r="O1946" s="2">
        <v>83736.11</v>
      </c>
      <c r="P1946" s="2" t="s">
        <v>42</v>
      </c>
      <c r="Q1946" s="2" t="s">
        <v>63</v>
      </c>
      <c r="R1946" s="2">
        <v>2</v>
      </c>
      <c r="S1946" s="2" t="s">
        <v>43</v>
      </c>
      <c r="T1946" s="4"/>
      <c r="U1946" s="2">
        <v>9</v>
      </c>
      <c r="V1946" s="2"/>
    </row>
    <row r="1947" spans="1:22" x14ac:dyDescent="0.35">
      <c r="A1947" s="3" t="s">
        <v>4745</v>
      </c>
      <c r="B1947" s="3" t="s">
        <v>4746</v>
      </c>
      <c r="C1947" s="3" t="s">
        <v>847</v>
      </c>
      <c r="D1947" s="3" t="s">
        <v>4747</v>
      </c>
      <c r="E1947" s="3" t="s">
        <v>100</v>
      </c>
      <c r="F1947" s="3" t="s">
        <v>538</v>
      </c>
      <c r="G1947" s="3" t="s">
        <v>129</v>
      </c>
      <c r="H1947" s="3" t="s">
        <v>811</v>
      </c>
      <c r="I1947" s="3" t="s">
        <v>141</v>
      </c>
      <c r="J1947" s="3">
        <v>404</v>
      </c>
      <c r="K1947" s="3">
        <v>329.13</v>
      </c>
      <c r="L1947" s="3">
        <v>535.35</v>
      </c>
      <c r="M1947" s="3">
        <v>216281.4</v>
      </c>
      <c r="N1947" s="3">
        <v>132968.51999999999</v>
      </c>
      <c r="O1947" s="3">
        <v>83312.88</v>
      </c>
      <c r="P1947" s="3" t="s">
        <v>42</v>
      </c>
      <c r="Q1947" s="3" t="s">
        <v>32</v>
      </c>
      <c r="R1947" s="3">
        <v>13</v>
      </c>
      <c r="S1947" s="3" t="s">
        <v>53</v>
      </c>
      <c r="T1947" s="3">
        <v>3667</v>
      </c>
      <c r="U1947" s="3">
        <v>6</v>
      </c>
      <c r="V1947" s="3"/>
    </row>
    <row r="1948" spans="1:22" x14ac:dyDescent="0.35">
      <c r="A1948" s="2" t="s">
        <v>4748</v>
      </c>
      <c r="B1948" s="2" t="s">
        <v>2677</v>
      </c>
      <c r="C1948" s="2" t="s">
        <v>850</v>
      </c>
      <c r="D1948" s="2" t="s">
        <v>4749</v>
      </c>
      <c r="E1948" s="2" t="s">
        <v>48</v>
      </c>
      <c r="F1948" s="2" t="s">
        <v>49</v>
      </c>
      <c r="G1948" s="2" t="s">
        <v>50</v>
      </c>
      <c r="H1948" s="2" t="s">
        <v>260</v>
      </c>
      <c r="I1948" s="2" t="s">
        <v>124</v>
      </c>
      <c r="J1948" s="2">
        <v>400</v>
      </c>
      <c r="K1948" s="2">
        <v>452.56</v>
      </c>
      <c r="L1948" s="2">
        <v>515.21</v>
      </c>
      <c r="M1948" s="2">
        <v>206084</v>
      </c>
      <c r="N1948" s="2">
        <v>181024</v>
      </c>
      <c r="O1948" s="2">
        <v>25060</v>
      </c>
      <c r="P1948" s="2" t="s">
        <v>42</v>
      </c>
      <c r="Q1948" s="2" t="s">
        <v>63</v>
      </c>
      <c r="R1948" s="2">
        <v>1</v>
      </c>
      <c r="S1948" s="2" t="s">
        <v>86</v>
      </c>
      <c r="T1948" s="2">
        <v>2102</v>
      </c>
      <c r="U1948" s="2">
        <v>13</v>
      </c>
      <c r="V1948" s="2"/>
    </row>
    <row r="1949" spans="1:22" x14ac:dyDescent="0.35">
      <c r="A1949" s="3" t="s">
        <v>4750</v>
      </c>
      <c r="B1949" s="3" t="s">
        <v>2063</v>
      </c>
      <c r="C1949" s="3" t="s">
        <v>4751</v>
      </c>
      <c r="D1949" s="3" t="s">
        <v>4752</v>
      </c>
      <c r="E1949" s="3" t="s">
        <v>68</v>
      </c>
      <c r="F1949" s="3" t="s">
        <v>146</v>
      </c>
      <c r="G1949" s="3" t="s">
        <v>50</v>
      </c>
      <c r="H1949" s="3" t="s">
        <v>107</v>
      </c>
      <c r="I1949" s="3" t="s">
        <v>153</v>
      </c>
      <c r="J1949" s="3">
        <v>752</v>
      </c>
      <c r="K1949" s="3">
        <v>260.97000000000003</v>
      </c>
      <c r="L1949" s="3">
        <v>325.95</v>
      </c>
      <c r="M1949" s="3">
        <v>245114.4</v>
      </c>
      <c r="N1949" s="3">
        <v>196249.44</v>
      </c>
      <c r="O1949" s="3">
        <v>48864.959999999999</v>
      </c>
      <c r="P1949" s="3" t="s">
        <v>42</v>
      </c>
      <c r="Q1949" s="3" t="s">
        <v>32</v>
      </c>
      <c r="R1949" s="3">
        <v>6</v>
      </c>
      <c r="S1949" s="3" t="s">
        <v>33</v>
      </c>
      <c r="T1949" s="3">
        <v>390</v>
      </c>
      <c r="U1949" s="3">
        <v>17</v>
      </c>
      <c r="V1949" s="3"/>
    </row>
    <row r="1950" spans="1:22" x14ac:dyDescent="0.35">
      <c r="A1950" s="2" t="s">
        <v>4753</v>
      </c>
      <c r="B1950" s="2" t="s">
        <v>471</v>
      </c>
      <c r="C1950" s="2" t="s">
        <v>2749</v>
      </c>
      <c r="D1950" s="2" t="s">
        <v>4754</v>
      </c>
      <c r="E1950" s="2" t="s">
        <v>26</v>
      </c>
      <c r="F1950" s="2" t="s">
        <v>228</v>
      </c>
      <c r="G1950" s="2" t="s">
        <v>60</v>
      </c>
      <c r="H1950" s="2" t="s">
        <v>265</v>
      </c>
      <c r="I1950" s="2" t="s">
        <v>62</v>
      </c>
      <c r="J1950" s="2">
        <v>769</v>
      </c>
      <c r="K1950" s="2">
        <v>399.39</v>
      </c>
      <c r="L1950" s="2">
        <v>456.56</v>
      </c>
      <c r="M1950" s="2">
        <v>351094.64</v>
      </c>
      <c r="N1950" s="2">
        <v>307130.90999999997</v>
      </c>
      <c r="O1950" s="2">
        <v>43963.73</v>
      </c>
      <c r="P1950" s="2" t="s">
        <v>42</v>
      </c>
      <c r="Q1950" s="2" t="s">
        <v>32</v>
      </c>
      <c r="R1950" s="2">
        <v>14</v>
      </c>
      <c r="S1950" s="2" t="s">
        <v>33</v>
      </c>
      <c r="T1950" s="2">
        <v>851</v>
      </c>
      <c r="U1950" s="2">
        <v>19</v>
      </c>
      <c r="V1950" s="2"/>
    </row>
    <row r="1951" spans="1:22" x14ac:dyDescent="0.35">
      <c r="A1951" s="3" t="s">
        <v>4755</v>
      </c>
      <c r="B1951" s="3" t="s">
        <v>166</v>
      </c>
      <c r="C1951" s="3" t="s">
        <v>1688</v>
      </c>
      <c r="D1951" s="3" t="s">
        <v>4756</v>
      </c>
      <c r="E1951" s="3" t="s">
        <v>58</v>
      </c>
      <c r="F1951" s="3" t="s">
        <v>59</v>
      </c>
      <c r="G1951" s="3" t="s">
        <v>189</v>
      </c>
      <c r="H1951" s="3" t="s">
        <v>365</v>
      </c>
      <c r="I1951" s="3" t="s">
        <v>191</v>
      </c>
      <c r="J1951" s="3">
        <v>559</v>
      </c>
      <c r="K1951" s="3">
        <v>1044.5899999999999</v>
      </c>
      <c r="L1951" s="3">
        <v>1606.34</v>
      </c>
      <c r="M1951" s="3">
        <v>897944.06</v>
      </c>
      <c r="N1951" s="3">
        <v>583925.81000000006</v>
      </c>
      <c r="O1951" s="3">
        <v>314018.25</v>
      </c>
      <c r="P1951" s="3" t="s">
        <v>95</v>
      </c>
      <c r="Q1951" s="3" t="s">
        <v>32</v>
      </c>
      <c r="R1951" s="3">
        <v>15</v>
      </c>
      <c r="S1951" s="3" t="s">
        <v>112</v>
      </c>
      <c r="T1951" s="3">
        <v>4671</v>
      </c>
      <c r="U1951" s="3">
        <v>12</v>
      </c>
      <c r="V1951" s="3"/>
    </row>
    <row r="1952" spans="1:22" x14ac:dyDescent="0.35">
      <c r="A1952" s="2" t="s">
        <v>4757</v>
      </c>
      <c r="B1952" s="2" t="s">
        <v>4758</v>
      </c>
      <c r="C1952" s="2" t="s">
        <v>3814</v>
      </c>
      <c r="D1952" s="2" t="s">
        <v>4759</v>
      </c>
      <c r="E1952" s="2" t="s">
        <v>68</v>
      </c>
      <c r="F1952" s="2" t="s">
        <v>146</v>
      </c>
      <c r="G1952" s="2" t="s">
        <v>189</v>
      </c>
      <c r="H1952" s="2" t="s">
        <v>271</v>
      </c>
      <c r="I1952" s="2" t="s">
        <v>240</v>
      </c>
      <c r="J1952" s="2">
        <v>637</v>
      </c>
      <c r="K1952" s="2">
        <v>310.83999999999997</v>
      </c>
      <c r="L1952" s="2">
        <v>484.76</v>
      </c>
      <c r="M1952" s="2">
        <v>308792.12</v>
      </c>
      <c r="N1952" s="2">
        <v>198005.08</v>
      </c>
      <c r="O1952" s="2">
        <v>110787.04</v>
      </c>
      <c r="P1952" s="2" t="s">
        <v>95</v>
      </c>
      <c r="Q1952" s="2" t="s">
        <v>63</v>
      </c>
      <c r="R1952" s="2">
        <v>4</v>
      </c>
      <c r="S1952" s="2" t="s">
        <v>112</v>
      </c>
      <c r="T1952" s="2">
        <v>921</v>
      </c>
      <c r="U1952" s="2">
        <v>7</v>
      </c>
      <c r="V1952" s="2"/>
    </row>
    <row r="1953" spans="1:22" x14ac:dyDescent="0.35">
      <c r="A1953" s="3" t="s">
        <v>4760</v>
      </c>
      <c r="B1953" s="3" t="s">
        <v>978</v>
      </c>
      <c r="C1953" s="3" t="s">
        <v>175</v>
      </c>
      <c r="D1953" s="3" t="s">
        <v>4761</v>
      </c>
      <c r="E1953" s="3" t="s">
        <v>68</v>
      </c>
      <c r="F1953" s="3" t="s">
        <v>249</v>
      </c>
      <c r="G1953" s="3" t="s">
        <v>50</v>
      </c>
      <c r="H1953" s="3" t="s">
        <v>135</v>
      </c>
      <c r="I1953" s="3" t="s">
        <v>240</v>
      </c>
      <c r="J1953" s="3">
        <v>786</v>
      </c>
      <c r="K1953" s="3">
        <v>650.28</v>
      </c>
      <c r="L1953" s="3">
        <v>852.28</v>
      </c>
      <c r="M1953" s="3">
        <v>669892.07999999996</v>
      </c>
      <c r="N1953" s="3">
        <v>511120.08</v>
      </c>
      <c r="O1953" s="3">
        <v>158772</v>
      </c>
      <c r="P1953" s="3" t="s">
        <v>31</v>
      </c>
      <c r="Q1953" s="3" t="s">
        <v>32</v>
      </c>
      <c r="R1953" s="3">
        <v>12</v>
      </c>
      <c r="S1953" s="3" t="s">
        <v>112</v>
      </c>
      <c r="T1953" s="3">
        <v>3758</v>
      </c>
      <c r="U1953" s="3">
        <v>38</v>
      </c>
      <c r="V1953" s="3"/>
    </row>
    <row r="1954" spans="1:22" x14ac:dyDescent="0.35">
      <c r="A1954" s="2" t="s">
        <v>4762</v>
      </c>
      <c r="B1954" s="2" t="s">
        <v>337</v>
      </c>
      <c r="C1954" s="2" t="s">
        <v>314</v>
      </c>
      <c r="D1954" s="2" t="s">
        <v>4763</v>
      </c>
      <c r="E1954" s="2" t="s">
        <v>68</v>
      </c>
      <c r="F1954" s="2" t="s">
        <v>163</v>
      </c>
      <c r="G1954" s="2" t="s">
        <v>70</v>
      </c>
      <c r="H1954" s="2" t="s">
        <v>71</v>
      </c>
      <c r="I1954" s="2" t="s">
        <v>72</v>
      </c>
      <c r="J1954" s="2">
        <v>590</v>
      </c>
      <c r="K1954" s="2">
        <v>552.70000000000005</v>
      </c>
      <c r="L1954" s="2">
        <v>783.58</v>
      </c>
      <c r="M1954" s="2">
        <v>462312.2</v>
      </c>
      <c r="N1954" s="2">
        <v>326093</v>
      </c>
      <c r="O1954" s="2">
        <v>136219.20000000001</v>
      </c>
      <c r="P1954" s="2" t="s">
        <v>31</v>
      </c>
      <c r="Q1954" s="2" t="s">
        <v>32</v>
      </c>
      <c r="R1954" s="2">
        <v>10</v>
      </c>
      <c r="S1954" s="2" t="s">
        <v>53</v>
      </c>
      <c r="T1954" s="2">
        <v>4905</v>
      </c>
      <c r="U1954" s="2">
        <v>14</v>
      </c>
      <c r="V1954" s="2"/>
    </row>
    <row r="1955" spans="1:22" x14ac:dyDescent="0.35">
      <c r="A1955" s="3" t="s">
        <v>4764</v>
      </c>
      <c r="B1955" s="3" t="s">
        <v>1667</v>
      </c>
      <c r="C1955" s="3" t="s">
        <v>363</v>
      </c>
      <c r="D1955" s="3" t="s">
        <v>4765</v>
      </c>
      <c r="E1955" s="3" t="s">
        <v>100</v>
      </c>
      <c r="F1955" s="3" t="s">
        <v>101</v>
      </c>
      <c r="G1955" s="3" t="s">
        <v>50</v>
      </c>
      <c r="H1955" s="3" t="s">
        <v>51</v>
      </c>
      <c r="I1955" s="3" t="s">
        <v>118</v>
      </c>
      <c r="J1955" s="3">
        <v>601</v>
      </c>
      <c r="K1955" s="3">
        <v>627.21</v>
      </c>
      <c r="L1955" s="4"/>
      <c r="M1955" s="3">
        <v>442275.9</v>
      </c>
      <c r="N1955" s="3">
        <v>376953.21</v>
      </c>
      <c r="O1955" s="3">
        <v>65322.69</v>
      </c>
      <c r="P1955" s="3" t="s">
        <v>31</v>
      </c>
      <c r="Q1955" s="3" t="s">
        <v>32</v>
      </c>
      <c r="R1955" s="3">
        <v>11</v>
      </c>
      <c r="S1955" s="3" t="s">
        <v>53</v>
      </c>
      <c r="T1955" s="3">
        <v>4084</v>
      </c>
      <c r="U1955" s="3">
        <v>26</v>
      </c>
      <c r="V1955" s="3"/>
    </row>
    <row r="1956" spans="1:22" x14ac:dyDescent="0.35">
      <c r="A1956" s="2" t="s">
        <v>4766</v>
      </c>
      <c r="B1956" s="2" t="s">
        <v>522</v>
      </c>
      <c r="C1956" s="2" t="s">
        <v>820</v>
      </c>
      <c r="D1956" s="2" t="s">
        <v>4767</v>
      </c>
      <c r="E1956" s="2" t="s">
        <v>100</v>
      </c>
      <c r="F1956" s="2" t="s">
        <v>538</v>
      </c>
      <c r="G1956" s="2" t="s">
        <v>39</v>
      </c>
      <c r="H1956" s="2" t="s">
        <v>354</v>
      </c>
      <c r="I1956" s="2" t="s">
        <v>62</v>
      </c>
      <c r="J1956" s="2">
        <v>443</v>
      </c>
      <c r="K1956" s="2">
        <v>1181.72</v>
      </c>
      <c r="L1956" s="4"/>
      <c r="M1956" s="2">
        <v>718009.97</v>
      </c>
      <c r="N1956" s="2">
        <v>523501.96</v>
      </c>
      <c r="O1956" s="2">
        <v>194508.01</v>
      </c>
      <c r="P1956" s="2" t="s">
        <v>42</v>
      </c>
      <c r="Q1956" s="2" t="s">
        <v>32</v>
      </c>
      <c r="R1956" s="2">
        <v>12</v>
      </c>
      <c r="S1956" s="2" t="s">
        <v>43</v>
      </c>
      <c r="T1956" s="2">
        <v>2415</v>
      </c>
      <c r="U1956" s="2">
        <v>4</v>
      </c>
      <c r="V1956" s="2"/>
    </row>
    <row r="1957" spans="1:22" x14ac:dyDescent="0.35">
      <c r="A1957" s="3" t="s">
        <v>4768</v>
      </c>
      <c r="B1957" s="3" t="s">
        <v>949</v>
      </c>
      <c r="C1957" s="3" t="s">
        <v>1040</v>
      </c>
      <c r="D1957" s="3" t="s">
        <v>4769</v>
      </c>
      <c r="E1957" s="3" t="s">
        <v>48</v>
      </c>
      <c r="F1957" s="3" t="s">
        <v>281</v>
      </c>
      <c r="G1957" s="3" t="s">
        <v>217</v>
      </c>
      <c r="H1957" s="3" t="s">
        <v>335</v>
      </c>
      <c r="I1957" s="3" t="s">
        <v>141</v>
      </c>
      <c r="J1957" s="3">
        <v>406</v>
      </c>
      <c r="K1957" s="3">
        <v>720.17</v>
      </c>
      <c r="L1957" s="3">
        <v>862.9</v>
      </c>
      <c r="M1957" s="3">
        <v>350337.4</v>
      </c>
      <c r="N1957" s="3">
        <v>292389.02</v>
      </c>
      <c r="O1957" s="3">
        <v>57948.38</v>
      </c>
      <c r="P1957" s="3" t="s">
        <v>52</v>
      </c>
      <c r="Q1957" s="3" t="s">
        <v>32</v>
      </c>
      <c r="R1957" s="3">
        <v>10</v>
      </c>
      <c r="S1957" s="3" t="s">
        <v>53</v>
      </c>
      <c r="T1957" s="3">
        <v>4871</v>
      </c>
      <c r="U1957" s="3">
        <v>11</v>
      </c>
      <c r="V1957" s="3"/>
    </row>
    <row r="1958" spans="1:22" x14ac:dyDescent="0.35">
      <c r="A1958" s="2" t="s">
        <v>4770</v>
      </c>
      <c r="B1958" s="2" t="s">
        <v>1821</v>
      </c>
      <c r="C1958" s="2" t="s">
        <v>4771</v>
      </c>
      <c r="D1958" s="2" t="s">
        <v>4772</v>
      </c>
      <c r="E1958" s="2" t="s">
        <v>48</v>
      </c>
      <c r="F1958" s="2" t="s">
        <v>183</v>
      </c>
      <c r="G1958" s="2" t="s">
        <v>189</v>
      </c>
      <c r="H1958" s="2" t="s">
        <v>311</v>
      </c>
      <c r="I1958" s="2" t="s">
        <v>124</v>
      </c>
      <c r="J1958" s="2">
        <v>593</v>
      </c>
      <c r="K1958" s="2">
        <v>494.54</v>
      </c>
      <c r="L1958" s="2">
        <v>622.29999999999995</v>
      </c>
      <c r="M1958" s="2">
        <v>369023.9</v>
      </c>
      <c r="N1958" s="2">
        <v>293262.21999999997</v>
      </c>
      <c r="O1958" s="2">
        <v>75761.679999999993</v>
      </c>
      <c r="P1958" s="2" t="s">
        <v>52</v>
      </c>
      <c r="Q1958" s="2" t="s">
        <v>32</v>
      </c>
      <c r="R1958" s="2">
        <v>14</v>
      </c>
      <c r="S1958" s="2" t="s">
        <v>33</v>
      </c>
      <c r="T1958" s="2">
        <v>4359</v>
      </c>
      <c r="U1958" s="2">
        <v>20</v>
      </c>
      <c r="V1958" s="2"/>
    </row>
    <row r="1959" spans="1:22" x14ac:dyDescent="0.35">
      <c r="A1959" s="3" t="s">
        <v>4773</v>
      </c>
      <c r="B1959" s="3" t="s">
        <v>362</v>
      </c>
      <c r="C1959" s="3" t="s">
        <v>449</v>
      </c>
      <c r="D1959" s="3" t="s">
        <v>4774</v>
      </c>
      <c r="E1959" s="3" t="s">
        <v>58</v>
      </c>
      <c r="F1959" s="3" t="s">
        <v>116</v>
      </c>
      <c r="G1959" s="3" t="s">
        <v>217</v>
      </c>
      <c r="H1959" s="3" t="s">
        <v>524</v>
      </c>
      <c r="I1959" s="3" t="s">
        <v>153</v>
      </c>
      <c r="J1959" s="3">
        <v>775</v>
      </c>
      <c r="K1959" s="3">
        <v>77.77</v>
      </c>
      <c r="L1959" s="3">
        <v>95.74</v>
      </c>
      <c r="M1959" s="3">
        <v>74198.5</v>
      </c>
      <c r="N1959" s="3">
        <v>60271.75</v>
      </c>
      <c r="O1959" s="3">
        <v>13926.75</v>
      </c>
      <c r="P1959" s="3" t="s">
        <v>52</v>
      </c>
      <c r="Q1959" s="3" t="s">
        <v>63</v>
      </c>
      <c r="R1959" s="3">
        <v>1</v>
      </c>
      <c r="S1959" s="3" t="s">
        <v>112</v>
      </c>
      <c r="T1959" s="3">
        <v>1527</v>
      </c>
      <c r="U1959" s="3">
        <v>36</v>
      </c>
      <c r="V1959" s="3"/>
    </row>
    <row r="1960" spans="1:22" x14ac:dyDescent="0.35">
      <c r="A1960" s="2" t="s">
        <v>4775</v>
      </c>
      <c r="B1960" s="2" t="s">
        <v>2677</v>
      </c>
      <c r="C1960" s="2" t="s">
        <v>2833</v>
      </c>
      <c r="D1960" s="2" t="s">
        <v>560</v>
      </c>
      <c r="E1960" s="2" t="s">
        <v>26</v>
      </c>
      <c r="F1960" s="2" t="s">
        <v>77</v>
      </c>
      <c r="G1960" s="2" t="s">
        <v>60</v>
      </c>
      <c r="H1960" s="2" t="s">
        <v>265</v>
      </c>
      <c r="I1960" s="2" t="s">
        <v>72</v>
      </c>
      <c r="J1960" s="2">
        <v>642</v>
      </c>
      <c r="K1960" s="4"/>
      <c r="L1960" s="2">
        <v>1656.72</v>
      </c>
      <c r="M1960" s="2">
        <v>1063614.24</v>
      </c>
      <c r="N1960" s="2">
        <v>759871.2</v>
      </c>
      <c r="O1960" s="2">
        <v>303743.03999999998</v>
      </c>
      <c r="P1960" s="2" t="s">
        <v>52</v>
      </c>
      <c r="Q1960" s="2" t="s">
        <v>32</v>
      </c>
      <c r="R1960" s="2">
        <v>12</v>
      </c>
      <c r="S1960" s="2" t="s">
        <v>43</v>
      </c>
      <c r="T1960" s="2">
        <v>1221</v>
      </c>
      <c r="U1960" s="2">
        <v>1</v>
      </c>
      <c r="V1960" s="2"/>
    </row>
    <row r="1961" spans="1:22" x14ac:dyDescent="0.35">
      <c r="A1961" s="3" t="s">
        <v>4776</v>
      </c>
      <c r="B1961" s="3" t="s">
        <v>786</v>
      </c>
      <c r="C1961" s="3" t="s">
        <v>898</v>
      </c>
      <c r="D1961" s="3" t="s">
        <v>2838</v>
      </c>
      <c r="E1961" s="3" t="s">
        <v>58</v>
      </c>
      <c r="F1961" s="3" t="s">
        <v>116</v>
      </c>
      <c r="G1961" s="3" t="s">
        <v>50</v>
      </c>
      <c r="H1961" s="3" t="s">
        <v>135</v>
      </c>
      <c r="I1961" s="3" t="s">
        <v>72</v>
      </c>
      <c r="J1961" s="3">
        <v>580</v>
      </c>
      <c r="K1961" s="3">
        <v>951.36</v>
      </c>
      <c r="L1961" s="3">
        <v>1508.24</v>
      </c>
      <c r="M1961" s="3">
        <v>874779.2</v>
      </c>
      <c r="N1961" s="3">
        <v>551788.80000000005</v>
      </c>
      <c r="O1961" s="3">
        <v>322990.40000000002</v>
      </c>
      <c r="P1961" s="3" t="s">
        <v>42</v>
      </c>
      <c r="Q1961" s="3" t="s">
        <v>63</v>
      </c>
      <c r="R1961" s="3">
        <v>4</v>
      </c>
      <c r="S1961" s="3" t="s">
        <v>43</v>
      </c>
      <c r="T1961" s="3">
        <v>4279</v>
      </c>
      <c r="U1961" s="3">
        <v>5</v>
      </c>
      <c r="V1961" s="3"/>
    </row>
    <row r="1962" spans="1:22" x14ac:dyDescent="0.35">
      <c r="A1962" s="2" t="s">
        <v>4777</v>
      </c>
      <c r="B1962" s="2" t="s">
        <v>1164</v>
      </c>
      <c r="C1962" s="2" t="s">
        <v>3187</v>
      </c>
      <c r="D1962" s="2" t="s">
        <v>4778</v>
      </c>
      <c r="E1962" s="2" t="s">
        <v>48</v>
      </c>
      <c r="F1962" s="2" t="s">
        <v>281</v>
      </c>
      <c r="G1962" s="2" t="s">
        <v>93</v>
      </c>
      <c r="H1962" s="2" t="s">
        <v>485</v>
      </c>
      <c r="I1962" s="2" t="s">
        <v>41</v>
      </c>
      <c r="J1962" s="2">
        <v>349</v>
      </c>
      <c r="K1962" s="2">
        <v>372.41</v>
      </c>
      <c r="L1962" s="2">
        <v>572.70000000000005</v>
      </c>
      <c r="M1962" s="2">
        <v>199872.3</v>
      </c>
      <c r="N1962" s="2">
        <v>129971.09</v>
      </c>
      <c r="O1962" s="2">
        <v>69901.210000000006</v>
      </c>
      <c r="P1962" s="2" t="s">
        <v>95</v>
      </c>
      <c r="Q1962" s="2" t="s">
        <v>63</v>
      </c>
      <c r="R1962" s="2">
        <v>1</v>
      </c>
      <c r="S1962" s="2" t="s">
        <v>112</v>
      </c>
      <c r="T1962" s="2">
        <v>389</v>
      </c>
      <c r="U1962" s="2">
        <v>10</v>
      </c>
      <c r="V1962" s="2"/>
    </row>
    <row r="1963" spans="1:22" x14ac:dyDescent="0.35">
      <c r="A1963" s="3" t="s">
        <v>4779</v>
      </c>
      <c r="B1963" s="3" t="s">
        <v>484</v>
      </c>
      <c r="C1963" s="3" t="s">
        <v>716</v>
      </c>
      <c r="D1963" s="3" t="s">
        <v>4780</v>
      </c>
      <c r="E1963" s="3" t="s">
        <v>100</v>
      </c>
      <c r="F1963" s="3" t="s">
        <v>106</v>
      </c>
      <c r="G1963" s="3" t="s">
        <v>217</v>
      </c>
      <c r="H1963" s="3" t="s">
        <v>340</v>
      </c>
      <c r="I1963" s="3" t="s">
        <v>41</v>
      </c>
      <c r="J1963" s="3">
        <v>233</v>
      </c>
      <c r="K1963" s="3">
        <v>112.48</v>
      </c>
      <c r="L1963" s="3">
        <v>178.31</v>
      </c>
      <c r="M1963" s="3">
        <v>41546.230000000003</v>
      </c>
      <c r="N1963" s="3">
        <v>26207.84</v>
      </c>
      <c r="O1963" s="3">
        <v>15338.39</v>
      </c>
      <c r="P1963" s="3" t="s">
        <v>42</v>
      </c>
      <c r="Q1963" s="3" t="s">
        <v>32</v>
      </c>
      <c r="R1963" s="3">
        <v>15</v>
      </c>
      <c r="S1963" s="3" t="s">
        <v>43</v>
      </c>
      <c r="T1963" s="3">
        <v>4687</v>
      </c>
      <c r="U1963" s="3">
        <v>11</v>
      </c>
      <c r="V1963" s="3"/>
    </row>
    <row r="1964" spans="1:22" x14ac:dyDescent="0.35">
      <c r="A1964" s="2" t="s">
        <v>4781</v>
      </c>
      <c r="B1964" s="2" t="s">
        <v>74</v>
      </c>
      <c r="C1964" s="2" t="s">
        <v>1049</v>
      </c>
      <c r="D1964" s="2" t="s">
        <v>4782</v>
      </c>
      <c r="E1964" s="2" t="s">
        <v>48</v>
      </c>
      <c r="F1964" s="2" t="s">
        <v>223</v>
      </c>
      <c r="G1964" s="2" t="s">
        <v>60</v>
      </c>
      <c r="H1964" s="2" t="s">
        <v>164</v>
      </c>
      <c r="I1964" s="2" t="s">
        <v>124</v>
      </c>
      <c r="J1964" s="2">
        <v>128</v>
      </c>
      <c r="K1964" s="2">
        <v>206.58</v>
      </c>
      <c r="L1964" s="2">
        <v>334.07</v>
      </c>
      <c r="M1964" s="2">
        <v>42760.959999999999</v>
      </c>
      <c r="N1964" s="2">
        <v>26442.240000000002</v>
      </c>
      <c r="O1964" s="2">
        <v>16318.72</v>
      </c>
      <c r="P1964" s="2" t="s">
        <v>95</v>
      </c>
      <c r="Q1964" s="2" t="s">
        <v>63</v>
      </c>
      <c r="R1964" s="2">
        <v>5</v>
      </c>
      <c r="S1964" s="2" t="s">
        <v>53</v>
      </c>
      <c r="T1964" s="2">
        <v>1746</v>
      </c>
      <c r="U1964" s="2">
        <v>3</v>
      </c>
      <c r="V1964" s="2"/>
    </row>
    <row r="1965" spans="1:22" x14ac:dyDescent="0.35">
      <c r="A1965" s="3" t="s">
        <v>4783</v>
      </c>
      <c r="B1965" s="3" t="s">
        <v>338</v>
      </c>
      <c r="C1965" s="3" t="s">
        <v>559</v>
      </c>
      <c r="D1965" s="3" t="s">
        <v>4784</v>
      </c>
      <c r="E1965" s="3" t="s">
        <v>58</v>
      </c>
      <c r="F1965" s="3" t="s">
        <v>59</v>
      </c>
      <c r="G1965" s="3" t="s">
        <v>217</v>
      </c>
      <c r="H1965" s="3" t="s">
        <v>524</v>
      </c>
      <c r="I1965" s="3" t="s">
        <v>85</v>
      </c>
      <c r="J1965" s="3">
        <v>90</v>
      </c>
      <c r="K1965" s="3">
        <v>619.05999999999995</v>
      </c>
      <c r="L1965" s="3">
        <v>1021.33</v>
      </c>
      <c r="M1965" s="3">
        <v>91919.7</v>
      </c>
      <c r="N1965" s="3">
        <v>55715.4</v>
      </c>
      <c r="O1965" s="3">
        <v>36204.300000000003</v>
      </c>
      <c r="P1965" s="3" t="s">
        <v>52</v>
      </c>
      <c r="Q1965" s="3" t="s">
        <v>63</v>
      </c>
      <c r="R1965" s="3">
        <v>2</v>
      </c>
      <c r="S1965" s="3" t="s">
        <v>112</v>
      </c>
      <c r="T1965" s="3">
        <v>2570</v>
      </c>
      <c r="U1965" s="3">
        <v>4</v>
      </c>
      <c r="V1965" s="3"/>
    </row>
    <row r="1966" spans="1:22" x14ac:dyDescent="0.35">
      <c r="A1966" s="2" t="s">
        <v>4785</v>
      </c>
      <c r="B1966" s="2" t="s">
        <v>832</v>
      </c>
      <c r="C1966" s="2" t="s">
        <v>1688</v>
      </c>
      <c r="D1966" s="2" t="s">
        <v>4786</v>
      </c>
      <c r="E1966" s="2" t="s">
        <v>100</v>
      </c>
      <c r="F1966" s="2" t="s">
        <v>330</v>
      </c>
      <c r="G1966" s="2" t="s">
        <v>189</v>
      </c>
      <c r="H1966" s="2" t="s">
        <v>561</v>
      </c>
      <c r="I1966" s="2" t="s">
        <v>85</v>
      </c>
      <c r="J1966" s="2">
        <v>388</v>
      </c>
      <c r="K1966" s="2">
        <v>28.32</v>
      </c>
      <c r="L1966" s="2">
        <v>46.04</v>
      </c>
      <c r="M1966" s="2">
        <v>17863.52</v>
      </c>
      <c r="N1966" s="2">
        <v>10988.16</v>
      </c>
      <c r="O1966" s="2">
        <v>6875.36</v>
      </c>
      <c r="P1966" s="2" t="s">
        <v>42</v>
      </c>
      <c r="Q1966" s="2" t="s">
        <v>63</v>
      </c>
      <c r="R1966" s="2">
        <v>5</v>
      </c>
      <c r="S1966" s="2" t="s">
        <v>86</v>
      </c>
      <c r="T1966" s="2">
        <v>4593</v>
      </c>
      <c r="U1966" s="2">
        <v>5</v>
      </c>
      <c r="V1966" s="2"/>
    </row>
    <row r="1967" spans="1:22" x14ac:dyDescent="0.35">
      <c r="A1967" s="3" t="s">
        <v>4787</v>
      </c>
      <c r="B1967" s="3" t="s">
        <v>459</v>
      </c>
      <c r="C1967" s="3" t="s">
        <v>850</v>
      </c>
      <c r="D1967" s="3" t="s">
        <v>4659</v>
      </c>
      <c r="E1967" s="3" t="s">
        <v>58</v>
      </c>
      <c r="F1967" s="3" t="s">
        <v>116</v>
      </c>
      <c r="G1967" s="3" t="s">
        <v>50</v>
      </c>
      <c r="H1967" s="3" t="s">
        <v>173</v>
      </c>
      <c r="I1967" s="3" t="s">
        <v>118</v>
      </c>
      <c r="J1967" s="3">
        <v>264</v>
      </c>
      <c r="K1967" s="3">
        <v>1119.8499999999999</v>
      </c>
      <c r="L1967" s="3">
        <v>1802.93</v>
      </c>
      <c r="M1967" s="3">
        <v>475973.52</v>
      </c>
      <c r="N1967" s="3">
        <v>295640.40000000002</v>
      </c>
      <c r="O1967" s="3">
        <v>180333.12</v>
      </c>
      <c r="P1967" s="3" t="s">
        <v>42</v>
      </c>
      <c r="Q1967" s="3" t="s">
        <v>63</v>
      </c>
      <c r="R1967" s="3">
        <v>5</v>
      </c>
      <c r="S1967" s="3" t="s">
        <v>112</v>
      </c>
      <c r="T1967" s="3">
        <v>392</v>
      </c>
      <c r="U1967" s="3">
        <v>3</v>
      </c>
      <c r="V1967" s="3"/>
    </row>
    <row r="1968" spans="1:22" x14ac:dyDescent="0.35">
      <c r="A1968" s="2" t="s">
        <v>4788</v>
      </c>
      <c r="B1968" s="2" t="s">
        <v>289</v>
      </c>
      <c r="C1968" s="2" t="s">
        <v>1291</v>
      </c>
      <c r="D1968" s="2" t="s">
        <v>4162</v>
      </c>
      <c r="E1968" s="2" t="s">
        <v>58</v>
      </c>
      <c r="F1968" s="2" t="s">
        <v>259</v>
      </c>
      <c r="G1968" s="2" t="s">
        <v>78</v>
      </c>
      <c r="H1968" s="2" t="s">
        <v>79</v>
      </c>
      <c r="I1968" s="2" t="s">
        <v>72</v>
      </c>
      <c r="J1968" s="2">
        <v>644</v>
      </c>
      <c r="K1968" s="2">
        <v>1070.19</v>
      </c>
      <c r="L1968" s="2">
        <v>1229.73</v>
      </c>
      <c r="M1968" s="2">
        <v>791946.12</v>
      </c>
      <c r="N1968" s="2">
        <v>689202.36</v>
      </c>
      <c r="O1968" s="2">
        <v>102743.76</v>
      </c>
      <c r="P1968" s="2" t="s">
        <v>42</v>
      </c>
      <c r="Q1968" s="2" t="s">
        <v>32</v>
      </c>
      <c r="R1968" s="2">
        <v>11</v>
      </c>
      <c r="S1968" s="2" t="s">
        <v>86</v>
      </c>
      <c r="T1968" s="2">
        <v>281</v>
      </c>
      <c r="U1968" s="2">
        <v>15</v>
      </c>
      <c r="V1968" s="2"/>
    </row>
    <row r="1969" spans="1:22" x14ac:dyDescent="0.35">
      <c r="A1969" s="3" t="s">
        <v>4789</v>
      </c>
      <c r="B1969" s="3" t="s">
        <v>390</v>
      </c>
      <c r="C1969" s="3" t="s">
        <v>1050</v>
      </c>
      <c r="D1969" s="3" t="s">
        <v>4790</v>
      </c>
      <c r="E1969" s="3" t="s">
        <v>58</v>
      </c>
      <c r="F1969" s="3" t="s">
        <v>122</v>
      </c>
      <c r="G1969" s="3" t="s">
        <v>70</v>
      </c>
      <c r="H1969" s="3" t="s">
        <v>71</v>
      </c>
      <c r="I1969" s="3" t="s">
        <v>85</v>
      </c>
      <c r="J1969" s="3">
        <v>475</v>
      </c>
      <c r="K1969" s="3">
        <v>792.28</v>
      </c>
      <c r="L1969" s="3">
        <v>1008.82</v>
      </c>
      <c r="M1969" s="3">
        <v>479189.5</v>
      </c>
      <c r="N1969" s="3">
        <v>376333</v>
      </c>
      <c r="O1969" s="3">
        <v>102856.5</v>
      </c>
      <c r="P1969" s="3" t="s">
        <v>31</v>
      </c>
      <c r="Q1969" s="3" t="s">
        <v>63</v>
      </c>
      <c r="R1969" s="3">
        <v>2</v>
      </c>
      <c r="S1969" s="3" t="s">
        <v>53</v>
      </c>
      <c r="T1969" s="3">
        <v>4886</v>
      </c>
      <c r="U1969" s="3">
        <v>1</v>
      </c>
      <c r="V1969" s="3"/>
    </row>
    <row r="1970" spans="1:22" x14ac:dyDescent="0.35">
      <c r="A1970" s="2" t="s">
        <v>4791</v>
      </c>
      <c r="B1970" s="2" t="s">
        <v>467</v>
      </c>
      <c r="C1970" s="2" t="s">
        <v>1152</v>
      </c>
      <c r="D1970" s="2" t="s">
        <v>4792</v>
      </c>
      <c r="E1970" s="2" t="s">
        <v>58</v>
      </c>
      <c r="F1970" s="2" t="s">
        <v>417</v>
      </c>
      <c r="G1970" s="2" t="s">
        <v>78</v>
      </c>
      <c r="H1970" s="2" t="s">
        <v>79</v>
      </c>
      <c r="I1970" s="2" t="s">
        <v>141</v>
      </c>
      <c r="J1970" s="2">
        <v>120</v>
      </c>
      <c r="K1970" s="2">
        <v>945.51</v>
      </c>
      <c r="L1970" s="2">
        <v>1452.15</v>
      </c>
      <c r="M1970" s="2">
        <v>174258</v>
      </c>
      <c r="N1970" s="2">
        <v>113461.2</v>
      </c>
      <c r="O1970" s="2">
        <v>60796.800000000003</v>
      </c>
      <c r="P1970" s="2" t="s">
        <v>31</v>
      </c>
      <c r="Q1970" s="2" t="s">
        <v>32</v>
      </c>
      <c r="R1970" s="2">
        <v>11</v>
      </c>
      <c r="S1970" s="2" t="s">
        <v>112</v>
      </c>
      <c r="T1970" s="2">
        <v>515</v>
      </c>
      <c r="U1970" s="2">
        <v>5</v>
      </c>
      <c r="V1970" s="2"/>
    </row>
    <row r="1971" spans="1:22" x14ac:dyDescent="0.35">
      <c r="A1971" s="3" t="s">
        <v>4793</v>
      </c>
      <c r="B1971" s="3" t="s">
        <v>919</v>
      </c>
      <c r="C1971" s="3" t="s">
        <v>1341</v>
      </c>
      <c r="D1971" s="3" t="s">
        <v>4794</v>
      </c>
      <c r="E1971" s="3" t="s">
        <v>100</v>
      </c>
      <c r="F1971" s="3" t="s">
        <v>538</v>
      </c>
      <c r="G1971" s="3" t="s">
        <v>189</v>
      </c>
      <c r="H1971" s="3" t="s">
        <v>437</v>
      </c>
      <c r="I1971" s="3" t="s">
        <v>124</v>
      </c>
      <c r="J1971" s="3">
        <v>532</v>
      </c>
      <c r="K1971" s="3">
        <v>1060.96</v>
      </c>
      <c r="L1971" s="3">
        <v>1677.15</v>
      </c>
      <c r="M1971" s="3">
        <v>892243.8</v>
      </c>
      <c r="N1971" s="3">
        <v>564430.72</v>
      </c>
      <c r="O1971" s="3">
        <v>327813.08</v>
      </c>
      <c r="P1971" s="3" t="s">
        <v>31</v>
      </c>
      <c r="Q1971" s="3" t="s">
        <v>32</v>
      </c>
      <c r="R1971" s="3">
        <v>9</v>
      </c>
      <c r="S1971" s="3" t="s">
        <v>53</v>
      </c>
      <c r="T1971" s="3">
        <v>2756</v>
      </c>
      <c r="U1971" s="3">
        <v>15</v>
      </c>
      <c r="V1971" s="3"/>
    </row>
    <row r="1972" spans="1:22" x14ac:dyDescent="0.35">
      <c r="A1972" s="2" t="s">
        <v>4795</v>
      </c>
      <c r="B1972" s="2" t="s">
        <v>1913</v>
      </c>
      <c r="C1972" s="2" t="s">
        <v>2310</v>
      </c>
      <c r="D1972" s="2" t="s">
        <v>4796</v>
      </c>
      <c r="E1972" s="2" t="s">
        <v>58</v>
      </c>
      <c r="F1972" s="2" t="s">
        <v>116</v>
      </c>
      <c r="G1972" s="2" t="s">
        <v>70</v>
      </c>
      <c r="H1972" s="2" t="s">
        <v>446</v>
      </c>
      <c r="I1972" s="2" t="s">
        <v>153</v>
      </c>
      <c r="J1972" s="2">
        <v>647</v>
      </c>
      <c r="K1972" s="2">
        <v>884.87</v>
      </c>
      <c r="L1972" s="2">
        <v>1043.55</v>
      </c>
      <c r="M1972" s="2">
        <v>675176.85</v>
      </c>
      <c r="N1972" s="2">
        <v>572510.89</v>
      </c>
      <c r="O1972" s="2">
        <v>102665.96</v>
      </c>
      <c r="P1972" s="2" t="s">
        <v>95</v>
      </c>
      <c r="Q1972" s="2" t="s">
        <v>32</v>
      </c>
      <c r="R1972" s="2">
        <v>8</v>
      </c>
      <c r="S1972" s="2" t="s">
        <v>112</v>
      </c>
      <c r="T1972" s="2">
        <v>1966</v>
      </c>
      <c r="U1972" s="2">
        <v>18</v>
      </c>
      <c r="V1972" s="2"/>
    </row>
    <row r="1973" spans="1:22" x14ac:dyDescent="0.35">
      <c r="A1973" s="3" t="s">
        <v>4797</v>
      </c>
      <c r="B1973" s="3" t="s">
        <v>630</v>
      </c>
      <c r="C1973" s="3" t="s">
        <v>4798</v>
      </c>
      <c r="D1973" s="3" t="s">
        <v>4799</v>
      </c>
      <c r="E1973" s="3" t="s">
        <v>58</v>
      </c>
      <c r="F1973" s="3" t="s">
        <v>2017</v>
      </c>
      <c r="G1973" s="3" t="s">
        <v>60</v>
      </c>
      <c r="H1973" s="3" t="s">
        <v>61</v>
      </c>
      <c r="I1973" s="3" t="s">
        <v>191</v>
      </c>
      <c r="J1973" s="3">
        <v>384</v>
      </c>
      <c r="K1973" s="3">
        <v>961.55</v>
      </c>
      <c r="L1973" s="3">
        <v>1231.83</v>
      </c>
      <c r="M1973" s="3">
        <v>473022.71999999997</v>
      </c>
      <c r="N1973" s="3">
        <v>369235.20000000001</v>
      </c>
      <c r="O1973" s="3">
        <v>103787.52</v>
      </c>
      <c r="P1973" s="3" t="s">
        <v>31</v>
      </c>
      <c r="Q1973" s="3" t="s">
        <v>32</v>
      </c>
      <c r="R1973" s="3">
        <v>9</v>
      </c>
      <c r="S1973" s="3" t="s">
        <v>53</v>
      </c>
      <c r="T1973" s="3">
        <v>3420</v>
      </c>
      <c r="U1973" s="3">
        <v>19</v>
      </c>
      <c r="V1973" s="3"/>
    </row>
    <row r="1974" spans="1:22" x14ac:dyDescent="0.35">
      <c r="A1974" s="3" t="s">
        <v>4800</v>
      </c>
      <c r="B1974" s="3" t="s">
        <v>701</v>
      </c>
      <c r="C1974" s="3" t="s">
        <v>1483</v>
      </c>
      <c r="D1974" s="3" t="s">
        <v>358</v>
      </c>
      <c r="E1974" s="3" t="s">
        <v>48</v>
      </c>
      <c r="F1974" s="3" t="s">
        <v>270</v>
      </c>
      <c r="G1974" s="3" t="s">
        <v>60</v>
      </c>
      <c r="H1974" s="3" t="s">
        <v>61</v>
      </c>
      <c r="I1974" s="3" t="s">
        <v>72</v>
      </c>
      <c r="J1974" s="3">
        <v>763</v>
      </c>
      <c r="K1974" s="3">
        <v>737.46</v>
      </c>
      <c r="L1974" s="3">
        <v>1188.32</v>
      </c>
      <c r="M1974" s="3">
        <v>906688.16</v>
      </c>
      <c r="N1974" s="3">
        <v>562681.98</v>
      </c>
      <c r="O1974" s="3">
        <v>344006.18</v>
      </c>
      <c r="P1974" s="3" t="s">
        <v>42</v>
      </c>
      <c r="Q1974" s="3" t="s">
        <v>32</v>
      </c>
      <c r="R1974" s="3">
        <v>14</v>
      </c>
      <c r="S1974" s="3" t="s">
        <v>53</v>
      </c>
      <c r="T1974" s="3">
        <v>590</v>
      </c>
      <c r="U1974" s="3">
        <v>6</v>
      </c>
      <c r="V1974" s="3"/>
    </row>
    <row r="1975" spans="1:22" x14ac:dyDescent="0.35">
      <c r="A1975" s="2" t="s">
        <v>4801</v>
      </c>
      <c r="B1975" s="2" t="s">
        <v>2849</v>
      </c>
      <c r="C1975" s="2" t="s">
        <v>3673</v>
      </c>
      <c r="D1975" s="2" t="s">
        <v>4802</v>
      </c>
      <c r="E1975" s="2" t="s">
        <v>100</v>
      </c>
      <c r="F1975" s="2" t="s">
        <v>106</v>
      </c>
      <c r="G1975" s="2" t="s">
        <v>28</v>
      </c>
      <c r="H1975" s="2" t="s">
        <v>674</v>
      </c>
      <c r="I1975" s="2" t="s">
        <v>62</v>
      </c>
      <c r="J1975" s="2">
        <v>215</v>
      </c>
      <c r="K1975" s="2">
        <v>530.76</v>
      </c>
      <c r="L1975" s="2">
        <v>846.71</v>
      </c>
      <c r="M1975" s="2">
        <v>182042.65</v>
      </c>
      <c r="N1975" s="2">
        <v>114113.4</v>
      </c>
      <c r="O1975" s="2">
        <v>67929.25</v>
      </c>
      <c r="P1975" s="2" t="s">
        <v>42</v>
      </c>
      <c r="Q1975" s="2" t="s">
        <v>63</v>
      </c>
      <c r="R1975" s="2">
        <v>2</v>
      </c>
      <c r="S1975" s="2" t="s">
        <v>43</v>
      </c>
      <c r="T1975" s="2">
        <v>4062</v>
      </c>
      <c r="U1975" s="2">
        <v>9</v>
      </c>
      <c r="V1975" s="2"/>
    </row>
    <row r="1976" spans="1:22" x14ac:dyDescent="0.35">
      <c r="A1976" s="3" t="s">
        <v>1979</v>
      </c>
      <c r="B1976" s="3" t="s">
        <v>1165</v>
      </c>
      <c r="C1976" s="3" t="s">
        <v>1398</v>
      </c>
      <c r="D1976" s="3" t="s">
        <v>1980</v>
      </c>
      <c r="E1976" s="3" t="s">
        <v>58</v>
      </c>
      <c r="F1976" s="3" t="s">
        <v>116</v>
      </c>
      <c r="G1976" s="3" t="s">
        <v>50</v>
      </c>
      <c r="H1976" s="3" t="s">
        <v>51</v>
      </c>
      <c r="I1976" s="3" t="s">
        <v>293</v>
      </c>
      <c r="J1976" s="3">
        <v>172</v>
      </c>
      <c r="K1976" s="3">
        <v>38.299999999999997</v>
      </c>
      <c r="L1976" s="3">
        <v>62.41</v>
      </c>
      <c r="M1976" s="3">
        <v>10734.52</v>
      </c>
      <c r="N1976" s="3">
        <v>6587.6</v>
      </c>
      <c r="O1976" s="3">
        <v>4146.92</v>
      </c>
      <c r="P1976" s="3" t="s">
        <v>31</v>
      </c>
      <c r="Q1976" s="3" t="s">
        <v>32</v>
      </c>
      <c r="R1976" s="3">
        <v>13</v>
      </c>
      <c r="S1976" s="3" t="s">
        <v>158</v>
      </c>
      <c r="T1976" s="3">
        <v>1676</v>
      </c>
      <c r="U1976" s="3">
        <v>0</v>
      </c>
      <c r="V1976" s="3"/>
    </row>
    <row r="1977" spans="1:22" x14ac:dyDescent="0.35">
      <c r="A1977" s="2" t="s">
        <v>4803</v>
      </c>
      <c r="B1977" s="2" t="s">
        <v>611</v>
      </c>
      <c r="C1977" s="2" t="s">
        <v>778</v>
      </c>
      <c r="D1977" s="2" t="s">
        <v>4804</v>
      </c>
      <c r="E1977" s="2" t="s">
        <v>26</v>
      </c>
      <c r="F1977" s="2" t="s">
        <v>27</v>
      </c>
      <c r="G1977" s="2" t="s">
        <v>70</v>
      </c>
      <c r="H1977" s="2" t="s">
        <v>623</v>
      </c>
      <c r="I1977" s="2" t="s">
        <v>85</v>
      </c>
      <c r="J1977" s="2">
        <v>49</v>
      </c>
      <c r="K1977" s="2">
        <v>428.53</v>
      </c>
      <c r="L1977" s="2">
        <v>512.54</v>
      </c>
      <c r="M1977" s="2">
        <v>25114.46</v>
      </c>
      <c r="N1977" s="2">
        <v>20997.97</v>
      </c>
      <c r="O1977" s="2">
        <v>4116.49</v>
      </c>
      <c r="P1977" s="2" t="s">
        <v>31</v>
      </c>
      <c r="Q1977" s="2" t="s">
        <v>32</v>
      </c>
      <c r="R1977" s="2">
        <v>12</v>
      </c>
      <c r="S1977" s="2" t="s">
        <v>43</v>
      </c>
      <c r="T1977" s="2">
        <v>4964</v>
      </c>
      <c r="U1977" s="2">
        <v>2</v>
      </c>
      <c r="V1977" s="2"/>
    </row>
    <row r="1978" spans="1:22" x14ac:dyDescent="0.35">
      <c r="A1978" s="3" t="s">
        <v>4805</v>
      </c>
      <c r="B1978" s="3" t="s">
        <v>1130</v>
      </c>
      <c r="C1978" s="3" t="s">
        <v>1143</v>
      </c>
      <c r="D1978" s="3" t="s">
        <v>4806</v>
      </c>
      <c r="E1978" s="3" t="s">
        <v>48</v>
      </c>
      <c r="F1978" s="3" t="s">
        <v>270</v>
      </c>
      <c r="G1978" s="3" t="s">
        <v>189</v>
      </c>
      <c r="H1978" s="3" t="s">
        <v>437</v>
      </c>
      <c r="I1978" s="3" t="s">
        <v>153</v>
      </c>
      <c r="J1978" s="3">
        <v>127</v>
      </c>
      <c r="K1978" s="3">
        <v>470.77</v>
      </c>
      <c r="L1978" s="3">
        <v>667.84</v>
      </c>
      <c r="M1978" s="3">
        <v>84815.679999999993</v>
      </c>
      <c r="N1978" s="3">
        <v>59787.79</v>
      </c>
      <c r="O1978" s="3">
        <v>25027.89</v>
      </c>
      <c r="P1978" s="3" t="s">
        <v>95</v>
      </c>
      <c r="Q1978" s="3" t="s">
        <v>32</v>
      </c>
      <c r="R1978" s="3">
        <v>14</v>
      </c>
      <c r="S1978" s="3" t="s">
        <v>43</v>
      </c>
      <c r="T1978" s="3">
        <v>4084</v>
      </c>
      <c r="U1978" s="3">
        <v>3</v>
      </c>
      <c r="V1978" s="3"/>
    </row>
    <row r="1979" spans="1:22" x14ac:dyDescent="0.35">
      <c r="A1979" s="2" t="s">
        <v>4807</v>
      </c>
      <c r="B1979" s="2" t="s">
        <v>35</v>
      </c>
      <c r="C1979" s="2" t="s">
        <v>581</v>
      </c>
      <c r="D1979" s="2" t="s">
        <v>4808</v>
      </c>
      <c r="E1979" s="2" t="s">
        <v>58</v>
      </c>
      <c r="F1979" s="2" t="s">
        <v>59</v>
      </c>
      <c r="G1979" s="2" t="s">
        <v>129</v>
      </c>
      <c r="H1979" s="2" t="s">
        <v>316</v>
      </c>
      <c r="I1979" s="2" t="s">
        <v>1660</v>
      </c>
      <c r="J1979" s="2">
        <v>703</v>
      </c>
      <c r="K1979" s="2">
        <v>948.63</v>
      </c>
      <c r="L1979" s="2">
        <v>1256.9100000000001</v>
      </c>
      <c r="M1979" s="2">
        <v>883607.73</v>
      </c>
      <c r="N1979" s="2">
        <v>666886.89</v>
      </c>
      <c r="O1979" s="2">
        <v>216720.84</v>
      </c>
      <c r="P1979" s="2" t="s">
        <v>31</v>
      </c>
      <c r="Q1979" s="2" t="s">
        <v>32</v>
      </c>
      <c r="R1979" s="2">
        <v>10</v>
      </c>
      <c r="S1979" s="2" t="s">
        <v>158</v>
      </c>
      <c r="T1979" s="2">
        <v>1025</v>
      </c>
      <c r="U1979" s="2">
        <v>3</v>
      </c>
      <c r="V1979" s="2"/>
    </row>
    <row r="1980" spans="1:22" x14ac:dyDescent="0.35">
      <c r="A1980" s="3" t="s">
        <v>4809</v>
      </c>
      <c r="B1980" s="3" t="s">
        <v>390</v>
      </c>
      <c r="C1980" s="3" t="s">
        <v>45</v>
      </c>
      <c r="D1980" s="3" t="s">
        <v>4810</v>
      </c>
      <c r="E1980" s="3" t="s">
        <v>100</v>
      </c>
      <c r="F1980" s="3" t="s">
        <v>330</v>
      </c>
      <c r="G1980" s="3" t="s">
        <v>50</v>
      </c>
      <c r="H1980" s="3" t="s">
        <v>260</v>
      </c>
      <c r="I1980" s="3" t="s">
        <v>118</v>
      </c>
      <c r="J1980" s="3">
        <v>521</v>
      </c>
      <c r="K1980" s="3">
        <v>960.63</v>
      </c>
      <c r="L1980" s="3">
        <v>1292.54</v>
      </c>
      <c r="M1980" s="3">
        <v>673413.34</v>
      </c>
      <c r="N1980" s="3">
        <v>500488.23</v>
      </c>
      <c r="O1980" s="3">
        <v>172925.11</v>
      </c>
      <c r="P1980" s="3" t="s">
        <v>52</v>
      </c>
      <c r="Q1980" s="3" t="s">
        <v>32</v>
      </c>
      <c r="R1980" s="3">
        <v>6</v>
      </c>
      <c r="S1980" s="3" t="s">
        <v>33</v>
      </c>
      <c r="T1980" s="3">
        <v>3461</v>
      </c>
      <c r="U1980" s="3">
        <v>14</v>
      </c>
      <c r="V1980" s="3"/>
    </row>
    <row r="1981" spans="1:22" x14ac:dyDescent="0.35">
      <c r="A1981" s="2" t="s">
        <v>4811</v>
      </c>
      <c r="B1981" s="2" t="s">
        <v>56</v>
      </c>
      <c r="C1981" s="2" t="s">
        <v>657</v>
      </c>
      <c r="D1981" s="2" t="s">
        <v>4812</v>
      </c>
      <c r="E1981" s="2" t="s">
        <v>68</v>
      </c>
      <c r="F1981" s="2" t="s">
        <v>249</v>
      </c>
      <c r="G1981" s="2" t="s">
        <v>70</v>
      </c>
      <c r="H1981" s="2" t="s">
        <v>822</v>
      </c>
      <c r="I1981" s="2" t="s">
        <v>293</v>
      </c>
      <c r="J1981" s="2">
        <v>681</v>
      </c>
      <c r="K1981" s="2">
        <v>785.15</v>
      </c>
      <c r="L1981" s="2">
        <v>942.59</v>
      </c>
      <c r="M1981" s="2">
        <v>641903.79</v>
      </c>
      <c r="N1981" s="2">
        <v>534687.15</v>
      </c>
      <c r="O1981" s="2">
        <v>107216.64</v>
      </c>
      <c r="P1981" s="2" t="s">
        <v>31</v>
      </c>
      <c r="Q1981" s="2" t="s">
        <v>63</v>
      </c>
      <c r="R1981" s="2">
        <v>3</v>
      </c>
      <c r="S1981" s="2" t="s">
        <v>43</v>
      </c>
      <c r="T1981" s="2">
        <v>2810</v>
      </c>
      <c r="U1981" s="2">
        <v>18</v>
      </c>
      <c r="V1981" s="2"/>
    </row>
    <row r="1982" spans="1:22" x14ac:dyDescent="0.35">
      <c r="A1982" s="3" t="s">
        <v>4813</v>
      </c>
      <c r="B1982" s="3" t="s">
        <v>187</v>
      </c>
      <c r="C1982" s="3" t="s">
        <v>4814</v>
      </c>
      <c r="D1982" s="3" t="s">
        <v>4815</v>
      </c>
      <c r="E1982" s="3" t="s">
        <v>100</v>
      </c>
      <c r="F1982" s="3" t="s">
        <v>106</v>
      </c>
      <c r="G1982" s="3" t="s">
        <v>93</v>
      </c>
      <c r="H1982" s="3" t="s">
        <v>94</v>
      </c>
      <c r="I1982" s="3" t="s">
        <v>191</v>
      </c>
      <c r="J1982" s="3">
        <v>536</v>
      </c>
      <c r="K1982" s="3">
        <v>981.88</v>
      </c>
      <c r="L1982" s="3">
        <v>1206.46</v>
      </c>
      <c r="M1982" s="3">
        <v>646662.56000000006</v>
      </c>
      <c r="N1982" s="3">
        <v>526287.68000000005</v>
      </c>
      <c r="O1982" s="3">
        <v>120374.88</v>
      </c>
      <c r="P1982" s="3" t="s">
        <v>52</v>
      </c>
      <c r="Q1982" s="3" t="s">
        <v>63</v>
      </c>
      <c r="R1982" s="3">
        <v>2</v>
      </c>
      <c r="S1982" s="3" t="s">
        <v>43</v>
      </c>
      <c r="T1982" s="3">
        <v>1580</v>
      </c>
      <c r="U1982" s="3">
        <v>0</v>
      </c>
      <c r="V1982" s="3"/>
    </row>
    <row r="1983" spans="1:22" x14ac:dyDescent="0.35">
      <c r="A1983" s="2" t="s">
        <v>4816</v>
      </c>
      <c r="B1983" s="2" t="s">
        <v>4817</v>
      </c>
      <c r="C1983" s="2" t="s">
        <v>382</v>
      </c>
      <c r="D1983" s="2" t="s">
        <v>4818</v>
      </c>
      <c r="E1983" s="2" t="s">
        <v>68</v>
      </c>
      <c r="F1983" s="2" t="s">
        <v>146</v>
      </c>
      <c r="G1983" s="2" t="s">
        <v>70</v>
      </c>
      <c r="H1983" s="2" t="s">
        <v>84</v>
      </c>
      <c r="I1983" s="2" t="s">
        <v>118</v>
      </c>
      <c r="J1983" s="2">
        <v>267</v>
      </c>
      <c r="K1983" s="2">
        <v>986.92</v>
      </c>
      <c r="L1983" s="2">
        <v>1555.25</v>
      </c>
      <c r="M1983" s="2">
        <v>415251.75</v>
      </c>
      <c r="N1983" s="2">
        <v>263507.64</v>
      </c>
      <c r="O1983" s="2">
        <v>151744.10999999999</v>
      </c>
      <c r="P1983" s="2" t="s">
        <v>52</v>
      </c>
      <c r="Q1983" s="2" t="s">
        <v>32</v>
      </c>
      <c r="R1983" s="2">
        <v>12</v>
      </c>
      <c r="S1983" s="2" t="s">
        <v>158</v>
      </c>
      <c r="T1983" s="2">
        <v>4826</v>
      </c>
      <c r="U1983" s="2">
        <v>13</v>
      </c>
      <c r="V1983" s="2"/>
    </row>
    <row r="1984" spans="1:22" x14ac:dyDescent="0.35">
      <c r="A1984" s="3" t="s">
        <v>4819</v>
      </c>
      <c r="B1984" s="3" t="s">
        <v>402</v>
      </c>
      <c r="C1984" s="3" t="s">
        <v>4820</v>
      </c>
      <c r="D1984" s="3" t="s">
        <v>4821</v>
      </c>
      <c r="E1984" s="3" t="s">
        <v>100</v>
      </c>
      <c r="F1984" s="3" t="s">
        <v>330</v>
      </c>
      <c r="G1984" s="3" t="s">
        <v>78</v>
      </c>
      <c r="H1984" s="3" t="s">
        <v>628</v>
      </c>
      <c r="I1984" s="3" t="s">
        <v>240</v>
      </c>
      <c r="J1984" s="3">
        <v>88</v>
      </c>
      <c r="K1984" s="3">
        <v>817.98</v>
      </c>
      <c r="L1984" s="3">
        <v>964.46</v>
      </c>
      <c r="M1984" s="3">
        <v>84872.48</v>
      </c>
      <c r="N1984" s="3">
        <v>71982.240000000005</v>
      </c>
      <c r="O1984" s="3">
        <v>12890.24</v>
      </c>
      <c r="P1984" s="3" t="s">
        <v>52</v>
      </c>
      <c r="Q1984" s="3" t="s">
        <v>32</v>
      </c>
      <c r="R1984" s="3">
        <v>14</v>
      </c>
      <c r="S1984" s="3" t="s">
        <v>43</v>
      </c>
      <c r="T1984" s="3">
        <v>1809</v>
      </c>
      <c r="U1984" s="3">
        <v>1</v>
      </c>
      <c r="V1984" s="3"/>
    </row>
    <row r="1985" spans="1:22" x14ac:dyDescent="0.35">
      <c r="A1985" s="2" t="s">
        <v>4822</v>
      </c>
      <c r="B1985" s="2" t="s">
        <v>23</v>
      </c>
      <c r="C1985" s="2" t="s">
        <v>640</v>
      </c>
      <c r="D1985" s="2" t="s">
        <v>4823</v>
      </c>
      <c r="E1985" s="2" t="s">
        <v>26</v>
      </c>
      <c r="F1985" s="2" t="s">
        <v>228</v>
      </c>
      <c r="G1985" s="2" t="s">
        <v>93</v>
      </c>
      <c r="H1985" s="2" t="s">
        <v>184</v>
      </c>
      <c r="I1985" s="2" t="s">
        <v>141</v>
      </c>
      <c r="J1985" s="2">
        <v>538</v>
      </c>
      <c r="K1985" s="2">
        <v>496.94</v>
      </c>
      <c r="L1985" s="2">
        <v>732.83</v>
      </c>
      <c r="M1985" s="2">
        <v>394262.54</v>
      </c>
      <c r="N1985" s="2">
        <v>267353.71999999997</v>
      </c>
      <c r="O1985" s="2">
        <v>126908.82</v>
      </c>
      <c r="P1985" s="2" t="s">
        <v>52</v>
      </c>
      <c r="Q1985" s="2" t="s">
        <v>32</v>
      </c>
      <c r="R1985" s="2">
        <v>11</v>
      </c>
      <c r="S1985" s="2" t="s">
        <v>112</v>
      </c>
      <c r="T1985" s="2">
        <v>4820</v>
      </c>
      <c r="U1985" s="2">
        <v>17</v>
      </c>
      <c r="V1985" s="2"/>
    </row>
    <row r="1986" spans="1:22" x14ac:dyDescent="0.35">
      <c r="A1986" s="3" t="s">
        <v>4824</v>
      </c>
      <c r="B1986" s="3" t="s">
        <v>1034</v>
      </c>
      <c r="C1986" s="3" t="s">
        <v>274</v>
      </c>
      <c r="D1986" s="3" t="s">
        <v>4825</v>
      </c>
      <c r="E1986" s="3" t="s">
        <v>100</v>
      </c>
      <c r="F1986" s="3" t="s">
        <v>538</v>
      </c>
      <c r="G1986" s="3" t="s">
        <v>78</v>
      </c>
      <c r="H1986" s="3" t="s">
        <v>572</v>
      </c>
      <c r="I1986" s="3" t="s">
        <v>240</v>
      </c>
      <c r="J1986" s="3">
        <v>522</v>
      </c>
      <c r="K1986" s="3">
        <v>1021.34</v>
      </c>
      <c r="L1986" s="3">
        <v>1163.9000000000001</v>
      </c>
      <c r="M1986" s="3">
        <v>607555.80000000005</v>
      </c>
      <c r="N1986" s="3">
        <v>533139.48</v>
      </c>
      <c r="O1986" s="3">
        <v>74416.320000000007</v>
      </c>
      <c r="P1986" s="3" t="s">
        <v>31</v>
      </c>
      <c r="Q1986" s="3" t="s">
        <v>63</v>
      </c>
      <c r="R1986" s="3">
        <v>4</v>
      </c>
      <c r="S1986" s="3" t="s">
        <v>43</v>
      </c>
      <c r="T1986" s="3">
        <v>2426</v>
      </c>
      <c r="U1986" s="3">
        <v>20</v>
      </c>
      <c r="V1986" s="3"/>
    </row>
    <row r="1987" spans="1:22" x14ac:dyDescent="0.35">
      <c r="A1987" s="2" t="s">
        <v>4826</v>
      </c>
      <c r="B1987" s="2" t="s">
        <v>1328</v>
      </c>
      <c r="C1987" s="2" t="s">
        <v>1201</v>
      </c>
      <c r="D1987" s="2" t="s">
        <v>4827</v>
      </c>
      <c r="E1987" s="2" t="s">
        <v>26</v>
      </c>
      <c r="F1987" s="2" t="s">
        <v>228</v>
      </c>
      <c r="G1987" s="2" t="s">
        <v>129</v>
      </c>
      <c r="H1987" s="2" t="s">
        <v>316</v>
      </c>
      <c r="I1987" s="2" t="s">
        <v>41</v>
      </c>
      <c r="J1987" s="2">
        <v>570</v>
      </c>
      <c r="K1987" s="2">
        <v>646.51</v>
      </c>
      <c r="L1987" s="2">
        <v>961.19</v>
      </c>
      <c r="M1987" s="2">
        <v>547878.30000000005</v>
      </c>
      <c r="N1987" s="2">
        <v>368510.7</v>
      </c>
      <c r="O1987" s="2">
        <v>179367.6</v>
      </c>
      <c r="P1987" s="2" t="s">
        <v>52</v>
      </c>
      <c r="Q1987" s="2" t="s">
        <v>32</v>
      </c>
      <c r="R1987" s="2">
        <v>12</v>
      </c>
      <c r="S1987" s="2" t="s">
        <v>33</v>
      </c>
      <c r="T1987" s="2">
        <v>4339</v>
      </c>
      <c r="U1987" s="2">
        <v>2</v>
      </c>
      <c r="V1987" s="2"/>
    </row>
    <row r="1988" spans="1:22" x14ac:dyDescent="0.35">
      <c r="A1988" s="3" t="s">
        <v>4828</v>
      </c>
      <c r="B1988" s="3" t="s">
        <v>1125</v>
      </c>
      <c r="C1988" s="3" t="s">
        <v>1688</v>
      </c>
      <c r="D1988" s="3" t="s">
        <v>3911</v>
      </c>
      <c r="E1988" s="3" t="s">
        <v>100</v>
      </c>
      <c r="F1988" s="3" t="s">
        <v>538</v>
      </c>
      <c r="G1988" s="3" t="s">
        <v>39</v>
      </c>
      <c r="H1988" s="3" t="s">
        <v>354</v>
      </c>
      <c r="I1988" s="3" t="s">
        <v>62</v>
      </c>
      <c r="J1988" s="3">
        <v>156</v>
      </c>
      <c r="K1988" s="3">
        <v>538.79999999999995</v>
      </c>
      <c r="L1988" s="3">
        <v>747.46</v>
      </c>
      <c r="M1988" s="3">
        <v>116603.76</v>
      </c>
      <c r="N1988" s="3">
        <v>84052.800000000003</v>
      </c>
      <c r="O1988" s="3">
        <v>32550.959999999999</v>
      </c>
      <c r="P1988" s="3" t="s">
        <v>31</v>
      </c>
      <c r="Q1988" s="3" t="s">
        <v>32</v>
      </c>
      <c r="R1988" s="3">
        <v>11</v>
      </c>
      <c r="S1988" s="3" t="s">
        <v>158</v>
      </c>
      <c r="T1988" s="3">
        <v>3614</v>
      </c>
      <c r="U1988" s="3">
        <v>2</v>
      </c>
      <c r="V1988" s="3"/>
    </row>
    <row r="1989" spans="1:22" x14ac:dyDescent="0.35">
      <c r="A1989" s="2" t="s">
        <v>4829</v>
      </c>
      <c r="B1989" s="2" t="s">
        <v>1146</v>
      </c>
      <c r="C1989" s="2" t="s">
        <v>559</v>
      </c>
      <c r="D1989" s="2" t="s">
        <v>4830</v>
      </c>
      <c r="E1989" s="2" t="s">
        <v>4222</v>
      </c>
      <c r="F1989" s="2" t="s">
        <v>276</v>
      </c>
      <c r="G1989" s="2" t="s">
        <v>189</v>
      </c>
      <c r="H1989" s="2" t="s">
        <v>365</v>
      </c>
      <c r="I1989" s="2" t="s">
        <v>240</v>
      </c>
      <c r="J1989" s="2">
        <v>367</v>
      </c>
      <c r="K1989" s="2">
        <v>946.45</v>
      </c>
      <c r="L1989" s="2">
        <v>1366.44</v>
      </c>
      <c r="M1989" s="2">
        <v>501483.48</v>
      </c>
      <c r="N1989" s="2">
        <v>347347.15</v>
      </c>
      <c r="O1989" s="2">
        <v>154136.32999999999</v>
      </c>
      <c r="P1989" s="2" t="s">
        <v>31</v>
      </c>
      <c r="Q1989" s="2" t="s">
        <v>32</v>
      </c>
      <c r="R1989" s="2">
        <v>13</v>
      </c>
      <c r="S1989" s="2" t="s">
        <v>112</v>
      </c>
      <c r="T1989" s="2">
        <v>3912</v>
      </c>
      <c r="U1989" s="2">
        <v>13</v>
      </c>
      <c r="V1989" s="2"/>
    </row>
    <row r="1990" spans="1:22" x14ac:dyDescent="0.35">
      <c r="A1990" s="3" t="s">
        <v>4464</v>
      </c>
      <c r="B1990" s="3" t="s">
        <v>1474</v>
      </c>
      <c r="C1990" s="3" t="s">
        <v>668</v>
      </c>
      <c r="D1990" s="3" t="s">
        <v>4465</v>
      </c>
      <c r="E1990" s="3" t="s">
        <v>58</v>
      </c>
      <c r="F1990" s="3" t="s">
        <v>116</v>
      </c>
      <c r="G1990" s="3" t="s">
        <v>189</v>
      </c>
      <c r="H1990" s="4"/>
      <c r="I1990" s="3" t="s">
        <v>240</v>
      </c>
      <c r="J1990" s="3">
        <v>563</v>
      </c>
      <c r="K1990" s="3">
        <v>234.65</v>
      </c>
      <c r="L1990" s="3">
        <v>358.86</v>
      </c>
      <c r="M1990" s="3">
        <v>202038.18</v>
      </c>
      <c r="N1990" s="3">
        <v>132107.95000000001</v>
      </c>
      <c r="O1990" s="3">
        <v>69930.23</v>
      </c>
      <c r="P1990" s="3" t="s">
        <v>31</v>
      </c>
      <c r="Q1990" s="3" t="s">
        <v>32</v>
      </c>
      <c r="R1990" s="3">
        <v>9</v>
      </c>
      <c r="S1990" s="3" t="s">
        <v>158</v>
      </c>
      <c r="T1990" s="3">
        <v>4731</v>
      </c>
      <c r="U1990" s="3">
        <v>19</v>
      </c>
      <c r="V1990" s="3"/>
    </row>
    <row r="1991" spans="1:22" x14ac:dyDescent="0.35">
      <c r="A1991" s="2" t="s">
        <v>4831</v>
      </c>
      <c r="B1991" s="2" t="s">
        <v>1157</v>
      </c>
      <c r="C1991" s="2" t="s">
        <v>120</v>
      </c>
      <c r="D1991" s="2" t="s">
        <v>4832</v>
      </c>
      <c r="E1991" s="2" t="s">
        <v>58</v>
      </c>
      <c r="F1991" s="2" t="s">
        <v>259</v>
      </c>
      <c r="G1991" s="2" t="s">
        <v>129</v>
      </c>
      <c r="H1991" s="2" t="s">
        <v>152</v>
      </c>
      <c r="I1991" s="2" t="s">
        <v>124</v>
      </c>
      <c r="J1991" s="2">
        <v>37</v>
      </c>
      <c r="K1991" s="2">
        <v>723.52</v>
      </c>
      <c r="L1991" s="2">
        <v>895.53</v>
      </c>
      <c r="M1991" s="2">
        <v>33134.61</v>
      </c>
      <c r="N1991" s="2">
        <v>26770.240000000002</v>
      </c>
      <c r="O1991" s="2">
        <v>6364.37</v>
      </c>
      <c r="P1991" s="2" t="s">
        <v>42</v>
      </c>
      <c r="Q1991" s="2" t="s">
        <v>63</v>
      </c>
      <c r="R1991" s="2">
        <v>1</v>
      </c>
      <c r="S1991" s="2" t="s">
        <v>33</v>
      </c>
      <c r="T1991" s="2">
        <v>186</v>
      </c>
      <c r="U1991" s="2">
        <v>0</v>
      </c>
      <c r="V1991" s="2"/>
    </row>
    <row r="1992" spans="1:22" x14ac:dyDescent="0.35">
      <c r="A1992" s="3" t="s">
        <v>4833</v>
      </c>
      <c r="B1992" s="3" t="s">
        <v>694</v>
      </c>
      <c r="C1992" s="3" t="s">
        <v>2087</v>
      </c>
      <c r="D1992" s="3" t="s">
        <v>4834</v>
      </c>
      <c r="E1992" s="3" t="s">
        <v>68</v>
      </c>
      <c r="F1992" s="3" t="s">
        <v>4835</v>
      </c>
      <c r="G1992" s="3" t="s">
        <v>28</v>
      </c>
      <c r="H1992" s="3" t="s">
        <v>674</v>
      </c>
      <c r="I1992" s="3" t="s">
        <v>293</v>
      </c>
      <c r="J1992" s="3">
        <v>28</v>
      </c>
      <c r="K1992" s="3">
        <v>1110.72</v>
      </c>
      <c r="L1992" s="3">
        <v>1356.36</v>
      </c>
      <c r="M1992" s="3">
        <v>37978.080000000002</v>
      </c>
      <c r="N1992" s="3">
        <v>31100.16</v>
      </c>
      <c r="O1992" s="3">
        <v>6877.92</v>
      </c>
      <c r="P1992" s="3" t="s">
        <v>52</v>
      </c>
      <c r="Q1992" s="3" t="s">
        <v>32</v>
      </c>
      <c r="R1992" s="3">
        <v>7</v>
      </c>
      <c r="S1992" s="3" t="s">
        <v>43</v>
      </c>
      <c r="T1992" s="3">
        <v>852</v>
      </c>
      <c r="U1992" s="3">
        <v>1</v>
      </c>
      <c r="V1992" s="3"/>
    </row>
    <row r="1993" spans="1:22" x14ac:dyDescent="0.35">
      <c r="A1993" s="2" t="s">
        <v>4836</v>
      </c>
      <c r="B1993" s="2" t="s">
        <v>1090</v>
      </c>
      <c r="C1993" s="2" t="s">
        <v>351</v>
      </c>
      <c r="D1993" s="2" t="s">
        <v>4837</v>
      </c>
      <c r="E1993" s="2" t="s">
        <v>48</v>
      </c>
      <c r="F1993" s="2" t="s">
        <v>223</v>
      </c>
      <c r="G1993" s="2" t="s">
        <v>129</v>
      </c>
      <c r="H1993" s="2" t="s">
        <v>811</v>
      </c>
      <c r="I1993" s="2" t="s">
        <v>240</v>
      </c>
      <c r="J1993" s="2">
        <v>633</v>
      </c>
      <c r="K1993" s="2">
        <v>417.61</v>
      </c>
      <c r="L1993" s="2">
        <v>612.79</v>
      </c>
      <c r="M1993" s="2">
        <v>387896.07</v>
      </c>
      <c r="N1993" s="2">
        <v>264347.13</v>
      </c>
      <c r="O1993" s="2">
        <v>123548.94</v>
      </c>
      <c r="P1993" s="2" t="s">
        <v>31</v>
      </c>
      <c r="Q1993" s="2" t="s">
        <v>63</v>
      </c>
      <c r="R1993" s="2">
        <v>4</v>
      </c>
      <c r="S1993" s="2" t="s">
        <v>53</v>
      </c>
      <c r="T1993" s="2">
        <v>1901</v>
      </c>
      <c r="U1993" s="2">
        <v>12</v>
      </c>
      <c r="V1993" s="2"/>
    </row>
    <row r="1994" spans="1:22" x14ac:dyDescent="0.35">
      <c r="A1994" s="3" t="s">
        <v>4838</v>
      </c>
      <c r="B1994" s="3" t="s">
        <v>641</v>
      </c>
      <c r="C1994" s="3" t="s">
        <v>641</v>
      </c>
      <c r="D1994" s="3" t="s">
        <v>4839</v>
      </c>
      <c r="E1994" s="3" t="s">
        <v>26</v>
      </c>
      <c r="F1994" s="3" t="s">
        <v>27</v>
      </c>
      <c r="G1994" s="3" t="s">
        <v>129</v>
      </c>
      <c r="H1994" s="3" t="s">
        <v>704</v>
      </c>
      <c r="I1994" s="3" t="s">
        <v>240</v>
      </c>
      <c r="J1994" s="3">
        <v>636</v>
      </c>
      <c r="K1994" s="3">
        <v>1180.76</v>
      </c>
      <c r="L1994" s="3">
        <v>1911.48</v>
      </c>
      <c r="M1994" s="3">
        <v>1215701.28</v>
      </c>
      <c r="N1994" s="3">
        <v>750963.36</v>
      </c>
      <c r="O1994" s="3">
        <v>464737.92</v>
      </c>
      <c r="P1994" s="3" t="s">
        <v>95</v>
      </c>
      <c r="Q1994" s="3" t="s">
        <v>32</v>
      </c>
      <c r="R1994" s="3">
        <v>10</v>
      </c>
      <c r="S1994" s="3" t="s">
        <v>158</v>
      </c>
      <c r="T1994" s="3">
        <v>4220</v>
      </c>
      <c r="U1994" s="3">
        <v>5</v>
      </c>
      <c r="V1994" s="3"/>
    </row>
    <row r="1995" spans="1:22" x14ac:dyDescent="0.35">
      <c r="A1995" s="2" t="s">
        <v>1248</v>
      </c>
      <c r="B1995" s="2" t="s">
        <v>1249</v>
      </c>
      <c r="C1995" s="2" t="s">
        <v>4840</v>
      </c>
      <c r="D1995" s="2" t="s">
        <v>1250</v>
      </c>
      <c r="E1995" s="2" t="s">
        <v>26</v>
      </c>
      <c r="F1995" s="2" t="s">
        <v>38</v>
      </c>
      <c r="G1995" s="2" t="s">
        <v>60</v>
      </c>
      <c r="H1995" s="2" t="s">
        <v>61</v>
      </c>
      <c r="I1995" s="4"/>
      <c r="J1995" s="2">
        <v>218</v>
      </c>
      <c r="K1995" s="2">
        <v>308.5</v>
      </c>
      <c r="L1995" s="2">
        <v>445.95</v>
      </c>
      <c r="M1995" s="2">
        <v>97217.1</v>
      </c>
      <c r="N1995" s="2">
        <v>67253</v>
      </c>
      <c r="O1995" s="2">
        <v>29964.1</v>
      </c>
      <c r="P1995" s="2" t="s">
        <v>42</v>
      </c>
      <c r="Q1995" s="2" t="s">
        <v>32</v>
      </c>
      <c r="R1995" s="2">
        <v>12</v>
      </c>
      <c r="S1995" s="2" t="s">
        <v>112</v>
      </c>
      <c r="T1995" s="2">
        <v>1081</v>
      </c>
      <c r="U1995" s="2">
        <v>9</v>
      </c>
      <c r="V1995" s="2"/>
    </row>
    <row r="1996" spans="1:22" x14ac:dyDescent="0.35">
      <c r="A1996" s="3" t="s">
        <v>4841</v>
      </c>
      <c r="B1996" s="3" t="s">
        <v>423</v>
      </c>
      <c r="C1996" s="3" t="s">
        <v>1566</v>
      </c>
      <c r="D1996" s="3" t="s">
        <v>4842</v>
      </c>
      <c r="E1996" s="3" t="s">
        <v>100</v>
      </c>
      <c r="F1996" s="3" t="s">
        <v>538</v>
      </c>
      <c r="G1996" s="3" t="s">
        <v>39</v>
      </c>
      <c r="H1996" s="3" t="s">
        <v>647</v>
      </c>
      <c r="I1996" s="3" t="s">
        <v>85</v>
      </c>
      <c r="J1996" s="3">
        <v>646</v>
      </c>
      <c r="K1996" s="3">
        <v>1132.81</v>
      </c>
      <c r="L1996" s="3">
        <v>1673.51</v>
      </c>
      <c r="M1996" s="3">
        <v>1081087.46</v>
      </c>
      <c r="N1996" s="3">
        <v>731795.26</v>
      </c>
      <c r="O1996" s="3">
        <v>349292.2</v>
      </c>
      <c r="P1996" s="3" t="s">
        <v>52</v>
      </c>
      <c r="Q1996" s="3" t="s">
        <v>32</v>
      </c>
      <c r="R1996" s="3">
        <v>15</v>
      </c>
      <c r="S1996" s="3" t="s">
        <v>112</v>
      </c>
      <c r="T1996" s="3">
        <v>4016</v>
      </c>
      <c r="U1996" s="3">
        <v>17</v>
      </c>
      <c r="V1996" s="3"/>
    </row>
    <row r="1997" spans="1:22" x14ac:dyDescent="0.35">
      <c r="A1997" s="2" t="s">
        <v>4843</v>
      </c>
      <c r="B1997" s="2" t="s">
        <v>155</v>
      </c>
      <c r="C1997" s="2" t="s">
        <v>351</v>
      </c>
      <c r="D1997" s="2" t="s">
        <v>4844</v>
      </c>
      <c r="E1997" s="2" t="s">
        <v>100</v>
      </c>
      <c r="F1997" s="2" t="s">
        <v>538</v>
      </c>
      <c r="G1997" s="2" t="s">
        <v>50</v>
      </c>
      <c r="H1997" s="2" t="s">
        <v>51</v>
      </c>
      <c r="I1997" s="2" t="s">
        <v>62</v>
      </c>
      <c r="J1997" s="2">
        <v>257</v>
      </c>
      <c r="K1997" s="2">
        <v>495.33</v>
      </c>
      <c r="L1997" s="2">
        <v>699.79</v>
      </c>
      <c r="M1997" s="2">
        <v>179846.03</v>
      </c>
      <c r="N1997" s="2">
        <v>127299.81</v>
      </c>
      <c r="O1997" s="2">
        <v>52546.22</v>
      </c>
      <c r="P1997" s="2" t="s">
        <v>42</v>
      </c>
      <c r="Q1997" s="2" t="s">
        <v>2144</v>
      </c>
      <c r="R1997" s="2">
        <v>5</v>
      </c>
      <c r="S1997" s="2" t="s">
        <v>86</v>
      </c>
      <c r="T1997" s="2">
        <v>3144</v>
      </c>
      <c r="U1997" s="2">
        <v>1</v>
      </c>
      <c r="V1997" s="2"/>
    </row>
    <row r="1998" spans="1:22" x14ac:dyDescent="0.35">
      <c r="A1998" s="3" t="s">
        <v>4845</v>
      </c>
      <c r="B1998" s="3" t="s">
        <v>3084</v>
      </c>
      <c r="C1998" s="3" t="s">
        <v>2579</v>
      </c>
      <c r="D1998" s="3" t="s">
        <v>4846</v>
      </c>
      <c r="E1998" s="3" t="s">
        <v>68</v>
      </c>
      <c r="F1998" s="3" t="s">
        <v>69</v>
      </c>
      <c r="G1998" s="3" t="s">
        <v>189</v>
      </c>
      <c r="H1998" s="3" t="s">
        <v>311</v>
      </c>
      <c r="I1998" s="3" t="s">
        <v>62</v>
      </c>
      <c r="J1998" s="3">
        <v>755</v>
      </c>
      <c r="K1998" s="3">
        <v>429.2</v>
      </c>
      <c r="L1998" s="3">
        <v>653.36</v>
      </c>
      <c r="M1998" s="3">
        <v>493286.8</v>
      </c>
      <c r="N1998" s="3">
        <v>324046</v>
      </c>
      <c r="O1998" s="3">
        <v>169240.8</v>
      </c>
      <c r="P1998" s="3" t="s">
        <v>95</v>
      </c>
      <c r="Q1998" s="3" t="s">
        <v>63</v>
      </c>
      <c r="R1998" s="3">
        <v>3</v>
      </c>
      <c r="S1998" s="3" t="s">
        <v>112</v>
      </c>
      <c r="T1998" s="3">
        <v>4566</v>
      </c>
      <c r="U1998" s="3">
        <v>32</v>
      </c>
      <c r="V1998" s="3"/>
    </row>
    <row r="1999" spans="1:22" x14ac:dyDescent="0.35">
      <c r="A1999" s="2" t="s">
        <v>4847</v>
      </c>
      <c r="B1999" s="2" t="s">
        <v>247</v>
      </c>
      <c r="C1999" s="2" t="s">
        <v>2583</v>
      </c>
      <c r="D1999" s="2" t="s">
        <v>4848</v>
      </c>
      <c r="E1999" s="2" t="s">
        <v>68</v>
      </c>
      <c r="F1999" s="2" t="s">
        <v>146</v>
      </c>
      <c r="G1999" s="2" t="s">
        <v>4849</v>
      </c>
      <c r="H1999" s="2" t="s">
        <v>840</v>
      </c>
      <c r="I1999" s="2" t="s">
        <v>191</v>
      </c>
      <c r="J1999" s="2">
        <v>435</v>
      </c>
      <c r="K1999" s="2">
        <v>313.98</v>
      </c>
      <c r="L1999" s="2">
        <v>443.36</v>
      </c>
      <c r="M1999" s="2">
        <v>192861.6</v>
      </c>
      <c r="N1999" s="2">
        <v>136581.29999999999</v>
      </c>
      <c r="O1999" s="2">
        <v>56280.3</v>
      </c>
      <c r="P1999" s="2" t="s">
        <v>31</v>
      </c>
      <c r="Q1999" s="2" t="s">
        <v>32</v>
      </c>
      <c r="R1999" s="2">
        <v>15</v>
      </c>
      <c r="S1999" s="2" t="s">
        <v>43</v>
      </c>
      <c r="T1999" s="2">
        <v>3389</v>
      </c>
      <c r="U1999" s="2">
        <v>14</v>
      </c>
      <c r="V1999" s="2"/>
    </row>
    <row r="2000" spans="1:22" x14ac:dyDescent="0.35">
      <c r="A2000" s="3" t="s">
        <v>4850</v>
      </c>
      <c r="B2000" s="3" t="s">
        <v>176</v>
      </c>
      <c r="C2000" s="3" t="s">
        <v>1050</v>
      </c>
      <c r="D2000" s="3" t="s">
        <v>4851</v>
      </c>
      <c r="E2000" s="3" t="s">
        <v>68</v>
      </c>
      <c r="F2000" s="3" t="s">
        <v>146</v>
      </c>
      <c r="G2000" s="3" t="s">
        <v>129</v>
      </c>
      <c r="H2000" s="3" t="s">
        <v>520</v>
      </c>
      <c r="I2000" s="3" t="s">
        <v>85</v>
      </c>
      <c r="J2000" s="3">
        <v>462</v>
      </c>
      <c r="K2000" s="3">
        <v>583.80999999999995</v>
      </c>
      <c r="L2000" s="3">
        <v>743.51</v>
      </c>
      <c r="M2000" s="3">
        <v>343501.62</v>
      </c>
      <c r="N2000" s="3">
        <v>269720.21999999997</v>
      </c>
      <c r="O2000" s="3">
        <v>73781.399999999994</v>
      </c>
      <c r="P2000" s="3" t="s">
        <v>42</v>
      </c>
      <c r="Q2000" s="3" t="s">
        <v>63</v>
      </c>
      <c r="R2000" s="3">
        <v>4</v>
      </c>
      <c r="S2000" s="3" t="s">
        <v>33</v>
      </c>
      <c r="T2000" s="3">
        <v>2938</v>
      </c>
      <c r="U2000" s="3">
        <v>3</v>
      </c>
      <c r="V2000" s="3"/>
    </row>
    <row r="2001" spans="1:22" x14ac:dyDescent="0.35">
      <c r="A2001" s="2" t="s">
        <v>4852</v>
      </c>
      <c r="B2001" s="2" t="s">
        <v>819</v>
      </c>
      <c r="C2001" s="2" t="s">
        <v>650</v>
      </c>
      <c r="D2001" s="2" t="s">
        <v>3396</v>
      </c>
      <c r="E2001" s="2" t="s">
        <v>26</v>
      </c>
      <c r="F2001" s="2" t="s">
        <v>228</v>
      </c>
      <c r="G2001" s="2" t="s">
        <v>28</v>
      </c>
      <c r="H2001" s="2" t="s">
        <v>29</v>
      </c>
      <c r="I2001" s="2" t="s">
        <v>30</v>
      </c>
      <c r="J2001" s="2">
        <v>510</v>
      </c>
      <c r="K2001" s="2">
        <v>651.91</v>
      </c>
      <c r="L2001" s="2">
        <v>1071.97</v>
      </c>
      <c r="M2001" s="2">
        <v>546704.69999999995</v>
      </c>
      <c r="N2001" s="2">
        <v>332474.09999999998</v>
      </c>
      <c r="O2001" s="2">
        <v>214230.6</v>
      </c>
      <c r="P2001" s="2" t="s">
        <v>31</v>
      </c>
      <c r="Q2001" s="2" t="s">
        <v>32</v>
      </c>
      <c r="R2001" s="2">
        <v>13</v>
      </c>
      <c r="S2001" s="2" t="s">
        <v>43</v>
      </c>
      <c r="T2001" s="2">
        <v>248</v>
      </c>
      <c r="U2001" s="2">
        <v>13</v>
      </c>
      <c r="V2001" s="2"/>
    </row>
    <row r="2002" spans="1:22" x14ac:dyDescent="0.35">
      <c r="A2002" s="3" t="s">
        <v>4853</v>
      </c>
      <c r="B2002" s="3" t="s">
        <v>1632</v>
      </c>
      <c r="C2002" s="3" t="s">
        <v>488</v>
      </c>
      <c r="D2002" s="3" t="s">
        <v>4854</v>
      </c>
      <c r="E2002" s="3" t="s">
        <v>58</v>
      </c>
      <c r="F2002" s="4"/>
      <c r="G2002" s="3" t="s">
        <v>39</v>
      </c>
      <c r="H2002" s="3" t="s">
        <v>647</v>
      </c>
      <c r="I2002" s="3" t="s">
        <v>41</v>
      </c>
      <c r="J2002" s="3">
        <v>723</v>
      </c>
      <c r="K2002" s="3">
        <v>1069.8</v>
      </c>
      <c r="L2002" s="3">
        <v>1564.88</v>
      </c>
      <c r="M2002" s="3">
        <v>1131408.24</v>
      </c>
      <c r="N2002" s="3">
        <v>773465.4</v>
      </c>
      <c r="O2002" s="3">
        <v>357942.84</v>
      </c>
      <c r="P2002" s="3" t="s">
        <v>42</v>
      </c>
      <c r="Q2002" s="3" t="s">
        <v>32</v>
      </c>
      <c r="R2002" s="3">
        <v>8</v>
      </c>
      <c r="S2002" s="3" t="s">
        <v>112</v>
      </c>
      <c r="T2002" s="3">
        <v>1579</v>
      </c>
      <c r="U2002" s="3">
        <v>25</v>
      </c>
      <c r="V2002" s="3"/>
    </row>
    <row r="2003" spans="1:22" x14ac:dyDescent="0.35">
      <c r="A2003" s="2" t="s">
        <v>4855</v>
      </c>
      <c r="B2003" s="2" t="s">
        <v>431</v>
      </c>
      <c r="C2003" s="2" t="s">
        <v>1433</v>
      </c>
      <c r="D2003" s="2" t="s">
        <v>4856</v>
      </c>
      <c r="E2003" s="2" t="s">
        <v>100</v>
      </c>
      <c r="F2003" s="2" t="s">
        <v>238</v>
      </c>
      <c r="G2003" s="2" t="s">
        <v>28</v>
      </c>
      <c r="H2003" s="2" t="s">
        <v>254</v>
      </c>
      <c r="I2003" s="2" t="s">
        <v>124</v>
      </c>
      <c r="J2003" s="2">
        <v>101</v>
      </c>
      <c r="K2003" s="2">
        <v>532.58000000000004</v>
      </c>
      <c r="L2003" s="2">
        <v>775.35</v>
      </c>
      <c r="M2003" s="2">
        <v>78310.350000000006</v>
      </c>
      <c r="N2003" s="2">
        <v>53790.58</v>
      </c>
      <c r="O2003" s="2">
        <v>24519.77</v>
      </c>
      <c r="P2003" s="2" t="s">
        <v>95</v>
      </c>
      <c r="Q2003" s="2" t="s">
        <v>32</v>
      </c>
      <c r="R2003" s="2">
        <v>11</v>
      </c>
      <c r="S2003" s="2" t="s">
        <v>86</v>
      </c>
      <c r="T2003" s="2">
        <v>4938</v>
      </c>
      <c r="U2003" s="2">
        <v>1</v>
      </c>
      <c r="V2003" s="2"/>
    </row>
    <row r="2004" spans="1:22" x14ac:dyDescent="0.35">
      <c r="A2004" s="3" t="s">
        <v>4857</v>
      </c>
      <c r="B2004" s="3" t="s">
        <v>1040</v>
      </c>
      <c r="C2004" s="3" t="s">
        <v>439</v>
      </c>
      <c r="D2004" s="3" t="s">
        <v>4858</v>
      </c>
      <c r="E2004" s="3" t="s">
        <v>48</v>
      </c>
      <c r="F2004" s="3" t="s">
        <v>49</v>
      </c>
      <c r="G2004" s="3" t="s">
        <v>60</v>
      </c>
      <c r="H2004" s="3" t="s">
        <v>61</v>
      </c>
      <c r="I2004" s="3" t="s">
        <v>30</v>
      </c>
      <c r="J2004" s="3">
        <v>7</v>
      </c>
      <c r="K2004" s="3">
        <v>727.76</v>
      </c>
      <c r="L2004" s="3">
        <v>1134.02</v>
      </c>
      <c r="M2004" s="3">
        <v>7938.14</v>
      </c>
      <c r="N2004" s="3">
        <v>5094.32</v>
      </c>
      <c r="O2004" s="3">
        <v>2843.82</v>
      </c>
      <c r="P2004" s="3" t="s">
        <v>52</v>
      </c>
      <c r="Q2004" s="3" t="s">
        <v>63</v>
      </c>
      <c r="R2004" s="3">
        <v>5</v>
      </c>
      <c r="S2004" s="3" t="s">
        <v>86</v>
      </c>
      <c r="T2004" s="3">
        <v>1717</v>
      </c>
      <c r="U2004" s="3">
        <v>1</v>
      </c>
      <c r="V2004" s="3"/>
    </row>
    <row r="2005" spans="1:22" x14ac:dyDescent="0.35">
      <c r="A2005" s="2" t="s">
        <v>4859</v>
      </c>
      <c r="B2005" s="2" t="s">
        <v>357</v>
      </c>
      <c r="C2005" s="2" t="s">
        <v>1233</v>
      </c>
      <c r="D2005" s="2" t="s">
        <v>4860</v>
      </c>
      <c r="E2005" s="2" t="s">
        <v>48</v>
      </c>
      <c r="F2005" s="2" t="s">
        <v>223</v>
      </c>
      <c r="G2005" s="2" t="s">
        <v>93</v>
      </c>
      <c r="H2005" s="2" t="s">
        <v>485</v>
      </c>
      <c r="I2005" s="2" t="s">
        <v>191</v>
      </c>
      <c r="J2005" s="2">
        <v>789</v>
      </c>
      <c r="K2005" s="2">
        <v>636.76</v>
      </c>
      <c r="L2005" s="2">
        <v>900.74</v>
      </c>
      <c r="M2005" s="2">
        <v>710683.86</v>
      </c>
      <c r="N2005" s="2">
        <v>502403.64</v>
      </c>
      <c r="O2005" s="2">
        <v>208280.22</v>
      </c>
      <c r="P2005" s="2" t="s">
        <v>95</v>
      </c>
      <c r="Q2005" s="2" t="s">
        <v>32</v>
      </c>
      <c r="R2005" s="2">
        <v>14</v>
      </c>
      <c r="S2005" s="2" t="s">
        <v>33</v>
      </c>
      <c r="T2005" s="2">
        <v>1703</v>
      </c>
      <c r="U2005" s="2">
        <v>8</v>
      </c>
      <c r="V2005" s="2"/>
    </row>
    <row r="2006" spans="1:22" x14ac:dyDescent="0.35">
      <c r="A2006" s="3" t="s">
        <v>4861</v>
      </c>
      <c r="B2006" s="3" t="s">
        <v>999</v>
      </c>
      <c r="C2006" s="3" t="s">
        <v>2733</v>
      </c>
      <c r="D2006" s="3" t="s">
        <v>3848</v>
      </c>
      <c r="E2006" s="3" t="s">
        <v>58</v>
      </c>
      <c r="F2006" s="3" t="s">
        <v>59</v>
      </c>
      <c r="G2006" s="3" t="s">
        <v>129</v>
      </c>
      <c r="H2006" s="3" t="s">
        <v>520</v>
      </c>
      <c r="I2006" s="3" t="s">
        <v>41</v>
      </c>
      <c r="J2006" s="3">
        <v>586</v>
      </c>
      <c r="K2006" s="3">
        <v>237.62</v>
      </c>
      <c r="L2006" s="3">
        <v>319.10000000000002</v>
      </c>
      <c r="M2006" s="3">
        <v>186992.6</v>
      </c>
      <c r="N2006" s="3">
        <v>139245.32</v>
      </c>
      <c r="O2006" s="3">
        <v>47747.28</v>
      </c>
      <c r="P2006" s="3" t="s">
        <v>95</v>
      </c>
      <c r="Q2006" s="3" t="s">
        <v>32</v>
      </c>
      <c r="R2006" s="3">
        <v>7</v>
      </c>
      <c r="S2006" s="3" t="s">
        <v>53</v>
      </c>
      <c r="T2006" s="3">
        <v>4821</v>
      </c>
      <c r="U2006" s="3">
        <v>19</v>
      </c>
      <c r="V2006" s="3"/>
    </row>
    <row r="2007" spans="1:22" x14ac:dyDescent="0.35">
      <c r="A2007" s="2" t="s">
        <v>4862</v>
      </c>
      <c r="B2007" s="2" t="s">
        <v>2773</v>
      </c>
      <c r="C2007" s="2" t="s">
        <v>1552</v>
      </c>
      <c r="D2007" s="2" t="s">
        <v>4863</v>
      </c>
      <c r="E2007" s="2" t="s">
        <v>48</v>
      </c>
      <c r="F2007" s="2" t="s">
        <v>501</v>
      </c>
      <c r="G2007" s="2" t="s">
        <v>217</v>
      </c>
      <c r="H2007" s="2" t="s">
        <v>725</v>
      </c>
      <c r="I2007" s="2" t="s">
        <v>141</v>
      </c>
      <c r="J2007" s="2">
        <v>765</v>
      </c>
      <c r="K2007" s="2">
        <v>194.63</v>
      </c>
      <c r="L2007" s="2">
        <v>221.95</v>
      </c>
      <c r="M2007" s="2">
        <v>169791.75</v>
      </c>
      <c r="N2007" s="2">
        <v>148891.95000000001</v>
      </c>
      <c r="O2007" s="2">
        <v>20899.8</v>
      </c>
      <c r="P2007" s="2" t="s">
        <v>95</v>
      </c>
      <c r="Q2007" s="2" t="s">
        <v>32</v>
      </c>
      <c r="R2007" s="2">
        <v>7</v>
      </c>
      <c r="S2007" s="2" t="s">
        <v>53</v>
      </c>
      <c r="T2007" s="2">
        <v>2063</v>
      </c>
      <c r="U2007" s="2">
        <v>32</v>
      </c>
      <c r="V2007" s="2"/>
    </row>
    <row r="2008" spans="1:22" x14ac:dyDescent="0.35">
      <c r="A2008" s="3" t="s">
        <v>4864</v>
      </c>
      <c r="B2008" s="3" t="s">
        <v>950</v>
      </c>
      <c r="C2008" s="3" t="s">
        <v>1873</v>
      </c>
      <c r="D2008" s="3" t="s">
        <v>4865</v>
      </c>
      <c r="E2008" s="3" t="s">
        <v>68</v>
      </c>
      <c r="F2008" s="3" t="s">
        <v>163</v>
      </c>
      <c r="G2008" s="3" t="s">
        <v>189</v>
      </c>
      <c r="H2008" s="3" t="s">
        <v>369</v>
      </c>
      <c r="I2008" s="3" t="s">
        <v>4866</v>
      </c>
      <c r="J2008" s="3">
        <v>178</v>
      </c>
      <c r="K2008" s="3">
        <v>601.54</v>
      </c>
      <c r="L2008" s="3">
        <v>722.6</v>
      </c>
      <c r="M2008" s="3">
        <v>128622.8</v>
      </c>
      <c r="N2008" s="3">
        <v>107074.12</v>
      </c>
      <c r="O2008" s="3">
        <v>21548.68</v>
      </c>
      <c r="P2008" s="3" t="s">
        <v>52</v>
      </c>
      <c r="Q2008" s="3" t="s">
        <v>63</v>
      </c>
      <c r="R2008" s="3">
        <v>1</v>
      </c>
      <c r="S2008" s="3" t="s">
        <v>53</v>
      </c>
      <c r="T2008" s="3">
        <v>2638</v>
      </c>
      <c r="U2008" s="3">
        <v>3</v>
      </c>
      <c r="V2008" s="3"/>
    </row>
    <row r="2009" spans="1:22" x14ac:dyDescent="0.35">
      <c r="A2009" s="2" t="s">
        <v>4867</v>
      </c>
      <c r="B2009" s="2" t="s">
        <v>777</v>
      </c>
      <c r="C2009" s="2" t="s">
        <v>582</v>
      </c>
      <c r="D2009" s="2" t="s">
        <v>4868</v>
      </c>
      <c r="E2009" s="2" t="s">
        <v>68</v>
      </c>
      <c r="F2009" s="2" t="s">
        <v>163</v>
      </c>
      <c r="G2009" s="2" t="s">
        <v>70</v>
      </c>
      <c r="H2009" s="2" t="s">
        <v>623</v>
      </c>
      <c r="I2009" s="2" t="s">
        <v>30</v>
      </c>
      <c r="J2009" s="2">
        <v>23</v>
      </c>
      <c r="K2009" s="2">
        <v>340.91</v>
      </c>
      <c r="L2009" s="2">
        <v>519.96</v>
      </c>
      <c r="M2009" s="2">
        <v>11959.08</v>
      </c>
      <c r="N2009" s="2">
        <v>7840.93</v>
      </c>
      <c r="O2009" s="2">
        <v>4118.1499999999996</v>
      </c>
      <c r="P2009" s="2" t="s">
        <v>52</v>
      </c>
      <c r="Q2009" s="2" t="s">
        <v>32</v>
      </c>
      <c r="R2009" s="2">
        <v>7</v>
      </c>
      <c r="S2009" s="2" t="s">
        <v>43</v>
      </c>
      <c r="T2009" s="2">
        <v>4175</v>
      </c>
      <c r="U2009" s="2">
        <v>0</v>
      </c>
      <c r="V2009" s="2"/>
    </row>
    <row r="2010" spans="1:22" x14ac:dyDescent="0.35">
      <c r="A2010" s="3" t="s">
        <v>4869</v>
      </c>
      <c r="B2010" s="3" t="s">
        <v>4870</v>
      </c>
      <c r="C2010" s="3" t="s">
        <v>3019</v>
      </c>
      <c r="D2010" s="3" t="s">
        <v>4871</v>
      </c>
      <c r="E2010" s="3" t="s">
        <v>26</v>
      </c>
      <c r="F2010" s="3" t="s">
        <v>77</v>
      </c>
      <c r="G2010" s="3" t="s">
        <v>28</v>
      </c>
      <c r="H2010" s="3" t="s">
        <v>714</v>
      </c>
      <c r="I2010" s="3" t="s">
        <v>141</v>
      </c>
      <c r="J2010" s="3">
        <v>744</v>
      </c>
      <c r="K2010" s="3">
        <v>1116.5899999999999</v>
      </c>
      <c r="L2010" s="3">
        <v>1295.54</v>
      </c>
      <c r="M2010" s="3">
        <v>963881.76</v>
      </c>
      <c r="N2010" s="3">
        <v>830742.96</v>
      </c>
      <c r="O2010" s="3">
        <v>133138.79999999999</v>
      </c>
      <c r="P2010" s="3" t="s">
        <v>95</v>
      </c>
      <c r="Q2010" s="3" t="s">
        <v>32</v>
      </c>
      <c r="R2010" s="3">
        <v>10</v>
      </c>
      <c r="S2010" s="3" t="s">
        <v>112</v>
      </c>
      <c r="T2010" s="3">
        <v>1454</v>
      </c>
      <c r="U2010" s="3">
        <v>35</v>
      </c>
      <c r="V2010" s="3"/>
    </row>
    <row r="2011" spans="1:22" x14ac:dyDescent="0.35">
      <c r="A2011" s="2" t="s">
        <v>4872</v>
      </c>
      <c r="B2011" s="2" t="s">
        <v>2428</v>
      </c>
      <c r="C2011" s="2" t="s">
        <v>1130</v>
      </c>
      <c r="D2011" s="2" t="s">
        <v>4873</v>
      </c>
      <c r="E2011" s="2" t="s">
        <v>48</v>
      </c>
      <c r="F2011" s="2" t="s">
        <v>183</v>
      </c>
      <c r="G2011" s="2" t="s">
        <v>93</v>
      </c>
      <c r="H2011" s="2" t="s">
        <v>302</v>
      </c>
      <c r="I2011" s="2" t="s">
        <v>62</v>
      </c>
      <c r="J2011" s="2">
        <v>469</v>
      </c>
      <c r="K2011" s="2">
        <v>974.02</v>
      </c>
      <c r="L2011" s="2">
        <v>1126.98</v>
      </c>
      <c r="M2011" s="2">
        <v>528553.62</v>
      </c>
      <c r="N2011" s="2">
        <v>456815.38</v>
      </c>
      <c r="O2011" s="2">
        <v>71738.240000000005</v>
      </c>
      <c r="P2011" s="2" t="s">
        <v>42</v>
      </c>
      <c r="Q2011" s="2" t="s">
        <v>32</v>
      </c>
      <c r="R2011" s="2">
        <v>9</v>
      </c>
      <c r="S2011" s="2" t="s">
        <v>33</v>
      </c>
      <c r="T2011" s="2">
        <v>2910</v>
      </c>
      <c r="U2011" s="2">
        <v>23</v>
      </c>
      <c r="V2011" s="2"/>
    </row>
    <row r="2012" spans="1:22" x14ac:dyDescent="0.35">
      <c r="A2012" s="3" t="s">
        <v>4874</v>
      </c>
      <c r="B2012" s="3" t="s">
        <v>794</v>
      </c>
      <c r="C2012" s="3" t="s">
        <v>274</v>
      </c>
      <c r="D2012" s="3" t="s">
        <v>4875</v>
      </c>
      <c r="E2012" s="3" t="s">
        <v>100</v>
      </c>
      <c r="F2012" s="3" t="s">
        <v>101</v>
      </c>
      <c r="G2012" s="3" t="s">
        <v>78</v>
      </c>
      <c r="H2012" s="3" t="s">
        <v>4876</v>
      </c>
      <c r="I2012" s="3" t="s">
        <v>118</v>
      </c>
      <c r="J2012" s="3">
        <v>534</v>
      </c>
      <c r="K2012" s="3">
        <v>922.15</v>
      </c>
      <c r="L2012" s="3">
        <v>1294.6400000000001</v>
      </c>
      <c r="M2012" s="3">
        <v>691337.76</v>
      </c>
      <c r="N2012" s="3">
        <v>492428.1</v>
      </c>
      <c r="O2012" s="3">
        <v>198909.66</v>
      </c>
      <c r="P2012" s="3" t="s">
        <v>52</v>
      </c>
      <c r="Q2012" s="3" t="s">
        <v>32</v>
      </c>
      <c r="R2012" s="3">
        <v>11</v>
      </c>
      <c r="S2012" s="3" t="s">
        <v>112</v>
      </c>
      <c r="T2012" s="3">
        <v>3717</v>
      </c>
      <c r="U2012" s="3">
        <v>19</v>
      </c>
      <c r="V2012" s="3"/>
    </row>
    <row r="2013" spans="1:22" x14ac:dyDescent="0.35">
      <c r="A2013" s="2" t="s">
        <v>4877</v>
      </c>
      <c r="B2013" s="2" t="s">
        <v>1433</v>
      </c>
      <c r="C2013" s="2" t="s">
        <v>1157</v>
      </c>
      <c r="D2013" s="2" t="s">
        <v>4878</v>
      </c>
      <c r="E2013" s="2" t="s">
        <v>26</v>
      </c>
      <c r="F2013" s="2" t="s">
        <v>38</v>
      </c>
      <c r="G2013" s="2" t="s">
        <v>50</v>
      </c>
      <c r="H2013" s="2" t="s">
        <v>734</v>
      </c>
      <c r="I2013" s="2" t="s">
        <v>124</v>
      </c>
      <c r="J2013" s="2">
        <v>196</v>
      </c>
      <c r="K2013" s="2">
        <v>194.57</v>
      </c>
      <c r="L2013" s="2">
        <v>267.75</v>
      </c>
      <c r="M2013" s="2">
        <v>52479</v>
      </c>
      <c r="N2013" s="2">
        <v>38135.72</v>
      </c>
      <c r="O2013" s="2">
        <v>14343.28</v>
      </c>
      <c r="P2013" s="2" t="s">
        <v>42</v>
      </c>
      <c r="Q2013" s="2" t="s">
        <v>32</v>
      </c>
      <c r="R2013" s="2">
        <v>7</v>
      </c>
      <c r="S2013" s="2" t="s">
        <v>86</v>
      </c>
      <c r="T2013" s="2">
        <v>1369</v>
      </c>
      <c r="U2013" s="2">
        <v>5</v>
      </c>
      <c r="V2013" s="2"/>
    </row>
    <row r="2014" spans="1:22" x14ac:dyDescent="0.35">
      <c r="A2014" s="3" t="s">
        <v>4879</v>
      </c>
      <c r="B2014" s="3" t="s">
        <v>284</v>
      </c>
      <c r="C2014" s="3" t="s">
        <v>267</v>
      </c>
      <c r="D2014" s="3" t="s">
        <v>4880</v>
      </c>
      <c r="E2014" s="3" t="s">
        <v>48</v>
      </c>
      <c r="F2014" s="3" t="s">
        <v>49</v>
      </c>
      <c r="G2014" s="3" t="s">
        <v>39</v>
      </c>
      <c r="H2014" s="3" t="s">
        <v>40</v>
      </c>
      <c r="I2014" s="3" t="s">
        <v>118</v>
      </c>
      <c r="J2014" s="3">
        <v>572</v>
      </c>
      <c r="K2014" s="3">
        <v>334.14</v>
      </c>
      <c r="L2014" s="3">
        <v>528.84</v>
      </c>
      <c r="M2014" s="3">
        <v>302496.48</v>
      </c>
      <c r="N2014" s="3">
        <v>191128.08</v>
      </c>
      <c r="O2014" s="3">
        <v>111368.4</v>
      </c>
      <c r="P2014" s="3" t="s">
        <v>31</v>
      </c>
      <c r="Q2014" s="3" t="s">
        <v>32</v>
      </c>
      <c r="R2014" s="3">
        <v>6</v>
      </c>
      <c r="S2014" s="3" t="s">
        <v>86</v>
      </c>
      <c r="T2014" s="3">
        <v>740</v>
      </c>
      <c r="U2014" s="3">
        <v>10</v>
      </c>
      <c r="V2014" s="3"/>
    </row>
    <row r="2015" spans="1:22" x14ac:dyDescent="0.35">
      <c r="A2015" s="2" t="s">
        <v>4881</v>
      </c>
      <c r="B2015" s="2" t="s">
        <v>777</v>
      </c>
      <c r="C2015" s="2" t="s">
        <v>332</v>
      </c>
      <c r="D2015" s="2" t="s">
        <v>1978</v>
      </c>
      <c r="E2015" s="2" t="s">
        <v>48</v>
      </c>
      <c r="F2015" s="2" t="s">
        <v>49</v>
      </c>
      <c r="G2015" s="2" t="s">
        <v>189</v>
      </c>
      <c r="H2015" s="2" t="s">
        <v>561</v>
      </c>
      <c r="I2015" s="2" t="s">
        <v>41</v>
      </c>
      <c r="J2015" s="2">
        <v>521</v>
      </c>
      <c r="K2015" s="2">
        <v>115.45</v>
      </c>
      <c r="L2015" s="2">
        <v>171.83</v>
      </c>
      <c r="M2015" s="2">
        <v>89523.43</v>
      </c>
      <c r="N2015" s="2">
        <v>60149.45</v>
      </c>
      <c r="O2015" s="2">
        <v>29373.98</v>
      </c>
      <c r="P2015" s="2" t="s">
        <v>95</v>
      </c>
      <c r="Q2015" s="2" t="s">
        <v>32</v>
      </c>
      <c r="R2015" s="2">
        <v>8</v>
      </c>
      <c r="S2015" s="2" t="s">
        <v>53</v>
      </c>
      <c r="T2015" s="2">
        <v>4723</v>
      </c>
      <c r="U2015" s="4" t="s">
        <v>1309</v>
      </c>
      <c r="V2015" s="2"/>
    </row>
    <row r="2016" spans="1:22" x14ac:dyDescent="0.35">
      <c r="A2016" s="3" t="s">
        <v>4882</v>
      </c>
      <c r="B2016" s="3" t="s">
        <v>1050</v>
      </c>
      <c r="C2016" s="3" t="s">
        <v>1360</v>
      </c>
      <c r="D2016" s="3" t="s">
        <v>4883</v>
      </c>
      <c r="E2016" s="3" t="s">
        <v>48</v>
      </c>
      <c r="F2016" s="3" t="s">
        <v>753</v>
      </c>
      <c r="G2016" s="3" t="s">
        <v>39</v>
      </c>
      <c r="H2016" s="3" t="s">
        <v>412</v>
      </c>
      <c r="I2016" s="3" t="s">
        <v>72</v>
      </c>
      <c r="J2016" s="3">
        <v>310</v>
      </c>
      <c r="K2016" s="3">
        <v>914.98</v>
      </c>
      <c r="L2016" s="3">
        <v>1193.56</v>
      </c>
      <c r="M2016" s="3">
        <v>370003.6</v>
      </c>
      <c r="N2016" s="3">
        <v>283643.8</v>
      </c>
      <c r="O2016" s="3">
        <v>86359.8</v>
      </c>
      <c r="P2016" s="3" t="s">
        <v>95</v>
      </c>
      <c r="Q2016" s="3" t="s">
        <v>32</v>
      </c>
      <c r="R2016" s="3">
        <v>6</v>
      </c>
      <c r="S2016" s="3" t="s">
        <v>53</v>
      </c>
      <c r="T2016" s="3">
        <v>75</v>
      </c>
      <c r="U2016" s="3">
        <v>8</v>
      </c>
      <c r="V2016" s="3"/>
    </row>
    <row r="2017" spans="1:22" x14ac:dyDescent="0.35">
      <c r="A2017" s="2" t="s">
        <v>4884</v>
      </c>
      <c r="B2017" s="2" t="s">
        <v>193</v>
      </c>
      <c r="C2017" s="2" t="s">
        <v>802</v>
      </c>
      <c r="D2017" s="2" t="s">
        <v>4885</v>
      </c>
      <c r="E2017" s="2" t="s">
        <v>100</v>
      </c>
      <c r="F2017" s="2" t="s">
        <v>106</v>
      </c>
      <c r="G2017" s="2" t="s">
        <v>217</v>
      </c>
      <c r="H2017" s="2" t="s">
        <v>524</v>
      </c>
      <c r="I2017" s="2" t="s">
        <v>62</v>
      </c>
      <c r="J2017" s="2">
        <v>16</v>
      </c>
      <c r="K2017" s="2">
        <v>127.62</v>
      </c>
      <c r="L2017" s="2">
        <v>143.38</v>
      </c>
      <c r="M2017" s="2">
        <v>2294.08</v>
      </c>
      <c r="N2017" s="2">
        <v>2041.92</v>
      </c>
      <c r="O2017" s="2">
        <v>252.16</v>
      </c>
      <c r="P2017" s="2" t="s">
        <v>52</v>
      </c>
      <c r="Q2017" s="2" t="s">
        <v>32</v>
      </c>
      <c r="R2017" s="2">
        <v>9</v>
      </c>
      <c r="S2017" s="2" t="s">
        <v>43</v>
      </c>
      <c r="T2017" s="2">
        <v>3386</v>
      </c>
      <c r="U2017" s="2">
        <v>0</v>
      </c>
      <c r="V2017" s="2"/>
    </row>
    <row r="2018" spans="1:22" x14ac:dyDescent="0.35">
      <c r="A2018" s="3" t="s">
        <v>4886</v>
      </c>
      <c r="B2018" s="3" t="s">
        <v>2015</v>
      </c>
      <c r="C2018" s="3" t="s">
        <v>1216</v>
      </c>
      <c r="D2018" s="3" t="s">
        <v>4887</v>
      </c>
      <c r="E2018" s="3" t="s">
        <v>26</v>
      </c>
      <c r="F2018" s="3" t="s">
        <v>38</v>
      </c>
      <c r="G2018" s="3" t="s">
        <v>60</v>
      </c>
      <c r="H2018" s="3" t="s">
        <v>164</v>
      </c>
      <c r="I2018" s="3" t="s">
        <v>30</v>
      </c>
      <c r="J2018" s="3">
        <v>747</v>
      </c>
      <c r="K2018" s="3">
        <v>842.74</v>
      </c>
      <c r="L2018" s="3">
        <v>946.72</v>
      </c>
      <c r="M2018" s="3">
        <v>707199.84</v>
      </c>
      <c r="N2018" s="3">
        <v>629526.78</v>
      </c>
      <c r="O2018" s="3">
        <v>77673.06</v>
      </c>
      <c r="P2018" s="3" t="s">
        <v>52</v>
      </c>
      <c r="Q2018" s="3" t="s">
        <v>32</v>
      </c>
      <c r="R2018" s="3">
        <v>10</v>
      </c>
      <c r="S2018" s="3" t="s">
        <v>53</v>
      </c>
      <c r="T2018" s="3">
        <v>2433</v>
      </c>
      <c r="U2018" s="3">
        <v>31</v>
      </c>
      <c r="V2018" s="3"/>
    </row>
    <row r="2019" spans="1:22" x14ac:dyDescent="0.35">
      <c r="A2019" s="2" t="s">
        <v>4888</v>
      </c>
      <c r="B2019" s="2" t="s">
        <v>1232</v>
      </c>
      <c r="C2019" s="2" t="s">
        <v>24</v>
      </c>
      <c r="D2019" s="2" t="s">
        <v>4889</v>
      </c>
      <c r="E2019" s="2" t="s">
        <v>26</v>
      </c>
      <c r="F2019" s="2" t="s">
        <v>77</v>
      </c>
      <c r="G2019" s="2" t="s">
        <v>217</v>
      </c>
      <c r="H2019" s="2" t="s">
        <v>292</v>
      </c>
      <c r="I2019" s="2" t="s">
        <v>62</v>
      </c>
      <c r="J2019" s="2">
        <v>750</v>
      </c>
      <c r="K2019" s="2">
        <v>705.38</v>
      </c>
      <c r="L2019" s="2">
        <v>1036.51</v>
      </c>
      <c r="M2019" s="2">
        <v>777382.5</v>
      </c>
      <c r="N2019" s="2">
        <v>529035</v>
      </c>
      <c r="O2019" s="2">
        <v>248347.5</v>
      </c>
      <c r="P2019" s="2" t="s">
        <v>95</v>
      </c>
      <c r="Q2019" s="2" t="s">
        <v>32</v>
      </c>
      <c r="R2019" s="2">
        <v>9</v>
      </c>
      <c r="S2019" s="2" t="s">
        <v>158</v>
      </c>
      <c r="T2019" s="4"/>
      <c r="U2019" s="2">
        <v>7</v>
      </c>
      <c r="V2019" s="2"/>
    </row>
    <row r="2020" spans="1:22" x14ac:dyDescent="0.35">
      <c r="A2020" s="3" t="s">
        <v>4890</v>
      </c>
      <c r="B2020" s="3" t="s">
        <v>468</v>
      </c>
      <c r="C2020" s="3" t="s">
        <v>82</v>
      </c>
      <c r="D2020" s="3" t="s">
        <v>4891</v>
      </c>
      <c r="E2020" s="3" t="s">
        <v>58</v>
      </c>
      <c r="F2020" s="3" t="s">
        <v>59</v>
      </c>
      <c r="G2020" s="3" t="s">
        <v>78</v>
      </c>
      <c r="H2020" s="3" t="s">
        <v>178</v>
      </c>
      <c r="I2020" s="3" t="s">
        <v>62</v>
      </c>
      <c r="J2020" s="3">
        <v>194</v>
      </c>
      <c r="K2020" s="3">
        <v>440.73</v>
      </c>
      <c r="L2020" s="3">
        <v>515.09</v>
      </c>
      <c r="M2020" s="3">
        <v>99927.46</v>
      </c>
      <c r="N2020" s="3">
        <v>85501.62</v>
      </c>
      <c r="O2020" s="3">
        <v>14425.84</v>
      </c>
      <c r="P2020" s="3" t="s">
        <v>95</v>
      </c>
      <c r="Q2020" s="3" t="s">
        <v>32</v>
      </c>
      <c r="R2020" s="3">
        <v>12</v>
      </c>
      <c r="S2020" s="3" t="s">
        <v>86</v>
      </c>
      <c r="T2020" s="3">
        <v>2140</v>
      </c>
      <c r="U2020" s="3">
        <v>9</v>
      </c>
      <c r="V2020" s="3"/>
    </row>
    <row r="2021" spans="1:22" x14ac:dyDescent="0.35">
      <c r="A2021" s="2" t="s">
        <v>4892</v>
      </c>
      <c r="B2021" s="2" t="s">
        <v>582</v>
      </c>
      <c r="C2021" s="2" t="s">
        <v>468</v>
      </c>
      <c r="D2021" s="2" t="s">
        <v>4893</v>
      </c>
      <c r="E2021" s="2" t="s">
        <v>26</v>
      </c>
      <c r="F2021" s="2" t="s">
        <v>77</v>
      </c>
      <c r="G2021" s="2" t="s">
        <v>39</v>
      </c>
      <c r="H2021" s="2" t="s">
        <v>477</v>
      </c>
      <c r="I2021" s="2" t="s">
        <v>118</v>
      </c>
      <c r="J2021" s="2">
        <v>609</v>
      </c>
      <c r="K2021" s="2">
        <v>807.62</v>
      </c>
      <c r="L2021" s="2">
        <v>1302.8900000000001</v>
      </c>
      <c r="M2021" s="2">
        <v>793460.01</v>
      </c>
      <c r="N2021" s="2">
        <v>491840.58</v>
      </c>
      <c r="O2021" s="2">
        <v>301619.43</v>
      </c>
      <c r="P2021" s="2" t="s">
        <v>95</v>
      </c>
      <c r="Q2021" s="2" t="s">
        <v>32</v>
      </c>
      <c r="R2021" s="2">
        <v>11</v>
      </c>
      <c r="S2021" s="2" t="s">
        <v>86</v>
      </c>
      <c r="T2021" s="2">
        <v>1866</v>
      </c>
      <c r="U2021" s="2">
        <v>2</v>
      </c>
      <c r="V2021" s="2"/>
    </row>
    <row r="2022" spans="1:22" x14ac:dyDescent="0.35">
      <c r="A2022" s="3" t="s">
        <v>4894</v>
      </c>
      <c r="B2022" s="3" t="s">
        <v>1080</v>
      </c>
      <c r="C2022" s="3" t="s">
        <v>357</v>
      </c>
      <c r="D2022" s="3" t="s">
        <v>2483</v>
      </c>
      <c r="E2022" s="3" t="s">
        <v>48</v>
      </c>
      <c r="F2022" s="3" t="s">
        <v>223</v>
      </c>
      <c r="G2022" s="3" t="s">
        <v>50</v>
      </c>
      <c r="H2022" s="3" t="s">
        <v>135</v>
      </c>
      <c r="I2022" s="3" t="s">
        <v>124</v>
      </c>
      <c r="J2022" s="3">
        <v>31</v>
      </c>
      <c r="K2022" s="3">
        <v>1119.03</v>
      </c>
      <c r="L2022" s="3">
        <v>1775.03</v>
      </c>
      <c r="M2022" s="3">
        <v>55025.93</v>
      </c>
      <c r="N2022" s="3">
        <v>34689.93</v>
      </c>
      <c r="O2022" s="3">
        <v>20336</v>
      </c>
      <c r="P2022" s="3" t="s">
        <v>52</v>
      </c>
      <c r="Q2022" s="3" t="s">
        <v>32</v>
      </c>
      <c r="R2022" s="3">
        <v>14</v>
      </c>
      <c r="S2022" s="3" t="s">
        <v>53</v>
      </c>
      <c r="T2022" s="3">
        <v>2323</v>
      </c>
      <c r="U2022" s="3">
        <v>0</v>
      </c>
      <c r="V2022" s="3"/>
    </row>
    <row r="2023" spans="1:22" x14ac:dyDescent="0.35">
      <c r="A2023" s="2" t="s">
        <v>4895</v>
      </c>
      <c r="B2023" s="2" t="s">
        <v>132</v>
      </c>
      <c r="C2023" s="2" t="s">
        <v>676</v>
      </c>
      <c r="D2023" s="2" t="s">
        <v>4252</v>
      </c>
      <c r="E2023" s="2" t="s">
        <v>58</v>
      </c>
      <c r="F2023" s="2" t="s">
        <v>122</v>
      </c>
      <c r="G2023" s="2" t="s">
        <v>93</v>
      </c>
      <c r="H2023" s="2" t="s">
        <v>643</v>
      </c>
      <c r="I2023" s="2" t="s">
        <v>124</v>
      </c>
      <c r="J2023" s="2">
        <v>398</v>
      </c>
      <c r="K2023" s="2">
        <v>870.95</v>
      </c>
      <c r="L2023" s="2">
        <v>1414.89</v>
      </c>
      <c r="M2023" s="2">
        <v>563126.22</v>
      </c>
      <c r="N2023" s="2">
        <v>346638.1</v>
      </c>
      <c r="O2023" s="2">
        <v>216488.12</v>
      </c>
      <c r="P2023" s="2" t="s">
        <v>42</v>
      </c>
      <c r="Q2023" s="2" t="s">
        <v>32</v>
      </c>
      <c r="R2023" s="2">
        <v>6</v>
      </c>
      <c r="S2023" s="2" t="s">
        <v>1816</v>
      </c>
      <c r="T2023" s="2">
        <v>2355</v>
      </c>
      <c r="U2023" s="2">
        <v>14</v>
      </c>
      <c r="V2023" s="2"/>
    </row>
    <row r="2024" spans="1:22" x14ac:dyDescent="0.35">
      <c r="A2024" s="3" t="s">
        <v>4896</v>
      </c>
      <c r="B2024" s="3" t="s">
        <v>351</v>
      </c>
      <c r="C2024" s="3" t="s">
        <v>4897</v>
      </c>
      <c r="D2024" s="3" t="s">
        <v>4898</v>
      </c>
      <c r="E2024" s="3" t="s">
        <v>48</v>
      </c>
      <c r="F2024" s="3" t="s">
        <v>270</v>
      </c>
      <c r="G2024" s="3" t="s">
        <v>189</v>
      </c>
      <c r="H2024" s="3" t="s">
        <v>271</v>
      </c>
      <c r="I2024" s="3" t="s">
        <v>141</v>
      </c>
      <c r="J2024" s="3">
        <v>181</v>
      </c>
      <c r="K2024" s="3">
        <v>1015.08</v>
      </c>
      <c r="L2024" s="3">
        <v>1475.05</v>
      </c>
      <c r="M2024" s="3">
        <v>266984.05</v>
      </c>
      <c r="N2024" s="3">
        <v>183729.48</v>
      </c>
      <c r="O2024" s="3">
        <v>83254.570000000007</v>
      </c>
      <c r="P2024" s="3" t="s">
        <v>95</v>
      </c>
      <c r="Q2024" s="3" t="s">
        <v>63</v>
      </c>
      <c r="R2024" s="3">
        <v>5</v>
      </c>
      <c r="S2024" s="3" t="s">
        <v>112</v>
      </c>
      <c r="T2024" s="3">
        <v>1836</v>
      </c>
      <c r="U2024" s="3">
        <v>0</v>
      </c>
      <c r="V2024" s="3"/>
    </row>
    <row r="2025" spans="1:22" x14ac:dyDescent="0.35">
      <c r="A2025" s="2" t="s">
        <v>4899</v>
      </c>
      <c r="B2025" s="2" t="s">
        <v>288</v>
      </c>
      <c r="C2025" s="2" t="s">
        <v>1080</v>
      </c>
      <c r="D2025" s="2" t="s">
        <v>4900</v>
      </c>
      <c r="E2025" s="2" t="s">
        <v>68</v>
      </c>
      <c r="F2025" s="2" t="s">
        <v>146</v>
      </c>
      <c r="G2025" s="2" t="s">
        <v>93</v>
      </c>
      <c r="H2025" s="2" t="s">
        <v>184</v>
      </c>
      <c r="I2025" s="2" t="s">
        <v>41</v>
      </c>
      <c r="J2025" s="2">
        <v>788</v>
      </c>
      <c r="K2025" s="2">
        <v>337.18</v>
      </c>
      <c r="L2025" s="2">
        <v>428.89</v>
      </c>
      <c r="M2025" s="2">
        <v>337965.32</v>
      </c>
      <c r="N2025" s="2">
        <v>265697.84000000003</v>
      </c>
      <c r="O2025" s="2">
        <v>72267.48</v>
      </c>
      <c r="P2025" s="2" t="s">
        <v>95</v>
      </c>
      <c r="Q2025" s="2" t="s">
        <v>32</v>
      </c>
      <c r="R2025" s="2">
        <v>6</v>
      </c>
      <c r="S2025" s="2" t="s">
        <v>33</v>
      </c>
      <c r="T2025" s="2">
        <v>1219</v>
      </c>
      <c r="U2025" s="2">
        <v>31</v>
      </c>
      <c r="V2025" s="2"/>
    </row>
    <row r="2026" spans="1:22" x14ac:dyDescent="0.35">
      <c r="A2026" s="3" t="s">
        <v>4901</v>
      </c>
      <c r="B2026" s="3" t="s">
        <v>1561</v>
      </c>
      <c r="C2026" s="3" t="s">
        <v>1753</v>
      </c>
      <c r="D2026" s="3" t="s">
        <v>4902</v>
      </c>
      <c r="E2026" s="3" t="s">
        <v>48</v>
      </c>
      <c r="F2026" s="3" t="s">
        <v>183</v>
      </c>
      <c r="G2026" s="3" t="s">
        <v>50</v>
      </c>
      <c r="H2026" s="3" t="s">
        <v>135</v>
      </c>
      <c r="I2026" s="3" t="s">
        <v>141</v>
      </c>
      <c r="J2026" s="3">
        <v>389</v>
      </c>
      <c r="K2026" s="3">
        <v>109.43</v>
      </c>
      <c r="L2026" s="3">
        <v>127.65</v>
      </c>
      <c r="M2026" s="3">
        <v>49655.85</v>
      </c>
      <c r="N2026" s="3">
        <v>42568.27</v>
      </c>
      <c r="O2026" s="3">
        <v>7087.58</v>
      </c>
      <c r="P2026" s="3" t="s">
        <v>95</v>
      </c>
      <c r="Q2026" s="3" t="s">
        <v>63</v>
      </c>
      <c r="R2026" s="3">
        <v>5</v>
      </c>
      <c r="S2026" s="3" t="s">
        <v>43</v>
      </c>
      <c r="T2026" s="3">
        <v>3799</v>
      </c>
      <c r="U2026" s="3">
        <v>5</v>
      </c>
      <c r="V2026" s="3"/>
    </row>
    <row r="2027" spans="1:22" x14ac:dyDescent="0.35">
      <c r="A2027" s="2" t="s">
        <v>4903</v>
      </c>
      <c r="B2027" s="2" t="s">
        <v>1111</v>
      </c>
      <c r="C2027" s="2" t="s">
        <v>732</v>
      </c>
      <c r="D2027" s="2" t="s">
        <v>4904</v>
      </c>
      <c r="E2027" s="2" t="s">
        <v>26</v>
      </c>
      <c r="F2027" s="2" t="s">
        <v>92</v>
      </c>
      <c r="G2027" s="2" t="s">
        <v>39</v>
      </c>
      <c r="H2027" s="2" t="s">
        <v>147</v>
      </c>
      <c r="I2027" s="2" t="s">
        <v>141</v>
      </c>
      <c r="J2027" s="2">
        <v>30</v>
      </c>
      <c r="K2027" s="2">
        <v>823.32</v>
      </c>
      <c r="L2027" s="2">
        <v>1118.3699999999999</v>
      </c>
      <c r="M2027" s="2">
        <v>33551.1</v>
      </c>
      <c r="N2027" s="2">
        <v>24699.599999999999</v>
      </c>
      <c r="O2027" s="2">
        <v>8851.5</v>
      </c>
      <c r="P2027" s="2" t="s">
        <v>31</v>
      </c>
      <c r="Q2027" s="2" t="s">
        <v>32</v>
      </c>
      <c r="R2027" s="2">
        <v>14</v>
      </c>
      <c r="S2027" s="2" t="s">
        <v>53</v>
      </c>
      <c r="T2027" s="2">
        <v>709</v>
      </c>
      <c r="U2027" s="2">
        <v>1</v>
      </c>
      <c r="V2027" s="2"/>
    </row>
    <row r="2028" spans="1:22" x14ac:dyDescent="0.35">
      <c r="A2028" s="3" t="s">
        <v>4905</v>
      </c>
      <c r="B2028" s="3" t="s">
        <v>410</v>
      </c>
      <c r="C2028" s="3" t="s">
        <v>406</v>
      </c>
      <c r="D2028" s="3" t="s">
        <v>4906</v>
      </c>
      <c r="E2028" s="3" t="s">
        <v>58</v>
      </c>
      <c r="F2028" s="3" t="s">
        <v>259</v>
      </c>
      <c r="G2028" s="3" t="s">
        <v>217</v>
      </c>
      <c r="H2028" s="3" t="s">
        <v>725</v>
      </c>
      <c r="I2028" s="3" t="s">
        <v>240</v>
      </c>
      <c r="J2028" s="3">
        <v>24</v>
      </c>
      <c r="K2028" s="3">
        <v>676.91</v>
      </c>
      <c r="L2028" s="3">
        <v>1077.0999999999999</v>
      </c>
      <c r="M2028" s="3">
        <v>25850.400000000001</v>
      </c>
      <c r="N2028" s="3">
        <v>16245.84</v>
      </c>
      <c r="O2028" s="3">
        <v>9604.56</v>
      </c>
      <c r="P2028" s="3" t="s">
        <v>42</v>
      </c>
      <c r="Q2028" s="3" t="s">
        <v>32</v>
      </c>
      <c r="R2028" s="3">
        <v>7</v>
      </c>
      <c r="S2028" s="3" t="s">
        <v>43</v>
      </c>
      <c r="T2028" s="3">
        <v>1969</v>
      </c>
      <c r="U2028" s="3">
        <v>0</v>
      </c>
      <c r="V2028" s="3"/>
    </row>
    <row r="2029" spans="1:22" x14ac:dyDescent="0.35">
      <c r="A2029" s="2" t="s">
        <v>4907</v>
      </c>
      <c r="B2029" s="2" t="s">
        <v>348</v>
      </c>
      <c r="C2029" s="2" t="s">
        <v>439</v>
      </c>
      <c r="D2029" s="2" t="s">
        <v>4908</v>
      </c>
      <c r="E2029" s="2" t="s">
        <v>26</v>
      </c>
      <c r="F2029" s="2" t="s">
        <v>27</v>
      </c>
      <c r="G2029" s="2" t="s">
        <v>28</v>
      </c>
      <c r="H2029" s="2" t="s">
        <v>29</v>
      </c>
      <c r="I2029" s="2" t="s">
        <v>191</v>
      </c>
      <c r="J2029" s="2">
        <v>325</v>
      </c>
      <c r="K2029" s="2">
        <v>955.96</v>
      </c>
      <c r="L2029" s="2">
        <v>1440.04</v>
      </c>
      <c r="M2029" s="2">
        <v>468013</v>
      </c>
      <c r="N2029" s="2">
        <v>310687</v>
      </c>
      <c r="O2029" s="2">
        <v>157326</v>
      </c>
      <c r="P2029" s="2" t="s">
        <v>42</v>
      </c>
      <c r="Q2029" s="2" t="s">
        <v>32</v>
      </c>
      <c r="R2029" s="2">
        <v>6</v>
      </c>
      <c r="S2029" s="2" t="s">
        <v>43</v>
      </c>
      <c r="T2029" s="2">
        <v>2494</v>
      </c>
      <c r="U2029" s="2">
        <v>15</v>
      </c>
      <c r="V2029" s="2"/>
    </row>
    <row r="2030" spans="1:22" x14ac:dyDescent="0.35">
      <c r="A2030" s="3" t="s">
        <v>4909</v>
      </c>
      <c r="B2030" s="3" t="s">
        <v>3509</v>
      </c>
      <c r="C2030" s="3" t="s">
        <v>4910</v>
      </c>
      <c r="D2030" s="3" t="s">
        <v>4911</v>
      </c>
      <c r="E2030" s="3" t="s">
        <v>100</v>
      </c>
      <c r="F2030" s="3" t="s">
        <v>330</v>
      </c>
      <c r="G2030" s="3" t="s">
        <v>60</v>
      </c>
      <c r="H2030" s="3" t="s">
        <v>229</v>
      </c>
      <c r="I2030" s="3" t="s">
        <v>30</v>
      </c>
      <c r="J2030" s="3">
        <v>447</v>
      </c>
      <c r="K2030" s="3">
        <v>234.85</v>
      </c>
      <c r="L2030" s="3">
        <v>305.70999999999998</v>
      </c>
      <c r="M2030" s="3">
        <v>136652.37</v>
      </c>
      <c r="N2030" s="3">
        <v>104977.95</v>
      </c>
      <c r="O2030" s="3">
        <v>31674.42</v>
      </c>
      <c r="P2030" s="3" t="s">
        <v>31</v>
      </c>
      <c r="Q2030" s="3" t="s">
        <v>32</v>
      </c>
      <c r="R2030" s="3">
        <v>14</v>
      </c>
      <c r="S2030" s="3" t="s">
        <v>158</v>
      </c>
      <c r="T2030" s="3">
        <v>2211</v>
      </c>
      <c r="U2030" s="3">
        <v>0</v>
      </c>
      <c r="V2030" s="3"/>
    </row>
    <row r="2031" spans="1:22" x14ac:dyDescent="0.35">
      <c r="A2031" s="2" t="s">
        <v>4912</v>
      </c>
      <c r="B2031" s="2" t="s">
        <v>707</v>
      </c>
      <c r="C2031" s="2" t="s">
        <v>748</v>
      </c>
      <c r="D2031" s="2" t="s">
        <v>4913</v>
      </c>
      <c r="E2031" s="2" t="s">
        <v>58</v>
      </c>
      <c r="F2031" s="2" t="s">
        <v>122</v>
      </c>
      <c r="G2031" s="2" t="s">
        <v>189</v>
      </c>
      <c r="H2031" s="2" t="s">
        <v>190</v>
      </c>
      <c r="I2031" s="2" t="s">
        <v>124</v>
      </c>
      <c r="J2031" s="2">
        <v>689</v>
      </c>
      <c r="K2031" s="2">
        <v>615.16999999999996</v>
      </c>
      <c r="L2031" s="2">
        <v>727.75</v>
      </c>
      <c r="M2031" s="2">
        <v>501419.75</v>
      </c>
      <c r="N2031" s="2">
        <v>423852.13</v>
      </c>
      <c r="O2031" s="2">
        <v>77567.62</v>
      </c>
      <c r="P2031" s="2" t="s">
        <v>95</v>
      </c>
      <c r="Q2031" s="2" t="s">
        <v>63</v>
      </c>
      <c r="R2031" s="2">
        <v>4</v>
      </c>
      <c r="S2031" s="2" t="s">
        <v>158</v>
      </c>
      <c r="T2031" s="2">
        <v>4925</v>
      </c>
      <c r="U2031" s="2">
        <v>33</v>
      </c>
      <c r="V2031" s="2"/>
    </row>
    <row r="2032" spans="1:22" x14ac:dyDescent="0.35">
      <c r="A2032" s="3" t="s">
        <v>4914</v>
      </c>
      <c r="B2032" s="3" t="s">
        <v>263</v>
      </c>
      <c r="C2032" s="3" t="s">
        <v>611</v>
      </c>
      <c r="D2032" s="3" t="s">
        <v>4915</v>
      </c>
      <c r="E2032" s="3" t="s">
        <v>68</v>
      </c>
      <c r="F2032" s="3" t="s">
        <v>69</v>
      </c>
      <c r="G2032" s="3" t="s">
        <v>217</v>
      </c>
      <c r="H2032" s="3" t="s">
        <v>684</v>
      </c>
      <c r="I2032" s="3" t="s">
        <v>72</v>
      </c>
      <c r="J2032" s="3">
        <v>490</v>
      </c>
      <c r="K2032" s="3">
        <v>224.58</v>
      </c>
      <c r="L2032" s="3">
        <v>266.86</v>
      </c>
      <c r="M2032" s="3">
        <v>130761.4</v>
      </c>
      <c r="N2032" s="3">
        <v>110044.2</v>
      </c>
      <c r="O2032" s="3">
        <v>20717.2</v>
      </c>
      <c r="P2032" s="3" t="s">
        <v>95</v>
      </c>
      <c r="Q2032" s="3" t="s">
        <v>32</v>
      </c>
      <c r="R2032" s="3">
        <v>11</v>
      </c>
      <c r="S2032" s="3" t="s">
        <v>33</v>
      </c>
      <c r="T2032" s="3">
        <v>589</v>
      </c>
      <c r="U2032" s="3">
        <v>21</v>
      </c>
      <c r="V2032" s="3"/>
    </row>
    <row r="2033" spans="1:22" x14ac:dyDescent="0.35">
      <c r="A2033" s="2" t="s">
        <v>4916</v>
      </c>
      <c r="B2033" s="2" t="s">
        <v>132</v>
      </c>
      <c r="C2033" s="2" t="s">
        <v>1093</v>
      </c>
      <c r="D2033" s="2" t="s">
        <v>4917</v>
      </c>
      <c r="E2033" s="2" t="s">
        <v>26</v>
      </c>
      <c r="F2033" s="2" t="s">
        <v>228</v>
      </c>
      <c r="G2033" s="2" t="s">
        <v>129</v>
      </c>
      <c r="H2033" s="2" t="s">
        <v>520</v>
      </c>
      <c r="I2033" s="2" t="s">
        <v>141</v>
      </c>
      <c r="J2033" s="2">
        <v>493</v>
      </c>
      <c r="K2033" s="2">
        <v>1037.04</v>
      </c>
      <c r="L2033" s="2">
        <v>1694.31</v>
      </c>
      <c r="M2033" s="2">
        <v>835294.83</v>
      </c>
      <c r="N2033" s="2">
        <v>511260.72</v>
      </c>
      <c r="O2033" s="2">
        <v>324034.11</v>
      </c>
      <c r="P2033" s="2" t="s">
        <v>42</v>
      </c>
      <c r="Q2033" s="2" t="s">
        <v>32</v>
      </c>
      <c r="R2033" s="2">
        <v>8</v>
      </c>
      <c r="S2033" s="2" t="s">
        <v>112</v>
      </c>
      <c r="T2033" s="2">
        <v>4912</v>
      </c>
      <c r="U2033" s="2">
        <v>16</v>
      </c>
      <c r="V2033" s="2"/>
    </row>
    <row r="2034" spans="1:22" x14ac:dyDescent="0.35">
      <c r="A2034" s="3" t="s">
        <v>4918</v>
      </c>
      <c r="B2034" s="3" t="s">
        <v>1213</v>
      </c>
      <c r="C2034" s="3" t="s">
        <v>363</v>
      </c>
      <c r="D2034" s="3" t="s">
        <v>4919</v>
      </c>
      <c r="E2034" s="4"/>
      <c r="F2034" s="3" t="s">
        <v>69</v>
      </c>
      <c r="G2034" s="3" t="s">
        <v>28</v>
      </c>
      <c r="H2034" s="3" t="s">
        <v>579</v>
      </c>
      <c r="I2034" s="3" t="s">
        <v>30</v>
      </c>
      <c r="J2034" s="3">
        <v>740</v>
      </c>
      <c r="K2034" s="3">
        <v>658.28</v>
      </c>
      <c r="L2034" s="3">
        <v>768.95</v>
      </c>
      <c r="M2034" s="3">
        <v>569023</v>
      </c>
      <c r="N2034" s="3">
        <v>487127.2</v>
      </c>
      <c r="O2034" s="3">
        <v>81895.8</v>
      </c>
      <c r="P2034" s="3" t="s">
        <v>31</v>
      </c>
      <c r="Q2034" s="3" t="s">
        <v>32</v>
      </c>
      <c r="R2034" s="3">
        <v>14</v>
      </c>
      <c r="S2034" s="3" t="s">
        <v>158</v>
      </c>
      <c r="T2034" s="3">
        <v>4291</v>
      </c>
      <c r="U2034" s="3">
        <v>4</v>
      </c>
      <c r="V2034" s="3"/>
    </row>
    <row r="2035" spans="1:22" x14ac:dyDescent="0.35">
      <c r="A2035" s="2" t="s">
        <v>4920</v>
      </c>
      <c r="B2035" s="2" t="s">
        <v>419</v>
      </c>
      <c r="C2035" s="2" t="s">
        <v>24</v>
      </c>
      <c r="D2035" s="2" t="s">
        <v>4921</v>
      </c>
      <c r="E2035" s="2" t="s">
        <v>58</v>
      </c>
      <c r="F2035" s="2" t="s">
        <v>568</v>
      </c>
      <c r="G2035" s="2" t="s">
        <v>70</v>
      </c>
      <c r="H2035" s="2" t="s">
        <v>822</v>
      </c>
      <c r="I2035" s="2" t="s">
        <v>191</v>
      </c>
      <c r="J2035" s="2">
        <v>222</v>
      </c>
      <c r="K2035" s="2">
        <v>363.24</v>
      </c>
      <c r="L2035" s="2">
        <v>490.12</v>
      </c>
      <c r="M2035" s="2">
        <v>108806.64</v>
      </c>
      <c r="N2035" s="2">
        <v>80639.28</v>
      </c>
      <c r="O2035" s="2">
        <v>28167.360000000001</v>
      </c>
      <c r="P2035" s="2" t="s">
        <v>31</v>
      </c>
      <c r="Q2035" s="2" t="s">
        <v>32</v>
      </c>
      <c r="R2035" s="2">
        <v>7</v>
      </c>
      <c r="S2035" s="2" t="s">
        <v>33</v>
      </c>
      <c r="T2035" s="2">
        <v>461</v>
      </c>
      <c r="U2035" s="2">
        <v>2</v>
      </c>
      <c r="V2035" s="2"/>
    </row>
    <row r="2036" spans="1:22" x14ac:dyDescent="0.35">
      <c r="A2036" s="3" t="s">
        <v>4922</v>
      </c>
      <c r="B2036" s="3" t="s">
        <v>133</v>
      </c>
      <c r="C2036" s="3" t="s">
        <v>2130</v>
      </c>
      <c r="D2036" s="3" t="s">
        <v>4923</v>
      </c>
      <c r="E2036" s="3" t="s">
        <v>26</v>
      </c>
      <c r="F2036" s="3" t="s">
        <v>77</v>
      </c>
      <c r="G2036" s="3" t="s">
        <v>70</v>
      </c>
      <c r="H2036" s="3" t="s">
        <v>84</v>
      </c>
      <c r="I2036" s="3" t="s">
        <v>62</v>
      </c>
      <c r="J2036" s="3">
        <v>477</v>
      </c>
      <c r="K2036" s="3">
        <v>793.7</v>
      </c>
      <c r="L2036" s="3">
        <v>1246.49</v>
      </c>
      <c r="M2036" s="3">
        <v>594575.73</v>
      </c>
      <c r="N2036" s="3">
        <v>378594.9</v>
      </c>
      <c r="O2036" s="3">
        <v>215980.83</v>
      </c>
      <c r="P2036" s="3" t="s">
        <v>42</v>
      </c>
      <c r="Q2036" s="3" t="s">
        <v>63</v>
      </c>
      <c r="R2036" s="3">
        <v>2</v>
      </c>
      <c r="S2036" s="3" t="s">
        <v>53</v>
      </c>
      <c r="T2036" s="3">
        <v>4331</v>
      </c>
      <c r="U2036" s="3">
        <v>21</v>
      </c>
      <c r="V2036" s="3"/>
    </row>
    <row r="2037" spans="1:22" x14ac:dyDescent="0.35">
      <c r="A2037" s="3" t="s">
        <v>4924</v>
      </c>
      <c r="B2037" s="3" t="s">
        <v>748</v>
      </c>
      <c r="C2037" s="3" t="s">
        <v>1119</v>
      </c>
      <c r="D2037" s="3" t="s">
        <v>4925</v>
      </c>
      <c r="E2037" s="3" t="s">
        <v>58</v>
      </c>
      <c r="F2037" s="3" t="s">
        <v>259</v>
      </c>
      <c r="G2037" s="3" t="s">
        <v>129</v>
      </c>
      <c r="H2037" s="3" t="s">
        <v>168</v>
      </c>
      <c r="I2037" s="3" t="s">
        <v>141</v>
      </c>
      <c r="J2037" s="3">
        <v>437</v>
      </c>
      <c r="K2037" s="3">
        <v>511.6</v>
      </c>
      <c r="L2037" s="3">
        <v>751.19</v>
      </c>
      <c r="M2037" s="3">
        <v>328270.03000000003</v>
      </c>
      <c r="N2037" s="3">
        <v>223569.2</v>
      </c>
      <c r="O2037" s="3">
        <v>104700.83</v>
      </c>
      <c r="P2037" s="3" t="s">
        <v>31</v>
      </c>
      <c r="Q2037" s="3" t="s">
        <v>63</v>
      </c>
      <c r="R2037" s="3">
        <v>5</v>
      </c>
      <c r="S2037" s="3" t="s">
        <v>43</v>
      </c>
      <c r="T2037" s="3">
        <v>2533</v>
      </c>
      <c r="U2037" s="3">
        <v>14</v>
      </c>
      <c r="V2037" s="3"/>
    </row>
    <row r="2038" spans="1:22" x14ac:dyDescent="0.35">
      <c r="A2038" s="2" t="s">
        <v>4926</v>
      </c>
      <c r="B2038" s="2" t="s">
        <v>181</v>
      </c>
      <c r="C2038" s="2" t="s">
        <v>483</v>
      </c>
      <c r="D2038" s="2" t="s">
        <v>4927</v>
      </c>
      <c r="E2038" s="2" t="s">
        <v>100</v>
      </c>
      <c r="F2038" s="2" t="s">
        <v>238</v>
      </c>
      <c r="G2038" s="2" t="s">
        <v>70</v>
      </c>
      <c r="H2038" s="2" t="s">
        <v>71</v>
      </c>
      <c r="I2038" s="2" t="s">
        <v>240</v>
      </c>
      <c r="J2038" s="2">
        <v>16</v>
      </c>
      <c r="K2038" s="2">
        <v>160.72999999999999</v>
      </c>
      <c r="L2038" s="2">
        <v>218.72</v>
      </c>
      <c r="M2038" s="2">
        <v>3499.52</v>
      </c>
      <c r="N2038" s="2">
        <v>2571.6799999999998</v>
      </c>
      <c r="O2038" s="2">
        <v>927.84</v>
      </c>
      <c r="P2038" s="2" t="s">
        <v>42</v>
      </c>
      <c r="Q2038" s="2" t="s">
        <v>32</v>
      </c>
      <c r="R2038" s="2">
        <v>8</v>
      </c>
      <c r="S2038" s="2" t="s">
        <v>43</v>
      </c>
      <c r="T2038" s="2">
        <v>4999</v>
      </c>
      <c r="U2038" s="2">
        <v>0</v>
      </c>
      <c r="V2038" s="2"/>
    </row>
    <row r="2039" spans="1:22" x14ac:dyDescent="0.35">
      <c r="A2039" s="3" t="s">
        <v>4928</v>
      </c>
      <c r="B2039" s="3" t="s">
        <v>2301</v>
      </c>
      <c r="C2039" s="3" t="s">
        <v>406</v>
      </c>
      <c r="D2039" s="3" t="s">
        <v>1910</v>
      </c>
      <c r="E2039" s="3" t="s">
        <v>100</v>
      </c>
      <c r="F2039" s="3" t="s">
        <v>106</v>
      </c>
      <c r="G2039" s="3" t="s">
        <v>78</v>
      </c>
      <c r="H2039" s="3" t="s">
        <v>79</v>
      </c>
      <c r="I2039" s="3" t="s">
        <v>72</v>
      </c>
      <c r="J2039" s="3">
        <v>711</v>
      </c>
      <c r="K2039" s="3">
        <v>593.61</v>
      </c>
      <c r="L2039" s="3">
        <v>756.98</v>
      </c>
      <c r="M2039" s="3">
        <v>538212.78</v>
      </c>
      <c r="N2039" s="3">
        <v>422056.71</v>
      </c>
      <c r="O2039" s="3">
        <v>116156.07</v>
      </c>
      <c r="P2039" s="3" t="s">
        <v>31</v>
      </c>
      <c r="Q2039" s="3" t="s">
        <v>32</v>
      </c>
      <c r="R2039" s="3">
        <v>15</v>
      </c>
      <c r="S2039" s="3" t="s">
        <v>33</v>
      </c>
      <c r="T2039" s="3">
        <v>4869</v>
      </c>
      <c r="U2039" s="3">
        <v>30</v>
      </c>
      <c r="V2039" s="3"/>
    </row>
    <row r="2040" spans="1:22" x14ac:dyDescent="0.35">
      <c r="A2040" s="2" t="s">
        <v>4929</v>
      </c>
      <c r="B2040" s="2" t="s">
        <v>225</v>
      </c>
      <c r="C2040" s="2" t="s">
        <v>3603</v>
      </c>
      <c r="D2040" s="2" t="s">
        <v>1706</v>
      </c>
      <c r="E2040" s="2" t="s">
        <v>68</v>
      </c>
      <c r="F2040" s="2" t="s">
        <v>69</v>
      </c>
      <c r="G2040" s="2" t="s">
        <v>189</v>
      </c>
      <c r="H2040" s="2" t="s">
        <v>365</v>
      </c>
      <c r="I2040" s="2" t="s">
        <v>124</v>
      </c>
      <c r="J2040" s="2">
        <v>514</v>
      </c>
      <c r="K2040" s="2">
        <v>867.26</v>
      </c>
      <c r="L2040" s="2">
        <v>1032.7</v>
      </c>
      <c r="M2040" s="2">
        <v>530807.80000000005</v>
      </c>
      <c r="N2040" s="2">
        <v>445771.64</v>
      </c>
      <c r="O2040" s="2">
        <v>85036.160000000003</v>
      </c>
      <c r="P2040" s="2" t="s">
        <v>52</v>
      </c>
      <c r="Q2040" s="2" t="s">
        <v>32</v>
      </c>
      <c r="R2040" s="2">
        <v>14</v>
      </c>
      <c r="S2040" s="2" t="s">
        <v>33</v>
      </c>
      <c r="T2040" s="2">
        <v>3207</v>
      </c>
      <c r="U2040" s="2">
        <v>2</v>
      </c>
      <c r="V2040" s="2"/>
    </row>
    <row r="2041" spans="1:22" x14ac:dyDescent="0.35">
      <c r="A2041" s="3" t="s">
        <v>4930</v>
      </c>
      <c r="B2041" s="3" t="s">
        <v>114</v>
      </c>
      <c r="C2041" s="3" t="s">
        <v>390</v>
      </c>
      <c r="D2041" s="3" t="s">
        <v>4931</v>
      </c>
      <c r="E2041" s="3" t="s">
        <v>68</v>
      </c>
      <c r="F2041" s="3" t="s">
        <v>146</v>
      </c>
      <c r="G2041" s="3" t="s">
        <v>28</v>
      </c>
      <c r="H2041" s="3" t="s">
        <v>212</v>
      </c>
      <c r="I2041" s="3" t="s">
        <v>30</v>
      </c>
      <c r="J2041" s="3">
        <v>738</v>
      </c>
      <c r="K2041" s="3">
        <v>878.42</v>
      </c>
      <c r="L2041" s="3">
        <v>1183.3399999999999</v>
      </c>
      <c r="M2041" s="3">
        <v>873304.92</v>
      </c>
      <c r="N2041" s="3">
        <v>648273.96</v>
      </c>
      <c r="O2041" s="3">
        <v>225030.96</v>
      </c>
      <c r="P2041" s="3" t="s">
        <v>42</v>
      </c>
      <c r="Q2041" s="3" t="s">
        <v>32</v>
      </c>
      <c r="R2041" s="3">
        <v>6</v>
      </c>
      <c r="S2041" s="3" t="s">
        <v>43</v>
      </c>
      <c r="T2041" s="3">
        <v>4032</v>
      </c>
      <c r="U2041" s="3">
        <v>30</v>
      </c>
      <c r="V2041" s="3"/>
    </row>
    <row r="2042" spans="1:22" x14ac:dyDescent="0.35">
      <c r="A2042" s="2" t="s">
        <v>4932</v>
      </c>
      <c r="B2042" s="2" t="s">
        <v>2008</v>
      </c>
      <c r="C2042" s="2" t="s">
        <v>143</v>
      </c>
      <c r="D2042" s="2" t="s">
        <v>2774</v>
      </c>
      <c r="E2042" s="2" t="s">
        <v>58</v>
      </c>
      <c r="F2042" s="2" t="s">
        <v>122</v>
      </c>
      <c r="G2042" s="2" t="s">
        <v>39</v>
      </c>
      <c r="H2042" s="2" t="s">
        <v>354</v>
      </c>
      <c r="I2042" s="2" t="s">
        <v>72</v>
      </c>
      <c r="J2042" s="2">
        <v>718</v>
      </c>
      <c r="K2042" s="2">
        <v>622.66999999999996</v>
      </c>
      <c r="L2042" s="2">
        <v>919.68</v>
      </c>
      <c r="M2042" s="2">
        <v>660330.23999999999</v>
      </c>
      <c r="N2042" s="2">
        <v>447077.06</v>
      </c>
      <c r="O2042" s="2">
        <v>213253.18</v>
      </c>
      <c r="P2042" s="2" t="s">
        <v>42</v>
      </c>
      <c r="Q2042" s="2" t="s">
        <v>32</v>
      </c>
      <c r="R2042" s="2">
        <v>7</v>
      </c>
      <c r="S2042" s="2" t="s">
        <v>53</v>
      </c>
      <c r="T2042" s="2">
        <v>3780</v>
      </c>
      <c r="U2042" s="2">
        <v>13</v>
      </c>
      <c r="V2042" s="2"/>
    </row>
    <row r="2043" spans="1:22" x14ac:dyDescent="0.35">
      <c r="A2043" s="3" t="s">
        <v>4933</v>
      </c>
      <c r="B2043" s="3" t="s">
        <v>2428</v>
      </c>
      <c r="C2043" s="3" t="s">
        <v>1304</v>
      </c>
      <c r="D2043" s="3" t="s">
        <v>4934</v>
      </c>
      <c r="E2043" s="3" t="s">
        <v>58</v>
      </c>
      <c r="F2043" s="3" t="s">
        <v>122</v>
      </c>
      <c r="G2043" s="3" t="s">
        <v>50</v>
      </c>
      <c r="H2043" s="3" t="s">
        <v>117</v>
      </c>
      <c r="I2043" s="3" t="s">
        <v>118</v>
      </c>
      <c r="J2043" s="3">
        <v>482</v>
      </c>
      <c r="K2043" s="3">
        <v>1003.37</v>
      </c>
      <c r="L2043" s="3">
        <v>1391.22</v>
      </c>
      <c r="M2043" s="3">
        <v>670568.04</v>
      </c>
      <c r="N2043" s="3">
        <v>483624.34</v>
      </c>
      <c r="O2043" s="4"/>
      <c r="P2043" s="3" t="s">
        <v>52</v>
      </c>
      <c r="Q2043" s="3" t="s">
        <v>32</v>
      </c>
      <c r="R2043" s="3">
        <v>10</v>
      </c>
      <c r="S2043" s="3" t="s">
        <v>33</v>
      </c>
      <c r="T2043" s="3">
        <v>889</v>
      </c>
      <c r="U2043" s="3">
        <v>1</v>
      </c>
      <c r="V2043" s="3"/>
    </row>
    <row r="2044" spans="1:22" x14ac:dyDescent="0.35">
      <c r="A2044" s="2" t="s">
        <v>4935</v>
      </c>
      <c r="B2044" s="2" t="s">
        <v>701</v>
      </c>
      <c r="C2044" s="2" t="s">
        <v>337</v>
      </c>
      <c r="D2044" s="2" t="s">
        <v>4936</v>
      </c>
      <c r="E2044" s="2" t="s">
        <v>48</v>
      </c>
      <c r="F2044" s="2" t="s">
        <v>223</v>
      </c>
      <c r="G2044" s="2" t="s">
        <v>189</v>
      </c>
      <c r="H2044" s="2" t="s">
        <v>369</v>
      </c>
      <c r="I2044" s="2" t="s">
        <v>41</v>
      </c>
      <c r="J2044" s="2">
        <v>716</v>
      </c>
      <c r="K2044" s="2">
        <v>741.33</v>
      </c>
      <c r="L2044" s="2">
        <v>933.16</v>
      </c>
      <c r="M2044" s="2">
        <v>668142.56000000006</v>
      </c>
      <c r="N2044" s="2">
        <v>530792.28</v>
      </c>
      <c r="O2044" s="2">
        <v>137350.28</v>
      </c>
      <c r="P2044" s="2" t="s">
        <v>52</v>
      </c>
      <c r="Q2044" s="2" t="s">
        <v>63</v>
      </c>
      <c r="R2044" s="2">
        <v>2</v>
      </c>
      <c r="S2044" s="2" t="s">
        <v>33</v>
      </c>
      <c r="T2044" s="2">
        <v>2413</v>
      </c>
      <c r="U2044" s="2">
        <v>20</v>
      </c>
      <c r="V2044" s="2"/>
    </row>
    <row r="2045" spans="1:22" x14ac:dyDescent="0.35">
      <c r="A2045" s="3" t="s">
        <v>4937</v>
      </c>
      <c r="B2045" s="3" t="s">
        <v>1066</v>
      </c>
      <c r="C2045" s="3" t="s">
        <v>299</v>
      </c>
      <c r="D2045" s="3" t="s">
        <v>4938</v>
      </c>
      <c r="E2045" s="3" t="s">
        <v>68</v>
      </c>
      <c r="F2045" s="3" t="s">
        <v>146</v>
      </c>
      <c r="G2045" s="3" t="s">
        <v>70</v>
      </c>
      <c r="H2045" s="3" t="s">
        <v>239</v>
      </c>
      <c r="I2045" s="3" t="s">
        <v>153</v>
      </c>
      <c r="J2045" s="3">
        <v>481</v>
      </c>
      <c r="K2045" s="3">
        <v>988.94</v>
      </c>
      <c r="L2045" s="3">
        <v>1170.1400000000001</v>
      </c>
      <c r="M2045" s="3">
        <v>562837.34</v>
      </c>
      <c r="N2045" s="3">
        <v>475680.14</v>
      </c>
      <c r="O2045" s="3">
        <v>87157.2</v>
      </c>
      <c r="P2045" s="3" t="s">
        <v>42</v>
      </c>
      <c r="Q2045" s="3" t="s">
        <v>63</v>
      </c>
      <c r="R2045" s="3">
        <v>5</v>
      </c>
      <c r="S2045" s="3" t="s">
        <v>86</v>
      </c>
      <c r="T2045" s="3">
        <v>2067</v>
      </c>
      <c r="U2045" s="3">
        <v>15</v>
      </c>
      <c r="V2045" s="3"/>
    </row>
    <row r="2046" spans="1:22" x14ac:dyDescent="0.35">
      <c r="A2046" s="2" t="s">
        <v>4939</v>
      </c>
      <c r="B2046" s="2" t="s">
        <v>600</v>
      </c>
      <c r="C2046" s="2" t="s">
        <v>475</v>
      </c>
      <c r="D2046" s="2" t="s">
        <v>4940</v>
      </c>
      <c r="E2046" s="2" t="s">
        <v>68</v>
      </c>
      <c r="F2046" s="2" t="s">
        <v>69</v>
      </c>
      <c r="G2046" s="2" t="s">
        <v>93</v>
      </c>
      <c r="H2046" s="2" t="s">
        <v>94</v>
      </c>
      <c r="I2046" s="2" t="s">
        <v>118</v>
      </c>
      <c r="J2046" s="2">
        <v>57</v>
      </c>
      <c r="K2046" s="2">
        <v>191.18</v>
      </c>
      <c r="L2046" s="2">
        <v>245.49</v>
      </c>
      <c r="M2046" s="2">
        <v>13992.93</v>
      </c>
      <c r="N2046" s="2">
        <v>10897.26</v>
      </c>
      <c r="O2046" s="2">
        <v>3095.67</v>
      </c>
      <c r="P2046" s="2" t="s">
        <v>42</v>
      </c>
      <c r="Q2046" s="2" t="s">
        <v>32</v>
      </c>
      <c r="R2046" s="2">
        <v>9</v>
      </c>
      <c r="S2046" s="2" t="s">
        <v>86</v>
      </c>
      <c r="T2046" s="2">
        <v>2987</v>
      </c>
      <c r="U2046" s="2">
        <v>1</v>
      </c>
      <c r="V2046" s="2"/>
    </row>
    <row r="2047" spans="1:22" x14ac:dyDescent="0.35">
      <c r="A2047" s="3" t="s">
        <v>4941</v>
      </c>
      <c r="B2047" s="3" t="s">
        <v>1360</v>
      </c>
      <c r="C2047" s="3" t="s">
        <v>529</v>
      </c>
      <c r="D2047" s="3" t="s">
        <v>4942</v>
      </c>
      <c r="E2047" s="3" t="s">
        <v>26</v>
      </c>
      <c r="F2047" s="3" t="s">
        <v>27</v>
      </c>
      <c r="G2047" s="3" t="s">
        <v>78</v>
      </c>
      <c r="H2047" s="3" t="s">
        <v>840</v>
      </c>
      <c r="I2047" s="3" t="s">
        <v>293</v>
      </c>
      <c r="J2047" s="3">
        <v>609</v>
      </c>
      <c r="K2047" s="3">
        <v>436.3</v>
      </c>
      <c r="L2047" s="3">
        <v>617.05999999999995</v>
      </c>
      <c r="M2047" s="3">
        <v>375789.54</v>
      </c>
      <c r="N2047" s="3">
        <v>265706.7</v>
      </c>
      <c r="O2047" s="3">
        <v>110082.84</v>
      </c>
      <c r="P2047" s="3" t="s">
        <v>31</v>
      </c>
      <c r="Q2047" s="3" t="s">
        <v>32</v>
      </c>
      <c r="R2047" s="3">
        <v>11</v>
      </c>
      <c r="S2047" s="3" t="s">
        <v>112</v>
      </c>
      <c r="T2047" s="3">
        <v>4017</v>
      </c>
      <c r="U2047" s="3">
        <v>19</v>
      </c>
      <c r="V2047" s="3"/>
    </row>
    <row r="2048" spans="1:22" x14ac:dyDescent="0.35">
      <c r="A2048" s="2" t="s">
        <v>4943</v>
      </c>
      <c r="B2048" s="2" t="s">
        <v>1522</v>
      </c>
      <c r="C2048" s="2" t="s">
        <v>1581</v>
      </c>
      <c r="D2048" s="2" t="s">
        <v>4944</v>
      </c>
      <c r="E2048" s="2" t="s">
        <v>100</v>
      </c>
      <c r="F2048" s="2" t="s">
        <v>106</v>
      </c>
      <c r="G2048" s="2" t="s">
        <v>78</v>
      </c>
      <c r="H2048" s="2" t="s">
        <v>572</v>
      </c>
      <c r="I2048" s="2" t="s">
        <v>240</v>
      </c>
      <c r="J2048" s="2">
        <v>721</v>
      </c>
      <c r="K2048" s="2">
        <v>681.64</v>
      </c>
      <c r="L2048" s="2">
        <v>1026.08</v>
      </c>
      <c r="M2048" s="2">
        <v>739803.68</v>
      </c>
      <c r="N2048" s="2">
        <v>491462.44</v>
      </c>
      <c r="O2048" s="2">
        <v>248341.24</v>
      </c>
      <c r="P2048" s="2" t="s">
        <v>95</v>
      </c>
      <c r="Q2048" s="2" t="s">
        <v>32</v>
      </c>
      <c r="R2048" s="2">
        <v>14</v>
      </c>
      <c r="S2048" s="2" t="s">
        <v>33</v>
      </c>
      <c r="T2048" s="4"/>
      <c r="U2048" s="2">
        <v>26</v>
      </c>
      <c r="V2048" s="2"/>
    </row>
    <row r="2049" spans="1:22" x14ac:dyDescent="0.35">
      <c r="A2049" s="3" t="s">
        <v>4945</v>
      </c>
      <c r="B2049" s="3" t="s">
        <v>4100</v>
      </c>
      <c r="C2049" s="3" t="s">
        <v>3976</v>
      </c>
      <c r="D2049" s="3" t="s">
        <v>2266</v>
      </c>
      <c r="E2049" s="3" t="s">
        <v>4946</v>
      </c>
      <c r="F2049" s="3" t="s">
        <v>270</v>
      </c>
      <c r="G2049" s="3" t="s">
        <v>39</v>
      </c>
      <c r="H2049" s="3" t="s">
        <v>664</v>
      </c>
      <c r="I2049" s="3" t="s">
        <v>293</v>
      </c>
      <c r="J2049" s="3">
        <v>718</v>
      </c>
      <c r="K2049" s="3">
        <v>690.24</v>
      </c>
      <c r="L2049" s="3">
        <v>1019.31</v>
      </c>
      <c r="M2049" s="3">
        <v>731864.58</v>
      </c>
      <c r="N2049" s="3">
        <v>495592.32</v>
      </c>
      <c r="O2049" s="4"/>
      <c r="P2049" s="3" t="s">
        <v>95</v>
      </c>
      <c r="Q2049" s="3" t="s">
        <v>32</v>
      </c>
      <c r="R2049" s="3">
        <v>12</v>
      </c>
      <c r="S2049" s="3" t="s">
        <v>86</v>
      </c>
      <c r="T2049" s="3">
        <v>3269</v>
      </c>
      <c r="U2049" s="3">
        <v>2</v>
      </c>
      <c r="V2049" s="3"/>
    </row>
    <row r="2050" spans="1:22" x14ac:dyDescent="0.35">
      <c r="A2050" s="3" t="s">
        <v>4947</v>
      </c>
      <c r="B2050" s="3" t="s">
        <v>2320</v>
      </c>
      <c r="C2050" s="3" t="s">
        <v>2604</v>
      </c>
      <c r="D2050" s="3" t="s">
        <v>4948</v>
      </c>
      <c r="E2050" s="3" t="s">
        <v>26</v>
      </c>
      <c r="F2050" s="3" t="s">
        <v>228</v>
      </c>
      <c r="G2050" s="3" t="s">
        <v>217</v>
      </c>
      <c r="H2050" s="3" t="s">
        <v>725</v>
      </c>
      <c r="I2050" s="3" t="s">
        <v>118</v>
      </c>
      <c r="J2050" s="3">
        <v>100</v>
      </c>
      <c r="K2050" s="3">
        <v>338.98</v>
      </c>
      <c r="L2050" s="3">
        <v>481.89</v>
      </c>
      <c r="M2050" s="3">
        <v>48189</v>
      </c>
      <c r="N2050" s="3">
        <v>33898</v>
      </c>
      <c r="O2050" s="3">
        <v>14291</v>
      </c>
      <c r="P2050" s="3" t="s">
        <v>31</v>
      </c>
      <c r="Q2050" s="3" t="s">
        <v>32</v>
      </c>
      <c r="R2050" s="3">
        <v>12</v>
      </c>
      <c r="S2050" s="3" t="s">
        <v>53</v>
      </c>
      <c r="T2050" s="3">
        <v>1462</v>
      </c>
      <c r="U2050" s="3">
        <v>4</v>
      </c>
      <c r="V2050" s="3"/>
    </row>
    <row r="2051" spans="1:22" x14ac:dyDescent="0.35">
      <c r="A2051" s="2" t="s">
        <v>4949</v>
      </c>
      <c r="B2051" s="2" t="s">
        <v>1007</v>
      </c>
      <c r="C2051" s="2" t="s">
        <v>1080</v>
      </c>
      <c r="D2051" s="2" t="s">
        <v>4950</v>
      </c>
      <c r="E2051" s="2" t="s">
        <v>68</v>
      </c>
      <c r="F2051" s="2" t="s">
        <v>276</v>
      </c>
      <c r="G2051" s="2" t="s">
        <v>60</v>
      </c>
      <c r="H2051" s="2" t="s">
        <v>61</v>
      </c>
      <c r="I2051" s="2" t="s">
        <v>41</v>
      </c>
      <c r="J2051" s="2">
        <v>760</v>
      </c>
      <c r="K2051" s="2">
        <v>263.8</v>
      </c>
      <c r="L2051" s="2">
        <v>424.88</v>
      </c>
      <c r="M2051" s="2">
        <v>322908.79999999999</v>
      </c>
      <c r="N2051" s="2">
        <v>200488</v>
      </c>
      <c r="O2051" s="2">
        <v>122420.8</v>
      </c>
      <c r="P2051" s="2" t="s">
        <v>95</v>
      </c>
      <c r="Q2051" s="2" t="s">
        <v>63</v>
      </c>
      <c r="R2051" s="2">
        <v>1</v>
      </c>
      <c r="S2051" s="2" t="s">
        <v>33</v>
      </c>
      <c r="T2051" s="2">
        <v>3175</v>
      </c>
      <c r="U2051" s="2">
        <v>34</v>
      </c>
      <c r="V2051" s="2"/>
    </row>
    <row r="2052" spans="1:22" x14ac:dyDescent="0.35">
      <c r="A2052" s="3" t="s">
        <v>4951</v>
      </c>
      <c r="B2052" s="3" t="s">
        <v>862</v>
      </c>
      <c r="C2052" s="3" t="s">
        <v>215</v>
      </c>
      <c r="D2052" s="3" t="s">
        <v>4952</v>
      </c>
      <c r="E2052" s="3" t="s">
        <v>48</v>
      </c>
      <c r="F2052" s="3" t="s">
        <v>183</v>
      </c>
      <c r="G2052" s="3" t="s">
        <v>93</v>
      </c>
      <c r="H2052" s="3" t="s">
        <v>1442</v>
      </c>
      <c r="I2052" s="3" t="s">
        <v>62</v>
      </c>
      <c r="J2052" s="3">
        <v>723</v>
      </c>
      <c r="K2052" s="3">
        <v>457.69</v>
      </c>
      <c r="L2052" s="3">
        <v>601.28</v>
      </c>
      <c r="M2052" s="3">
        <v>434725.44</v>
      </c>
      <c r="N2052" s="3">
        <v>330909.87</v>
      </c>
      <c r="O2052" s="3">
        <v>103815.57</v>
      </c>
      <c r="P2052" s="3" t="s">
        <v>31</v>
      </c>
      <c r="Q2052" s="3" t="s">
        <v>63</v>
      </c>
      <c r="R2052" s="3">
        <v>4</v>
      </c>
      <c r="S2052" s="3" t="s">
        <v>33</v>
      </c>
      <c r="T2052" s="3">
        <v>232</v>
      </c>
      <c r="U2052" s="3">
        <v>21</v>
      </c>
      <c r="V2052" s="3"/>
    </row>
    <row r="2053" spans="1:22" x14ac:dyDescent="0.35">
      <c r="A2053" s="2" t="s">
        <v>4953</v>
      </c>
      <c r="B2053" s="2" t="s">
        <v>3362</v>
      </c>
      <c r="C2053" s="2" t="s">
        <v>585</v>
      </c>
      <c r="D2053" s="2" t="s">
        <v>4954</v>
      </c>
      <c r="E2053" s="2" t="s">
        <v>26</v>
      </c>
      <c r="F2053" s="2" t="s">
        <v>228</v>
      </c>
      <c r="G2053" s="2" t="s">
        <v>129</v>
      </c>
      <c r="H2053" s="2" t="s">
        <v>704</v>
      </c>
      <c r="I2053" s="2" t="s">
        <v>62</v>
      </c>
      <c r="J2053" s="2">
        <v>697</v>
      </c>
      <c r="K2053" s="2">
        <v>1118.9000000000001</v>
      </c>
      <c r="L2053" s="2">
        <v>1459.2</v>
      </c>
      <c r="M2053" s="2">
        <v>1017062.4</v>
      </c>
      <c r="N2053" s="2">
        <v>779873.3</v>
      </c>
      <c r="O2053" s="2">
        <v>237189.1</v>
      </c>
      <c r="P2053" s="2" t="s">
        <v>95</v>
      </c>
      <c r="Q2053" s="2" t="s">
        <v>32</v>
      </c>
      <c r="R2053" s="2">
        <v>11</v>
      </c>
      <c r="S2053" s="2" t="s">
        <v>53</v>
      </c>
      <c r="T2053" s="2">
        <v>2098</v>
      </c>
      <c r="U2053" s="2">
        <v>16</v>
      </c>
      <c r="V2053" s="2"/>
    </row>
    <row r="2054" spans="1:22" x14ac:dyDescent="0.35">
      <c r="A2054" s="3" t="s">
        <v>4955</v>
      </c>
      <c r="B2054" s="3" t="s">
        <v>186</v>
      </c>
      <c r="C2054" s="3" t="s">
        <v>194</v>
      </c>
      <c r="D2054" s="3" t="s">
        <v>4956</v>
      </c>
      <c r="E2054" s="3" t="s">
        <v>26</v>
      </c>
      <c r="F2054" s="3" t="s">
        <v>38</v>
      </c>
      <c r="G2054" s="3" t="s">
        <v>70</v>
      </c>
      <c r="H2054" s="3" t="s">
        <v>384</v>
      </c>
      <c r="I2054" s="3" t="s">
        <v>240</v>
      </c>
      <c r="J2054" s="3">
        <v>742</v>
      </c>
      <c r="K2054" s="3">
        <v>788.45</v>
      </c>
      <c r="L2054" s="3">
        <v>1157.56</v>
      </c>
      <c r="M2054" s="3">
        <v>858909.52</v>
      </c>
      <c r="N2054" s="3">
        <v>585029.9</v>
      </c>
      <c r="O2054" s="3">
        <v>273879.62</v>
      </c>
      <c r="P2054" s="3" t="s">
        <v>31</v>
      </c>
      <c r="Q2054" s="3" t="s">
        <v>32</v>
      </c>
      <c r="R2054" s="3">
        <v>6</v>
      </c>
      <c r="S2054" s="3" t="s">
        <v>33</v>
      </c>
      <c r="T2054" s="3">
        <v>2787</v>
      </c>
      <c r="U2054" s="3">
        <v>23</v>
      </c>
      <c r="V2054" s="3"/>
    </row>
    <row r="2055" spans="1:22" x14ac:dyDescent="0.35">
      <c r="A2055" s="2" t="s">
        <v>4957</v>
      </c>
      <c r="B2055" s="2" t="s">
        <v>1074</v>
      </c>
      <c r="C2055" s="2" t="s">
        <v>4958</v>
      </c>
      <c r="D2055" s="4"/>
      <c r="E2055" s="2" t="s">
        <v>26</v>
      </c>
      <c r="F2055" s="2" t="s">
        <v>27</v>
      </c>
      <c r="G2055" s="2" t="s">
        <v>78</v>
      </c>
      <c r="H2055" s="2" t="s">
        <v>425</v>
      </c>
      <c r="I2055" s="2" t="s">
        <v>41</v>
      </c>
      <c r="J2055" s="2">
        <v>658</v>
      </c>
      <c r="K2055" s="2">
        <v>992.9</v>
      </c>
      <c r="L2055" s="2">
        <v>1138.3900000000001</v>
      </c>
      <c r="M2055" s="2">
        <v>749060.62</v>
      </c>
      <c r="N2055" s="2">
        <v>653328.19999999995</v>
      </c>
      <c r="O2055" s="2">
        <v>95732.42</v>
      </c>
      <c r="P2055" s="2" t="s">
        <v>42</v>
      </c>
      <c r="Q2055" s="2" t="s">
        <v>63</v>
      </c>
      <c r="R2055" s="2">
        <v>2</v>
      </c>
      <c r="S2055" s="2" t="s">
        <v>86</v>
      </c>
      <c r="T2055" s="2">
        <v>3059</v>
      </c>
      <c r="U2055" s="2">
        <v>7</v>
      </c>
      <c r="V2055" s="2"/>
    </row>
    <row r="2056" spans="1:22" x14ac:dyDescent="0.35">
      <c r="A2056" s="3" t="s">
        <v>4959</v>
      </c>
      <c r="B2056" s="3" t="s">
        <v>3041</v>
      </c>
      <c r="C2056" s="3" t="s">
        <v>2417</v>
      </c>
      <c r="D2056" s="3" t="s">
        <v>4960</v>
      </c>
      <c r="E2056" s="3" t="s">
        <v>100</v>
      </c>
      <c r="F2056" s="3" t="s">
        <v>238</v>
      </c>
      <c r="G2056" s="3" t="s">
        <v>217</v>
      </c>
      <c r="H2056" s="3" t="s">
        <v>494</v>
      </c>
      <c r="I2056" s="3" t="s">
        <v>72</v>
      </c>
      <c r="J2056" s="3">
        <v>377</v>
      </c>
      <c r="K2056" s="3">
        <v>813.8</v>
      </c>
      <c r="L2056" s="3">
        <v>1299.44</v>
      </c>
      <c r="M2056" s="3">
        <v>489888.88</v>
      </c>
      <c r="N2056" s="3">
        <v>306802.59999999998</v>
      </c>
      <c r="O2056" s="3">
        <v>183086.28</v>
      </c>
      <c r="P2056" s="3" t="s">
        <v>95</v>
      </c>
      <c r="Q2056" s="3" t="s">
        <v>32</v>
      </c>
      <c r="R2056" s="3">
        <v>13</v>
      </c>
      <c r="S2056" s="3" t="s">
        <v>158</v>
      </c>
      <c r="T2056" s="3">
        <v>3084</v>
      </c>
      <c r="U2056" s="3">
        <v>6</v>
      </c>
      <c r="V2056" s="3"/>
    </row>
  </sheetData>
  <autoFilter ref="A1:V20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8C16-F00E-409F-83A5-8C59CD7DDB7E}">
  <dimension ref="A1:AA2050"/>
  <sheetViews>
    <sheetView tabSelected="1" zoomScaleNormal="100" workbookViewId="0">
      <selection activeCell="F11" sqref="F11"/>
    </sheetView>
  </sheetViews>
  <sheetFormatPr defaultRowHeight="14.5" x14ac:dyDescent="0.35"/>
  <cols>
    <col min="1" max="1" width="13.08984375" bestFit="1" customWidth="1"/>
    <col min="2" max="2" width="15.453125" bestFit="1" customWidth="1"/>
    <col min="3" max="3" width="14.36328125" bestFit="1" customWidth="1"/>
    <col min="4" max="4" width="20.453125" bestFit="1" customWidth="1"/>
    <col min="5" max="5" width="13.1796875" bestFit="1" customWidth="1"/>
    <col min="6" max="6" width="14.26953125" bestFit="1" customWidth="1"/>
    <col min="7" max="7" width="21.81640625" bestFit="1" customWidth="1"/>
    <col min="8" max="8" width="22.81640625" bestFit="1" customWidth="1"/>
    <col min="9" max="9" width="16" bestFit="1" customWidth="1"/>
    <col min="10" max="10" width="21.26953125" bestFit="1" customWidth="1"/>
    <col min="11" max="11" width="16.90625" bestFit="1" customWidth="1"/>
    <col min="12" max="12" width="17.26953125" bestFit="1" customWidth="1"/>
    <col min="13" max="13" width="18.7265625" bestFit="1" customWidth="1"/>
    <col min="14" max="14" width="18" bestFit="1" customWidth="1"/>
    <col min="15" max="15" width="13.26953125" bestFit="1" customWidth="1"/>
    <col min="16" max="16" width="19.36328125" bestFit="1" customWidth="1"/>
    <col min="17" max="17" width="19.1796875" bestFit="1" customWidth="1"/>
    <col min="18" max="18" width="19.453125" bestFit="1" customWidth="1"/>
    <col min="19" max="19" width="11.453125" bestFit="1" customWidth="1"/>
    <col min="20" max="20" width="17.08984375" bestFit="1" customWidth="1"/>
    <col min="21" max="21" width="15.90625" bestFit="1" customWidth="1"/>
    <col min="22" max="22" width="16.26953125" bestFit="1" customWidth="1"/>
    <col min="23" max="23" width="21" bestFit="1" customWidth="1"/>
    <col min="24" max="24" width="19.08984375" bestFit="1" customWidth="1"/>
    <col min="25" max="25" width="22.81640625" bestFit="1" customWidth="1"/>
    <col min="26" max="26" width="15.453125" bestFit="1" customWidth="1"/>
    <col min="27" max="27" width="16.90625" bestFit="1" customWidth="1"/>
  </cols>
  <sheetData>
    <row r="1" spans="1:2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4961</v>
      </c>
      <c r="Q1" s="5" t="s">
        <v>15</v>
      </c>
      <c r="R1" s="5" t="s">
        <v>16</v>
      </c>
      <c r="S1" s="7" t="s">
        <v>4962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4963</v>
      </c>
      <c r="Y1" s="5" t="s">
        <v>4964</v>
      </c>
      <c r="Z1" s="5" t="s">
        <v>4965</v>
      </c>
      <c r="AA1" s="5" t="s">
        <v>4966</v>
      </c>
    </row>
    <row r="2" spans="1:27" x14ac:dyDescent="0.35">
      <c r="A2" s="8" t="s">
        <v>22</v>
      </c>
      <c r="B2" s="9">
        <v>45021</v>
      </c>
      <c r="C2" s="9">
        <v>45188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4967</v>
      </c>
      <c r="J2" s="10">
        <v>309</v>
      </c>
      <c r="K2" s="11">
        <v>310.97000000000003</v>
      </c>
      <c r="L2" s="11">
        <v>455.02</v>
      </c>
      <c r="M2" s="11">
        <v>140601.18</v>
      </c>
      <c r="N2" s="11">
        <v>96089.73</v>
      </c>
      <c r="O2" s="11">
        <f>CleanedData[[#This Row],[Total Sales ($)]]-CleanedData[[#This Row],[Total Cost ($)]]</f>
        <v>44511.45</v>
      </c>
      <c r="P2" s="12">
        <f>CleanedData[[#This Row],[Profit ($)]]/CleanedData[[#This Row],[Total Sales ($)]]</f>
        <v>0.31657949101138411</v>
      </c>
      <c r="Q2" s="8" t="s">
        <v>31</v>
      </c>
      <c r="R2" s="8" t="s">
        <v>32</v>
      </c>
      <c r="S2" s="8" t="b">
        <f>TRUE()</f>
        <v>1</v>
      </c>
      <c r="T2" s="10">
        <v>7</v>
      </c>
      <c r="U2" s="8" t="s">
        <v>33</v>
      </c>
      <c r="V2" s="10">
        <v>3608</v>
      </c>
      <c r="W2" s="10">
        <v>12</v>
      </c>
      <c r="X2" s="12">
        <v>3.88349514563106E-2</v>
      </c>
      <c r="Y2" s="8" t="b">
        <f>CleanedData[[#This Row],[Ship Date]]&lt;CleanedData[[#This Row],[Order Date]]</f>
        <v>0</v>
      </c>
      <c r="Z2" s="10">
        <f>YEAR(CleanedData[[#This Row],[Order Date]])</f>
        <v>2023</v>
      </c>
      <c r="AA2" s="8">
        <f>MONTH(CleanedData[[#This Row],[Order Date]])</f>
        <v>4</v>
      </c>
    </row>
    <row r="3" spans="1:27" x14ac:dyDescent="0.35">
      <c r="A3" s="8" t="s">
        <v>34</v>
      </c>
      <c r="B3" s="9">
        <v>45220</v>
      </c>
      <c r="C3" s="9">
        <v>45068</v>
      </c>
      <c r="D3" s="8" t="s">
        <v>37</v>
      </c>
      <c r="E3" s="8" t="s">
        <v>26</v>
      </c>
      <c r="F3" s="8" t="s">
        <v>38</v>
      </c>
      <c r="G3" s="8" t="s">
        <v>39</v>
      </c>
      <c r="H3" s="8" t="s">
        <v>40</v>
      </c>
      <c r="I3" s="8" t="s">
        <v>4968</v>
      </c>
      <c r="J3" s="10">
        <v>468</v>
      </c>
      <c r="K3" s="11">
        <v>471.51</v>
      </c>
      <c r="L3" s="11">
        <v>772.78</v>
      </c>
      <c r="M3" s="11">
        <v>361661.04</v>
      </c>
      <c r="N3" s="11">
        <v>220666.68</v>
      </c>
      <c r="O3" s="11">
        <f>CleanedData[[#This Row],[Total Sales ($)]]-CleanedData[[#This Row],[Total Cost ($)]]</f>
        <v>140994.35999999999</v>
      </c>
      <c r="P3" s="12">
        <f>CleanedData[[#This Row],[Profit ($)]]/CleanedData[[#This Row],[Total Sales ($)]]</f>
        <v>0.38985222184839152</v>
      </c>
      <c r="Q3" s="8" t="s">
        <v>42</v>
      </c>
      <c r="R3" s="8" t="s">
        <v>32</v>
      </c>
      <c r="S3" s="8" t="b">
        <f>_xlfn.SINGLE(CleanedData[[#This Row],[Delivery Status]])="Late"</f>
        <v>1</v>
      </c>
      <c r="T3" s="10">
        <v>8</v>
      </c>
      <c r="U3" s="8" t="s">
        <v>43</v>
      </c>
      <c r="V3" s="10">
        <v>378</v>
      </c>
      <c r="W3" s="10">
        <v>3</v>
      </c>
      <c r="X3" s="12">
        <v>6.4102564102563996E-3</v>
      </c>
      <c r="Y3" s="8" t="b">
        <f>CleanedData[[#This Row],[Ship Date]]&lt;CleanedData[[#This Row],[Order Date]]</f>
        <v>1</v>
      </c>
      <c r="Z3" s="10">
        <f>YEAR(CleanedData[[#This Row],[Order Date]])</f>
        <v>2023</v>
      </c>
      <c r="AA3" s="8">
        <f>MONTH(CleanedData[[#This Row],[Order Date]])</f>
        <v>10</v>
      </c>
    </row>
    <row r="4" spans="1:27" x14ac:dyDescent="0.35">
      <c r="A4" s="8" t="s">
        <v>44</v>
      </c>
      <c r="B4" s="9">
        <v>45196</v>
      </c>
      <c r="C4" s="9">
        <v>44947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8" t="s">
        <v>4968</v>
      </c>
      <c r="J4" s="10">
        <v>258</v>
      </c>
      <c r="K4" s="11">
        <v>1050.0899999999999</v>
      </c>
      <c r="L4" s="11">
        <v>1307.23</v>
      </c>
      <c r="M4" s="11">
        <v>337265.34</v>
      </c>
      <c r="N4" s="11">
        <v>270923.21999999997</v>
      </c>
      <c r="O4" s="11">
        <f>CleanedData[[#This Row],[Total Sales ($)]]-CleanedData[[#This Row],[Total Cost ($)]]</f>
        <v>66342.120000000054</v>
      </c>
      <c r="P4" s="12">
        <f>CleanedData[[#This Row],[Profit ($)]]/CleanedData[[#This Row],[Total Sales ($)]]</f>
        <v>0.19670601194893034</v>
      </c>
      <c r="Q4" s="8" t="s">
        <v>52</v>
      </c>
      <c r="R4" s="8" t="s">
        <v>32</v>
      </c>
      <c r="S4" s="8" t="b">
        <f>_xlfn.SINGLE(CleanedData[[#This Row],[Delivery Status]])="Late"</f>
        <v>1</v>
      </c>
      <c r="T4" s="10">
        <v>14</v>
      </c>
      <c r="U4" s="8" t="s">
        <v>53</v>
      </c>
      <c r="V4" s="10">
        <v>455</v>
      </c>
      <c r="W4" s="10">
        <v>9</v>
      </c>
      <c r="X4" s="12">
        <v>3.4883720930232502E-2</v>
      </c>
      <c r="Y4" s="8" t="b">
        <f>CleanedData[[#This Row],[Ship Date]]&lt;CleanedData[[#This Row],[Order Date]]</f>
        <v>1</v>
      </c>
      <c r="Z4" s="10">
        <f>YEAR(CleanedData[[#This Row],[Order Date]])</f>
        <v>2023</v>
      </c>
      <c r="AA4" s="8">
        <f>MONTH(CleanedData[[#This Row],[Order Date]])</f>
        <v>9</v>
      </c>
    </row>
    <row r="5" spans="1:27" x14ac:dyDescent="0.35">
      <c r="A5" s="8" t="s">
        <v>54</v>
      </c>
      <c r="B5" s="9">
        <v>44985</v>
      </c>
      <c r="C5" s="9">
        <v>45009</v>
      </c>
      <c r="D5" s="8" t="s">
        <v>57</v>
      </c>
      <c r="E5" s="8" t="s">
        <v>58</v>
      </c>
      <c r="F5" s="8" t="s">
        <v>59</v>
      </c>
      <c r="G5" s="8" t="s">
        <v>60</v>
      </c>
      <c r="H5" s="8" t="s">
        <v>61</v>
      </c>
      <c r="I5" s="8" t="s">
        <v>4969</v>
      </c>
      <c r="J5" s="10">
        <v>614</v>
      </c>
      <c r="K5" s="11">
        <v>395.82</v>
      </c>
      <c r="L5" s="11">
        <v>443.75</v>
      </c>
      <c r="M5" s="11">
        <v>272462.5</v>
      </c>
      <c r="N5" s="11">
        <v>243033.48</v>
      </c>
      <c r="O5" s="11">
        <f>CleanedData[[#This Row],[Total Sales ($)]]-CleanedData[[#This Row],[Total Cost ($)]]</f>
        <v>29429.01999999999</v>
      </c>
      <c r="P5" s="12">
        <f>CleanedData[[#This Row],[Profit ($)]]/CleanedData[[#This Row],[Total Sales ($)]]</f>
        <v>0.10801126760563376</v>
      </c>
      <c r="Q5" s="8" t="s">
        <v>31</v>
      </c>
      <c r="R5" s="8" t="s">
        <v>63</v>
      </c>
      <c r="S5" s="8" t="b">
        <f>_xlfn.SINGLE(CleanedData[[#This Row],[Delivery Status]])="Late"</f>
        <v>0</v>
      </c>
      <c r="T5" s="10">
        <v>3</v>
      </c>
      <c r="U5" s="8" t="s">
        <v>53</v>
      </c>
      <c r="V5" s="10">
        <v>3245</v>
      </c>
      <c r="W5" s="10">
        <v>11</v>
      </c>
      <c r="X5" s="12">
        <v>1.7915309446254E-2</v>
      </c>
      <c r="Y5" s="8" t="b">
        <f>CleanedData[[#This Row],[Ship Date]]&lt;CleanedData[[#This Row],[Order Date]]</f>
        <v>0</v>
      </c>
      <c r="Z5" s="10">
        <f>YEAR(CleanedData[[#This Row],[Order Date]])</f>
        <v>2023</v>
      </c>
      <c r="AA5" s="8">
        <f>MONTH(CleanedData[[#This Row],[Order Date]])</f>
        <v>2</v>
      </c>
    </row>
    <row r="6" spans="1:27" x14ac:dyDescent="0.35">
      <c r="A6" s="8" t="s">
        <v>64</v>
      </c>
      <c r="B6" s="9">
        <v>44981</v>
      </c>
      <c r="C6" s="9">
        <v>45231</v>
      </c>
      <c r="D6" s="8" t="s">
        <v>67</v>
      </c>
      <c r="E6" s="8" t="s">
        <v>68</v>
      </c>
      <c r="F6" s="8" t="s">
        <v>69</v>
      </c>
      <c r="G6" s="8" t="s">
        <v>70</v>
      </c>
      <c r="H6" s="8" t="s">
        <v>71</v>
      </c>
      <c r="I6" s="8" t="s">
        <v>4970</v>
      </c>
      <c r="J6" s="10">
        <v>202</v>
      </c>
      <c r="K6" s="11">
        <v>288.91000000000003</v>
      </c>
      <c r="L6" s="11">
        <v>371.69</v>
      </c>
      <c r="M6" s="11">
        <v>75081.38</v>
      </c>
      <c r="N6" s="11">
        <v>58359.82</v>
      </c>
      <c r="O6" s="11">
        <f>CleanedData[[#This Row],[Total Sales ($)]]-CleanedData[[#This Row],[Total Cost ($)]]</f>
        <v>16721.560000000005</v>
      </c>
      <c r="P6" s="12">
        <f>CleanedData[[#This Row],[Profit ($)]]/CleanedData[[#This Row],[Total Sales ($)]]</f>
        <v>0.2227124754499718</v>
      </c>
      <c r="Q6" s="8" t="s">
        <v>31</v>
      </c>
      <c r="R6" s="8" t="s">
        <v>63</v>
      </c>
      <c r="S6" s="8" t="b">
        <f>_xlfn.SINGLE(CleanedData[[#This Row],[Delivery Status]])="Late"</f>
        <v>0</v>
      </c>
      <c r="T6" s="10">
        <v>3</v>
      </c>
      <c r="U6" s="8" t="s">
        <v>33</v>
      </c>
      <c r="V6" s="10">
        <v>102</v>
      </c>
      <c r="W6" s="10">
        <v>7</v>
      </c>
      <c r="X6" s="12">
        <v>3.4653465346534601E-2</v>
      </c>
      <c r="Y6" s="8" t="b">
        <f>CleanedData[[#This Row],[Ship Date]]&lt;CleanedData[[#This Row],[Order Date]]</f>
        <v>0</v>
      </c>
      <c r="Z6" s="10">
        <f>YEAR(CleanedData[[#This Row],[Order Date]])</f>
        <v>2023</v>
      </c>
      <c r="AA6" s="8">
        <f>MONTH(CleanedData[[#This Row],[Order Date]])</f>
        <v>2</v>
      </c>
    </row>
    <row r="7" spans="1:27" x14ac:dyDescent="0.35">
      <c r="A7" s="8" t="s">
        <v>73</v>
      </c>
      <c r="B7" s="9">
        <v>45283</v>
      </c>
      <c r="C7" s="9">
        <v>45231</v>
      </c>
      <c r="D7" s="8" t="s">
        <v>76</v>
      </c>
      <c r="E7" s="8" t="s">
        <v>26</v>
      </c>
      <c r="F7" s="8" t="s">
        <v>77</v>
      </c>
      <c r="G7" s="8" t="s">
        <v>78</v>
      </c>
      <c r="H7" s="8" t="s">
        <v>79</v>
      </c>
      <c r="I7" s="8" t="s">
        <v>4969</v>
      </c>
      <c r="J7" s="10">
        <v>621</v>
      </c>
      <c r="K7" s="11">
        <v>610.44000000000005</v>
      </c>
      <c r="L7" s="11">
        <v>704.39</v>
      </c>
      <c r="M7" s="11">
        <v>437426.19</v>
      </c>
      <c r="N7" s="11">
        <v>379083.24</v>
      </c>
      <c r="O7" s="11">
        <f>CleanedData[[#This Row],[Total Sales ($)]]-CleanedData[[#This Row],[Total Cost ($)]]</f>
        <v>58342.950000000012</v>
      </c>
      <c r="P7" s="12">
        <f>CleanedData[[#This Row],[Profit ($)]]/CleanedData[[#This Row],[Total Sales ($)]]</f>
        <v>0.1333778162665569</v>
      </c>
      <c r="Q7" s="8" t="s">
        <v>52</v>
      </c>
      <c r="R7" s="8" t="s">
        <v>32</v>
      </c>
      <c r="S7" s="8" t="b">
        <f>_xlfn.SINGLE(CleanedData[[#This Row],[Delivery Status]])="Late"</f>
        <v>1</v>
      </c>
      <c r="T7" s="10">
        <v>6</v>
      </c>
      <c r="U7" s="8" t="s">
        <v>53</v>
      </c>
      <c r="V7" s="10">
        <v>1921</v>
      </c>
      <c r="W7" s="10">
        <v>2</v>
      </c>
      <c r="X7" s="12">
        <v>3.220611916264E-3</v>
      </c>
      <c r="Y7" s="8" t="b">
        <f>CleanedData[[#This Row],[Ship Date]]&lt;CleanedData[[#This Row],[Order Date]]</f>
        <v>1</v>
      </c>
      <c r="Z7" s="10">
        <f>YEAR(CleanedData[[#This Row],[Order Date]])</f>
        <v>2023</v>
      </c>
      <c r="AA7" s="8">
        <f>MONTH(CleanedData[[#This Row],[Order Date]])</f>
        <v>12</v>
      </c>
    </row>
    <row r="8" spans="1:27" x14ac:dyDescent="0.35">
      <c r="A8" s="8" t="s">
        <v>80</v>
      </c>
      <c r="B8" s="9">
        <v>45186</v>
      </c>
      <c r="C8" s="9">
        <v>45007</v>
      </c>
      <c r="D8" s="8" t="s">
        <v>83</v>
      </c>
      <c r="E8" s="8" t="s">
        <v>26</v>
      </c>
      <c r="F8" s="8" t="s">
        <v>77</v>
      </c>
      <c r="G8" s="8" t="s">
        <v>70</v>
      </c>
      <c r="H8" s="8" t="s">
        <v>84</v>
      </c>
      <c r="I8" s="8" t="s">
        <v>4971</v>
      </c>
      <c r="J8" s="10">
        <v>631</v>
      </c>
      <c r="K8" s="11">
        <v>777.66</v>
      </c>
      <c r="L8" s="11">
        <v>941.45</v>
      </c>
      <c r="M8" s="11">
        <v>594054.94999999995</v>
      </c>
      <c r="N8" s="11">
        <v>490703.46</v>
      </c>
      <c r="O8" s="11">
        <f>CleanedData[[#This Row],[Total Sales ($)]]-CleanedData[[#This Row],[Total Cost ($)]]</f>
        <v>103351.48999999993</v>
      </c>
      <c r="P8" s="12">
        <f>CleanedData[[#This Row],[Profit ($)]]/CleanedData[[#This Row],[Total Sales ($)]]</f>
        <v>0.17397631313399534</v>
      </c>
      <c r="Q8" s="8" t="s">
        <v>52</v>
      </c>
      <c r="R8" s="8" t="s">
        <v>32</v>
      </c>
      <c r="S8" s="8" t="b">
        <f>_xlfn.SINGLE(CleanedData[[#This Row],[Delivery Status]])="Late"</f>
        <v>1</v>
      </c>
      <c r="T8" s="10">
        <v>12</v>
      </c>
      <c r="U8" s="8" t="s">
        <v>86</v>
      </c>
      <c r="V8" s="10">
        <v>2501.41</v>
      </c>
      <c r="W8" s="10">
        <v>2</v>
      </c>
      <c r="X8" s="12">
        <v>3.1695721077654002E-3</v>
      </c>
      <c r="Y8" s="8" t="b">
        <f>CleanedData[[#This Row],[Ship Date]]&lt;CleanedData[[#This Row],[Order Date]]</f>
        <v>1</v>
      </c>
      <c r="Z8" s="10">
        <f>YEAR(CleanedData[[#This Row],[Order Date]])</f>
        <v>2023</v>
      </c>
      <c r="AA8" s="8">
        <f>MONTH(CleanedData[[#This Row],[Order Date]])</f>
        <v>9</v>
      </c>
    </row>
    <row r="9" spans="1:27" x14ac:dyDescent="0.35">
      <c r="A9" s="8" t="s">
        <v>88</v>
      </c>
      <c r="B9" s="9">
        <v>45643</v>
      </c>
      <c r="C9" s="9">
        <v>45110</v>
      </c>
      <c r="D9" s="8" t="s">
        <v>91</v>
      </c>
      <c r="E9" s="8" t="s">
        <v>26</v>
      </c>
      <c r="F9" s="8" t="s">
        <v>92</v>
      </c>
      <c r="G9" s="8" t="s">
        <v>93</v>
      </c>
      <c r="H9" s="8" t="s">
        <v>94</v>
      </c>
      <c r="I9" s="8" t="s">
        <v>4970</v>
      </c>
      <c r="J9" s="10">
        <v>772</v>
      </c>
      <c r="K9" s="11">
        <v>242</v>
      </c>
      <c r="L9" s="11">
        <v>350.4</v>
      </c>
      <c r="M9" s="11">
        <v>270508.79999999999</v>
      </c>
      <c r="N9" s="11">
        <v>186824</v>
      </c>
      <c r="O9" s="11">
        <f>CleanedData[[#This Row],[Total Sales ($)]]-CleanedData[[#This Row],[Total Cost ($)]]</f>
        <v>83684.799999999988</v>
      </c>
      <c r="P9" s="12">
        <f>CleanedData[[#This Row],[Profit ($)]]/CleanedData[[#This Row],[Total Sales ($)]]</f>
        <v>0.3093607305936073</v>
      </c>
      <c r="Q9" s="8" t="s">
        <v>95</v>
      </c>
      <c r="R9" s="8" t="s">
        <v>63</v>
      </c>
      <c r="S9" s="8" t="b">
        <f>_xlfn.SINGLE(CleanedData[[#This Row],[Delivery Status]])="Late"</f>
        <v>0</v>
      </c>
      <c r="T9" s="10">
        <v>1</v>
      </c>
      <c r="U9" s="8" t="s">
        <v>53</v>
      </c>
      <c r="V9" s="10">
        <v>1333</v>
      </c>
      <c r="W9" s="10">
        <v>30</v>
      </c>
      <c r="X9" s="12">
        <v>3.8860103626942998E-2</v>
      </c>
      <c r="Y9" s="8" t="b">
        <f>CleanedData[[#This Row],[Ship Date]]&lt;CleanedData[[#This Row],[Order Date]]</f>
        <v>1</v>
      </c>
      <c r="Z9" s="10">
        <f>YEAR(CleanedData[[#This Row],[Order Date]])</f>
        <v>2024</v>
      </c>
      <c r="AA9" s="8">
        <f>MONTH(CleanedData[[#This Row],[Order Date]])</f>
        <v>12</v>
      </c>
    </row>
    <row r="10" spans="1:27" x14ac:dyDescent="0.35">
      <c r="A10" s="8" t="s">
        <v>96</v>
      </c>
      <c r="B10" s="9">
        <v>45219</v>
      </c>
      <c r="C10" s="9">
        <v>45033</v>
      </c>
      <c r="D10" s="8" t="s">
        <v>99</v>
      </c>
      <c r="E10" s="8" t="s">
        <v>100</v>
      </c>
      <c r="F10" s="8" t="s">
        <v>101</v>
      </c>
      <c r="G10" s="8" t="s">
        <v>78</v>
      </c>
      <c r="H10" s="8" t="s">
        <v>79</v>
      </c>
      <c r="I10" s="8" t="s">
        <v>4972</v>
      </c>
      <c r="J10" s="10">
        <v>332</v>
      </c>
      <c r="K10" s="11">
        <v>962.44</v>
      </c>
      <c r="L10" s="11">
        <v>1225.58</v>
      </c>
      <c r="M10" s="11">
        <v>406892.56</v>
      </c>
      <c r="N10" s="11">
        <v>319530.08</v>
      </c>
      <c r="O10" s="11">
        <f>CleanedData[[#This Row],[Total Sales ($)]]-CleanedData[[#This Row],[Total Cost ($)]]</f>
        <v>87362.479999999981</v>
      </c>
      <c r="P10" s="12">
        <f>CleanedData[[#This Row],[Profit ($)]]/CleanedData[[#This Row],[Total Sales ($)]]</f>
        <v>0.21470650630721777</v>
      </c>
      <c r="Q10" s="8" t="s">
        <v>42</v>
      </c>
      <c r="R10" s="8" t="s">
        <v>32</v>
      </c>
      <c r="S10" s="8" t="b">
        <f>_xlfn.SINGLE(CleanedData[[#This Row],[Delivery Status]])="Late"</f>
        <v>1</v>
      </c>
      <c r="T10" s="10">
        <v>11</v>
      </c>
      <c r="U10" s="8" t="s">
        <v>33</v>
      </c>
      <c r="V10" s="10">
        <v>3581</v>
      </c>
      <c r="W10" s="10">
        <v>11</v>
      </c>
      <c r="X10" s="12">
        <v>3.3132530120481903E-2</v>
      </c>
      <c r="Y10" s="8" t="b">
        <f>CleanedData[[#This Row],[Ship Date]]&lt;CleanedData[[#This Row],[Order Date]]</f>
        <v>1</v>
      </c>
      <c r="Z10" s="10">
        <f>YEAR(CleanedData[[#This Row],[Order Date]])</f>
        <v>2023</v>
      </c>
      <c r="AA10" s="8">
        <f>MONTH(CleanedData[[#This Row],[Order Date]])</f>
        <v>10</v>
      </c>
    </row>
    <row r="11" spans="1:27" x14ac:dyDescent="0.35">
      <c r="A11" s="8" t="s">
        <v>102</v>
      </c>
      <c r="B11" s="9">
        <v>45205</v>
      </c>
      <c r="C11" s="9">
        <v>45038</v>
      </c>
      <c r="D11" s="8" t="s">
        <v>105</v>
      </c>
      <c r="E11" s="8" t="s">
        <v>100</v>
      </c>
      <c r="F11" s="8" t="s">
        <v>106</v>
      </c>
      <c r="G11" s="8" t="s">
        <v>50</v>
      </c>
      <c r="H11" s="8" t="s">
        <v>107</v>
      </c>
      <c r="I11" s="8" t="s">
        <v>4967</v>
      </c>
      <c r="J11" s="10">
        <v>168</v>
      </c>
      <c r="K11" s="11">
        <v>852.33</v>
      </c>
      <c r="L11" s="11">
        <v>1016.61</v>
      </c>
      <c r="M11" s="11">
        <v>170790.48</v>
      </c>
      <c r="N11" s="11">
        <v>143191.44</v>
      </c>
      <c r="O11" s="11">
        <f>CleanedData[[#This Row],[Total Sales ($)]]-CleanedData[[#This Row],[Total Cost ($)]]</f>
        <v>27599.040000000008</v>
      </c>
      <c r="P11" s="12">
        <f>CleanedData[[#This Row],[Profit ($)]]/CleanedData[[#This Row],[Total Sales ($)]]</f>
        <v>0.16159589223005877</v>
      </c>
      <c r="Q11" s="8" t="s">
        <v>95</v>
      </c>
      <c r="R11" s="8" t="s">
        <v>63</v>
      </c>
      <c r="S11" s="8" t="b">
        <f>_xlfn.SINGLE(CleanedData[[#This Row],[Delivery Status]])="Late"</f>
        <v>0</v>
      </c>
      <c r="T11" s="10">
        <v>1</v>
      </c>
      <c r="U11" s="8" t="s">
        <v>43</v>
      </c>
      <c r="V11" s="10">
        <v>1772</v>
      </c>
      <c r="W11" s="10">
        <v>2</v>
      </c>
      <c r="X11" s="12">
        <v>1.1904761904761901E-2</v>
      </c>
      <c r="Y11" s="8" t="b">
        <f>CleanedData[[#This Row],[Ship Date]]&lt;CleanedData[[#This Row],[Order Date]]</f>
        <v>1</v>
      </c>
      <c r="Z11" s="10">
        <f>YEAR(CleanedData[[#This Row],[Order Date]])</f>
        <v>2023</v>
      </c>
      <c r="AA11" s="8">
        <f>MONTH(CleanedData[[#This Row],[Order Date]])</f>
        <v>10</v>
      </c>
    </row>
    <row r="12" spans="1:27" x14ac:dyDescent="0.35">
      <c r="A12" s="8" t="s">
        <v>108</v>
      </c>
      <c r="B12" s="9">
        <v>45090</v>
      </c>
      <c r="C12" s="9">
        <v>45090</v>
      </c>
      <c r="D12" s="8" t="s">
        <v>110</v>
      </c>
      <c r="E12" s="8" t="s">
        <v>26</v>
      </c>
      <c r="F12" s="8" t="s">
        <v>38</v>
      </c>
      <c r="G12" s="8" t="s">
        <v>28</v>
      </c>
      <c r="H12" s="8" t="s">
        <v>111</v>
      </c>
      <c r="I12" s="8" t="s">
        <v>4969</v>
      </c>
      <c r="J12" s="10">
        <v>695</v>
      </c>
      <c r="K12" s="11">
        <v>1052.8499999999999</v>
      </c>
      <c r="L12" s="11">
        <v>1576.58</v>
      </c>
      <c r="M12" s="11">
        <v>1095723.1000000001</v>
      </c>
      <c r="N12" s="11">
        <v>731730.75</v>
      </c>
      <c r="O12" s="11">
        <f>CleanedData[[#This Row],[Total Sales ($)]]-CleanedData[[#This Row],[Total Cost ($)]]</f>
        <v>363992.35000000009</v>
      </c>
      <c r="P12" s="12">
        <f>CleanedData[[#This Row],[Profit ($)]]/CleanedData[[#This Row],[Total Sales ($)]]</f>
        <v>0.33219373580788802</v>
      </c>
      <c r="Q12" s="8" t="s">
        <v>95</v>
      </c>
      <c r="R12" s="8" t="s">
        <v>63</v>
      </c>
      <c r="S12" s="8" t="b">
        <f>_xlfn.SINGLE(CleanedData[[#This Row],[Delivery Status]])="Late"</f>
        <v>0</v>
      </c>
      <c r="T12" s="10">
        <v>3</v>
      </c>
      <c r="U12" s="8" t="s">
        <v>112</v>
      </c>
      <c r="V12" s="10">
        <v>1821</v>
      </c>
      <c r="W12" s="10">
        <v>19</v>
      </c>
      <c r="X12" s="12">
        <v>2.73381294964028E-2</v>
      </c>
      <c r="Y12" s="8" t="b">
        <f>CleanedData[[#This Row],[Ship Date]]&lt;CleanedData[[#This Row],[Order Date]]</f>
        <v>0</v>
      </c>
      <c r="Z12" s="10">
        <f>YEAR(CleanedData[[#This Row],[Order Date]])</f>
        <v>2023</v>
      </c>
      <c r="AA12" s="8">
        <f>MONTH(CleanedData[[#This Row],[Order Date]])</f>
        <v>6</v>
      </c>
    </row>
    <row r="13" spans="1:27" x14ac:dyDescent="0.35">
      <c r="A13" s="8" t="s">
        <v>113</v>
      </c>
      <c r="B13" s="9">
        <v>45021</v>
      </c>
      <c r="C13" s="9">
        <v>45044</v>
      </c>
      <c r="D13" s="8" t="s">
        <v>115</v>
      </c>
      <c r="E13" s="8" t="s">
        <v>58</v>
      </c>
      <c r="F13" s="8" t="s">
        <v>116</v>
      </c>
      <c r="G13" s="8" t="s">
        <v>50</v>
      </c>
      <c r="H13" s="8" t="s">
        <v>117</v>
      </c>
      <c r="I13" s="8" t="s">
        <v>4973</v>
      </c>
      <c r="J13" s="10">
        <v>475</v>
      </c>
      <c r="K13" s="11">
        <v>466.42</v>
      </c>
      <c r="L13" s="11">
        <v>724.68</v>
      </c>
      <c r="M13" s="11">
        <v>344223</v>
      </c>
      <c r="N13" s="11">
        <v>221549.5</v>
      </c>
      <c r="O13" s="11">
        <f>CleanedData[[#This Row],[Total Sales ($)]]-CleanedData[[#This Row],[Total Cost ($)]]</f>
        <v>122673.5</v>
      </c>
      <c r="P13" s="12">
        <f>CleanedData[[#This Row],[Profit ($)]]/CleanedData[[#This Row],[Total Sales ($)]]</f>
        <v>0.35637798752552852</v>
      </c>
      <c r="Q13" s="8" t="s">
        <v>42</v>
      </c>
      <c r="R13" s="8" t="s">
        <v>63</v>
      </c>
      <c r="S13" s="8" t="b">
        <f>_xlfn.SINGLE(CleanedData[[#This Row],[Delivery Status]])="Late"</f>
        <v>0</v>
      </c>
      <c r="T13" s="10">
        <v>3</v>
      </c>
      <c r="U13" s="8" t="s">
        <v>86</v>
      </c>
      <c r="V13" s="10">
        <v>3391</v>
      </c>
      <c r="W13" s="10">
        <v>13</v>
      </c>
      <c r="X13" s="12">
        <v>2.73684210526315E-2</v>
      </c>
      <c r="Y13" s="8" t="b">
        <f>CleanedData[[#This Row],[Ship Date]]&lt;CleanedData[[#This Row],[Order Date]]</f>
        <v>0</v>
      </c>
      <c r="Z13" s="10">
        <f>YEAR(CleanedData[[#This Row],[Order Date]])</f>
        <v>2023</v>
      </c>
      <c r="AA13" s="8">
        <f>MONTH(CleanedData[[#This Row],[Order Date]])</f>
        <v>4</v>
      </c>
    </row>
    <row r="14" spans="1:27" x14ac:dyDescent="0.35">
      <c r="A14" s="8" t="s">
        <v>119</v>
      </c>
      <c r="B14" s="9">
        <v>45021</v>
      </c>
      <c r="C14" s="9">
        <v>45226</v>
      </c>
      <c r="D14" s="8" t="s">
        <v>121</v>
      </c>
      <c r="E14" s="8" t="s">
        <v>58</v>
      </c>
      <c r="F14" s="8" t="s">
        <v>122</v>
      </c>
      <c r="G14" s="8" t="s">
        <v>78</v>
      </c>
      <c r="H14" s="8" t="s">
        <v>123</v>
      </c>
      <c r="I14" s="8" t="s">
        <v>4974</v>
      </c>
      <c r="J14" s="10">
        <v>615</v>
      </c>
      <c r="K14" s="11">
        <v>421.92</v>
      </c>
      <c r="L14" s="11">
        <v>510.14</v>
      </c>
      <c r="M14" s="11">
        <v>313736.09999999998</v>
      </c>
      <c r="N14" s="11">
        <v>259480.8</v>
      </c>
      <c r="O14" s="11">
        <f>CleanedData[[#This Row],[Total Sales ($)]]-CleanedData[[#This Row],[Total Cost ($)]]</f>
        <v>54255.299999999988</v>
      </c>
      <c r="P14" s="12">
        <f>CleanedData[[#This Row],[Profit ($)]]/CleanedData[[#This Row],[Total Sales ($)]]</f>
        <v>0.17293292037479904</v>
      </c>
      <c r="Q14" s="8" t="s">
        <v>95</v>
      </c>
      <c r="R14" s="8" t="s">
        <v>32</v>
      </c>
      <c r="S14" s="8" t="b">
        <f>_xlfn.SINGLE(CleanedData[[#This Row],[Delivery Status]])="Late"</f>
        <v>1</v>
      </c>
      <c r="T14" s="10">
        <v>8</v>
      </c>
      <c r="U14" s="8" t="s">
        <v>43</v>
      </c>
      <c r="V14" s="10">
        <v>644</v>
      </c>
      <c r="W14" s="10">
        <v>8</v>
      </c>
      <c r="X14" s="12">
        <v>1.3008130081300801E-2</v>
      </c>
      <c r="Y14" s="8" t="b">
        <f>CleanedData[[#This Row],[Ship Date]]&lt;CleanedData[[#This Row],[Order Date]]</f>
        <v>0</v>
      </c>
      <c r="Z14" s="10">
        <f>YEAR(CleanedData[[#This Row],[Order Date]])</f>
        <v>2023</v>
      </c>
      <c r="AA14" s="8">
        <f>MONTH(CleanedData[[#This Row],[Order Date]])</f>
        <v>4</v>
      </c>
    </row>
    <row r="15" spans="1:27" x14ac:dyDescent="0.35">
      <c r="A15" s="8" t="s">
        <v>125</v>
      </c>
      <c r="B15" s="9">
        <v>45178</v>
      </c>
      <c r="C15" s="9">
        <v>45003</v>
      </c>
      <c r="D15" s="8" t="s">
        <v>128</v>
      </c>
      <c r="E15" s="8" t="s">
        <v>26</v>
      </c>
      <c r="F15" s="8" t="s">
        <v>27</v>
      </c>
      <c r="G15" s="8" t="s">
        <v>129</v>
      </c>
      <c r="H15" s="8" t="s">
        <v>130</v>
      </c>
      <c r="I15" s="8" t="s">
        <v>4970</v>
      </c>
      <c r="J15" s="10">
        <v>38</v>
      </c>
      <c r="K15" s="11">
        <v>302.95</v>
      </c>
      <c r="L15" s="11">
        <v>397.64</v>
      </c>
      <c r="M15" s="11">
        <v>15110.32</v>
      </c>
      <c r="N15" s="11">
        <v>11512.1</v>
      </c>
      <c r="O15" s="11">
        <f>CleanedData[[#This Row],[Total Sales ($)]]-CleanedData[[#This Row],[Total Cost ($)]]</f>
        <v>3598.2199999999993</v>
      </c>
      <c r="P15" s="12">
        <f>CleanedData[[#This Row],[Profit ($)]]/CleanedData[[#This Row],[Total Sales ($)]]</f>
        <v>0.23812996680414442</v>
      </c>
      <c r="Q15" s="8" t="s">
        <v>52</v>
      </c>
      <c r="R15" s="8" t="s">
        <v>32</v>
      </c>
      <c r="S15" s="8" t="b">
        <f>_xlfn.SINGLE(CleanedData[[#This Row],[Delivery Status]])="Late"</f>
        <v>1</v>
      </c>
      <c r="T15" s="10">
        <v>7</v>
      </c>
      <c r="U15" s="8" t="s">
        <v>112</v>
      </c>
      <c r="V15" s="10">
        <v>2791</v>
      </c>
      <c r="W15" s="10">
        <v>0</v>
      </c>
      <c r="X15" s="12">
        <v>0</v>
      </c>
      <c r="Y15" s="8" t="b">
        <f>CleanedData[[#This Row],[Ship Date]]&lt;CleanedData[[#This Row],[Order Date]]</f>
        <v>1</v>
      </c>
      <c r="Z15" s="10">
        <f>YEAR(CleanedData[[#This Row],[Order Date]])</f>
        <v>2023</v>
      </c>
      <c r="AA15" s="8">
        <f>MONTH(CleanedData[[#This Row],[Order Date]])</f>
        <v>9</v>
      </c>
    </row>
    <row r="16" spans="1:27" x14ac:dyDescent="0.35">
      <c r="A16" s="8" t="s">
        <v>131</v>
      </c>
      <c r="B16" s="9">
        <v>45185</v>
      </c>
      <c r="C16" s="9">
        <v>45149</v>
      </c>
      <c r="D16" s="8" t="s">
        <v>134</v>
      </c>
      <c r="E16" s="8" t="s">
        <v>26</v>
      </c>
      <c r="F16" s="8" t="s">
        <v>92</v>
      </c>
      <c r="G16" s="8" t="s">
        <v>50</v>
      </c>
      <c r="H16" s="8" t="s">
        <v>135</v>
      </c>
      <c r="I16" s="8" t="s">
        <v>4973</v>
      </c>
      <c r="J16" s="10">
        <v>528</v>
      </c>
      <c r="K16" s="11">
        <v>726.5</v>
      </c>
      <c r="L16" s="11">
        <v>949.66</v>
      </c>
      <c r="M16" s="11">
        <v>501420.48</v>
      </c>
      <c r="N16" s="11">
        <v>383592</v>
      </c>
      <c r="O16" s="11">
        <f>CleanedData[[#This Row],[Total Sales ($)]]-CleanedData[[#This Row],[Total Cost ($)]]</f>
        <v>117828.47999999998</v>
      </c>
      <c r="P16" s="12">
        <f>CleanedData[[#This Row],[Profit ($)]]/CleanedData[[#This Row],[Total Sales ($)]]</f>
        <v>0.23498936461470418</v>
      </c>
      <c r="Q16" s="8" t="s">
        <v>52</v>
      </c>
      <c r="R16" s="8" t="s">
        <v>32</v>
      </c>
      <c r="S16" s="8" t="b">
        <f>_xlfn.SINGLE(CleanedData[[#This Row],[Delivery Status]])="Late"</f>
        <v>1</v>
      </c>
      <c r="T16" s="10">
        <v>11</v>
      </c>
      <c r="U16" s="8" t="s">
        <v>53</v>
      </c>
      <c r="V16" s="10">
        <v>1405</v>
      </c>
      <c r="W16" s="10">
        <v>9</v>
      </c>
      <c r="X16" s="12">
        <v>1.7045454545454499E-2</v>
      </c>
      <c r="Y16" s="8" t="b">
        <f>CleanedData[[#This Row],[Ship Date]]&lt;CleanedData[[#This Row],[Order Date]]</f>
        <v>1</v>
      </c>
      <c r="Z16" s="10">
        <f>YEAR(CleanedData[[#This Row],[Order Date]])</f>
        <v>2023</v>
      </c>
      <c r="AA16" s="8">
        <f>MONTH(CleanedData[[#This Row],[Order Date]])</f>
        <v>9</v>
      </c>
    </row>
    <row r="17" spans="1:27" x14ac:dyDescent="0.35">
      <c r="A17" s="8" t="s">
        <v>136</v>
      </c>
      <c r="B17" s="9">
        <v>44933</v>
      </c>
      <c r="C17" s="9">
        <v>44965</v>
      </c>
      <c r="D17" s="8" t="s">
        <v>139</v>
      </c>
      <c r="E17" s="8" t="s">
        <v>48</v>
      </c>
      <c r="F17" s="8" t="s">
        <v>49</v>
      </c>
      <c r="G17" s="8" t="s">
        <v>93</v>
      </c>
      <c r="H17" s="8" t="s">
        <v>140</v>
      </c>
      <c r="I17" s="8" t="s">
        <v>4975</v>
      </c>
      <c r="J17" s="10">
        <v>378</v>
      </c>
      <c r="K17" s="11">
        <v>254.38</v>
      </c>
      <c r="L17" s="11">
        <v>373.56</v>
      </c>
      <c r="M17" s="11">
        <v>141205.68</v>
      </c>
      <c r="N17" s="11">
        <v>96155.64</v>
      </c>
      <c r="O17" s="11">
        <f>CleanedData[[#This Row],[Total Sales ($)]]-CleanedData[[#This Row],[Total Cost ($)]]</f>
        <v>45050.039999999994</v>
      </c>
      <c r="P17" s="12">
        <f>CleanedData[[#This Row],[Profit ($)]]/CleanedData[[#This Row],[Total Sales ($)]]</f>
        <v>0.31903844094656814</v>
      </c>
      <c r="Q17" s="8" t="s">
        <v>42</v>
      </c>
      <c r="R17" s="8" t="s">
        <v>32</v>
      </c>
      <c r="S17" s="8" t="b">
        <f>_xlfn.SINGLE(CleanedData[[#This Row],[Delivery Status]])="Late"</f>
        <v>1</v>
      </c>
      <c r="T17" s="10">
        <v>13</v>
      </c>
      <c r="U17" s="8" t="s">
        <v>43</v>
      </c>
      <c r="V17" s="10">
        <v>3962</v>
      </c>
      <c r="W17" s="10">
        <v>2</v>
      </c>
      <c r="X17" s="12">
        <v>5.2910052910051996E-3</v>
      </c>
      <c r="Y17" s="8" t="b">
        <f>CleanedData[[#This Row],[Ship Date]]&lt;CleanedData[[#This Row],[Order Date]]</f>
        <v>0</v>
      </c>
      <c r="Z17" s="10">
        <f>YEAR(CleanedData[[#This Row],[Order Date]])</f>
        <v>2023</v>
      </c>
      <c r="AA17" s="8">
        <f>MONTH(CleanedData[[#This Row],[Order Date]])</f>
        <v>1</v>
      </c>
    </row>
    <row r="18" spans="1:27" x14ac:dyDescent="0.35">
      <c r="A18" s="8" t="s">
        <v>142</v>
      </c>
      <c r="B18" s="9">
        <v>45401</v>
      </c>
      <c r="C18" s="9">
        <v>45452</v>
      </c>
      <c r="D18" s="8" t="s">
        <v>145</v>
      </c>
      <c r="E18" s="8" t="s">
        <v>68</v>
      </c>
      <c r="F18" s="8" t="s">
        <v>146</v>
      </c>
      <c r="G18" s="8" t="s">
        <v>39</v>
      </c>
      <c r="H18" s="8" t="s">
        <v>147</v>
      </c>
      <c r="I18" s="8" t="s">
        <v>4974</v>
      </c>
      <c r="J18" s="10">
        <v>624</v>
      </c>
      <c r="K18" s="11">
        <v>693.16</v>
      </c>
      <c r="L18" s="11">
        <v>1000.75</v>
      </c>
      <c r="M18" s="11">
        <v>624468</v>
      </c>
      <c r="N18" s="11">
        <v>432531.84</v>
      </c>
      <c r="O18" s="11">
        <f>CleanedData[[#This Row],[Total Sales ($)]]-CleanedData[[#This Row],[Total Cost ($)]]</f>
        <v>191936.15999999997</v>
      </c>
      <c r="P18" s="12">
        <f>CleanedData[[#This Row],[Profit ($)]]/CleanedData[[#This Row],[Total Sales ($)]]</f>
        <v>0.30735948038970767</v>
      </c>
      <c r="Q18" s="8" t="s">
        <v>42</v>
      </c>
      <c r="R18" s="8" t="s">
        <v>32</v>
      </c>
      <c r="S18" s="8" t="b">
        <f>_xlfn.SINGLE(CleanedData[[#This Row],[Delivery Status]])="Late"</f>
        <v>1</v>
      </c>
      <c r="T18" s="10">
        <v>13</v>
      </c>
      <c r="U18" s="8" t="s">
        <v>43</v>
      </c>
      <c r="V18" s="10">
        <v>3233</v>
      </c>
      <c r="W18" s="10">
        <v>14</v>
      </c>
      <c r="X18" s="12">
        <v>2.2435897435897401E-2</v>
      </c>
      <c r="Y18" s="8" t="b">
        <f>CleanedData[[#This Row],[Ship Date]]&lt;CleanedData[[#This Row],[Order Date]]</f>
        <v>0</v>
      </c>
      <c r="Z18" s="10">
        <f>YEAR(CleanedData[[#This Row],[Order Date]])</f>
        <v>2024</v>
      </c>
      <c r="AA18" s="8">
        <f>MONTH(CleanedData[[#This Row],[Order Date]])</f>
        <v>4</v>
      </c>
    </row>
    <row r="19" spans="1:27" x14ac:dyDescent="0.35">
      <c r="A19" s="8" t="s">
        <v>148</v>
      </c>
      <c r="B19" s="9">
        <v>45100</v>
      </c>
      <c r="C19" s="9">
        <v>44993</v>
      </c>
      <c r="D19" s="8" t="s">
        <v>151</v>
      </c>
      <c r="E19" s="8" t="s">
        <v>68</v>
      </c>
      <c r="F19" s="8" t="s">
        <v>146</v>
      </c>
      <c r="G19" s="8" t="s">
        <v>129</v>
      </c>
      <c r="H19" s="8" t="s">
        <v>152</v>
      </c>
      <c r="I19" s="8" t="s">
        <v>4976</v>
      </c>
      <c r="J19" s="10">
        <v>770</v>
      </c>
      <c r="K19" s="11">
        <v>75.05</v>
      </c>
      <c r="L19" s="11">
        <v>102.33</v>
      </c>
      <c r="M19" s="11">
        <v>78794.100000000006</v>
      </c>
      <c r="N19" s="11">
        <v>57788.5</v>
      </c>
      <c r="O19" s="11">
        <f>CleanedData[[#This Row],[Total Sales ($)]]-CleanedData[[#This Row],[Total Cost ($)]]</f>
        <v>21005.600000000006</v>
      </c>
      <c r="P19" s="12">
        <f>CleanedData[[#This Row],[Profit ($)]]/CleanedData[[#This Row],[Total Sales ($)]]</f>
        <v>0.2665884882243722</v>
      </c>
      <c r="Q19" s="8" t="s">
        <v>42</v>
      </c>
      <c r="R19" s="8" t="s">
        <v>32</v>
      </c>
      <c r="S19" s="8" t="b">
        <f>_xlfn.SINGLE(CleanedData[[#This Row],[Delivery Status]])="Late"</f>
        <v>1</v>
      </c>
      <c r="T19" s="10">
        <v>13</v>
      </c>
      <c r="U19" s="8" t="s">
        <v>112</v>
      </c>
      <c r="V19" s="10">
        <v>1983</v>
      </c>
      <c r="W19" s="10">
        <v>23</v>
      </c>
      <c r="X19" s="12">
        <v>2.98701298701298E-2</v>
      </c>
      <c r="Y19" s="8" t="b">
        <f>CleanedData[[#This Row],[Ship Date]]&lt;CleanedData[[#This Row],[Order Date]]</f>
        <v>1</v>
      </c>
      <c r="Z19" s="10">
        <f>YEAR(CleanedData[[#This Row],[Order Date]])</f>
        <v>2023</v>
      </c>
      <c r="AA19" s="8">
        <f>MONTH(CleanedData[[#This Row],[Order Date]])</f>
        <v>6</v>
      </c>
    </row>
    <row r="20" spans="1:27" x14ac:dyDescent="0.35">
      <c r="A20" s="8" t="s">
        <v>154</v>
      </c>
      <c r="B20" s="9">
        <v>44942</v>
      </c>
      <c r="C20" s="9">
        <v>45047</v>
      </c>
      <c r="D20" s="8" t="s">
        <v>157</v>
      </c>
      <c r="E20" s="8" t="s">
        <v>100</v>
      </c>
      <c r="F20" s="8" t="s">
        <v>101</v>
      </c>
      <c r="G20" s="8" t="s">
        <v>50</v>
      </c>
      <c r="H20" s="8" t="s">
        <v>135</v>
      </c>
      <c r="I20" s="8" t="s">
        <v>4971</v>
      </c>
      <c r="J20" s="10">
        <v>760</v>
      </c>
      <c r="K20" s="11">
        <v>976.83</v>
      </c>
      <c r="L20" s="11">
        <v>1344.36</v>
      </c>
      <c r="M20" s="11">
        <v>1021713.6</v>
      </c>
      <c r="N20" s="11">
        <v>742390.8</v>
      </c>
      <c r="O20" s="11">
        <f>CleanedData[[#This Row],[Total Sales ($)]]-CleanedData[[#This Row],[Total Cost ($)]]</f>
        <v>279322.79999999993</v>
      </c>
      <c r="P20" s="12">
        <f>CleanedData[[#This Row],[Profit ($)]]/CleanedData[[#This Row],[Total Sales ($)]]</f>
        <v>0.27338659287690792</v>
      </c>
      <c r="Q20" s="8" t="s">
        <v>52</v>
      </c>
      <c r="R20" s="8" t="s">
        <v>32</v>
      </c>
      <c r="S20" s="8" t="b">
        <f>_xlfn.SINGLE(CleanedData[[#This Row],[Delivery Status]])="Late"</f>
        <v>1</v>
      </c>
      <c r="T20" s="10">
        <v>8</v>
      </c>
      <c r="U20" s="8" t="s">
        <v>158</v>
      </c>
      <c r="V20" s="10">
        <v>697</v>
      </c>
      <c r="W20" s="10">
        <v>27</v>
      </c>
      <c r="X20" s="12">
        <v>3.55263157894736E-2</v>
      </c>
      <c r="Y20" s="8" t="b">
        <f>CleanedData[[#This Row],[Ship Date]]&lt;CleanedData[[#This Row],[Order Date]]</f>
        <v>0</v>
      </c>
      <c r="Z20" s="10">
        <f>YEAR(CleanedData[[#This Row],[Order Date]])</f>
        <v>2023</v>
      </c>
      <c r="AA20" s="8">
        <f>MONTH(CleanedData[[#This Row],[Order Date]])</f>
        <v>1</v>
      </c>
    </row>
    <row r="21" spans="1:27" x14ac:dyDescent="0.35">
      <c r="A21" s="8" t="s">
        <v>159</v>
      </c>
      <c r="B21" s="9">
        <v>45631</v>
      </c>
      <c r="C21" s="9">
        <v>45480</v>
      </c>
      <c r="D21" s="8" t="s">
        <v>162</v>
      </c>
      <c r="E21" s="8" t="s">
        <v>68</v>
      </c>
      <c r="F21" s="8" t="s">
        <v>163</v>
      </c>
      <c r="G21" s="8" t="s">
        <v>60</v>
      </c>
      <c r="H21" s="8" t="s">
        <v>164</v>
      </c>
      <c r="I21" s="8" t="s">
        <v>4976</v>
      </c>
      <c r="J21" s="10">
        <v>104</v>
      </c>
      <c r="K21" s="11">
        <v>471.16</v>
      </c>
      <c r="L21" s="11">
        <v>654.46</v>
      </c>
      <c r="M21" s="11">
        <v>68063.839999999997</v>
      </c>
      <c r="N21" s="11">
        <v>49000.639999999999</v>
      </c>
      <c r="O21" s="11">
        <f>CleanedData[[#This Row],[Total Sales ($)]]-CleanedData[[#This Row],[Total Cost ($)]]</f>
        <v>19063.199999999997</v>
      </c>
      <c r="P21" s="12">
        <f>CleanedData[[#This Row],[Profit ($)]]/CleanedData[[#This Row],[Total Sales ($)]]</f>
        <v>0.28007823243590135</v>
      </c>
      <c r="Q21" s="8" t="s">
        <v>31</v>
      </c>
      <c r="R21" s="8" t="s">
        <v>32</v>
      </c>
      <c r="S21" s="8" t="b">
        <f>_xlfn.SINGLE(CleanedData[[#This Row],[Delivery Status]])="Late"</f>
        <v>1</v>
      </c>
      <c r="T21" s="10">
        <v>6</v>
      </c>
      <c r="U21" s="8" t="s">
        <v>158</v>
      </c>
      <c r="V21" s="10">
        <v>4501</v>
      </c>
      <c r="W21" s="10">
        <v>5</v>
      </c>
      <c r="X21" s="12">
        <v>4.8076923076923003E-2</v>
      </c>
      <c r="Y21" s="8" t="b">
        <f>CleanedData[[#This Row],[Ship Date]]&lt;CleanedData[[#This Row],[Order Date]]</f>
        <v>1</v>
      </c>
      <c r="Z21" s="10">
        <f>YEAR(CleanedData[[#This Row],[Order Date]])</f>
        <v>2024</v>
      </c>
      <c r="AA21" s="8">
        <f>MONTH(CleanedData[[#This Row],[Order Date]])</f>
        <v>12</v>
      </c>
    </row>
    <row r="22" spans="1:27" x14ac:dyDescent="0.35">
      <c r="A22" s="8" t="s">
        <v>165</v>
      </c>
      <c r="B22" s="9">
        <v>44947</v>
      </c>
      <c r="C22" s="9">
        <v>45257</v>
      </c>
      <c r="D22" s="8" t="s">
        <v>167</v>
      </c>
      <c r="E22" s="8" t="s">
        <v>26</v>
      </c>
      <c r="F22" s="8" t="s">
        <v>92</v>
      </c>
      <c r="G22" s="8" t="s">
        <v>129</v>
      </c>
      <c r="H22" s="8" t="s">
        <v>168</v>
      </c>
      <c r="I22" s="8" t="s">
        <v>4973</v>
      </c>
      <c r="J22" s="10">
        <v>193</v>
      </c>
      <c r="K22" s="11">
        <v>1060.8900000000001</v>
      </c>
      <c r="L22" s="11">
        <v>1483.86</v>
      </c>
      <c r="M22" s="11">
        <v>286384.98</v>
      </c>
      <c r="N22" s="11">
        <v>204751.77</v>
      </c>
      <c r="O22" s="11">
        <f>CleanedData[[#This Row],[Total Sales ($)]]-CleanedData[[#This Row],[Total Cost ($)]]</f>
        <v>81633.209999999992</v>
      </c>
      <c r="P22" s="12">
        <f>CleanedData[[#This Row],[Profit ($)]]/CleanedData[[#This Row],[Total Sales ($)]]</f>
        <v>0.28504710686992035</v>
      </c>
      <c r="Q22" s="8" t="s">
        <v>42</v>
      </c>
      <c r="R22" s="8" t="s">
        <v>32</v>
      </c>
      <c r="S22" s="8" t="b">
        <f>_xlfn.SINGLE(CleanedData[[#This Row],[Delivery Status]])="Late"</f>
        <v>1</v>
      </c>
      <c r="T22" s="10">
        <v>14</v>
      </c>
      <c r="U22" s="8" t="s">
        <v>158</v>
      </c>
      <c r="V22" s="10">
        <v>2906</v>
      </c>
      <c r="W22" s="10">
        <v>4</v>
      </c>
      <c r="X22" s="12">
        <v>2.0725388601036201E-2</v>
      </c>
      <c r="Y22" s="8" t="b">
        <f>CleanedData[[#This Row],[Ship Date]]&lt;CleanedData[[#This Row],[Order Date]]</f>
        <v>0</v>
      </c>
      <c r="Z22" s="10">
        <f>YEAR(CleanedData[[#This Row],[Order Date]])</f>
        <v>2023</v>
      </c>
      <c r="AA22" s="8">
        <f>MONTH(CleanedData[[#This Row],[Order Date]])</f>
        <v>1</v>
      </c>
    </row>
    <row r="23" spans="1:27" x14ac:dyDescent="0.35">
      <c r="A23" s="8" t="s">
        <v>169</v>
      </c>
      <c r="B23" s="9">
        <v>45436</v>
      </c>
      <c r="C23" s="9">
        <v>45390</v>
      </c>
      <c r="D23" s="8" t="s">
        <v>172</v>
      </c>
      <c r="E23" s="8" t="s">
        <v>58</v>
      </c>
      <c r="F23" s="8" t="s">
        <v>122</v>
      </c>
      <c r="G23" s="8" t="s">
        <v>50</v>
      </c>
      <c r="H23" s="8" t="s">
        <v>173</v>
      </c>
      <c r="I23" s="8" t="s">
        <v>4972</v>
      </c>
      <c r="J23" s="10">
        <v>14</v>
      </c>
      <c r="K23" s="11">
        <v>777.33</v>
      </c>
      <c r="L23" s="11">
        <v>999</v>
      </c>
      <c r="M23" s="11">
        <v>13986</v>
      </c>
      <c r="N23" s="11">
        <v>10882.62</v>
      </c>
      <c r="O23" s="11">
        <f>CleanedData[[#This Row],[Total Sales ($)]]-CleanedData[[#This Row],[Total Cost ($)]]</f>
        <v>3103.3799999999992</v>
      </c>
      <c r="P23" s="12">
        <f>CleanedData[[#This Row],[Profit ($)]]/CleanedData[[#This Row],[Total Sales ($)]]</f>
        <v>0.22189189189189185</v>
      </c>
      <c r="Q23" s="8" t="s">
        <v>52</v>
      </c>
      <c r="R23" s="8" t="s">
        <v>32</v>
      </c>
      <c r="S23" s="8" t="b">
        <f>_xlfn.SINGLE(CleanedData[[#This Row],[Delivery Status]])="Late"</f>
        <v>1</v>
      </c>
      <c r="T23" s="10">
        <v>15</v>
      </c>
      <c r="U23" s="8" t="s">
        <v>86</v>
      </c>
      <c r="V23" s="10">
        <v>98</v>
      </c>
      <c r="W23" s="10">
        <v>0</v>
      </c>
      <c r="X23" s="12">
        <v>0</v>
      </c>
      <c r="Y23" s="8" t="b">
        <f>CleanedData[[#This Row],[Ship Date]]&lt;CleanedData[[#This Row],[Order Date]]</f>
        <v>1</v>
      </c>
      <c r="Z23" s="10">
        <f>YEAR(CleanedData[[#This Row],[Order Date]])</f>
        <v>2024</v>
      </c>
      <c r="AA23" s="8">
        <f>MONTH(CleanedData[[#This Row],[Order Date]])</f>
        <v>5</v>
      </c>
    </row>
    <row r="24" spans="1:27" x14ac:dyDescent="0.35">
      <c r="A24" s="8" t="s">
        <v>174</v>
      </c>
      <c r="B24" s="9">
        <v>45152</v>
      </c>
      <c r="C24" s="9">
        <v>45156</v>
      </c>
      <c r="D24" s="8" t="s">
        <v>177</v>
      </c>
      <c r="E24" s="8" t="s">
        <v>100</v>
      </c>
      <c r="F24" s="8" t="s">
        <v>101</v>
      </c>
      <c r="G24" s="8" t="s">
        <v>78</v>
      </c>
      <c r="H24" s="8" t="s">
        <v>178</v>
      </c>
      <c r="I24" s="8" t="s">
        <v>4973</v>
      </c>
      <c r="J24" s="10">
        <v>435</v>
      </c>
      <c r="K24" s="11">
        <v>105.15</v>
      </c>
      <c r="L24" s="11">
        <v>143.38</v>
      </c>
      <c r="M24" s="11">
        <v>62370.3</v>
      </c>
      <c r="N24" s="11">
        <v>45740.25</v>
      </c>
      <c r="O24" s="11">
        <f>CleanedData[[#This Row],[Total Sales ($)]]-CleanedData[[#This Row],[Total Cost ($)]]</f>
        <v>16630.050000000003</v>
      </c>
      <c r="P24" s="12">
        <f>CleanedData[[#This Row],[Profit ($)]]/CleanedData[[#This Row],[Total Sales ($)]]</f>
        <v>0.2666341191240062</v>
      </c>
      <c r="Q24" s="8" t="s">
        <v>42</v>
      </c>
      <c r="R24" s="8" t="s">
        <v>32</v>
      </c>
      <c r="S24" s="8" t="b">
        <f>_xlfn.SINGLE(CleanedData[[#This Row],[Delivery Status]])="Late"</f>
        <v>1</v>
      </c>
      <c r="T24" s="10">
        <v>13</v>
      </c>
      <c r="U24" s="8" t="s">
        <v>33</v>
      </c>
      <c r="V24" s="10">
        <v>4746</v>
      </c>
      <c r="W24" s="10">
        <v>15</v>
      </c>
      <c r="X24" s="12">
        <v>3.4482758620689599E-2</v>
      </c>
      <c r="Y24" s="8" t="b">
        <f>CleanedData[[#This Row],[Ship Date]]&lt;CleanedData[[#This Row],[Order Date]]</f>
        <v>0</v>
      </c>
      <c r="Z24" s="10">
        <f>YEAR(CleanedData[[#This Row],[Order Date]])</f>
        <v>2023</v>
      </c>
      <c r="AA24" s="8">
        <f>MONTH(CleanedData[[#This Row],[Order Date]])</f>
        <v>8</v>
      </c>
    </row>
    <row r="25" spans="1:27" x14ac:dyDescent="0.35">
      <c r="A25" s="8" t="s">
        <v>179</v>
      </c>
      <c r="B25" s="9">
        <v>45288</v>
      </c>
      <c r="C25" s="9">
        <v>44996</v>
      </c>
      <c r="D25" s="8" t="s">
        <v>182</v>
      </c>
      <c r="E25" s="8" t="s">
        <v>48</v>
      </c>
      <c r="F25" s="8" t="s">
        <v>183</v>
      </c>
      <c r="G25" s="8" t="s">
        <v>93</v>
      </c>
      <c r="H25" s="8" t="s">
        <v>184</v>
      </c>
      <c r="I25" s="8" t="s">
        <v>4967</v>
      </c>
      <c r="J25" s="10">
        <v>324</v>
      </c>
      <c r="K25" s="11">
        <v>1154.55</v>
      </c>
      <c r="L25" s="11">
        <v>1461.33</v>
      </c>
      <c r="M25" s="11">
        <v>473470.92</v>
      </c>
      <c r="N25" s="11">
        <v>374074.2</v>
      </c>
      <c r="O25" s="11">
        <f>CleanedData[[#This Row],[Total Sales ($)]]-CleanedData[[#This Row],[Total Cost ($)]]</f>
        <v>99396.719999999972</v>
      </c>
      <c r="P25" s="12">
        <f>CleanedData[[#This Row],[Profit ($)]]/CleanedData[[#This Row],[Total Sales ($)]]</f>
        <v>0.20993204820266465</v>
      </c>
      <c r="Q25" s="8" t="s">
        <v>95</v>
      </c>
      <c r="R25" s="8" t="s">
        <v>32</v>
      </c>
      <c r="S25" s="8" t="b">
        <f>_xlfn.SINGLE(CleanedData[[#This Row],[Delivery Status]])="Late"</f>
        <v>1</v>
      </c>
      <c r="T25" s="10">
        <v>9</v>
      </c>
      <c r="U25" s="8" t="s">
        <v>112</v>
      </c>
      <c r="V25" s="10">
        <v>196</v>
      </c>
      <c r="W25" s="10">
        <v>9</v>
      </c>
      <c r="X25" s="12">
        <v>2.77777777777777E-2</v>
      </c>
      <c r="Y25" s="8" t="b">
        <f>CleanedData[[#This Row],[Ship Date]]&lt;CleanedData[[#This Row],[Order Date]]</f>
        <v>1</v>
      </c>
      <c r="Z25" s="10">
        <f>YEAR(CleanedData[[#This Row],[Order Date]])</f>
        <v>2023</v>
      </c>
      <c r="AA25" s="8">
        <f>MONTH(CleanedData[[#This Row],[Order Date]])</f>
        <v>12</v>
      </c>
    </row>
    <row r="26" spans="1:27" x14ac:dyDescent="0.35">
      <c r="A26" s="8" t="s">
        <v>185</v>
      </c>
      <c r="B26" s="9">
        <v>45108</v>
      </c>
      <c r="C26" s="9">
        <v>45067</v>
      </c>
      <c r="D26" s="8" t="s">
        <v>188</v>
      </c>
      <c r="E26" s="8" t="s">
        <v>26</v>
      </c>
      <c r="F26" s="8" t="s">
        <v>77</v>
      </c>
      <c r="G26" s="8" t="s">
        <v>189</v>
      </c>
      <c r="H26" s="8" t="s">
        <v>190</v>
      </c>
      <c r="I26" s="8" t="s">
        <v>4977</v>
      </c>
      <c r="J26" s="10">
        <v>327</v>
      </c>
      <c r="K26" s="11">
        <v>317.5</v>
      </c>
      <c r="L26" s="11">
        <v>444.43</v>
      </c>
      <c r="M26" s="11">
        <v>145328.60999999999</v>
      </c>
      <c r="N26" s="11">
        <v>103822.5</v>
      </c>
      <c r="O26" s="11">
        <f>CleanedData[[#This Row],[Total Sales ($)]]-CleanedData[[#This Row],[Total Cost ($)]]</f>
        <v>41506.109999999986</v>
      </c>
      <c r="P26" s="12">
        <f>CleanedData[[#This Row],[Profit ($)]]/CleanedData[[#This Row],[Total Sales ($)]]</f>
        <v>0.28560178205791681</v>
      </c>
      <c r="Q26" s="8" t="s">
        <v>52</v>
      </c>
      <c r="R26" s="8" t="s">
        <v>4972</v>
      </c>
      <c r="S26" s="8" t="b">
        <f>_xlfn.SINGLE(CleanedData[[#This Row],[Delivery Status]])="Late"</f>
        <v>0</v>
      </c>
      <c r="T26" s="10">
        <v>6</v>
      </c>
      <c r="U26" s="8" t="s">
        <v>33</v>
      </c>
      <c r="V26" s="10">
        <v>3901</v>
      </c>
      <c r="W26" s="10">
        <v>12</v>
      </c>
      <c r="X26" s="12">
        <v>3.6697247706422E-2</v>
      </c>
      <c r="Y26" s="8" t="b">
        <f>CleanedData[[#This Row],[Ship Date]]&lt;CleanedData[[#This Row],[Order Date]]</f>
        <v>1</v>
      </c>
      <c r="Z26" s="10">
        <f>YEAR(CleanedData[[#This Row],[Order Date]])</f>
        <v>2023</v>
      </c>
      <c r="AA26" s="8">
        <f>MONTH(CleanedData[[#This Row],[Order Date]])</f>
        <v>7</v>
      </c>
    </row>
    <row r="27" spans="1:27" x14ac:dyDescent="0.35">
      <c r="A27" s="8" t="s">
        <v>192</v>
      </c>
      <c r="B27" s="9">
        <v>45251</v>
      </c>
      <c r="C27" s="9">
        <v>45183</v>
      </c>
      <c r="D27" s="8" t="s">
        <v>195</v>
      </c>
      <c r="E27" s="8" t="s">
        <v>26</v>
      </c>
      <c r="F27" s="8" t="s">
        <v>27</v>
      </c>
      <c r="G27" s="8" t="s">
        <v>50</v>
      </c>
      <c r="H27" s="8" t="s">
        <v>51</v>
      </c>
      <c r="I27" s="8" t="s">
        <v>4967</v>
      </c>
      <c r="J27" s="10">
        <v>665</v>
      </c>
      <c r="K27" s="11">
        <v>61.73</v>
      </c>
      <c r="L27" s="11">
        <v>84.3</v>
      </c>
      <c r="M27" s="11">
        <v>56059.5</v>
      </c>
      <c r="N27" s="11">
        <v>41050.449999999997</v>
      </c>
      <c r="O27" s="11">
        <f>CleanedData[[#This Row],[Total Sales ($)]]-CleanedData[[#This Row],[Total Cost ($)]]</f>
        <v>15009.050000000003</v>
      </c>
      <c r="P27" s="12">
        <f>CleanedData[[#This Row],[Profit ($)]]/CleanedData[[#This Row],[Total Sales ($)]]</f>
        <v>0.26773428232502972</v>
      </c>
      <c r="Q27" s="8" t="s">
        <v>95</v>
      </c>
      <c r="R27" s="8" t="s">
        <v>63</v>
      </c>
      <c r="S27" s="8" t="b">
        <f>_xlfn.SINGLE(CleanedData[[#This Row],[Delivery Status]])="Late"</f>
        <v>0</v>
      </c>
      <c r="T27" s="10">
        <v>3</v>
      </c>
      <c r="U27" s="8" t="s">
        <v>112</v>
      </c>
      <c r="V27" s="10">
        <v>2667</v>
      </c>
      <c r="W27" s="10">
        <v>24</v>
      </c>
      <c r="X27" s="12">
        <v>3.60902255639097E-2</v>
      </c>
      <c r="Y27" s="8" t="b">
        <f>CleanedData[[#This Row],[Ship Date]]&lt;CleanedData[[#This Row],[Order Date]]</f>
        <v>1</v>
      </c>
      <c r="Z27" s="10">
        <f>YEAR(CleanedData[[#This Row],[Order Date]])</f>
        <v>2023</v>
      </c>
      <c r="AA27" s="8">
        <f>MONTH(CleanedData[[#This Row],[Order Date]])</f>
        <v>11</v>
      </c>
    </row>
    <row r="28" spans="1:27" x14ac:dyDescent="0.35">
      <c r="A28" s="8" t="s">
        <v>196</v>
      </c>
      <c r="B28" s="9">
        <v>45356</v>
      </c>
      <c r="C28" s="9">
        <v>45339</v>
      </c>
      <c r="D28" s="8" t="s">
        <v>199</v>
      </c>
      <c r="E28" s="8" t="s">
        <v>58</v>
      </c>
      <c r="F28" s="8" t="s">
        <v>59</v>
      </c>
      <c r="G28" s="8" t="s">
        <v>78</v>
      </c>
      <c r="H28" s="8" t="s">
        <v>178</v>
      </c>
      <c r="I28" s="8" t="s">
        <v>4972</v>
      </c>
      <c r="J28" s="10">
        <v>448</v>
      </c>
      <c r="K28" s="11">
        <v>1194.73</v>
      </c>
      <c r="L28" s="11">
        <v>1729.65</v>
      </c>
      <c r="M28" s="11">
        <v>774883.2</v>
      </c>
      <c r="N28" s="11">
        <v>535239.04</v>
      </c>
      <c r="O28" s="11">
        <f>CleanedData[[#This Row],[Total Sales ($)]]-CleanedData[[#This Row],[Total Cost ($)]]</f>
        <v>239644.15999999992</v>
      </c>
      <c r="P28" s="12">
        <f>CleanedData[[#This Row],[Profit ($)]]/CleanedData[[#This Row],[Total Sales ($)]]</f>
        <v>0.30926488017807063</v>
      </c>
      <c r="Q28" s="8" t="s">
        <v>31</v>
      </c>
      <c r="R28" s="8" t="s">
        <v>32</v>
      </c>
      <c r="S28" s="8" t="b">
        <f>_xlfn.SINGLE(CleanedData[[#This Row],[Delivery Status]])="Late"</f>
        <v>1</v>
      </c>
      <c r="T28" s="10">
        <v>12</v>
      </c>
      <c r="U28" s="8" t="s">
        <v>158</v>
      </c>
      <c r="V28" s="10">
        <v>2998</v>
      </c>
      <c r="W28" s="10">
        <v>3</v>
      </c>
      <c r="X28" s="12">
        <v>6.6964285714284999E-3</v>
      </c>
      <c r="Y28" s="8" t="b">
        <f>CleanedData[[#This Row],[Ship Date]]&lt;CleanedData[[#This Row],[Order Date]]</f>
        <v>1</v>
      </c>
      <c r="Z28" s="10">
        <f>YEAR(CleanedData[[#This Row],[Order Date]])</f>
        <v>2024</v>
      </c>
      <c r="AA28" s="8">
        <f>MONTH(CleanedData[[#This Row],[Order Date]])</f>
        <v>3</v>
      </c>
    </row>
    <row r="29" spans="1:27" x14ac:dyDescent="0.35">
      <c r="A29" s="8" t="s">
        <v>200</v>
      </c>
      <c r="B29" s="9">
        <v>45585</v>
      </c>
      <c r="C29" s="9">
        <v>45513</v>
      </c>
      <c r="D29" s="8" t="s">
        <v>203</v>
      </c>
      <c r="E29" s="8" t="s">
        <v>26</v>
      </c>
      <c r="F29" s="8" t="s">
        <v>92</v>
      </c>
      <c r="G29" s="8" t="s">
        <v>78</v>
      </c>
      <c r="H29" s="8" t="s">
        <v>178</v>
      </c>
      <c r="I29" s="8" t="s">
        <v>4977</v>
      </c>
      <c r="J29" s="10">
        <v>425</v>
      </c>
      <c r="K29" s="11">
        <v>899.08</v>
      </c>
      <c r="L29" s="11">
        <v>1430.26</v>
      </c>
      <c r="M29" s="11">
        <v>607860.5</v>
      </c>
      <c r="N29" s="11">
        <v>382109</v>
      </c>
      <c r="O29" s="11">
        <f>CleanedData[[#This Row],[Total Sales ($)]]-CleanedData[[#This Row],[Total Cost ($)]]</f>
        <v>225751.5</v>
      </c>
      <c r="P29" s="12">
        <f>CleanedData[[#This Row],[Profit ($)]]/CleanedData[[#This Row],[Total Sales ($)]]</f>
        <v>0.37138702054171968</v>
      </c>
      <c r="Q29" s="8" t="s">
        <v>31</v>
      </c>
      <c r="R29" s="8" t="s">
        <v>63</v>
      </c>
      <c r="S29" s="8" t="b">
        <f>_xlfn.SINGLE(CleanedData[[#This Row],[Delivery Status]])="Late"</f>
        <v>0</v>
      </c>
      <c r="T29" s="10">
        <v>1</v>
      </c>
      <c r="U29" s="8" t="s">
        <v>86</v>
      </c>
      <c r="V29" s="10">
        <v>2</v>
      </c>
      <c r="W29" s="10">
        <v>1</v>
      </c>
      <c r="X29" s="12">
        <v>2.3529411764705E-3</v>
      </c>
      <c r="Y29" s="8" t="b">
        <f>CleanedData[[#This Row],[Ship Date]]&lt;CleanedData[[#This Row],[Order Date]]</f>
        <v>1</v>
      </c>
      <c r="Z29" s="10">
        <f>YEAR(CleanedData[[#This Row],[Order Date]])</f>
        <v>2024</v>
      </c>
      <c r="AA29" s="8">
        <f>MONTH(CleanedData[[#This Row],[Order Date]])</f>
        <v>10</v>
      </c>
    </row>
    <row r="30" spans="1:27" x14ac:dyDescent="0.35">
      <c r="A30" s="8" t="s">
        <v>204</v>
      </c>
      <c r="B30" s="9">
        <v>45408</v>
      </c>
      <c r="C30" s="9">
        <v>45395</v>
      </c>
      <c r="D30" s="8" t="s">
        <v>207</v>
      </c>
      <c r="E30" s="8" t="s">
        <v>26</v>
      </c>
      <c r="F30" s="8" t="s">
        <v>92</v>
      </c>
      <c r="G30" s="8" t="s">
        <v>129</v>
      </c>
      <c r="H30" s="8" t="s">
        <v>152</v>
      </c>
      <c r="I30" s="8" t="s">
        <v>4971</v>
      </c>
      <c r="J30" s="10">
        <v>36</v>
      </c>
      <c r="K30" s="11">
        <v>659.2</v>
      </c>
      <c r="L30" s="11">
        <v>1033.3599999999999</v>
      </c>
      <c r="M30" s="11">
        <v>37200.959999999999</v>
      </c>
      <c r="N30" s="11">
        <v>23731.200000000001</v>
      </c>
      <c r="O30" s="11">
        <f>CleanedData[[#This Row],[Total Sales ($)]]-CleanedData[[#This Row],[Total Cost ($)]]</f>
        <v>13469.759999999998</v>
      </c>
      <c r="P30" s="12">
        <f>CleanedData[[#This Row],[Profit ($)]]/CleanedData[[#This Row],[Total Sales ($)]]</f>
        <v>0.36208097855539206</v>
      </c>
      <c r="Q30" s="8" t="s">
        <v>95</v>
      </c>
      <c r="R30" s="8" t="s">
        <v>32</v>
      </c>
      <c r="S30" s="8" t="b">
        <f>_xlfn.SINGLE(CleanedData[[#This Row],[Delivery Status]])="Late"</f>
        <v>1</v>
      </c>
      <c r="T30" s="10">
        <v>10</v>
      </c>
      <c r="U30" s="8" t="s">
        <v>112</v>
      </c>
      <c r="V30" s="10">
        <v>4956</v>
      </c>
      <c r="W30" s="10">
        <v>1</v>
      </c>
      <c r="X30" s="12">
        <v>2.77777777777777E-2</v>
      </c>
      <c r="Y30" s="8" t="b">
        <f>CleanedData[[#This Row],[Ship Date]]&lt;CleanedData[[#This Row],[Order Date]]</f>
        <v>1</v>
      </c>
      <c r="Z30" s="10">
        <f>YEAR(CleanedData[[#This Row],[Order Date]])</f>
        <v>2024</v>
      </c>
      <c r="AA30" s="8">
        <f>MONTH(CleanedData[[#This Row],[Order Date]])</f>
        <v>4</v>
      </c>
    </row>
    <row r="31" spans="1:27" x14ac:dyDescent="0.35">
      <c r="A31" s="8" t="s">
        <v>208</v>
      </c>
      <c r="B31" s="9">
        <v>44968</v>
      </c>
      <c r="C31" s="9">
        <v>45206</v>
      </c>
      <c r="D31" s="8" t="s">
        <v>211</v>
      </c>
      <c r="E31" s="8" t="s">
        <v>26</v>
      </c>
      <c r="F31" s="8" t="s">
        <v>92</v>
      </c>
      <c r="G31" s="8" t="s">
        <v>28</v>
      </c>
      <c r="H31" s="8" t="s">
        <v>212</v>
      </c>
      <c r="I31" s="8" t="s">
        <v>4971</v>
      </c>
      <c r="J31" s="10">
        <v>107</v>
      </c>
      <c r="K31" s="11">
        <v>1063.48</v>
      </c>
      <c r="L31" s="11">
        <v>1645.78</v>
      </c>
      <c r="M31" s="11">
        <v>176098.46</v>
      </c>
      <c r="N31" s="11">
        <v>113792.36</v>
      </c>
      <c r="O31" s="11">
        <f>CleanedData[[#This Row],[Total Sales ($)]]-CleanedData[[#This Row],[Total Cost ($)]]</f>
        <v>62306.099999999991</v>
      </c>
      <c r="P31" s="12">
        <f>CleanedData[[#This Row],[Profit ($)]]/CleanedData[[#This Row],[Total Sales ($)]]</f>
        <v>0.35381399701053601</v>
      </c>
      <c r="Q31" s="8" t="s">
        <v>52</v>
      </c>
      <c r="R31" s="8" t="s">
        <v>32</v>
      </c>
      <c r="S31" s="8" t="b">
        <f>_xlfn.SINGLE(CleanedData[[#This Row],[Delivery Status]])="Late"</f>
        <v>1</v>
      </c>
      <c r="T31" s="10">
        <v>7</v>
      </c>
      <c r="U31" s="8" t="s">
        <v>112</v>
      </c>
      <c r="V31" s="10">
        <v>3505</v>
      </c>
      <c r="W31" s="10">
        <v>2</v>
      </c>
      <c r="X31" s="12">
        <v>1.86915887850467E-2</v>
      </c>
      <c r="Y31" s="8" t="b">
        <f>CleanedData[[#This Row],[Ship Date]]&lt;CleanedData[[#This Row],[Order Date]]</f>
        <v>0</v>
      </c>
      <c r="Z31" s="10">
        <f>YEAR(CleanedData[[#This Row],[Order Date]])</f>
        <v>2023</v>
      </c>
      <c r="AA31" s="8">
        <f>MONTH(CleanedData[[#This Row],[Order Date]])</f>
        <v>2</v>
      </c>
    </row>
    <row r="32" spans="1:27" x14ac:dyDescent="0.35">
      <c r="A32" s="8" t="s">
        <v>213</v>
      </c>
      <c r="B32" s="9">
        <v>44941</v>
      </c>
      <c r="C32" s="9">
        <v>45174</v>
      </c>
      <c r="D32" s="8" t="s">
        <v>216</v>
      </c>
      <c r="E32" s="8" t="s">
        <v>26</v>
      </c>
      <c r="F32" s="8" t="s">
        <v>92</v>
      </c>
      <c r="G32" s="8" t="s">
        <v>217</v>
      </c>
      <c r="H32" s="8" t="s">
        <v>218</v>
      </c>
      <c r="I32" s="8" t="s">
        <v>4968</v>
      </c>
      <c r="J32" s="10">
        <v>301</v>
      </c>
      <c r="K32" s="11">
        <v>43.23</v>
      </c>
      <c r="L32" s="11">
        <v>52.72</v>
      </c>
      <c r="M32" s="11">
        <v>15868.72</v>
      </c>
      <c r="N32" s="11">
        <v>13012.23</v>
      </c>
      <c r="O32" s="11">
        <f>CleanedData[[#This Row],[Total Sales ($)]]-CleanedData[[#This Row],[Total Cost ($)]]</f>
        <v>2856.49</v>
      </c>
      <c r="P32" s="12">
        <f>CleanedData[[#This Row],[Profit ($)]]/CleanedData[[#This Row],[Total Sales ($)]]</f>
        <v>0.18000758725341426</v>
      </c>
      <c r="Q32" s="8" t="s">
        <v>31</v>
      </c>
      <c r="R32" s="8" t="s">
        <v>63</v>
      </c>
      <c r="S32" s="8" t="b">
        <f>_xlfn.SINGLE(CleanedData[[#This Row],[Delivery Status]])="Late"</f>
        <v>0</v>
      </c>
      <c r="T32" s="10">
        <v>1</v>
      </c>
      <c r="U32" s="8" t="s">
        <v>53</v>
      </c>
      <c r="V32" s="10">
        <v>3824</v>
      </c>
      <c r="W32" s="10">
        <v>7</v>
      </c>
      <c r="X32" s="12">
        <v>2.3255813953488299E-2</v>
      </c>
      <c r="Y32" s="8" t="b">
        <f>CleanedData[[#This Row],[Ship Date]]&lt;CleanedData[[#This Row],[Order Date]]</f>
        <v>0</v>
      </c>
      <c r="Z32" s="10">
        <f>YEAR(CleanedData[[#This Row],[Order Date]])</f>
        <v>2023</v>
      </c>
      <c r="AA32" s="8">
        <f>MONTH(CleanedData[[#This Row],[Order Date]])</f>
        <v>1</v>
      </c>
    </row>
    <row r="33" spans="1:27" x14ac:dyDescent="0.35">
      <c r="A33" s="8" t="s">
        <v>219</v>
      </c>
      <c r="B33" s="9">
        <v>45292</v>
      </c>
      <c r="C33" s="9">
        <v>45624</v>
      </c>
      <c r="D33" s="8" t="s">
        <v>222</v>
      </c>
      <c r="E33" s="8" t="s">
        <v>48</v>
      </c>
      <c r="F33" s="8" t="s">
        <v>223</v>
      </c>
      <c r="G33" s="8" t="s">
        <v>93</v>
      </c>
      <c r="H33" s="8" t="s">
        <v>184</v>
      </c>
      <c r="I33" s="8" t="s">
        <v>4967</v>
      </c>
      <c r="J33" s="10">
        <v>99</v>
      </c>
      <c r="K33" s="11">
        <v>253.26</v>
      </c>
      <c r="L33" s="11">
        <v>313.54000000000002</v>
      </c>
      <c r="M33" s="11">
        <v>31040.46</v>
      </c>
      <c r="N33" s="11">
        <v>25072.74</v>
      </c>
      <c r="O33" s="11">
        <f>CleanedData[[#This Row],[Total Sales ($)]]-CleanedData[[#This Row],[Total Cost ($)]]</f>
        <v>5967.7199999999975</v>
      </c>
      <c r="P33" s="12">
        <f>CleanedData[[#This Row],[Profit ($)]]/CleanedData[[#This Row],[Total Sales ($)]]</f>
        <v>0.19225617146137647</v>
      </c>
      <c r="Q33" s="8" t="s">
        <v>42</v>
      </c>
      <c r="R33" s="8" t="s">
        <v>63</v>
      </c>
      <c r="S33" s="8" t="b">
        <f>_xlfn.SINGLE(CleanedData[[#This Row],[Delivery Status]])="Late"</f>
        <v>0</v>
      </c>
      <c r="T33" s="10">
        <v>3</v>
      </c>
      <c r="U33" s="8" t="s">
        <v>86</v>
      </c>
      <c r="V33" s="10">
        <v>3333</v>
      </c>
      <c r="W33" s="10">
        <v>0</v>
      </c>
      <c r="X33" s="12">
        <v>0</v>
      </c>
      <c r="Y33" s="8" t="b">
        <f>CleanedData[[#This Row],[Ship Date]]&lt;CleanedData[[#This Row],[Order Date]]</f>
        <v>0</v>
      </c>
      <c r="Z33" s="10">
        <f>YEAR(CleanedData[[#This Row],[Order Date]])</f>
        <v>2024</v>
      </c>
      <c r="AA33" s="8">
        <f>MONTH(CleanedData[[#This Row],[Order Date]])</f>
        <v>1</v>
      </c>
    </row>
    <row r="34" spans="1:27" x14ac:dyDescent="0.35">
      <c r="A34" s="8" t="s">
        <v>224</v>
      </c>
      <c r="B34" s="9">
        <v>45020</v>
      </c>
      <c r="C34" s="9">
        <v>45254</v>
      </c>
      <c r="D34" s="8" t="s">
        <v>227</v>
      </c>
      <c r="E34" s="8" t="s">
        <v>26</v>
      </c>
      <c r="F34" s="8" t="s">
        <v>228</v>
      </c>
      <c r="G34" s="8" t="s">
        <v>60</v>
      </c>
      <c r="H34" s="8" t="s">
        <v>229</v>
      </c>
      <c r="I34" s="8" t="s">
        <v>4977</v>
      </c>
      <c r="J34" s="10">
        <v>75</v>
      </c>
      <c r="K34" s="11">
        <v>676.79</v>
      </c>
      <c r="L34" s="11">
        <v>1092.94</v>
      </c>
      <c r="M34" s="11">
        <v>81970.5</v>
      </c>
      <c r="N34" s="11">
        <v>50759.25</v>
      </c>
      <c r="O34" s="11">
        <f>CleanedData[[#This Row],[Total Sales ($)]]-CleanedData[[#This Row],[Total Cost ($)]]</f>
        <v>31211.25</v>
      </c>
      <c r="P34" s="12">
        <f>CleanedData[[#This Row],[Profit ($)]]/CleanedData[[#This Row],[Total Sales ($)]]</f>
        <v>0.3807619814445441</v>
      </c>
      <c r="Q34" s="8" t="s">
        <v>95</v>
      </c>
      <c r="R34" s="8" t="s">
        <v>32</v>
      </c>
      <c r="S34" s="8" t="b">
        <f>_xlfn.SINGLE(CleanedData[[#This Row],[Delivery Status]])="Late"</f>
        <v>1</v>
      </c>
      <c r="T34" s="10">
        <v>14</v>
      </c>
      <c r="U34" s="8" t="s">
        <v>112</v>
      </c>
      <c r="V34" s="10">
        <v>1809</v>
      </c>
      <c r="W34" s="10">
        <v>3</v>
      </c>
      <c r="X34" s="12">
        <v>0.04</v>
      </c>
      <c r="Y34" s="8" t="b">
        <f>CleanedData[[#This Row],[Ship Date]]&lt;CleanedData[[#This Row],[Order Date]]</f>
        <v>0</v>
      </c>
      <c r="Z34" s="10">
        <f>YEAR(CleanedData[[#This Row],[Order Date]])</f>
        <v>2023</v>
      </c>
      <c r="AA34" s="8">
        <f>MONTH(CleanedData[[#This Row],[Order Date]])</f>
        <v>4</v>
      </c>
    </row>
    <row r="35" spans="1:27" x14ac:dyDescent="0.35">
      <c r="A35" s="8" t="s">
        <v>230</v>
      </c>
      <c r="B35" s="9">
        <v>44967</v>
      </c>
      <c r="C35" s="9">
        <v>45170</v>
      </c>
      <c r="D35" s="8" t="s">
        <v>233</v>
      </c>
      <c r="E35" s="8" t="s">
        <v>26</v>
      </c>
      <c r="F35" s="8" t="s">
        <v>27</v>
      </c>
      <c r="G35" s="8" t="s">
        <v>189</v>
      </c>
      <c r="H35" s="8" t="s">
        <v>190</v>
      </c>
      <c r="I35" s="8" t="s">
        <v>4974</v>
      </c>
      <c r="J35" s="10">
        <v>48</v>
      </c>
      <c r="K35" s="11">
        <v>46.85</v>
      </c>
      <c r="L35" s="11">
        <v>74.2</v>
      </c>
      <c r="M35" s="11">
        <v>3561.6</v>
      </c>
      <c r="N35" s="11">
        <v>2248.8000000000002</v>
      </c>
      <c r="O35" s="11">
        <f>CleanedData[[#This Row],[Total Sales ($)]]-CleanedData[[#This Row],[Total Cost ($)]]</f>
        <v>1312.7999999999997</v>
      </c>
      <c r="P35" s="12">
        <f>CleanedData[[#This Row],[Profit ($)]]/CleanedData[[#This Row],[Total Sales ($)]]</f>
        <v>0.3685983827493261</v>
      </c>
      <c r="Q35" s="8" t="s">
        <v>95</v>
      </c>
      <c r="R35" s="8" t="s">
        <v>32</v>
      </c>
      <c r="S35" s="8" t="b">
        <f>_xlfn.SINGLE(CleanedData[[#This Row],[Delivery Status]])="Late"</f>
        <v>1</v>
      </c>
      <c r="T35" s="10">
        <v>12</v>
      </c>
      <c r="U35" s="8" t="s">
        <v>33</v>
      </c>
      <c r="V35" s="10">
        <v>126</v>
      </c>
      <c r="W35" s="10">
        <v>2</v>
      </c>
      <c r="X35" s="12">
        <v>4.1666666666666602E-2</v>
      </c>
      <c r="Y35" s="8" t="b">
        <f>CleanedData[[#This Row],[Ship Date]]&lt;CleanedData[[#This Row],[Order Date]]</f>
        <v>0</v>
      </c>
      <c r="Z35" s="10">
        <f>YEAR(CleanedData[[#This Row],[Order Date]])</f>
        <v>2023</v>
      </c>
      <c r="AA35" s="8">
        <f>MONTH(CleanedData[[#This Row],[Order Date]])</f>
        <v>2</v>
      </c>
    </row>
    <row r="36" spans="1:27" x14ac:dyDescent="0.35">
      <c r="A36" s="8" t="s">
        <v>234</v>
      </c>
      <c r="B36" s="9">
        <v>45353</v>
      </c>
      <c r="C36" s="9">
        <v>45647</v>
      </c>
      <c r="D36" s="8" t="s">
        <v>237</v>
      </c>
      <c r="E36" s="8" t="s">
        <v>100</v>
      </c>
      <c r="F36" s="8" t="s">
        <v>238</v>
      </c>
      <c r="G36" s="8" t="s">
        <v>70</v>
      </c>
      <c r="H36" s="8" t="s">
        <v>239</v>
      </c>
      <c r="I36" s="8" t="s">
        <v>4978</v>
      </c>
      <c r="J36" s="10">
        <v>368</v>
      </c>
      <c r="K36" s="11">
        <v>674.86</v>
      </c>
      <c r="L36" s="11">
        <v>836.67</v>
      </c>
      <c r="M36" s="11">
        <v>307894.56</v>
      </c>
      <c r="N36" s="11">
        <v>248348.48</v>
      </c>
      <c r="O36" s="11">
        <f>CleanedData[[#This Row],[Total Sales ($)]]-CleanedData[[#This Row],[Total Cost ($)]]</f>
        <v>59546.079999999987</v>
      </c>
      <c r="P36" s="12">
        <f>CleanedData[[#This Row],[Profit ($)]]/CleanedData[[#This Row],[Total Sales ($)]]</f>
        <v>0.19339763586599251</v>
      </c>
      <c r="Q36" s="8" t="s">
        <v>42</v>
      </c>
      <c r="R36" s="8" t="s">
        <v>32</v>
      </c>
      <c r="S36" s="8" t="b">
        <f>_xlfn.SINGLE(CleanedData[[#This Row],[Delivery Status]])="Late"</f>
        <v>1</v>
      </c>
      <c r="T36" s="10">
        <v>11</v>
      </c>
      <c r="U36" s="8" t="s">
        <v>112</v>
      </c>
      <c r="V36" s="10">
        <v>2657</v>
      </c>
      <c r="W36" s="10">
        <v>3</v>
      </c>
      <c r="X36" s="12">
        <v>8.1521739130434E-3</v>
      </c>
      <c r="Y36" s="8" t="b">
        <f>CleanedData[[#This Row],[Ship Date]]&lt;CleanedData[[#This Row],[Order Date]]</f>
        <v>0</v>
      </c>
      <c r="Z36" s="10">
        <f>YEAR(CleanedData[[#This Row],[Order Date]])</f>
        <v>2024</v>
      </c>
      <c r="AA36" s="8">
        <f>MONTH(CleanedData[[#This Row],[Order Date]])</f>
        <v>3</v>
      </c>
    </row>
    <row r="37" spans="1:27" x14ac:dyDescent="0.35">
      <c r="A37" s="8" t="s">
        <v>241</v>
      </c>
      <c r="B37" s="9">
        <v>45159</v>
      </c>
      <c r="C37" s="9">
        <v>45209</v>
      </c>
      <c r="D37" s="8" t="s">
        <v>244</v>
      </c>
      <c r="E37" s="8" t="s">
        <v>26</v>
      </c>
      <c r="F37" s="8" t="s">
        <v>228</v>
      </c>
      <c r="G37" s="8" t="s">
        <v>60</v>
      </c>
      <c r="H37" s="8" t="s">
        <v>229</v>
      </c>
      <c r="I37" s="8" t="s">
        <v>4973</v>
      </c>
      <c r="J37" s="10">
        <v>655</v>
      </c>
      <c r="K37" s="11">
        <v>1167.8399999999999</v>
      </c>
      <c r="L37" s="11">
        <v>1846.83</v>
      </c>
      <c r="M37" s="11">
        <v>1209673.6499999999</v>
      </c>
      <c r="N37" s="11">
        <v>764935.2</v>
      </c>
      <c r="O37" s="11">
        <f>CleanedData[[#This Row],[Total Sales ($)]]-CleanedData[[#This Row],[Total Cost ($)]]</f>
        <v>444738.44999999995</v>
      </c>
      <c r="P37" s="12">
        <f>CleanedData[[#This Row],[Profit ($)]]/CleanedData[[#This Row],[Total Sales ($)]]</f>
        <v>0.36765159760237814</v>
      </c>
      <c r="Q37" s="8" t="s">
        <v>42</v>
      </c>
      <c r="R37" s="8" t="s">
        <v>32</v>
      </c>
      <c r="S37" s="8" t="b">
        <f>_xlfn.SINGLE(CleanedData[[#This Row],[Delivery Status]])="Late"</f>
        <v>1</v>
      </c>
      <c r="T37" s="10">
        <v>10</v>
      </c>
      <c r="U37" s="8" t="s">
        <v>33</v>
      </c>
      <c r="V37" s="10">
        <v>1452</v>
      </c>
      <c r="W37" s="10">
        <v>26</v>
      </c>
      <c r="X37" s="12">
        <v>3.9694656488549598E-2</v>
      </c>
      <c r="Y37" s="8" t="b">
        <f>CleanedData[[#This Row],[Ship Date]]&lt;CleanedData[[#This Row],[Order Date]]</f>
        <v>0</v>
      </c>
      <c r="Z37" s="10">
        <f>YEAR(CleanedData[[#This Row],[Order Date]])</f>
        <v>2023</v>
      </c>
      <c r="AA37" s="8">
        <f>MONTH(CleanedData[[#This Row],[Order Date]])</f>
        <v>8</v>
      </c>
    </row>
    <row r="38" spans="1:27" x14ac:dyDescent="0.35">
      <c r="A38" s="8" t="s">
        <v>245</v>
      </c>
      <c r="B38" s="9">
        <v>45397</v>
      </c>
      <c r="C38" s="9">
        <v>45384</v>
      </c>
      <c r="D38" s="8" t="s">
        <v>248</v>
      </c>
      <c r="E38" s="8" t="s">
        <v>68</v>
      </c>
      <c r="F38" s="8" t="s">
        <v>249</v>
      </c>
      <c r="G38" s="8" t="s">
        <v>39</v>
      </c>
      <c r="H38" s="8" t="s">
        <v>40</v>
      </c>
      <c r="I38" s="8" t="s">
        <v>4977</v>
      </c>
      <c r="J38" s="10">
        <v>191</v>
      </c>
      <c r="K38" s="11">
        <v>44.05</v>
      </c>
      <c r="L38" s="11">
        <v>56.76</v>
      </c>
      <c r="M38" s="11">
        <v>10841.16</v>
      </c>
      <c r="N38" s="11">
        <v>8413.5499999999993</v>
      </c>
      <c r="O38" s="11">
        <f>CleanedData[[#This Row],[Total Sales ($)]]-CleanedData[[#This Row],[Total Cost ($)]]</f>
        <v>2427.6100000000006</v>
      </c>
      <c r="P38" s="12">
        <f>CleanedData[[#This Row],[Profit ($)]]/CleanedData[[#This Row],[Total Sales ($)]]</f>
        <v>0.2239252995066949</v>
      </c>
      <c r="Q38" s="8" t="s">
        <v>42</v>
      </c>
      <c r="R38" s="8" t="s">
        <v>32</v>
      </c>
      <c r="S38" s="8" t="b">
        <f>_xlfn.SINGLE(CleanedData[[#This Row],[Delivery Status]])="Late"</f>
        <v>1</v>
      </c>
      <c r="T38" s="10">
        <v>15</v>
      </c>
      <c r="U38" s="8" t="s">
        <v>53</v>
      </c>
      <c r="V38" s="10">
        <v>1690</v>
      </c>
      <c r="W38" s="10">
        <v>4</v>
      </c>
      <c r="X38" s="12">
        <v>2.09424083769633E-2</v>
      </c>
      <c r="Y38" s="8" t="b">
        <f>CleanedData[[#This Row],[Ship Date]]&lt;CleanedData[[#This Row],[Order Date]]</f>
        <v>1</v>
      </c>
      <c r="Z38" s="10">
        <f>YEAR(CleanedData[[#This Row],[Order Date]])</f>
        <v>2024</v>
      </c>
      <c r="AA38" s="8">
        <f>MONTH(CleanedData[[#This Row],[Order Date]])</f>
        <v>4</v>
      </c>
    </row>
    <row r="39" spans="1:27" x14ac:dyDescent="0.35">
      <c r="A39" s="8" t="s">
        <v>250</v>
      </c>
      <c r="B39" s="9">
        <v>45034</v>
      </c>
      <c r="C39" s="9">
        <v>44996</v>
      </c>
      <c r="D39" s="8" t="s">
        <v>252</v>
      </c>
      <c r="E39" s="8" t="s">
        <v>26</v>
      </c>
      <c r="F39" s="8" t="s">
        <v>253</v>
      </c>
      <c r="G39" s="8" t="s">
        <v>28</v>
      </c>
      <c r="H39" s="8" t="s">
        <v>254</v>
      </c>
      <c r="I39" s="8" t="s">
        <v>4970</v>
      </c>
      <c r="J39" s="10">
        <v>288</v>
      </c>
      <c r="K39" s="11">
        <v>173.06</v>
      </c>
      <c r="L39" s="11">
        <v>247.54</v>
      </c>
      <c r="M39" s="11">
        <v>71291.520000000004</v>
      </c>
      <c r="N39" s="11">
        <v>49841.279999999999</v>
      </c>
      <c r="O39" s="11">
        <f>CleanedData[[#This Row],[Total Sales ($)]]-CleanedData[[#This Row],[Total Cost ($)]]</f>
        <v>21450.240000000005</v>
      </c>
      <c r="P39" s="12">
        <f>CleanedData[[#This Row],[Profit ($)]]/CleanedData[[#This Row],[Total Sales ($)]]</f>
        <v>0.30088066575098982</v>
      </c>
      <c r="Q39" s="8" t="s">
        <v>95</v>
      </c>
      <c r="R39" s="8" t="s">
        <v>32</v>
      </c>
      <c r="S39" s="8" t="b">
        <f>_xlfn.SINGLE(CleanedData[[#This Row],[Delivery Status]])="Late"</f>
        <v>1</v>
      </c>
      <c r="T39" s="10">
        <v>6</v>
      </c>
      <c r="U39" s="8" t="s">
        <v>43</v>
      </c>
      <c r="V39" s="10">
        <v>4462</v>
      </c>
      <c r="W39" s="10">
        <v>1</v>
      </c>
      <c r="X39" s="12">
        <v>3.4722222222221999E-3</v>
      </c>
      <c r="Y39" s="8" t="b">
        <f>CleanedData[[#This Row],[Ship Date]]&lt;CleanedData[[#This Row],[Order Date]]</f>
        <v>1</v>
      </c>
      <c r="Z39" s="10">
        <f>YEAR(CleanedData[[#This Row],[Order Date]])</f>
        <v>2023</v>
      </c>
      <c r="AA39" s="8">
        <f>MONTH(CleanedData[[#This Row],[Order Date]])</f>
        <v>4</v>
      </c>
    </row>
    <row r="40" spans="1:27" x14ac:dyDescent="0.35">
      <c r="A40" s="8" t="s">
        <v>255</v>
      </c>
      <c r="B40" s="9">
        <v>45518</v>
      </c>
      <c r="C40" s="9">
        <v>45336</v>
      </c>
      <c r="D40" s="8" t="s">
        <v>258</v>
      </c>
      <c r="E40" s="8" t="s">
        <v>58</v>
      </c>
      <c r="F40" s="8" t="s">
        <v>259</v>
      </c>
      <c r="G40" s="8" t="s">
        <v>50</v>
      </c>
      <c r="H40" s="8" t="s">
        <v>260</v>
      </c>
      <c r="I40" s="8" t="s">
        <v>4969</v>
      </c>
      <c r="J40" s="10">
        <v>764</v>
      </c>
      <c r="K40" s="11">
        <v>174.01</v>
      </c>
      <c r="L40" s="11">
        <v>208.72</v>
      </c>
      <c r="M40" s="11">
        <v>159462.07999999999</v>
      </c>
      <c r="N40" s="11">
        <v>132943.64000000001</v>
      </c>
      <c r="O40" s="11">
        <f>CleanedData[[#This Row],[Total Sales ($)]]-CleanedData[[#This Row],[Total Cost ($)]]</f>
        <v>26518.439999999973</v>
      </c>
      <c r="P40" s="12">
        <f>CleanedData[[#This Row],[Profit ($)]]/CleanedData[[#This Row],[Total Sales ($)]]</f>
        <v>0.16629934840935209</v>
      </c>
      <c r="Q40" s="8" t="s">
        <v>52</v>
      </c>
      <c r="R40" s="8" t="s">
        <v>63</v>
      </c>
      <c r="S40" s="8" t="b">
        <f>_xlfn.SINGLE(CleanedData[[#This Row],[Delivery Status]])="Late"</f>
        <v>0</v>
      </c>
      <c r="T40" s="10">
        <v>3</v>
      </c>
      <c r="U40" s="8" t="s">
        <v>112</v>
      </c>
      <c r="V40" s="10">
        <v>101</v>
      </c>
      <c r="W40" s="10">
        <v>16</v>
      </c>
      <c r="X40" s="12">
        <v>2.09424083769633E-2</v>
      </c>
      <c r="Y40" s="8" t="b">
        <f>CleanedData[[#This Row],[Ship Date]]&lt;CleanedData[[#This Row],[Order Date]]</f>
        <v>1</v>
      </c>
      <c r="Z40" s="10">
        <f>YEAR(CleanedData[[#This Row],[Order Date]])</f>
        <v>2024</v>
      </c>
      <c r="AA40" s="8">
        <f>MONTH(CleanedData[[#This Row],[Order Date]])</f>
        <v>8</v>
      </c>
    </row>
    <row r="41" spans="1:27" x14ac:dyDescent="0.35">
      <c r="A41" s="8" t="s">
        <v>261</v>
      </c>
      <c r="B41" s="9">
        <v>45221</v>
      </c>
      <c r="C41" s="9">
        <v>44943</v>
      </c>
      <c r="D41" s="8" t="s">
        <v>264</v>
      </c>
      <c r="E41" s="8" t="s">
        <v>58</v>
      </c>
      <c r="F41" s="8" t="s">
        <v>59</v>
      </c>
      <c r="G41" s="8" t="s">
        <v>60</v>
      </c>
      <c r="H41" s="8" t="s">
        <v>265</v>
      </c>
      <c r="I41" s="8" t="s">
        <v>4976</v>
      </c>
      <c r="J41" s="10">
        <v>765</v>
      </c>
      <c r="K41" s="11">
        <v>174.26</v>
      </c>
      <c r="L41" s="11">
        <v>281.64999999999998</v>
      </c>
      <c r="M41" s="11">
        <v>215462.25</v>
      </c>
      <c r="N41" s="11">
        <v>133308.9</v>
      </c>
      <c r="O41" s="11">
        <f>CleanedData[[#This Row],[Total Sales ($)]]-CleanedData[[#This Row],[Total Cost ($)]]</f>
        <v>82153.350000000006</v>
      </c>
      <c r="P41" s="12">
        <f>CleanedData[[#This Row],[Profit ($)]]/CleanedData[[#This Row],[Total Sales ($)]]</f>
        <v>0.3812888336587964</v>
      </c>
      <c r="Q41" s="8" t="s">
        <v>52</v>
      </c>
      <c r="R41" s="8" t="s">
        <v>63</v>
      </c>
      <c r="S41" s="8" t="b">
        <f>_xlfn.SINGLE(CleanedData[[#This Row],[Delivery Status]])="Late"</f>
        <v>0</v>
      </c>
      <c r="T41" s="10">
        <v>2</v>
      </c>
      <c r="U41" s="8" t="s">
        <v>43</v>
      </c>
      <c r="V41" s="10">
        <v>1666</v>
      </c>
      <c r="W41" s="10">
        <v>6</v>
      </c>
      <c r="X41" s="12">
        <v>7.8431372549019E-3</v>
      </c>
      <c r="Y41" s="8" t="b">
        <f>CleanedData[[#This Row],[Ship Date]]&lt;CleanedData[[#This Row],[Order Date]]</f>
        <v>1</v>
      </c>
      <c r="Z41" s="10">
        <f>YEAR(CleanedData[[#This Row],[Order Date]])</f>
        <v>2023</v>
      </c>
      <c r="AA41" s="8">
        <f>MONTH(CleanedData[[#This Row],[Order Date]])</f>
        <v>10</v>
      </c>
    </row>
    <row r="42" spans="1:27" x14ac:dyDescent="0.35">
      <c r="A42" s="8" t="s">
        <v>266</v>
      </c>
      <c r="B42" s="9">
        <v>45313</v>
      </c>
      <c r="C42" s="9">
        <v>44945</v>
      </c>
      <c r="D42" s="8" t="s">
        <v>269</v>
      </c>
      <c r="E42" s="8" t="s">
        <v>48</v>
      </c>
      <c r="F42" s="8" t="s">
        <v>270</v>
      </c>
      <c r="G42" s="8" t="s">
        <v>189</v>
      </c>
      <c r="H42" s="8" t="s">
        <v>271</v>
      </c>
      <c r="I42" s="8" t="s">
        <v>4976</v>
      </c>
      <c r="J42" s="10">
        <v>708</v>
      </c>
      <c r="K42" s="11">
        <v>623.86</v>
      </c>
      <c r="L42" s="11">
        <v>896.1</v>
      </c>
      <c r="M42" s="11">
        <v>634438.80000000005</v>
      </c>
      <c r="N42" s="11">
        <v>441692.88</v>
      </c>
      <c r="O42" s="11">
        <f>CleanedData[[#This Row],[Total Sales ($)]]-CleanedData[[#This Row],[Total Cost ($)]]</f>
        <v>192745.92000000004</v>
      </c>
      <c r="P42" s="12">
        <f>CleanedData[[#This Row],[Profit ($)]]/CleanedData[[#This Row],[Total Sales ($)]]</f>
        <v>0.30380537886396614</v>
      </c>
      <c r="Q42" s="8" t="s">
        <v>42</v>
      </c>
      <c r="R42" s="8" t="s">
        <v>32</v>
      </c>
      <c r="S42" s="8" t="b">
        <f>_xlfn.SINGLE(CleanedData[[#This Row],[Delivery Status]])="Late"</f>
        <v>1</v>
      </c>
      <c r="T42" s="10">
        <v>9</v>
      </c>
      <c r="U42" s="8" t="s">
        <v>86</v>
      </c>
      <c r="V42" s="10">
        <v>3800</v>
      </c>
      <c r="W42" s="10">
        <v>6</v>
      </c>
      <c r="X42" s="12">
        <v>8.4745762711864007E-3</v>
      </c>
      <c r="Y42" s="8" t="b">
        <f>CleanedData[[#This Row],[Ship Date]]&lt;CleanedData[[#This Row],[Order Date]]</f>
        <v>1</v>
      </c>
      <c r="Z42" s="10">
        <f>YEAR(CleanedData[[#This Row],[Order Date]])</f>
        <v>2024</v>
      </c>
      <c r="AA42" s="8">
        <f>MONTH(CleanedData[[#This Row],[Order Date]])</f>
        <v>1</v>
      </c>
    </row>
    <row r="43" spans="1:27" x14ac:dyDescent="0.35">
      <c r="A43" s="8" t="s">
        <v>272</v>
      </c>
      <c r="B43" s="9">
        <v>45218</v>
      </c>
      <c r="C43" s="9">
        <v>45063</v>
      </c>
      <c r="D43" s="8" t="s">
        <v>275</v>
      </c>
      <c r="E43" s="8" t="s">
        <v>68</v>
      </c>
      <c r="F43" s="8" t="s">
        <v>276</v>
      </c>
      <c r="G43" s="8" t="s">
        <v>78</v>
      </c>
      <c r="H43" s="8" t="s">
        <v>79</v>
      </c>
      <c r="I43" s="8" t="s">
        <v>4978</v>
      </c>
      <c r="J43" s="10">
        <v>597</v>
      </c>
      <c r="K43" s="11">
        <v>304.64</v>
      </c>
      <c r="L43" s="11">
        <v>414.56</v>
      </c>
      <c r="M43" s="11">
        <v>247492.32</v>
      </c>
      <c r="N43" s="11">
        <v>181870.07999999999</v>
      </c>
      <c r="O43" s="11">
        <f>CleanedData[[#This Row],[Total Sales ($)]]-CleanedData[[#This Row],[Total Cost ($)]]</f>
        <v>65622.24000000002</v>
      </c>
      <c r="P43" s="12">
        <f>CleanedData[[#This Row],[Profit ($)]]/CleanedData[[#This Row],[Total Sales ($)]]</f>
        <v>0.26514859127749912</v>
      </c>
      <c r="Q43" s="8" t="s">
        <v>31</v>
      </c>
      <c r="R43" s="8" t="s">
        <v>32</v>
      </c>
      <c r="S43" s="8" t="b">
        <f>_xlfn.SINGLE(CleanedData[[#This Row],[Delivery Status]])="Late"</f>
        <v>1</v>
      </c>
      <c r="T43" s="10">
        <v>12</v>
      </c>
      <c r="U43" s="8" t="s">
        <v>53</v>
      </c>
      <c r="V43" s="10">
        <v>4435</v>
      </c>
      <c r="W43" s="10">
        <v>4</v>
      </c>
      <c r="X43" s="12">
        <v>6.7001675041875996E-3</v>
      </c>
      <c r="Y43" s="8" t="b">
        <f>CleanedData[[#This Row],[Ship Date]]&lt;CleanedData[[#This Row],[Order Date]]</f>
        <v>1</v>
      </c>
      <c r="Z43" s="10">
        <f>YEAR(CleanedData[[#This Row],[Order Date]])</f>
        <v>2023</v>
      </c>
      <c r="AA43" s="8">
        <f>MONTH(CleanedData[[#This Row],[Order Date]])</f>
        <v>10</v>
      </c>
    </row>
    <row r="44" spans="1:27" x14ac:dyDescent="0.35">
      <c r="A44" s="8" t="s">
        <v>277</v>
      </c>
      <c r="B44" s="9">
        <v>45187</v>
      </c>
      <c r="C44" s="9">
        <v>45101</v>
      </c>
      <c r="D44" s="8" t="s">
        <v>280</v>
      </c>
      <c r="E44" s="8" t="s">
        <v>48</v>
      </c>
      <c r="F44" s="8" t="s">
        <v>281</v>
      </c>
      <c r="G44" s="8" t="s">
        <v>50</v>
      </c>
      <c r="H44" s="8" t="s">
        <v>282</v>
      </c>
      <c r="I44" s="8" t="s">
        <v>4970</v>
      </c>
      <c r="J44" s="10">
        <v>83</v>
      </c>
      <c r="K44" s="11">
        <v>427.3</v>
      </c>
      <c r="L44" s="11">
        <v>634.61</v>
      </c>
      <c r="M44" s="11">
        <v>52672.63</v>
      </c>
      <c r="N44" s="11">
        <v>35465.9</v>
      </c>
      <c r="O44" s="11">
        <f>CleanedData[[#This Row],[Total Sales ($)]]-CleanedData[[#This Row],[Total Cost ($)]]</f>
        <v>17206.729999999996</v>
      </c>
      <c r="P44" s="12">
        <f>CleanedData[[#This Row],[Profit ($)]]/CleanedData[[#This Row],[Total Sales ($)]]</f>
        <v>0.32667307480184676</v>
      </c>
      <c r="Q44" s="8" t="s">
        <v>42</v>
      </c>
      <c r="R44" s="8" t="s">
        <v>32</v>
      </c>
      <c r="S44" s="8" t="b">
        <f>_xlfn.SINGLE(CleanedData[[#This Row],[Delivery Status]])="Late"</f>
        <v>1</v>
      </c>
      <c r="T44" s="10">
        <v>10</v>
      </c>
      <c r="U44" s="8" t="s">
        <v>158</v>
      </c>
      <c r="V44" s="10">
        <v>1772</v>
      </c>
      <c r="W44" s="10">
        <v>1</v>
      </c>
      <c r="X44" s="12">
        <v>1.20481927710843E-2</v>
      </c>
      <c r="Y44" s="8" t="b">
        <f>CleanedData[[#This Row],[Ship Date]]&lt;CleanedData[[#This Row],[Order Date]]</f>
        <v>1</v>
      </c>
      <c r="Z44" s="10">
        <f>YEAR(CleanedData[[#This Row],[Order Date]])</f>
        <v>2023</v>
      </c>
      <c r="AA44" s="8">
        <f>MONTH(CleanedData[[#This Row],[Order Date]])</f>
        <v>9</v>
      </c>
    </row>
    <row r="45" spans="1:27" x14ac:dyDescent="0.35">
      <c r="A45" s="8" t="s">
        <v>283</v>
      </c>
      <c r="B45" s="9">
        <v>45360</v>
      </c>
      <c r="C45" s="9">
        <v>45609</v>
      </c>
      <c r="D45" s="8" t="s">
        <v>286</v>
      </c>
      <c r="E45" s="8" t="s">
        <v>26</v>
      </c>
      <c r="F45" s="8" t="s">
        <v>92</v>
      </c>
      <c r="G45" s="8" t="s">
        <v>129</v>
      </c>
      <c r="H45" s="8" t="s">
        <v>130</v>
      </c>
      <c r="I45" s="8" t="s">
        <v>4978</v>
      </c>
      <c r="J45" s="10">
        <v>737</v>
      </c>
      <c r="K45" s="11">
        <v>1070.81</v>
      </c>
      <c r="L45" s="11">
        <v>1676.86</v>
      </c>
      <c r="M45" s="11">
        <v>1235845.82</v>
      </c>
      <c r="N45" s="11">
        <v>789186.97</v>
      </c>
      <c r="O45" s="11">
        <f>CleanedData[[#This Row],[Total Sales ($)]]-CleanedData[[#This Row],[Total Cost ($)]]</f>
        <v>446658.85000000009</v>
      </c>
      <c r="P45" s="12">
        <f>CleanedData[[#This Row],[Profit ($)]]/CleanedData[[#This Row],[Total Sales ($)]]</f>
        <v>0.36141955798337372</v>
      </c>
      <c r="Q45" s="8" t="s">
        <v>31</v>
      </c>
      <c r="R45" s="8" t="s">
        <v>32</v>
      </c>
      <c r="S45" s="8" t="b">
        <f>_xlfn.SINGLE(CleanedData[[#This Row],[Delivery Status]])="Late"</f>
        <v>1</v>
      </c>
      <c r="T45" s="10">
        <v>9</v>
      </c>
      <c r="U45" s="8" t="s">
        <v>86</v>
      </c>
      <c r="V45" s="10">
        <v>4609</v>
      </c>
      <c r="W45" s="10">
        <v>9</v>
      </c>
      <c r="X45" s="12">
        <v>1.22116689280868E-2</v>
      </c>
      <c r="Y45" s="8" t="b">
        <f>CleanedData[[#This Row],[Ship Date]]&lt;CleanedData[[#This Row],[Order Date]]</f>
        <v>0</v>
      </c>
      <c r="Z45" s="10">
        <f>YEAR(CleanedData[[#This Row],[Order Date]])</f>
        <v>2024</v>
      </c>
      <c r="AA45" s="8">
        <f>MONTH(CleanedData[[#This Row],[Order Date]])</f>
        <v>3</v>
      </c>
    </row>
    <row r="46" spans="1:27" x14ac:dyDescent="0.35">
      <c r="A46" s="8" t="s">
        <v>287</v>
      </c>
      <c r="B46" s="9">
        <v>45069</v>
      </c>
      <c r="C46" s="9">
        <v>45030</v>
      </c>
      <c r="D46" s="8" t="s">
        <v>290</v>
      </c>
      <c r="E46" s="8" t="s">
        <v>100</v>
      </c>
      <c r="F46" s="8" t="s">
        <v>101</v>
      </c>
      <c r="G46" s="8" t="s">
        <v>217</v>
      </c>
      <c r="H46" s="8" t="s">
        <v>292</v>
      </c>
      <c r="I46" s="8" t="s">
        <v>4979</v>
      </c>
      <c r="J46" s="10">
        <v>255</v>
      </c>
      <c r="K46" s="11">
        <v>843.42</v>
      </c>
      <c r="L46" s="11">
        <v>1149.99</v>
      </c>
      <c r="M46" s="11">
        <v>293247.45</v>
      </c>
      <c r="N46" s="11">
        <v>215072.1</v>
      </c>
      <c r="O46" s="11">
        <f>CleanedData[[#This Row],[Total Sales ($)]]-CleanedData[[#This Row],[Total Cost ($)]]</f>
        <v>78175.350000000006</v>
      </c>
      <c r="P46" s="12">
        <f>CleanedData[[#This Row],[Profit ($)]]/CleanedData[[#This Row],[Total Sales ($)]]</f>
        <v>0.26658492682545065</v>
      </c>
      <c r="Q46" s="8" t="s">
        <v>52</v>
      </c>
      <c r="R46" s="8" t="s">
        <v>63</v>
      </c>
      <c r="S46" s="8" t="b">
        <f>_xlfn.SINGLE(CleanedData[[#This Row],[Delivery Status]])="Late"</f>
        <v>0</v>
      </c>
      <c r="T46" s="10">
        <v>1</v>
      </c>
      <c r="U46" s="8" t="s">
        <v>112</v>
      </c>
      <c r="V46" s="10">
        <v>2405</v>
      </c>
      <c r="W46" s="10">
        <v>3</v>
      </c>
      <c r="X46" s="12">
        <v>1.1764705882352899E-2</v>
      </c>
      <c r="Y46" s="8" t="b">
        <f>CleanedData[[#This Row],[Ship Date]]&lt;CleanedData[[#This Row],[Order Date]]</f>
        <v>1</v>
      </c>
      <c r="Z46" s="10">
        <f>YEAR(CleanedData[[#This Row],[Order Date]])</f>
        <v>2023</v>
      </c>
      <c r="AA46" s="8">
        <f>MONTH(CleanedData[[#This Row],[Order Date]])</f>
        <v>5</v>
      </c>
    </row>
    <row r="47" spans="1:27" x14ac:dyDescent="0.35">
      <c r="A47" s="8" t="s">
        <v>294</v>
      </c>
      <c r="B47" s="9">
        <v>45281</v>
      </c>
      <c r="C47" s="9">
        <v>45253</v>
      </c>
      <c r="D47" s="8" t="s">
        <v>297</v>
      </c>
      <c r="E47" s="8" t="s">
        <v>68</v>
      </c>
      <c r="F47" s="8" t="s">
        <v>249</v>
      </c>
      <c r="G47" s="8" t="s">
        <v>28</v>
      </c>
      <c r="H47" s="8" t="s">
        <v>254</v>
      </c>
      <c r="I47" s="8" t="s">
        <v>4973</v>
      </c>
      <c r="J47" s="10">
        <v>444</v>
      </c>
      <c r="K47" s="11">
        <v>729.23</v>
      </c>
      <c r="L47" s="11">
        <v>851.09</v>
      </c>
      <c r="M47" s="11">
        <v>377883.96</v>
      </c>
      <c r="N47" s="11">
        <v>323778.12</v>
      </c>
      <c r="O47" s="11">
        <f>CleanedData[[#This Row],[Total Sales ($)]]-CleanedData[[#This Row],[Total Cost ($)]]</f>
        <v>54105.840000000026</v>
      </c>
      <c r="P47" s="12">
        <f>CleanedData[[#This Row],[Profit ($)]]/CleanedData[[#This Row],[Total Sales ($)]]</f>
        <v>0.14318109718126174</v>
      </c>
      <c r="Q47" s="8" t="s">
        <v>52</v>
      </c>
      <c r="R47" s="8" t="s">
        <v>32</v>
      </c>
      <c r="S47" s="8" t="b">
        <f>_xlfn.SINGLE(CleanedData[[#This Row],[Delivery Status]])="Late"</f>
        <v>1</v>
      </c>
      <c r="T47" s="10">
        <v>8</v>
      </c>
      <c r="U47" s="8" t="s">
        <v>33</v>
      </c>
      <c r="V47" s="10">
        <v>2357</v>
      </c>
      <c r="W47" s="10">
        <v>7</v>
      </c>
      <c r="X47" s="12">
        <v>1.5765765765765698E-2</v>
      </c>
      <c r="Y47" s="8" t="b">
        <f>CleanedData[[#This Row],[Ship Date]]&lt;CleanedData[[#This Row],[Order Date]]</f>
        <v>1</v>
      </c>
      <c r="Z47" s="10">
        <f>YEAR(CleanedData[[#This Row],[Order Date]])</f>
        <v>2023</v>
      </c>
      <c r="AA47" s="8">
        <f>MONTH(CleanedData[[#This Row],[Order Date]])</f>
        <v>12</v>
      </c>
    </row>
    <row r="48" spans="1:27" x14ac:dyDescent="0.35">
      <c r="A48" s="8" t="s">
        <v>298</v>
      </c>
      <c r="B48" s="9">
        <v>44952</v>
      </c>
      <c r="C48" s="9">
        <v>44928</v>
      </c>
      <c r="D48" s="8" t="s">
        <v>301</v>
      </c>
      <c r="E48" s="8" t="s">
        <v>48</v>
      </c>
      <c r="F48" s="8" t="s">
        <v>49</v>
      </c>
      <c r="G48" s="8" t="s">
        <v>93</v>
      </c>
      <c r="H48" s="8" t="s">
        <v>302</v>
      </c>
      <c r="I48" s="8" t="s">
        <v>4978</v>
      </c>
      <c r="J48" s="10">
        <v>132</v>
      </c>
      <c r="K48" s="11">
        <v>54.21</v>
      </c>
      <c r="L48" s="11">
        <v>81.44</v>
      </c>
      <c r="M48" s="11">
        <v>10750.08</v>
      </c>
      <c r="N48" s="11">
        <v>7155.72</v>
      </c>
      <c r="O48" s="11">
        <f>CleanedData[[#This Row],[Total Sales ($)]]-CleanedData[[#This Row],[Total Cost ($)]]</f>
        <v>3594.3599999999997</v>
      </c>
      <c r="P48" s="12">
        <f>CleanedData[[#This Row],[Profit ($)]]/CleanedData[[#This Row],[Total Sales ($)]]</f>
        <v>0.33435658153241649</v>
      </c>
      <c r="Q48" s="8" t="s">
        <v>42</v>
      </c>
      <c r="R48" s="8" t="s">
        <v>63</v>
      </c>
      <c r="S48" s="8" t="b">
        <f>_xlfn.SINGLE(CleanedData[[#This Row],[Delivery Status]])="Late"</f>
        <v>0</v>
      </c>
      <c r="T48" s="10">
        <v>3</v>
      </c>
      <c r="U48" s="8" t="s">
        <v>112</v>
      </c>
      <c r="V48" s="10">
        <v>437</v>
      </c>
      <c r="W48" s="10">
        <v>1</v>
      </c>
      <c r="X48" s="12">
        <v>7.5757575757574996E-3</v>
      </c>
      <c r="Y48" s="8" t="b">
        <f>CleanedData[[#This Row],[Ship Date]]&lt;CleanedData[[#This Row],[Order Date]]</f>
        <v>1</v>
      </c>
      <c r="Z48" s="10">
        <f>YEAR(CleanedData[[#This Row],[Order Date]])</f>
        <v>2023</v>
      </c>
      <c r="AA48" s="8">
        <f>MONTH(CleanedData[[#This Row],[Order Date]])</f>
        <v>1</v>
      </c>
    </row>
    <row r="49" spans="1:27" x14ac:dyDescent="0.35">
      <c r="A49" s="8" t="s">
        <v>303</v>
      </c>
      <c r="B49" s="9">
        <v>45439</v>
      </c>
      <c r="C49" s="9">
        <v>45358</v>
      </c>
      <c r="D49" s="8" t="s">
        <v>306</v>
      </c>
      <c r="E49" s="8" t="s">
        <v>58</v>
      </c>
      <c r="F49" s="8" t="s">
        <v>59</v>
      </c>
      <c r="G49" s="8" t="s">
        <v>217</v>
      </c>
      <c r="H49" s="8" t="s">
        <v>292</v>
      </c>
      <c r="I49" s="8" t="s">
        <v>4968</v>
      </c>
      <c r="J49" s="10">
        <v>439</v>
      </c>
      <c r="K49" s="11">
        <v>124.51</v>
      </c>
      <c r="L49" s="11">
        <v>188.91</v>
      </c>
      <c r="M49" s="11">
        <v>82931.490000000005</v>
      </c>
      <c r="N49" s="11">
        <v>54659.89</v>
      </c>
      <c r="O49" s="11">
        <f>CleanedData[[#This Row],[Total Sales ($)]]-CleanedData[[#This Row],[Total Cost ($)]]</f>
        <v>28271.600000000006</v>
      </c>
      <c r="P49" s="12">
        <f>CleanedData[[#This Row],[Profit ($)]]/CleanedData[[#This Row],[Total Sales ($)]]</f>
        <v>0.34090307553861632</v>
      </c>
      <c r="Q49" s="8" t="s">
        <v>52</v>
      </c>
      <c r="R49" s="8" t="s">
        <v>63</v>
      </c>
      <c r="S49" s="8" t="b">
        <f>_xlfn.SINGLE(CleanedData[[#This Row],[Delivery Status]])="Late"</f>
        <v>0</v>
      </c>
      <c r="T49" s="10">
        <v>4</v>
      </c>
      <c r="U49" s="8" t="s">
        <v>43</v>
      </c>
      <c r="V49" s="10">
        <v>3556</v>
      </c>
      <c r="W49" s="10">
        <v>4</v>
      </c>
      <c r="X49" s="12">
        <v>9.1116173120728006E-3</v>
      </c>
      <c r="Y49" s="8" t="b">
        <f>CleanedData[[#This Row],[Ship Date]]&lt;CleanedData[[#This Row],[Order Date]]</f>
        <v>1</v>
      </c>
      <c r="Z49" s="10">
        <f>YEAR(CleanedData[[#This Row],[Order Date]])</f>
        <v>2024</v>
      </c>
      <c r="AA49" s="8">
        <f>MONTH(CleanedData[[#This Row],[Order Date]])</f>
        <v>5</v>
      </c>
    </row>
    <row r="50" spans="1:27" x14ac:dyDescent="0.35">
      <c r="A50" s="8" t="s">
        <v>307</v>
      </c>
      <c r="B50" s="9">
        <v>45164</v>
      </c>
      <c r="C50" s="9">
        <v>45176</v>
      </c>
      <c r="D50" s="8" t="s">
        <v>310</v>
      </c>
      <c r="E50" s="8" t="s">
        <v>26</v>
      </c>
      <c r="F50" s="8" t="s">
        <v>27</v>
      </c>
      <c r="G50" s="8" t="s">
        <v>189</v>
      </c>
      <c r="H50" s="8" t="s">
        <v>311</v>
      </c>
      <c r="I50" s="8" t="s">
        <v>4968</v>
      </c>
      <c r="J50" s="10">
        <v>181</v>
      </c>
      <c r="K50" s="11">
        <v>96.93</v>
      </c>
      <c r="L50" s="11">
        <v>155.49</v>
      </c>
      <c r="M50" s="11">
        <v>28143.69</v>
      </c>
      <c r="N50" s="11">
        <v>17544.330000000002</v>
      </c>
      <c r="O50" s="11">
        <f>CleanedData[[#This Row],[Total Sales ($)]]-CleanedData[[#This Row],[Total Cost ($)]]</f>
        <v>10599.359999999997</v>
      </c>
      <c r="P50" s="12">
        <f>CleanedData[[#This Row],[Profit ($)]]/CleanedData[[#This Row],[Total Sales ($)]]</f>
        <v>0.3766158595408064</v>
      </c>
      <c r="Q50" s="8" t="s">
        <v>31</v>
      </c>
      <c r="R50" s="8" t="s">
        <v>63</v>
      </c>
      <c r="S50" s="8" t="b">
        <f>_xlfn.SINGLE(CleanedData[[#This Row],[Delivery Status]])="Late"</f>
        <v>0</v>
      </c>
      <c r="T50" s="10">
        <v>4</v>
      </c>
      <c r="U50" s="8" t="s">
        <v>86</v>
      </c>
      <c r="V50" s="10">
        <v>3174</v>
      </c>
      <c r="W50" s="10">
        <v>2</v>
      </c>
      <c r="X50" s="12">
        <v>1.1049723756906001E-2</v>
      </c>
      <c r="Y50" s="8" t="b">
        <f>CleanedData[[#This Row],[Ship Date]]&lt;CleanedData[[#This Row],[Order Date]]</f>
        <v>0</v>
      </c>
      <c r="Z50" s="10">
        <f>YEAR(CleanedData[[#This Row],[Order Date]])</f>
        <v>2023</v>
      </c>
      <c r="AA50" s="8">
        <f>MONTH(CleanedData[[#This Row],[Order Date]])</f>
        <v>8</v>
      </c>
    </row>
    <row r="51" spans="1:27" x14ac:dyDescent="0.35">
      <c r="A51" s="8" t="s">
        <v>312</v>
      </c>
      <c r="B51" s="9">
        <v>45180</v>
      </c>
      <c r="C51" s="9">
        <v>45110</v>
      </c>
      <c r="D51" s="8" t="s">
        <v>315</v>
      </c>
      <c r="E51" s="8" t="s">
        <v>68</v>
      </c>
      <c r="F51" s="8" t="s">
        <v>276</v>
      </c>
      <c r="G51" s="8" t="s">
        <v>129</v>
      </c>
      <c r="H51" s="8" t="s">
        <v>316</v>
      </c>
      <c r="I51" s="8" t="s">
        <v>4976</v>
      </c>
      <c r="J51" s="10">
        <v>481</v>
      </c>
      <c r="K51" s="11">
        <v>1149.5899999999999</v>
      </c>
      <c r="L51" s="11">
        <v>1646.13</v>
      </c>
      <c r="M51" s="11">
        <v>791788.53</v>
      </c>
      <c r="N51" s="11">
        <v>552952.79</v>
      </c>
      <c r="O51" s="11">
        <f>CleanedData[[#This Row],[Total Sales ($)]]-CleanedData[[#This Row],[Total Cost ($)]]</f>
        <v>238835.74</v>
      </c>
      <c r="P51" s="12">
        <f>CleanedData[[#This Row],[Profit ($)]]/CleanedData[[#This Row],[Total Sales ($)]]</f>
        <v>0.30164081816138455</v>
      </c>
      <c r="Q51" s="8" t="s">
        <v>95</v>
      </c>
      <c r="R51" s="8" t="s">
        <v>32</v>
      </c>
      <c r="S51" s="8" t="b">
        <f>_xlfn.SINGLE(CleanedData[[#This Row],[Delivery Status]])="Late"</f>
        <v>1</v>
      </c>
      <c r="T51" s="10">
        <v>10</v>
      </c>
      <c r="U51" s="8" t="s">
        <v>53</v>
      </c>
      <c r="V51" s="10">
        <v>2349</v>
      </c>
      <c r="W51" s="10">
        <v>3</v>
      </c>
      <c r="X51" s="12">
        <v>6.2370062370062001E-3</v>
      </c>
      <c r="Y51" s="8" t="b">
        <f>CleanedData[[#This Row],[Ship Date]]&lt;CleanedData[[#This Row],[Order Date]]</f>
        <v>1</v>
      </c>
      <c r="Z51" s="10">
        <f>YEAR(CleanedData[[#This Row],[Order Date]])</f>
        <v>2023</v>
      </c>
      <c r="AA51" s="8">
        <f>MONTH(CleanedData[[#This Row],[Order Date]])</f>
        <v>9</v>
      </c>
    </row>
    <row r="52" spans="1:27" x14ac:dyDescent="0.35">
      <c r="A52" s="8" t="s">
        <v>317</v>
      </c>
      <c r="B52" s="9">
        <v>45367</v>
      </c>
      <c r="C52" s="9">
        <v>45021</v>
      </c>
      <c r="D52" s="8" t="s">
        <v>320</v>
      </c>
      <c r="E52" s="8" t="s">
        <v>48</v>
      </c>
      <c r="F52" s="8" t="s">
        <v>270</v>
      </c>
      <c r="G52" s="8" t="s">
        <v>93</v>
      </c>
      <c r="H52" s="8" t="s">
        <v>321</v>
      </c>
      <c r="I52" s="8" t="s">
        <v>4979</v>
      </c>
      <c r="J52" s="10">
        <v>593</v>
      </c>
      <c r="K52" s="11">
        <v>540.24</v>
      </c>
      <c r="L52" s="11">
        <v>876.41</v>
      </c>
      <c r="M52" s="11">
        <v>519711.13</v>
      </c>
      <c r="N52" s="11">
        <v>320362.32</v>
      </c>
      <c r="O52" s="11">
        <f>CleanedData[[#This Row],[Total Sales ($)]]-CleanedData[[#This Row],[Total Cost ($)]]</f>
        <v>199348.81</v>
      </c>
      <c r="P52" s="12">
        <f>CleanedData[[#This Row],[Profit ($)]]/CleanedData[[#This Row],[Total Sales ($)]]</f>
        <v>0.38357618009835576</v>
      </c>
      <c r="Q52" s="8" t="s">
        <v>95</v>
      </c>
      <c r="R52" s="8" t="s">
        <v>32</v>
      </c>
      <c r="S52" s="8" t="b">
        <f>_xlfn.SINGLE(CleanedData[[#This Row],[Delivery Status]])="Late"</f>
        <v>1</v>
      </c>
      <c r="T52" s="10">
        <v>7</v>
      </c>
      <c r="U52" s="8" t="s">
        <v>158</v>
      </c>
      <c r="V52" s="10">
        <v>1960</v>
      </c>
      <c r="W52" s="10">
        <v>11</v>
      </c>
      <c r="X52" s="12">
        <v>1.85497470489038E-2</v>
      </c>
      <c r="Y52" s="8" t="b">
        <f>CleanedData[[#This Row],[Ship Date]]&lt;CleanedData[[#This Row],[Order Date]]</f>
        <v>1</v>
      </c>
      <c r="Z52" s="10">
        <f>YEAR(CleanedData[[#This Row],[Order Date]])</f>
        <v>2024</v>
      </c>
      <c r="AA52" s="8">
        <f>MONTH(CleanedData[[#This Row],[Order Date]])</f>
        <v>3</v>
      </c>
    </row>
    <row r="53" spans="1:27" x14ac:dyDescent="0.35">
      <c r="A53" s="8" t="s">
        <v>322</v>
      </c>
      <c r="B53" s="9">
        <v>44973</v>
      </c>
      <c r="C53" s="9">
        <v>44939</v>
      </c>
      <c r="D53" s="8" t="s">
        <v>325</v>
      </c>
      <c r="E53" s="8" t="s">
        <v>48</v>
      </c>
      <c r="F53" s="8" t="s">
        <v>223</v>
      </c>
      <c r="G53" s="8" t="s">
        <v>93</v>
      </c>
      <c r="H53" s="8" t="s">
        <v>321</v>
      </c>
      <c r="I53" s="8" t="s">
        <v>4979</v>
      </c>
      <c r="J53" s="10">
        <v>427</v>
      </c>
      <c r="K53" s="11">
        <v>414.65</v>
      </c>
      <c r="L53" s="11">
        <v>514.79999999999995</v>
      </c>
      <c r="M53" s="11">
        <v>219819.6</v>
      </c>
      <c r="N53" s="11">
        <v>177055.55</v>
      </c>
      <c r="O53" s="11">
        <f>CleanedData[[#This Row],[Total Sales ($)]]-CleanedData[[#This Row],[Total Cost ($)]]</f>
        <v>42764.050000000017</v>
      </c>
      <c r="P53" s="12">
        <f>CleanedData[[#This Row],[Profit ($)]]/CleanedData[[#This Row],[Total Sales ($)]]</f>
        <v>0.19454156954156962</v>
      </c>
      <c r="Q53" s="8" t="s">
        <v>52</v>
      </c>
      <c r="R53" s="8" t="s">
        <v>32</v>
      </c>
      <c r="S53" s="8" t="b">
        <f>_xlfn.SINGLE(CleanedData[[#This Row],[Delivery Status]])="Late"</f>
        <v>1</v>
      </c>
      <c r="T53" s="10">
        <v>8</v>
      </c>
      <c r="U53" s="8" t="s">
        <v>112</v>
      </c>
      <c r="V53" s="10">
        <v>1763</v>
      </c>
      <c r="W53" s="10">
        <v>7</v>
      </c>
      <c r="X53" s="12">
        <v>1.63934426229508E-2</v>
      </c>
      <c r="Y53" s="8" t="b">
        <f>CleanedData[[#This Row],[Ship Date]]&lt;CleanedData[[#This Row],[Order Date]]</f>
        <v>1</v>
      </c>
      <c r="Z53" s="10">
        <f>YEAR(CleanedData[[#This Row],[Order Date]])</f>
        <v>2023</v>
      </c>
      <c r="AA53" s="8">
        <f>MONTH(CleanedData[[#This Row],[Order Date]])</f>
        <v>2</v>
      </c>
    </row>
    <row r="54" spans="1:27" x14ac:dyDescent="0.35">
      <c r="A54" s="8" t="s">
        <v>326</v>
      </c>
      <c r="B54" s="9">
        <v>44992</v>
      </c>
      <c r="C54" s="9">
        <v>45265</v>
      </c>
      <c r="D54" s="8" t="s">
        <v>329</v>
      </c>
      <c r="E54" s="8" t="s">
        <v>100</v>
      </c>
      <c r="F54" s="8" t="s">
        <v>330</v>
      </c>
      <c r="G54" s="8" t="s">
        <v>60</v>
      </c>
      <c r="H54" s="8" t="s">
        <v>61</v>
      </c>
      <c r="I54" s="8" t="s">
        <v>4975</v>
      </c>
      <c r="J54" s="10">
        <v>766</v>
      </c>
      <c r="K54" s="11">
        <v>681</v>
      </c>
      <c r="L54" s="11">
        <v>951.62</v>
      </c>
      <c r="M54" s="11">
        <v>728940.92</v>
      </c>
      <c r="N54" s="11">
        <v>521646</v>
      </c>
      <c r="O54" s="11">
        <f>CleanedData[[#This Row],[Total Sales ($)]]-CleanedData[[#This Row],[Total Cost ($)]]</f>
        <v>207294.92000000004</v>
      </c>
      <c r="P54" s="12">
        <f>CleanedData[[#This Row],[Profit ($)]]/CleanedData[[#This Row],[Total Sales ($)]]</f>
        <v>0.28437821819633891</v>
      </c>
      <c r="Q54" s="8" t="s">
        <v>31</v>
      </c>
      <c r="R54" s="8" t="s">
        <v>32</v>
      </c>
      <c r="S54" s="8" t="b">
        <f>_xlfn.SINGLE(CleanedData[[#This Row],[Delivery Status]])="Late"</f>
        <v>1</v>
      </c>
      <c r="T54" s="10">
        <v>14</v>
      </c>
      <c r="U54" s="8" t="s">
        <v>43</v>
      </c>
      <c r="V54" s="10">
        <v>2012</v>
      </c>
      <c r="W54" s="10">
        <v>28</v>
      </c>
      <c r="X54" s="12">
        <v>3.6553524804177499E-2</v>
      </c>
      <c r="Y54" s="8" t="b">
        <f>CleanedData[[#This Row],[Ship Date]]&lt;CleanedData[[#This Row],[Order Date]]</f>
        <v>0</v>
      </c>
      <c r="Z54" s="10">
        <f>YEAR(CleanedData[[#This Row],[Order Date]])</f>
        <v>2023</v>
      </c>
      <c r="AA54" s="8">
        <f>MONTH(CleanedData[[#This Row],[Order Date]])</f>
        <v>3</v>
      </c>
    </row>
    <row r="55" spans="1:27" x14ac:dyDescent="0.35">
      <c r="A55" s="8" t="s">
        <v>331</v>
      </c>
      <c r="B55" s="9">
        <v>45093</v>
      </c>
      <c r="C55" s="9">
        <v>45097</v>
      </c>
      <c r="D55" s="8" t="s">
        <v>334</v>
      </c>
      <c r="E55" s="8" t="s">
        <v>100</v>
      </c>
      <c r="F55" s="8" t="s">
        <v>238</v>
      </c>
      <c r="G55" s="8" t="s">
        <v>217</v>
      </c>
      <c r="H55" s="8" t="s">
        <v>335</v>
      </c>
      <c r="I55" s="8" t="s">
        <v>4979</v>
      </c>
      <c r="J55" s="10">
        <v>321</v>
      </c>
      <c r="K55" s="11">
        <v>875.64</v>
      </c>
      <c r="L55" s="11">
        <v>1376.56</v>
      </c>
      <c r="M55" s="11">
        <v>441875.76</v>
      </c>
      <c r="N55" s="11">
        <v>281080.44</v>
      </c>
      <c r="O55" s="11">
        <f>CleanedData[[#This Row],[Total Sales ($)]]-CleanedData[[#This Row],[Total Cost ($)]]</f>
        <v>160795.32</v>
      </c>
      <c r="P55" s="12">
        <f>CleanedData[[#This Row],[Profit ($)]]/CleanedData[[#This Row],[Total Sales ($)]]</f>
        <v>0.36389260184808508</v>
      </c>
      <c r="Q55" s="8" t="s">
        <v>52</v>
      </c>
      <c r="R55" s="8" t="s">
        <v>63</v>
      </c>
      <c r="S55" s="8" t="b">
        <f>_xlfn.SINGLE(CleanedData[[#This Row],[Delivery Status]])="Late"</f>
        <v>0</v>
      </c>
      <c r="T55" s="10">
        <v>5</v>
      </c>
      <c r="U55" s="8" t="s">
        <v>158</v>
      </c>
      <c r="V55" s="10">
        <v>4483</v>
      </c>
      <c r="W55" s="10">
        <v>8</v>
      </c>
      <c r="X55" s="12">
        <v>2.4922118380062301E-2</v>
      </c>
      <c r="Y55" s="8" t="b">
        <f>CleanedData[[#This Row],[Ship Date]]&lt;CleanedData[[#This Row],[Order Date]]</f>
        <v>0</v>
      </c>
      <c r="Z55" s="10">
        <f>YEAR(CleanedData[[#This Row],[Order Date]])</f>
        <v>2023</v>
      </c>
      <c r="AA55" s="8">
        <f>MONTH(CleanedData[[#This Row],[Order Date]])</f>
        <v>6</v>
      </c>
    </row>
    <row r="56" spans="1:27" x14ac:dyDescent="0.35">
      <c r="A56" s="8" t="s">
        <v>336</v>
      </c>
      <c r="B56" s="9">
        <v>45189</v>
      </c>
      <c r="C56" s="9">
        <v>45098</v>
      </c>
      <c r="D56" s="8" t="s">
        <v>339</v>
      </c>
      <c r="E56" s="8" t="s">
        <v>48</v>
      </c>
      <c r="F56" s="8" t="s">
        <v>281</v>
      </c>
      <c r="G56" s="8" t="s">
        <v>217</v>
      </c>
      <c r="H56" s="8" t="s">
        <v>340</v>
      </c>
      <c r="I56" s="8" t="s">
        <v>4979</v>
      </c>
      <c r="J56" s="10">
        <v>177</v>
      </c>
      <c r="K56" s="11">
        <v>364.66</v>
      </c>
      <c r="L56" s="11">
        <v>518.63</v>
      </c>
      <c r="M56" s="11">
        <v>91797.51</v>
      </c>
      <c r="N56" s="11">
        <v>64544.82</v>
      </c>
      <c r="O56" s="11">
        <f>CleanedData[[#This Row],[Total Sales ($)]]-CleanedData[[#This Row],[Total Cost ($)]]</f>
        <v>27252.689999999995</v>
      </c>
      <c r="P56" s="12">
        <f>CleanedData[[#This Row],[Profit ($)]]/CleanedData[[#This Row],[Total Sales ($)]]</f>
        <v>0.29687831401962861</v>
      </c>
      <c r="Q56" s="8" t="s">
        <v>52</v>
      </c>
      <c r="R56" s="8" t="s">
        <v>32</v>
      </c>
      <c r="S56" s="8" t="b">
        <f>_xlfn.SINGLE(CleanedData[[#This Row],[Delivery Status]])="Late"</f>
        <v>1</v>
      </c>
      <c r="T56" s="10">
        <v>13</v>
      </c>
      <c r="U56" s="8" t="s">
        <v>158</v>
      </c>
      <c r="V56" s="10">
        <v>468</v>
      </c>
      <c r="W56" s="10">
        <v>8</v>
      </c>
      <c r="X56" s="12">
        <v>4.5197740112994302E-2</v>
      </c>
      <c r="Y56" s="8" t="b">
        <f>CleanedData[[#This Row],[Ship Date]]&lt;CleanedData[[#This Row],[Order Date]]</f>
        <v>1</v>
      </c>
      <c r="Z56" s="10">
        <f>YEAR(CleanedData[[#This Row],[Order Date]])</f>
        <v>2023</v>
      </c>
      <c r="AA56" s="8">
        <f>MONTH(CleanedData[[#This Row],[Order Date]])</f>
        <v>9</v>
      </c>
    </row>
    <row r="57" spans="1:27" x14ac:dyDescent="0.35">
      <c r="A57" s="8" t="s">
        <v>341</v>
      </c>
      <c r="B57" s="9">
        <v>45275</v>
      </c>
      <c r="C57" s="9">
        <v>44944</v>
      </c>
      <c r="D57" s="8" t="s">
        <v>344</v>
      </c>
      <c r="E57" s="8" t="s">
        <v>58</v>
      </c>
      <c r="F57" s="8" t="s">
        <v>122</v>
      </c>
      <c r="G57" s="8" t="s">
        <v>129</v>
      </c>
      <c r="H57" s="8" t="s">
        <v>345</v>
      </c>
      <c r="I57" s="8" t="s">
        <v>4976</v>
      </c>
      <c r="J57" s="10">
        <v>747</v>
      </c>
      <c r="K57" s="11">
        <v>655.37</v>
      </c>
      <c r="L57" s="11">
        <v>1007.59</v>
      </c>
      <c r="M57" s="11">
        <v>752669.73</v>
      </c>
      <c r="N57" s="11">
        <v>489561.39</v>
      </c>
      <c r="O57" s="11">
        <f>CleanedData[[#This Row],[Total Sales ($)]]-CleanedData[[#This Row],[Total Cost ($)]]</f>
        <v>263108.33999999997</v>
      </c>
      <c r="P57" s="12">
        <f>CleanedData[[#This Row],[Profit ($)]]/CleanedData[[#This Row],[Total Sales ($)]]</f>
        <v>0.34956678807848429</v>
      </c>
      <c r="Q57" s="8" t="s">
        <v>52</v>
      </c>
      <c r="R57" s="8" t="s">
        <v>32</v>
      </c>
      <c r="S57" s="8" t="b">
        <f>_xlfn.SINGLE(CleanedData[[#This Row],[Delivery Status]])="Late"</f>
        <v>1</v>
      </c>
      <c r="T57" s="10">
        <v>12</v>
      </c>
      <c r="U57" s="8" t="s">
        <v>33</v>
      </c>
      <c r="V57" s="10">
        <v>1364</v>
      </c>
      <c r="W57" s="10">
        <v>21</v>
      </c>
      <c r="X57" s="12">
        <v>2.81124497991967E-2</v>
      </c>
      <c r="Y57" s="8" t="b">
        <f>CleanedData[[#This Row],[Ship Date]]&lt;CleanedData[[#This Row],[Order Date]]</f>
        <v>1</v>
      </c>
      <c r="Z57" s="10">
        <f>YEAR(CleanedData[[#This Row],[Order Date]])</f>
        <v>2023</v>
      </c>
      <c r="AA57" s="8">
        <f>MONTH(CleanedData[[#This Row],[Order Date]])</f>
        <v>12</v>
      </c>
    </row>
    <row r="58" spans="1:27" x14ac:dyDescent="0.35">
      <c r="A58" s="8" t="s">
        <v>346</v>
      </c>
      <c r="B58" s="9">
        <v>45000</v>
      </c>
      <c r="C58" s="9">
        <v>45217</v>
      </c>
      <c r="D58" s="8" t="s">
        <v>349</v>
      </c>
      <c r="E58" s="8" t="s">
        <v>68</v>
      </c>
      <c r="F58" s="8" t="s">
        <v>146</v>
      </c>
      <c r="G58" s="8" t="s">
        <v>217</v>
      </c>
      <c r="H58" s="8" t="s">
        <v>218</v>
      </c>
      <c r="I58" s="8" t="s">
        <v>4972</v>
      </c>
      <c r="J58" s="10">
        <v>461</v>
      </c>
      <c r="K58" s="11">
        <v>1095.55</v>
      </c>
      <c r="L58" s="11">
        <v>1521.85</v>
      </c>
      <c r="M58" s="11">
        <v>701572.85</v>
      </c>
      <c r="N58" s="11">
        <v>505048.55</v>
      </c>
      <c r="O58" s="11">
        <f>CleanedData[[#This Row],[Total Sales ($)]]-CleanedData[[#This Row],[Total Cost ($)]]</f>
        <v>196524.3</v>
      </c>
      <c r="P58" s="12">
        <f>CleanedData[[#This Row],[Profit ($)]]/CleanedData[[#This Row],[Total Sales ($)]]</f>
        <v>0.28011959128692054</v>
      </c>
      <c r="Q58" s="8" t="s">
        <v>31</v>
      </c>
      <c r="R58" s="8" t="s">
        <v>32</v>
      </c>
      <c r="S58" s="8" t="b">
        <f>_xlfn.SINGLE(CleanedData[[#This Row],[Delivery Status]])="Late"</f>
        <v>1</v>
      </c>
      <c r="T58" s="10">
        <v>12</v>
      </c>
      <c r="U58" s="8" t="s">
        <v>53</v>
      </c>
      <c r="V58" s="10">
        <v>3170</v>
      </c>
      <c r="W58" s="10">
        <v>6</v>
      </c>
      <c r="X58" s="12">
        <v>1.30151843817787E-2</v>
      </c>
      <c r="Y58" s="8" t="b">
        <f>CleanedData[[#This Row],[Ship Date]]&lt;CleanedData[[#This Row],[Order Date]]</f>
        <v>0</v>
      </c>
      <c r="Z58" s="10">
        <f>YEAR(CleanedData[[#This Row],[Order Date]])</f>
        <v>2023</v>
      </c>
      <c r="AA58" s="8">
        <f>MONTH(CleanedData[[#This Row],[Order Date]])</f>
        <v>3</v>
      </c>
    </row>
    <row r="59" spans="1:27" x14ac:dyDescent="0.35">
      <c r="A59" s="8" t="s">
        <v>350</v>
      </c>
      <c r="B59" s="9">
        <v>45032</v>
      </c>
      <c r="C59" s="9">
        <v>45114</v>
      </c>
      <c r="D59" s="8" t="s">
        <v>353</v>
      </c>
      <c r="E59" s="8" t="s">
        <v>58</v>
      </c>
      <c r="F59" s="8" t="s">
        <v>259</v>
      </c>
      <c r="G59" s="8" t="s">
        <v>39</v>
      </c>
      <c r="H59" s="8" t="s">
        <v>354</v>
      </c>
      <c r="I59" s="8" t="s">
        <v>4972</v>
      </c>
      <c r="J59" s="10">
        <v>451</v>
      </c>
      <c r="K59" s="11">
        <v>740.26</v>
      </c>
      <c r="L59" s="11">
        <v>1071.58</v>
      </c>
      <c r="M59" s="11">
        <v>483282.58</v>
      </c>
      <c r="N59" s="11">
        <v>333857.26</v>
      </c>
      <c r="O59" s="11">
        <f>CleanedData[[#This Row],[Total Sales ($)]]-CleanedData[[#This Row],[Total Cost ($)]]</f>
        <v>149425.32</v>
      </c>
      <c r="P59" s="12">
        <f>CleanedData[[#This Row],[Profit ($)]]/CleanedData[[#This Row],[Total Sales ($)]]</f>
        <v>0.30918830138673736</v>
      </c>
      <c r="Q59" s="8" t="s">
        <v>95</v>
      </c>
      <c r="R59" s="8" t="s">
        <v>63</v>
      </c>
      <c r="S59" s="8" t="b">
        <f>_xlfn.SINGLE(CleanedData[[#This Row],[Delivery Status]])="Late"</f>
        <v>0</v>
      </c>
      <c r="T59" s="10">
        <v>1</v>
      </c>
      <c r="U59" s="8" t="s">
        <v>53</v>
      </c>
      <c r="V59" s="10">
        <v>567</v>
      </c>
      <c r="W59" s="10">
        <v>22</v>
      </c>
      <c r="X59" s="12">
        <v>4.8780487804878002E-2</v>
      </c>
      <c r="Y59" s="8" t="b">
        <f>CleanedData[[#This Row],[Ship Date]]&lt;CleanedData[[#This Row],[Order Date]]</f>
        <v>0</v>
      </c>
      <c r="Z59" s="10">
        <f>YEAR(CleanedData[[#This Row],[Order Date]])</f>
        <v>2023</v>
      </c>
      <c r="AA59" s="8">
        <f>MONTH(CleanedData[[#This Row],[Order Date]])</f>
        <v>4</v>
      </c>
    </row>
    <row r="60" spans="1:27" x14ac:dyDescent="0.35">
      <c r="A60" s="8" t="s">
        <v>355</v>
      </c>
      <c r="B60" s="9">
        <v>44990</v>
      </c>
      <c r="C60" s="9">
        <v>44980</v>
      </c>
      <c r="D60" s="8" t="s">
        <v>358</v>
      </c>
      <c r="E60" s="8" t="s">
        <v>26</v>
      </c>
      <c r="F60" s="8" t="s">
        <v>77</v>
      </c>
      <c r="G60" s="8" t="s">
        <v>189</v>
      </c>
      <c r="H60" s="8" t="s">
        <v>360</v>
      </c>
      <c r="I60" s="8" t="s">
        <v>4970</v>
      </c>
      <c r="J60" s="10">
        <v>530</v>
      </c>
      <c r="K60" s="11">
        <v>326.08</v>
      </c>
      <c r="L60" s="11">
        <v>417.91</v>
      </c>
      <c r="M60" s="11">
        <v>221492.3</v>
      </c>
      <c r="N60" s="11">
        <v>172822.39999999999</v>
      </c>
      <c r="O60" s="11">
        <f>CleanedData[[#This Row],[Total Sales ($)]]-CleanedData[[#This Row],[Total Cost ($)]]</f>
        <v>48669.899999999994</v>
      </c>
      <c r="P60" s="12">
        <f>CleanedData[[#This Row],[Profit ($)]]/CleanedData[[#This Row],[Total Sales ($)]]</f>
        <v>0.21973630686032877</v>
      </c>
      <c r="Q60" s="8" t="s">
        <v>31</v>
      </c>
      <c r="R60" s="8" t="s">
        <v>32</v>
      </c>
      <c r="S60" s="8" t="b">
        <f>_xlfn.SINGLE(CleanedData[[#This Row],[Delivery Status]])="Late"</f>
        <v>1</v>
      </c>
      <c r="T60" s="10">
        <v>14</v>
      </c>
      <c r="U60" s="8" t="s">
        <v>43</v>
      </c>
      <c r="V60" s="10">
        <v>821</v>
      </c>
      <c r="W60" s="10">
        <v>0</v>
      </c>
      <c r="X60" s="12">
        <v>0</v>
      </c>
      <c r="Y60" s="8" t="b">
        <f>CleanedData[[#This Row],[Ship Date]]&lt;CleanedData[[#This Row],[Order Date]]</f>
        <v>1</v>
      </c>
      <c r="Z60" s="10">
        <f>YEAR(CleanedData[[#This Row],[Order Date]])</f>
        <v>2023</v>
      </c>
      <c r="AA60" s="8">
        <f>MONTH(CleanedData[[#This Row],[Order Date]])</f>
        <v>3</v>
      </c>
    </row>
    <row r="61" spans="1:27" x14ac:dyDescent="0.35">
      <c r="A61" s="8" t="s">
        <v>361</v>
      </c>
      <c r="B61" s="9">
        <v>44989</v>
      </c>
      <c r="C61" s="9">
        <v>45050</v>
      </c>
      <c r="D61" s="8" t="s">
        <v>364</v>
      </c>
      <c r="E61" s="8" t="s">
        <v>58</v>
      </c>
      <c r="F61" s="8" t="s">
        <v>4972</v>
      </c>
      <c r="G61" s="8" t="s">
        <v>189</v>
      </c>
      <c r="H61" s="8" t="s">
        <v>365</v>
      </c>
      <c r="I61" s="8" t="s">
        <v>4979</v>
      </c>
      <c r="J61" s="10">
        <v>536</v>
      </c>
      <c r="K61" s="11">
        <v>195.55</v>
      </c>
      <c r="L61" s="11">
        <v>318.19</v>
      </c>
      <c r="M61" s="11">
        <v>170549.84</v>
      </c>
      <c r="N61" s="11">
        <v>104814.8</v>
      </c>
      <c r="O61" s="11">
        <f>CleanedData[[#This Row],[Total Sales ($)]]-CleanedData[[#This Row],[Total Cost ($)]]</f>
        <v>65735.039999999994</v>
      </c>
      <c r="P61" s="12">
        <f>CleanedData[[#This Row],[Profit ($)]]/CleanedData[[#This Row],[Total Sales ($)]]</f>
        <v>0.38543008894057007</v>
      </c>
      <c r="Q61" s="8" t="s">
        <v>52</v>
      </c>
      <c r="R61" s="8" t="s">
        <v>32</v>
      </c>
      <c r="S61" s="8" t="b">
        <f>_xlfn.SINGLE(CleanedData[[#This Row],[Delivery Status]])="Late"</f>
        <v>1</v>
      </c>
      <c r="T61" s="10">
        <v>6</v>
      </c>
      <c r="U61" s="8" t="s">
        <v>112</v>
      </c>
      <c r="V61" s="10">
        <v>3730</v>
      </c>
      <c r="W61" s="10">
        <v>16</v>
      </c>
      <c r="X61" s="12">
        <v>2.9850746268656699E-2</v>
      </c>
      <c r="Y61" s="8" t="b">
        <f>CleanedData[[#This Row],[Ship Date]]&lt;CleanedData[[#This Row],[Order Date]]</f>
        <v>0</v>
      </c>
      <c r="Z61" s="10">
        <f>YEAR(CleanedData[[#This Row],[Order Date]])</f>
        <v>2023</v>
      </c>
      <c r="AA61" s="8">
        <f>MONTH(CleanedData[[#This Row],[Order Date]])</f>
        <v>3</v>
      </c>
    </row>
    <row r="62" spans="1:27" x14ac:dyDescent="0.35">
      <c r="A62" s="8" t="s">
        <v>366</v>
      </c>
      <c r="B62" s="9">
        <v>45090</v>
      </c>
      <c r="C62" s="9">
        <v>44972</v>
      </c>
      <c r="D62" s="8" t="s">
        <v>368</v>
      </c>
      <c r="E62" s="8" t="s">
        <v>26</v>
      </c>
      <c r="F62" s="8" t="s">
        <v>38</v>
      </c>
      <c r="G62" s="8" t="s">
        <v>189</v>
      </c>
      <c r="H62" s="8" t="s">
        <v>369</v>
      </c>
      <c r="I62" s="8" t="s">
        <v>4978</v>
      </c>
      <c r="J62" s="10">
        <v>489</v>
      </c>
      <c r="K62" s="11">
        <v>195.48</v>
      </c>
      <c r="L62" s="11">
        <v>245.22</v>
      </c>
      <c r="M62" s="11">
        <v>119912.58</v>
      </c>
      <c r="N62" s="11">
        <v>95589.72</v>
      </c>
      <c r="O62" s="11">
        <f>CleanedData[[#This Row],[Total Sales ($)]]-CleanedData[[#This Row],[Total Cost ($)]]</f>
        <v>24322.86</v>
      </c>
      <c r="P62" s="12">
        <f>CleanedData[[#This Row],[Profit ($)]]/CleanedData[[#This Row],[Total Sales ($)]]</f>
        <v>0.20283826767800342</v>
      </c>
      <c r="Q62" s="8" t="s">
        <v>95</v>
      </c>
      <c r="R62" s="8" t="s">
        <v>63</v>
      </c>
      <c r="S62" s="8" t="b">
        <f>_xlfn.SINGLE(CleanedData[[#This Row],[Delivery Status]])="Late"</f>
        <v>0</v>
      </c>
      <c r="T62" s="10">
        <v>2</v>
      </c>
      <c r="U62" s="8" t="s">
        <v>158</v>
      </c>
      <c r="V62" s="10">
        <v>4486</v>
      </c>
      <c r="W62" s="10">
        <v>20</v>
      </c>
      <c r="X62" s="12">
        <v>4.0899795501022497E-2</v>
      </c>
      <c r="Y62" s="8" t="b">
        <f>CleanedData[[#This Row],[Ship Date]]&lt;CleanedData[[#This Row],[Order Date]]</f>
        <v>1</v>
      </c>
      <c r="Z62" s="10">
        <f>YEAR(CleanedData[[#This Row],[Order Date]])</f>
        <v>2023</v>
      </c>
      <c r="AA62" s="8">
        <f>MONTH(CleanedData[[#This Row],[Order Date]])</f>
        <v>6</v>
      </c>
    </row>
    <row r="63" spans="1:27" x14ac:dyDescent="0.35">
      <c r="A63" s="8" t="s">
        <v>370</v>
      </c>
      <c r="B63" s="9">
        <v>45431</v>
      </c>
      <c r="C63" s="9">
        <v>45325</v>
      </c>
      <c r="D63" s="8" t="s">
        <v>373</v>
      </c>
      <c r="E63" s="8" t="s">
        <v>26</v>
      </c>
      <c r="F63" s="8" t="s">
        <v>228</v>
      </c>
      <c r="G63" s="8" t="s">
        <v>217</v>
      </c>
      <c r="H63" s="8" t="s">
        <v>218</v>
      </c>
      <c r="I63" s="8" t="s">
        <v>4979</v>
      </c>
      <c r="J63" s="10">
        <v>15</v>
      </c>
      <c r="K63" s="11">
        <v>233.21</v>
      </c>
      <c r="L63" s="11">
        <v>367.71</v>
      </c>
      <c r="M63" s="11">
        <v>5515.65</v>
      </c>
      <c r="N63" s="11">
        <v>3498.15</v>
      </c>
      <c r="O63" s="11">
        <f>CleanedData[[#This Row],[Total Sales ($)]]-CleanedData[[#This Row],[Total Cost ($)]]</f>
        <v>2017.4999999999995</v>
      </c>
      <c r="P63" s="12">
        <f>CleanedData[[#This Row],[Profit ($)]]/CleanedData[[#This Row],[Total Sales ($)]]</f>
        <v>0.3657773789127301</v>
      </c>
      <c r="Q63" s="8" t="s">
        <v>42</v>
      </c>
      <c r="R63" s="8" t="s">
        <v>32</v>
      </c>
      <c r="S63" s="8" t="b">
        <f>_xlfn.SINGLE(CleanedData[[#This Row],[Delivery Status]])="Late"</f>
        <v>1</v>
      </c>
      <c r="T63" s="10">
        <v>6</v>
      </c>
      <c r="U63" s="8" t="s">
        <v>33</v>
      </c>
      <c r="V63" s="10">
        <v>2931</v>
      </c>
      <c r="W63" s="10">
        <v>1</v>
      </c>
      <c r="X63" s="12">
        <v>6.6666666666666596E-2</v>
      </c>
      <c r="Y63" s="8" t="b">
        <f>CleanedData[[#This Row],[Ship Date]]&lt;CleanedData[[#This Row],[Order Date]]</f>
        <v>1</v>
      </c>
      <c r="Z63" s="10">
        <f>YEAR(CleanedData[[#This Row],[Order Date]])</f>
        <v>2024</v>
      </c>
      <c r="AA63" s="8">
        <f>MONTH(CleanedData[[#This Row],[Order Date]])</f>
        <v>5</v>
      </c>
    </row>
    <row r="64" spans="1:27" x14ac:dyDescent="0.35">
      <c r="A64" s="8" t="s">
        <v>374</v>
      </c>
      <c r="B64" s="9">
        <v>45149</v>
      </c>
      <c r="C64" s="9">
        <v>45203</v>
      </c>
      <c r="D64" s="8" t="s">
        <v>376</v>
      </c>
      <c r="E64" s="8" t="s">
        <v>26</v>
      </c>
      <c r="F64" s="8" t="s">
        <v>38</v>
      </c>
      <c r="G64" s="8" t="s">
        <v>129</v>
      </c>
      <c r="H64" s="8" t="s">
        <v>345</v>
      </c>
      <c r="I64" s="8" t="s">
        <v>4968</v>
      </c>
      <c r="J64" s="10">
        <v>378</v>
      </c>
      <c r="K64" s="11">
        <v>119.52</v>
      </c>
      <c r="L64" s="11">
        <v>187.23</v>
      </c>
      <c r="M64" s="11">
        <v>70772.94</v>
      </c>
      <c r="N64" s="11">
        <v>45178.559999999998</v>
      </c>
      <c r="O64" s="11">
        <f>CleanedData[[#This Row],[Total Sales ($)]]-CleanedData[[#This Row],[Total Cost ($)]]</f>
        <v>25594.380000000005</v>
      </c>
      <c r="P64" s="12">
        <f>CleanedData[[#This Row],[Profit ($)]]/CleanedData[[#This Row],[Total Sales ($)]]</f>
        <v>0.3616407626982856</v>
      </c>
      <c r="Q64" s="8" t="s">
        <v>31</v>
      </c>
      <c r="R64" s="8" t="s">
        <v>32</v>
      </c>
      <c r="S64" s="8" t="b">
        <f>_xlfn.SINGLE(CleanedData[[#This Row],[Delivery Status]])="Late"</f>
        <v>1</v>
      </c>
      <c r="T64" s="10">
        <v>7</v>
      </c>
      <c r="U64" s="8" t="s">
        <v>158</v>
      </c>
      <c r="V64" s="10">
        <v>2152</v>
      </c>
      <c r="W64" s="10">
        <v>10</v>
      </c>
      <c r="X64" s="12">
        <v>2.6455026455026402E-2</v>
      </c>
      <c r="Y64" s="8" t="b">
        <f>CleanedData[[#This Row],[Ship Date]]&lt;CleanedData[[#This Row],[Order Date]]</f>
        <v>0</v>
      </c>
      <c r="Z64" s="10">
        <f>YEAR(CleanedData[[#This Row],[Order Date]])</f>
        <v>2023</v>
      </c>
      <c r="AA64" s="8">
        <f>MONTH(CleanedData[[#This Row],[Order Date]])</f>
        <v>8</v>
      </c>
    </row>
    <row r="65" spans="1:27" x14ac:dyDescent="0.35">
      <c r="A65" s="8" t="s">
        <v>377</v>
      </c>
      <c r="B65" s="9">
        <v>45085</v>
      </c>
      <c r="C65" s="9">
        <v>45133</v>
      </c>
      <c r="D65" s="8" t="s">
        <v>380</v>
      </c>
      <c r="E65" s="8" t="s">
        <v>48</v>
      </c>
      <c r="F65" s="8" t="s">
        <v>270</v>
      </c>
      <c r="G65" s="8" t="s">
        <v>93</v>
      </c>
      <c r="H65" s="8" t="s">
        <v>302</v>
      </c>
      <c r="I65" s="8" t="s">
        <v>4979</v>
      </c>
      <c r="J65" s="10">
        <v>24</v>
      </c>
      <c r="K65" s="11">
        <v>1142.6099999999999</v>
      </c>
      <c r="L65" s="11"/>
      <c r="M65" s="11">
        <v>43798.8</v>
      </c>
      <c r="N65" s="11">
        <v>27422.639999999999</v>
      </c>
      <c r="O65" s="11">
        <f>CleanedData[[#This Row],[Total Sales ($)]]-CleanedData[[#This Row],[Total Cost ($)]]</f>
        <v>16376.160000000003</v>
      </c>
      <c r="P65" s="12">
        <f>CleanedData[[#This Row],[Profit ($)]]/CleanedData[[#This Row],[Total Sales ($)]]</f>
        <v>0.37389517521027976</v>
      </c>
      <c r="Q65" s="8" t="s">
        <v>42</v>
      </c>
      <c r="R65" s="8" t="s">
        <v>32</v>
      </c>
      <c r="S65" s="8" t="b">
        <f>_xlfn.SINGLE(CleanedData[[#This Row],[Delivery Status]])="Late"</f>
        <v>1</v>
      </c>
      <c r="T65" s="10">
        <v>7</v>
      </c>
      <c r="U65" s="8" t="s">
        <v>43</v>
      </c>
      <c r="V65" s="10">
        <v>1881</v>
      </c>
      <c r="W65" s="10">
        <v>0</v>
      </c>
      <c r="X65" s="12">
        <v>0</v>
      </c>
      <c r="Y65" s="8" t="b">
        <f>CleanedData[[#This Row],[Ship Date]]&lt;CleanedData[[#This Row],[Order Date]]</f>
        <v>0</v>
      </c>
      <c r="Z65" s="10">
        <f>YEAR(CleanedData[[#This Row],[Order Date]])</f>
        <v>2023</v>
      </c>
      <c r="AA65" s="8">
        <f>MONTH(CleanedData[[#This Row],[Order Date]])</f>
        <v>6</v>
      </c>
    </row>
    <row r="66" spans="1:27" x14ac:dyDescent="0.35">
      <c r="A66" s="8" t="s">
        <v>381</v>
      </c>
      <c r="B66" s="9">
        <v>45220</v>
      </c>
      <c r="C66" s="9">
        <v>45248</v>
      </c>
      <c r="D66" s="8" t="s">
        <v>383</v>
      </c>
      <c r="E66" s="8" t="s">
        <v>48</v>
      </c>
      <c r="F66" s="8" t="s">
        <v>183</v>
      </c>
      <c r="G66" s="8" t="s">
        <v>70</v>
      </c>
      <c r="H66" s="8" t="s">
        <v>384</v>
      </c>
      <c r="I66" s="8" t="s">
        <v>4976</v>
      </c>
      <c r="J66" s="10">
        <v>532</v>
      </c>
      <c r="K66" s="11">
        <v>496.12</v>
      </c>
      <c r="L66" s="11">
        <v>560.55999999999995</v>
      </c>
      <c r="M66" s="11">
        <v>298217.92</v>
      </c>
      <c r="N66" s="11">
        <v>263935.84000000003</v>
      </c>
      <c r="O66" s="11">
        <f>CleanedData[[#This Row],[Total Sales ($)]]-CleanedData[[#This Row],[Total Cost ($)]]</f>
        <v>34282.079999999958</v>
      </c>
      <c r="P66" s="12">
        <f>CleanedData[[#This Row],[Profit ($)]]/CleanedData[[#This Row],[Total Sales ($)]]</f>
        <v>0.1149564720993291</v>
      </c>
      <c r="Q66" s="8" t="s">
        <v>95</v>
      </c>
      <c r="R66" s="8" t="s">
        <v>32</v>
      </c>
      <c r="S66" s="8" t="b">
        <f>_xlfn.SINGLE(CleanedData[[#This Row],[Delivery Status]])="Late"</f>
        <v>1</v>
      </c>
      <c r="T66" s="10">
        <v>7</v>
      </c>
      <c r="U66" s="8" t="s">
        <v>86</v>
      </c>
      <c r="V66" s="10">
        <v>645</v>
      </c>
      <c r="W66" s="10">
        <v>21</v>
      </c>
      <c r="X66" s="12">
        <v>3.94736842105263E-2</v>
      </c>
      <c r="Y66" s="8" t="b">
        <f>CleanedData[[#This Row],[Ship Date]]&lt;CleanedData[[#This Row],[Order Date]]</f>
        <v>0</v>
      </c>
      <c r="Z66" s="10">
        <f>YEAR(CleanedData[[#This Row],[Order Date]])</f>
        <v>2023</v>
      </c>
      <c r="AA66" s="8">
        <f>MONTH(CleanedData[[#This Row],[Order Date]])</f>
        <v>10</v>
      </c>
    </row>
    <row r="67" spans="1:27" x14ac:dyDescent="0.35">
      <c r="A67" s="8" t="s">
        <v>385</v>
      </c>
      <c r="B67" s="9">
        <v>45616</v>
      </c>
      <c r="C67" s="9">
        <v>45305</v>
      </c>
      <c r="D67" s="8" t="s">
        <v>388</v>
      </c>
      <c r="E67" s="8" t="s">
        <v>26</v>
      </c>
      <c r="F67" s="8" t="s">
        <v>38</v>
      </c>
      <c r="G67" s="8" t="s">
        <v>189</v>
      </c>
      <c r="H67" s="8" t="s">
        <v>271</v>
      </c>
      <c r="I67" s="8" t="s">
        <v>4973</v>
      </c>
      <c r="J67" s="10">
        <v>487</v>
      </c>
      <c r="K67" s="11">
        <v>843.62</v>
      </c>
      <c r="L67" s="11">
        <v>1100.3</v>
      </c>
      <c r="M67" s="11">
        <v>535846.1</v>
      </c>
      <c r="N67" s="11">
        <v>410842.94</v>
      </c>
      <c r="O67" s="11">
        <f>CleanedData[[#This Row],[Total Sales ($)]]-CleanedData[[#This Row],[Total Cost ($)]]</f>
        <v>125003.15999999997</v>
      </c>
      <c r="P67" s="12">
        <f>CleanedData[[#This Row],[Profit ($)]]/CleanedData[[#This Row],[Total Sales ($)]]</f>
        <v>0.23328183222757426</v>
      </c>
      <c r="Q67" s="8" t="s">
        <v>95</v>
      </c>
      <c r="R67" s="8" t="s">
        <v>32</v>
      </c>
      <c r="S67" s="8" t="b">
        <f>_xlfn.SINGLE(CleanedData[[#This Row],[Delivery Status]])="Late"</f>
        <v>1</v>
      </c>
      <c r="T67" s="10">
        <v>15</v>
      </c>
      <c r="U67" s="8" t="s">
        <v>43</v>
      </c>
      <c r="V67" s="10">
        <v>239</v>
      </c>
      <c r="W67" s="10">
        <v>20</v>
      </c>
      <c r="X67" s="12">
        <v>4.1067761806981497E-2</v>
      </c>
      <c r="Y67" s="8" t="b">
        <f>CleanedData[[#This Row],[Ship Date]]&lt;CleanedData[[#This Row],[Order Date]]</f>
        <v>1</v>
      </c>
      <c r="Z67" s="10">
        <f>YEAR(CleanedData[[#This Row],[Order Date]])</f>
        <v>2024</v>
      </c>
      <c r="AA67" s="8">
        <f>MONTH(CleanedData[[#This Row],[Order Date]])</f>
        <v>11</v>
      </c>
    </row>
    <row r="68" spans="1:27" x14ac:dyDescent="0.35">
      <c r="A68" s="8" t="s">
        <v>389</v>
      </c>
      <c r="B68" s="9">
        <v>45001</v>
      </c>
      <c r="C68" s="9">
        <v>45208</v>
      </c>
      <c r="D68" s="8" t="s">
        <v>392</v>
      </c>
      <c r="E68" s="8" t="s">
        <v>48</v>
      </c>
      <c r="F68" s="8" t="s">
        <v>223</v>
      </c>
      <c r="G68" s="8" t="s">
        <v>217</v>
      </c>
      <c r="H68" s="8" t="s">
        <v>218</v>
      </c>
      <c r="I68" s="8" t="s">
        <v>4971</v>
      </c>
      <c r="J68" s="10">
        <v>499</v>
      </c>
      <c r="K68" s="11">
        <v>247.85</v>
      </c>
      <c r="L68" s="11">
        <v>334.44</v>
      </c>
      <c r="M68" s="11">
        <v>166885.56</v>
      </c>
      <c r="N68" s="11">
        <v>123677.15</v>
      </c>
      <c r="O68" s="11">
        <f>CleanedData[[#This Row],[Total Sales ($)]]-CleanedData[[#This Row],[Total Cost ($)]]</f>
        <v>43208.41</v>
      </c>
      <c r="P68" s="12">
        <f>CleanedData[[#This Row],[Profit ($)]]/CleanedData[[#This Row],[Total Sales ($)]]</f>
        <v>0.25891041741418491</v>
      </c>
      <c r="Q68" s="8" t="s">
        <v>31</v>
      </c>
      <c r="R68" s="8" t="s">
        <v>63</v>
      </c>
      <c r="S68" s="8" t="b">
        <f>_xlfn.SINGLE(CleanedData[[#This Row],[Delivery Status]])="Late"</f>
        <v>0</v>
      </c>
      <c r="T68" s="10">
        <v>4</v>
      </c>
      <c r="U68" s="8" t="s">
        <v>33</v>
      </c>
      <c r="V68" s="10">
        <v>1320</v>
      </c>
      <c r="W68" s="10">
        <v>10</v>
      </c>
      <c r="X68" s="12">
        <v>2.0040080160320599E-2</v>
      </c>
      <c r="Y68" s="8" t="b">
        <f>CleanedData[[#This Row],[Ship Date]]&lt;CleanedData[[#This Row],[Order Date]]</f>
        <v>0</v>
      </c>
      <c r="Z68" s="10">
        <f>YEAR(CleanedData[[#This Row],[Order Date]])</f>
        <v>2023</v>
      </c>
      <c r="AA68" s="8">
        <f>MONTH(CleanedData[[#This Row],[Order Date]])</f>
        <v>3</v>
      </c>
    </row>
    <row r="69" spans="1:27" x14ac:dyDescent="0.35">
      <c r="A69" s="8" t="s">
        <v>393</v>
      </c>
      <c r="B69" s="9">
        <v>45274</v>
      </c>
      <c r="C69" s="9">
        <v>45074</v>
      </c>
      <c r="D69" s="8" t="s">
        <v>396</v>
      </c>
      <c r="E69" s="8" t="s">
        <v>26</v>
      </c>
      <c r="F69" s="8" t="s">
        <v>27</v>
      </c>
      <c r="G69" s="8" t="s">
        <v>189</v>
      </c>
      <c r="H69" s="8" t="s">
        <v>190</v>
      </c>
      <c r="I69" s="8" t="s">
        <v>4968</v>
      </c>
      <c r="J69" s="10">
        <v>146</v>
      </c>
      <c r="K69" s="11">
        <v>46.26</v>
      </c>
      <c r="L69" s="11">
        <v>65.739999999999995</v>
      </c>
      <c r="M69" s="11">
        <v>9598.0400000000009</v>
      </c>
      <c r="N69" s="11">
        <v>6753.96</v>
      </c>
      <c r="O69" s="11">
        <f>CleanedData[[#This Row],[Total Sales ($)]]-CleanedData[[#This Row],[Total Cost ($)]]</f>
        <v>2844.0800000000008</v>
      </c>
      <c r="P69" s="12">
        <f>CleanedData[[#This Row],[Profit ($)]]/CleanedData[[#This Row],[Total Sales ($)]]</f>
        <v>0.29631883176148471</v>
      </c>
      <c r="Q69" s="8" t="s">
        <v>31</v>
      </c>
      <c r="R69" s="8" t="s">
        <v>32</v>
      </c>
      <c r="S69" s="8" t="b">
        <f>_xlfn.SINGLE(CleanedData[[#This Row],[Delivery Status]])="Late"</f>
        <v>1</v>
      </c>
      <c r="T69" s="10">
        <v>15</v>
      </c>
      <c r="U69" s="8" t="s">
        <v>158</v>
      </c>
      <c r="V69" s="10">
        <v>3574</v>
      </c>
      <c r="W69" s="10">
        <v>7</v>
      </c>
      <c r="X69" s="12">
        <v>4.7945205479451997E-2</v>
      </c>
      <c r="Y69" s="8" t="b">
        <f>CleanedData[[#This Row],[Ship Date]]&lt;CleanedData[[#This Row],[Order Date]]</f>
        <v>1</v>
      </c>
      <c r="Z69" s="10">
        <f>YEAR(CleanedData[[#This Row],[Order Date]])</f>
        <v>2023</v>
      </c>
      <c r="AA69" s="8">
        <f>MONTH(CleanedData[[#This Row],[Order Date]])</f>
        <v>12</v>
      </c>
    </row>
    <row r="70" spans="1:27" x14ac:dyDescent="0.35">
      <c r="A70" s="8" t="s">
        <v>397</v>
      </c>
      <c r="B70" s="9">
        <v>45174</v>
      </c>
      <c r="C70" s="9">
        <v>45004</v>
      </c>
      <c r="D70" s="8" t="s">
        <v>399</v>
      </c>
      <c r="E70" s="8" t="s">
        <v>68</v>
      </c>
      <c r="F70" s="8" t="s">
        <v>276</v>
      </c>
      <c r="G70" s="8" t="s">
        <v>60</v>
      </c>
      <c r="H70" s="8" t="s">
        <v>400</v>
      </c>
      <c r="I70" s="8" t="s">
        <v>4971</v>
      </c>
      <c r="J70" s="10">
        <v>551</v>
      </c>
      <c r="K70" s="11">
        <v>291.83</v>
      </c>
      <c r="L70" s="11">
        <v>451.32</v>
      </c>
      <c r="M70" s="11">
        <v>248677.32</v>
      </c>
      <c r="N70" s="11">
        <v>160798.32999999999</v>
      </c>
      <c r="O70" s="11">
        <f>CleanedData[[#This Row],[Total Sales ($)]]-CleanedData[[#This Row],[Total Cost ($)]]</f>
        <v>87878.99000000002</v>
      </c>
      <c r="P70" s="12">
        <f>CleanedData[[#This Row],[Profit ($)]]/CleanedData[[#This Row],[Total Sales ($)]]</f>
        <v>0.35338562439067633</v>
      </c>
      <c r="Q70" s="8" t="s">
        <v>52</v>
      </c>
      <c r="R70" s="8" t="s">
        <v>32</v>
      </c>
      <c r="S70" s="8" t="b">
        <f>_xlfn.SINGLE(CleanedData[[#This Row],[Delivery Status]])="Late"</f>
        <v>1</v>
      </c>
      <c r="T70" s="10">
        <v>-3</v>
      </c>
      <c r="U70" s="8" t="s">
        <v>33</v>
      </c>
      <c r="V70" s="10">
        <v>3415</v>
      </c>
      <c r="W70" s="10">
        <v>11</v>
      </c>
      <c r="X70" s="12">
        <v>1.9963702359346601E-2</v>
      </c>
      <c r="Y70" s="8" t="b">
        <f>CleanedData[[#This Row],[Ship Date]]&lt;CleanedData[[#This Row],[Order Date]]</f>
        <v>1</v>
      </c>
      <c r="Z70" s="10">
        <f>YEAR(CleanedData[[#This Row],[Order Date]])</f>
        <v>2023</v>
      </c>
      <c r="AA70" s="8">
        <f>MONTH(CleanedData[[#This Row],[Order Date]])</f>
        <v>9</v>
      </c>
    </row>
    <row r="71" spans="1:27" x14ac:dyDescent="0.35">
      <c r="A71" s="8" t="s">
        <v>401</v>
      </c>
      <c r="B71" s="9">
        <v>45003</v>
      </c>
      <c r="C71" s="9">
        <v>44971</v>
      </c>
      <c r="D71" s="8" t="s">
        <v>404</v>
      </c>
      <c r="E71" s="8" t="s">
        <v>26</v>
      </c>
      <c r="F71" s="8" t="s">
        <v>92</v>
      </c>
      <c r="G71" s="8" t="s">
        <v>60</v>
      </c>
      <c r="H71" s="8" t="s">
        <v>400</v>
      </c>
      <c r="I71" s="8" t="s">
        <v>4978</v>
      </c>
      <c r="J71" s="10">
        <v>604</v>
      </c>
      <c r="K71" s="11">
        <v>487.12</v>
      </c>
      <c r="L71" s="11">
        <v>556.84</v>
      </c>
      <c r="M71" s="11">
        <v>336331.36</v>
      </c>
      <c r="N71" s="11">
        <v>294220.48</v>
      </c>
      <c r="O71" s="11">
        <f>CleanedData[[#This Row],[Total Sales ($)]]-CleanedData[[#This Row],[Total Cost ($)]]</f>
        <v>42110.880000000005</v>
      </c>
      <c r="P71" s="12">
        <f>CleanedData[[#This Row],[Profit ($)]]/CleanedData[[#This Row],[Total Sales ($)]]</f>
        <v>0.12520652251993394</v>
      </c>
      <c r="Q71" s="8" t="s">
        <v>31</v>
      </c>
      <c r="R71" s="8" t="s">
        <v>63</v>
      </c>
      <c r="S71" s="8" t="b">
        <f>_xlfn.SINGLE(CleanedData[[#This Row],[Delivery Status]])="Late"</f>
        <v>0</v>
      </c>
      <c r="T71" s="10">
        <v>1</v>
      </c>
      <c r="U71" s="8" t="s">
        <v>53</v>
      </c>
      <c r="V71" s="10">
        <v>489</v>
      </c>
      <c r="W71" s="10">
        <v>7</v>
      </c>
      <c r="X71" s="12">
        <v>1.1589403973509899E-2</v>
      </c>
      <c r="Y71" s="8" t="b">
        <f>CleanedData[[#This Row],[Ship Date]]&lt;CleanedData[[#This Row],[Order Date]]</f>
        <v>1</v>
      </c>
      <c r="Z71" s="10">
        <f>YEAR(CleanedData[[#This Row],[Order Date]])</f>
        <v>2023</v>
      </c>
      <c r="AA71" s="8">
        <f>MONTH(CleanedData[[#This Row],[Order Date]])</f>
        <v>3</v>
      </c>
    </row>
    <row r="72" spans="1:27" x14ac:dyDescent="0.35">
      <c r="A72" s="8" t="s">
        <v>405</v>
      </c>
      <c r="B72" s="9">
        <v>45055</v>
      </c>
      <c r="C72" s="9">
        <v>45277</v>
      </c>
      <c r="D72" s="8" t="s">
        <v>408</v>
      </c>
      <c r="E72" s="8" t="s">
        <v>48</v>
      </c>
      <c r="F72" s="8" t="s">
        <v>223</v>
      </c>
      <c r="G72" s="8" t="s">
        <v>70</v>
      </c>
      <c r="H72" s="8" t="s">
        <v>4972</v>
      </c>
      <c r="I72" s="8" t="s">
        <v>4969</v>
      </c>
      <c r="J72" s="10">
        <v>144</v>
      </c>
      <c r="K72" s="11">
        <v>498.67</v>
      </c>
      <c r="L72" s="11">
        <v>771.66</v>
      </c>
      <c r="M72" s="11">
        <v>111119.03999999999</v>
      </c>
      <c r="N72" s="11">
        <v>71808.479999999996</v>
      </c>
      <c r="O72" s="11">
        <f>CleanedData[[#This Row],[Total Sales ($)]]-CleanedData[[#This Row],[Total Cost ($)]]</f>
        <v>39310.559999999998</v>
      </c>
      <c r="P72" s="12">
        <f>CleanedData[[#This Row],[Profit ($)]]/CleanedData[[#This Row],[Total Sales ($)]]</f>
        <v>0.35376979498742972</v>
      </c>
      <c r="Q72" s="8" t="s">
        <v>95</v>
      </c>
      <c r="R72" s="8" t="s">
        <v>32</v>
      </c>
      <c r="S72" s="8" t="b">
        <f>_xlfn.SINGLE(CleanedData[[#This Row],[Delivery Status]])="Late"</f>
        <v>1</v>
      </c>
      <c r="T72" s="10">
        <v>11</v>
      </c>
      <c r="U72" s="8" t="s">
        <v>33</v>
      </c>
      <c r="V72" s="10">
        <v>3605</v>
      </c>
      <c r="W72" s="10">
        <v>3</v>
      </c>
      <c r="X72" s="12">
        <v>2.0833333333333301E-2</v>
      </c>
      <c r="Y72" s="8" t="b">
        <f>CleanedData[[#This Row],[Ship Date]]&lt;CleanedData[[#This Row],[Order Date]]</f>
        <v>0</v>
      </c>
      <c r="Z72" s="10">
        <f>YEAR(CleanedData[[#This Row],[Order Date]])</f>
        <v>2023</v>
      </c>
      <c r="AA72" s="8">
        <f>MONTH(CleanedData[[#This Row],[Order Date]])</f>
        <v>5</v>
      </c>
    </row>
    <row r="73" spans="1:27" x14ac:dyDescent="0.35">
      <c r="A73" s="8" t="s">
        <v>409</v>
      </c>
      <c r="B73" s="9">
        <v>45283</v>
      </c>
      <c r="C73" s="9">
        <v>45225</v>
      </c>
      <c r="D73" s="8" t="s">
        <v>411</v>
      </c>
      <c r="E73" s="8" t="s">
        <v>26</v>
      </c>
      <c r="F73" s="8" t="s">
        <v>27</v>
      </c>
      <c r="G73" s="8" t="s">
        <v>39</v>
      </c>
      <c r="H73" s="8" t="s">
        <v>412</v>
      </c>
      <c r="I73" s="8" t="s">
        <v>4970</v>
      </c>
      <c r="J73" s="10">
        <v>643</v>
      </c>
      <c r="K73" s="11">
        <v>812.41</v>
      </c>
      <c r="L73" s="11">
        <v>1155.1199999999999</v>
      </c>
      <c r="M73" s="11">
        <v>742742.16</v>
      </c>
      <c r="N73" s="11">
        <v>522379.63</v>
      </c>
      <c r="O73" s="11">
        <f>CleanedData[[#This Row],[Total Sales ($)]]-CleanedData[[#This Row],[Total Cost ($)]]</f>
        <v>220362.53000000003</v>
      </c>
      <c r="P73" s="12">
        <f>CleanedData[[#This Row],[Profit ($)]]/CleanedData[[#This Row],[Total Sales ($)]]</f>
        <v>0.29668779001315881</v>
      </c>
      <c r="Q73" s="8" t="s">
        <v>42</v>
      </c>
      <c r="R73" s="8" t="s">
        <v>32</v>
      </c>
      <c r="S73" s="8" t="b">
        <f>_xlfn.SINGLE(CleanedData[[#This Row],[Delivery Status]])="Late"</f>
        <v>1</v>
      </c>
      <c r="T73" s="10">
        <v>12</v>
      </c>
      <c r="U73" s="8" t="s">
        <v>158</v>
      </c>
      <c r="V73" s="10">
        <v>820</v>
      </c>
      <c r="W73" s="10">
        <v>11</v>
      </c>
      <c r="X73" s="12">
        <v>1.71073094867807E-2</v>
      </c>
      <c r="Y73" s="8" t="b">
        <f>CleanedData[[#This Row],[Ship Date]]&lt;CleanedData[[#This Row],[Order Date]]</f>
        <v>1</v>
      </c>
      <c r="Z73" s="10">
        <f>YEAR(CleanedData[[#This Row],[Order Date]])</f>
        <v>2023</v>
      </c>
      <c r="AA73" s="8">
        <f>MONTH(CleanedData[[#This Row],[Order Date]])</f>
        <v>12</v>
      </c>
    </row>
    <row r="74" spans="1:27" x14ac:dyDescent="0.35">
      <c r="A74" s="8" t="s">
        <v>413</v>
      </c>
      <c r="B74" s="9">
        <v>45582</v>
      </c>
      <c r="C74" s="9">
        <v>45350</v>
      </c>
      <c r="D74" s="8" t="s">
        <v>416</v>
      </c>
      <c r="E74" s="8" t="s">
        <v>58</v>
      </c>
      <c r="F74" s="8" t="s">
        <v>417</v>
      </c>
      <c r="G74" s="8" t="s">
        <v>28</v>
      </c>
      <c r="H74" s="8" t="s">
        <v>29</v>
      </c>
      <c r="I74" s="8" t="s">
        <v>4975</v>
      </c>
      <c r="J74" s="10">
        <v>628</v>
      </c>
      <c r="K74" s="11">
        <v>529.41999999999996</v>
      </c>
      <c r="L74" s="11">
        <v>865.72</v>
      </c>
      <c r="M74" s="11">
        <v>543672.16</v>
      </c>
      <c r="N74" s="11">
        <v>332475.76</v>
      </c>
      <c r="O74" s="11">
        <f>CleanedData[[#This Row],[Total Sales ($)]]-CleanedData[[#This Row],[Total Cost ($)]]</f>
        <v>211196.40000000002</v>
      </c>
      <c r="P74" s="12">
        <f>CleanedData[[#This Row],[Profit ($)]]/CleanedData[[#This Row],[Total Sales ($)]]</f>
        <v>0.38846278242387838</v>
      </c>
      <c r="Q74" s="8" t="s">
        <v>95</v>
      </c>
      <c r="R74" s="8" t="s">
        <v>63</v>
      </c>
      <c r="S74" s="8" t="b">
        <f>_xlfn.SINGLE(CleanedData[[#This Row],[Delivery Status]])="Late"</f>
        <v>0</v>
      </c>
      <c r="T74" s="10">
        <v>1</v>
      </c>
      <c r="U74" s="8" t="s">
        <v>43</v>
      </c>
      <c r="V74" s="10">
        <v>1855</v>
      </c>
      <c r="W74" s="10">
        <v>31</v>
      </c>
      <c r="X74" s="12">
        <v>4.9363057324840698E-2</v>
      </c>
      <c r="Y74" s="8" t="b">
        <f>CleanedData[[#This Row],[Ship Date]]&lt;CleanedData[[#This Row],[Order Date]]</f>
        <v>1</v>
      </c>
      <c r="Z74" s="10">
        <f>YEAR(CleanedData[[#This Row],[Order Date]])</f>
        <v>2024</v>
      </c>
      <c r="AA74" s="8">
        <f>MONTH(CleanedData[[#This Row],[Order Date]])</f>
        <v>10</v>
      </c>
    </row>
    <row r="75" spans="1:27" x14ac:dyDescent="0.35">
      <c r="A75" s="8" t="s">
        <v>418</v>
      </c>
      <c r="B75" s="9">
        <v>44981</v>
      </c>
      <c r="C75" s="9">
        <v>45088</v>
      </c>
      <c r="D75" s="8" t="s">
        <v>420</v>
      </c>
      <c r="E75" s="8" t="s">
        <v>68</v>
      </c>
      <c r="F75" s="8" t="s">
        <v>163</v>
      </c>
      <c r="G75" s="8" t="s">
        <v>93</v>
      </c>
      <c r="H75" s="8" t="s">
        <v>321</v>
      </c>
      <c r="I75" s="8" t="s">
        <v>4971</v>
      </c>
      <c r="J75" s="10">
        <v>424</v>
      </c>
      <c r="K75" s="11">
        <v>1122.32</v>
      </c>
      <c r="L75" s="11">
        <v>1630.69</v>
      </c>
      <c r="M75" s="11">
        <v>691412.56</v>
      </c>
      <c r="N75" s="11">
        <v>475863.68</v>
      </c>
      <c r="O75" s="11">
        <f>CleanedData[[#This Row],[Total Sales ($)]]-CleanedData[[#This Row],[Total Cost ($)]]</f>
        <v>215548.88000000006</v>
      </c>
      <c r="P75" s="12">
        <f>CleanedData[[#This Row],[Profit ($)]]/CleanedData[[#This Row],[Total Sales ($)]]</f>
        <v>0.31175146717033902</v>
      </c>
      <c r="Q75" s="8" t="s">
        <v>42</v>
      </c>
      <c r="R75" s="8" t="s">
        <v>63</v>
      </c>
      <c r="S75" s="8" t="b">
        <f>_xlfn.SINGLE(CleanedData[[#This Row],[Delivery Status]])="Late"</f>
        <v>0</v>
      </c>
      <c r="T75" s="10">
        <v>1</v>
      </c>
      <c r="U75" s="8" t="s">
        <v>86</v>
      </c>
      <c r="V75" s="10">
        <v>1384</v>
      </c>
      <c r="W75" s="10">
        <v>5</v>
      </c>
      <c r="X75" s="12">
        <v>1.17924528301886E-2</v>
      </c>
      <c r="Y75" s="8" t="b">
        <f>CleanedData[[#This Row],[Ship Date]]&lt;CleanedData[[#This Row],[Order Date]]</f>
        <v>0</v>
      </c>
      <c r="Z75" s="10">
        <f>YEAR(CleanedData[[#This Row],[Order Date]])</f>
        <v>2023</v>
      </c>
      <c r="AA75" s="8">
        <f>MONTH(CleanedData[[#This Row],[Order Date]])</f>
        <v>2</v>
      </c>
    </row>
    <row r="76" spans="1:27" x14ac:dyDescent="0.35">
      <c r="A76" s="8" t="s">
        <v>421</v>
      </c>
      <c r="B76" s="9">
        <v>44935</v>
      </c>
      <c r="C76" s="9">
        <v>44984</v>
      </c>
      <c r="D76" s="8" t="s">
        <v>424</v>
      </c>
      <c r="E76" s="8" t="s">
        <v>48</v>
      </c>
      <c r="F76" s="8" t="s">
        <v>49</v>
      </c>
      <c r="G76" s="8" t="s">
        <v>78</v>
      </c>
      <c r="H76" s="8" t="s">
        <v>425</v>
      </c>
      <c r="I76" s="8" t="s">
        <v>4973</v>
      </c>
      <c r="J76" s="10">
        <v>702</v>
      </c>
      <c r="K76" s="11">
        <v>1086.79</v>
      </c>
      <c r="L76" s="11">
        <v>1492.83</v>
      </c>
      <c r="M76" s="11">
        <v>1047966.66</v>
      </c>
      <c r="N76" s="11">
        <v>762926.58</v>
      </c>
      <c r="O76" s="11">
        <f>CleanedData[[#This Row],[Total Sales ($)]]-CleanedData[[#This Row],[Total Cost ($)]]</f>
        <v>285040.08000000007</v>
      </c>
      <c r="P76" s="12">
        <f>CleanedData[[#This Row],[Profit ($)]]/CleanedData[[#This Row],[Total Sales ($)]]</f>
        <v>0.27199346208208575</v>
      </c>
      <c r="Q76" s="8" t="s">
        <v>42</v>
      </c>
      <c r="R76" s="8" t="s">
        <v>32</v>
      </c>
      <c r="S76" s="8" t="b">
        <f>_xlfn.SINGLE(CleanedData[[#This Row],[Delivery Status]])="Late"</f>
        <v>1</v>
      </c>
      <c r="T76" s="10">
        <v>15</v>
      </c>
      <c r="U76" s="8" t="s">
        <v>53</v>
      </c>
      <c r="V76" s="10">
        <v>2635</v>
      </c>
      <c r="W76" s="10">
        <v>17</v>
      </c>
      <c r="X76" s="12">
        <v>2.4216524216524201E-2</v>
      </c>
      <c r="Y76" s="8" t="b">
        <f>CleanedData[[#This Row],[Ship Date]]&lt;CleanedData[[#This Row],[Order Date]]</f>
        <v>0</v>
      </c>
      <c r="Z76" s="10">
        <f>YEAR(CleanedData[[#This Row],[Order Date]])</f>
        <v>2023</v>
      </c>
      <c r="AA76" s="8">
        <f>MONTH(CleanedData[[#This Row],[Order Date]])</f>
        <v>1</v>
      </c>
    </row>
    <row r="77" spans="1:27" x14ac:dyDescent="0.35">
      <c r="A77" s="8" t="s">
        <v>426</v>
      </c>
      <c r="B77" s="9">
        <v>45100</v>
      </c>
      <c r="C77" s="9">
        <v>45056</v>
      </c>
      <c r="D77" s="8" t="s">
        <v>428</v>
      </c>
      <c r="E77" s="8" t="s">
        <v>58</v>
      </c>
      <c r="F77" s="8" t="s">
        <v>429</v>
      </c>
      <c r="G77" s="8" t="s">
        <v>129</v>
      </c>
      <c r="H77" s="8" t="s">
        <v>316</v>
      </c>
      <c r="I77" s="8" t="s">
        <v>4975</v>
      </c>
      <c r="J77" s="10">
        <v>653</v>
      </c>
      <c r="K77" s="11">
        <v>48.05</v>
      </c>
      <c r="L77" s="11">
        <v>77.959999999999994</v>
      </c>
      <c r="M77" s="11">
        <v>50907.88</v>
      </c>
      <c r="N77" s="11">
        <v>31376.65</v>
      </c>
      <c r="O77" s="11">
        <f>CleanedData[[#This Row],[Total Sales ($)]]-CleanedData[[#This Row],[Total Cost ($)]]</f>
        <v>19531.229999999996</v>
      </c>
      <c r="P77" s="12">
        <f>CleanedData[[#This Row],[Profit ($)]]/CleanedData[[#This Row],[Total Sales ($)]]</f>
        <v>0.38365828630066695</v>
      </c>
      <c r="Q77" s="8" t="s">
        <v>31</v>
      </c>
      <c r="R77" s="8" t="s">
        <v>32</v>
      </c>
      <c r="S77" s="8" t="b">
        <f>_xlfn.SINGLE(CleanedData[[#This Row],[Delivery Status]])="Late"</f>
        <v>1</v>
      </c>
      <c r="T77" s="10">
        <v>11</v>
      </c>
      <c r="U77" s="8" t="s">
        <v>43</v>
      </c>
      <c r="V77" s="10">
        <v>4080</v>
      </c>
      <c r="W77" s="10">
        <v>25</v>
      </c>
      <c r="X77" s="12">
        <v>3.82848392036753E-2</v>
      </c>
      <c r="Y77" s="8" t="b">
        <f>CleanedData[[#This Row],[Ship Date]]&lt;CleanedData[[#This Row],[Order Date]]</f>
        <v>1</v>
      </c>
      <c r="Z77" s="10">
        <f>YEAR(CleanedData[[#This Row],[Order Date]])</f>
        <v>2023</v>
      </c>
      <c r="AA77" s="8">
        <f>MONTH(CleanedData[[#This Row],[Order Date]])</f>
        <v>6</v>
      </c>
    </row>
    <row r="78" spans="1:27" x14ac:dyDescent="0.35">
      <c r="A78" s="8" t="s">
        <v>430</v>
      </c>
      <c r="B78" s="9">
        <v>44931</v>
      </c>
      <c r="C78" s="9">
        <v>45091</v>
      </c>
      <c r="D78" s="8" t="s">
        <v>433</v>
      </c>
      <c r="E78" s="8" t="s">
        <v>58</v>
      </c>
      <c r="F78" s="8" t="s">
        <v>417</v>
      </c>
      <c r="G78" s="8" t="s">
        <v>60</v>
      </c>
      <c r="H78" s="8" t="s">
        <v>61</v>
      </c>
      <c r="I78" s="8" t="s">
        <v>4976</v>
      </c>
      <c r="J78" s="10">
        <v>675</v>
      </c>
      <c r="K78" s="11">
        <v>849.69</v>
      </c>
      <c r="L78" s="11">
        <v>984.8</v>
      </c>
      <c r="M78" s="11">
        <v>664740</v>
      </c>
      <c r="N78" s="11">
        <v>573540.75</v>
      </c>
      <c r="O78" s="11">
        <f>CleanedData[[#This Row],[Total Sales ($)]]-CleanedData[[#This Row],[Total Cost ($)]]</f>
        <v>91199.25</v>
      </c>
      <c r="P78" s="12">
        <f>CleanedData[[#This Row],[Profit ($)]]/CleanedData[[#This Row],[Total Sales ($)]]</f>
        <v>0.13719536961819659</v>
      </c>
      <c r="Q78" s="8" t="s">
        <v>95</v>
      </c>
      <c r="R78" s="8" t="s">
        <v>32</v>
      </c>
      <c r="S78" s="8" t="b">
        <f>_xlfn.SINGLE(CleanedData[[#This Row],[Delivery Status]])="Late"</f>
        <v>1</v>
      </c>
      <c r="T78" s="10">
        <v>11</v>
      </c>
      <c r="U78" s="8" t="s">
        <v>112</v>
      </c>
      <c r="V78" s="10">
        <v>594</v>
      </c>
      <c r="W78" s="10">
        <v>21</v>
      </c>
      <c r="X78" s="12">
        <v>3.11111111111111E-2</v>
      </c>
      <c r="Y78" s="8" t="b">
        <f>CleanedData[[#This Row],[Ship Date]]&lt;CleanedData[[#This Row],[Order Date]]</f>
        <v>0</v>
      </c>
      <c r="Z78" s="10">
        <f>YEAR(CleanedData[[#This Row],[Order Date]])</f>
        <v>2023</v>
      </c>
      <c r="AA78" s="8">
        <f>MONTH(CleanedData[[#This Row],[Order Date]])</f>
        <v>1</v>
      </c>
    </row>
    <row r="79" spans="1:27" x14ac:dyDescent="0.35">
      <c r="A79" s="8" t="s">
        <v>434</v>
      </c>
      <c r="B79" s="9">
        <v>45236</v>
      </c>
      <c r="C79" s="9">
        <v>45217</v>
      </c>
      <c r="D79" s="8" t="s">
        <v>436</v>
      </c>
      <c r="E79" s="8" t="s">
        <v>100</v>
      </c>
      <c r="F79" s="8" t="s">
        <v>330</v>
      </c>
      <c r="G79" s="8" t="s">
        <v>189</v>
      </c>
      <c r="H79" s="8" t="s">
        <v>437</v>
      </c>
      <c r="I79" s="8" t="s">
        <v>4978</v>
      </c>
      <c r="J79" s="10">
        <v>383</v>
      </c>
      <c r="K79" s="11">
        <v>1177.67</v>
      </c>
      <c r="L79" s="11">
        <v>1334</v>
      </c>
      <c r="M79" s="11">
        <v>510922</v>
      </c>
      <c r="N79" s="11">
        <v>451047.61</v>
      </c>
      <c r="O79" s="11">
        <f>CleanedData[[#This Row],[Total Sales ($)]]-CleanedData[[#This Row],[Total Cost ($)]]</f>
        <v>59874.390000000014</v>
      </c>
      <c r="P79" s="12">
        <f>CleanedData[[#This Row],[Profit ($)]]/CleanedData[[#This Row],[Total Sales ($)]]</f>
        <v>0.11718890554722641</v>
      </c>
      <c r="Q79" s="8" t="s">
        <v>31</v>
      </c>
      <c r="R79" s="8" t="s">
        <v>63</v>
      </c>
      <c r="S79" s="8" t="b">
        <f>_xlfn.SINGLE(CleanedData[[#This Row],[Delivery Status]])="Late"</f>
        <v>0</v>
      </c>
      <c r="T79" s="10">
        <v>2</v>
      </c>
      <c r="U79" s="8" t="s">
        <v>43</v>
      </c>
      <c r="V79" s="10">
        <v>4022</v>
      </c>
      <c r="W79" s="10">
        <v>16</v>
      </c>
      <c r="X79" s="12">
        <v>4.1775456919059997E-2</v>
      </c>
      <c r="Y79" s="8" t="b">
        <f>CleanedData[[#This Row],[Ship Date]]&lt;CleanedData[[#This Row],[Order Date]]</f>
        <v>1</v>
      </c>
      <c r="Z79" s="10">
        <f>YEAR(CleanedData[[#This Row],[Order Date]])</f>
        <v>2023</v>
      </c>
      <c r="AA79" s="8">
        <f>MONTH(CleanedData[[#This Row],[Order Date]])</f>
        <v>11</v>
      </c>
    </row>
    <row r="80" spans="1:27" x14ac:dyDescent="0.35">
      <c r="A80" s="8" t="s">
        <v>438</v>
      </c>
      <c r="B80" s="9">
        <v>45081</v>
      </c>
      <c r="C80" s="9">
        <v>44998</v>
      </c>
      <c r="D80" s="8" t="s">
        <v>441</v>
      </c>
      <c r="E80" s="8" t="s">
        <v>68</v>
      </c>
      <c r="F80" s="8" t="s">
        <v>276</v>
      </c>
      <c r="G80" s="8" t="s">
        <v>60</v>
      </c>
      <c r="H80" s="8" t="s">
        <v>400</v>
      </c>
      <c r="I80" s="8" t="s">
        <v>4974</v>
      </c>
      <c r="J80" s="10">
        <v>478</v>
      </c>
      <c r="K80" s="11">
        <v>268.08</v>
      </c>
      <c r="L80" s="11">
        <v>308.43</v>
      </c>
      <c r="M80" s="11">
        <v>147429.54</v>
      </c>
      <c r="N80" s="11">
        <v>128142.24</v>
      </c>
      <c r="O80" s="11">
        <f>CleanedData[[#This Row],[Total Sales ($)]]-CleanedData[[#This Row],[Total Cost ($)]]</f>
        <v>19287.300000000003</v>
      </c>
      <c r="P80" s="12">
        <f>CleanedData[[#This Row],[Profit ($)]]/CleanedData[[#This Row],[Total Sales ($)]]</f>
        <v>0.13082384982005643</v>
      </c>
      <c r="Q80" s="8" t="s">
        <v>42</v>
      </c>
      <c r="R80" s="8" t="s">
        <v>63</v>
      </c>
      <c r="S80" s="8" t="b">
        <f>_xlfn.SINGLE(CleanedData[[#This Row],[Delivery Status]])="Late"</f>
        <v>0</v>
      </c>
      <c r="T80" s="10">
        <v>5</v>
      </c>
      <c r="U80" s="8" t="s">
        <v>43</v>
      </c>
      <c r="V80" s="10">
        <v>3976</v>
      </c>
      <c r="W80" s="10">
        <v>16</v>
      </c>
      <c r="X80" s="12">
        <v>3.3472803347280297E-2</v>
      </c>
      <c r="Y80" s="8" t="b">
        <f>CleanedData[[#This Row],[Ship Date]]&lt;CleanedData[[#This Row],[Order Date]]</f>
        <v>1</v>
      </c>
      <c r="Z80" s="10">
        <f>YEAR(CleanedData[[#This Row],[Order Date]])</f>
        <v>2023</v>
      </c>
      <c r="AA80" s="8">
        <f>MONTH(CleanedData[[#This Row],[Order Date]])</f>
        <v>6</v>
      </c>
    </row>
    <row r="81" spans="1:27" x14ac:dyDescent="0.35">
      <c r="A81" s="8" t="s">
        <v>442</v>
      </c>
      <c r="B81" s="9">
        <v>45055</v>
      </c>
      <c r="C81" s="9">
        <v>45003</v>
      </c>
      <c r="D81" s="8" t="s">
        <v>443</v>
      </c>
      <c r="E81" s="8" t="s">
        <v>26</v>
      </c>
      <c r="F81" s="8" t="s">
        <v>92</v>
      </c>
      <c r="G81" s="8" t="s">
        <v>93</v>
      </c>
      <c r="H81" s="8" t="s">
        <v>140</v>
      </c>
      <c r="I81" s="8" t="s">
        <v>4978</v>
      </c>
      <c r="J81" s="10">
        <v>706</v>
      </c>
      <c r="K81" s="11">
        <v>11.89</v>
      </c>
      <c r="L81" s="11">
        <v>14.47</v>
      </c>
      <c r="M81" s="11">
        <v>10215.82</v>
      </c>
      <c r="N81" s="11">
        <v>8394.34</v>
      </c>
      <c r="O81" s="11">
        <f>CleanedData[[#This Row],[Total Sales ($)]]-CleanedData[[#This Row],[Total Cost ($)]]</f>
        <v>1821.4799999999996</v>
      </c>
      <c r="P81" s="12">
        <f>CleanedData[[#This Row],[Profit ($)]]/CleanedData[[#This Row],[Total Sales ($)]]</f>
        <v>0.17829993089149962</v>
      </c>
      <c r="Q81" s="8" t="s">
        <v>42</v>
      </c>
      <c r="R81" s="8" t="s">
        <v>32</v>
      </c>
      <c r="S81" s="8" t="b">
        <f>_xlfn.SINGLE(CleanedData[[#This Row],[Delivery Status]])="Late"</f>
        <v>1</v>
      </c>
      <c r="T81" s="10">
        <v>11</v>
      </c>
      <c r="U81" s="8" t="s">
        <v>112</v>
      </c>
      <c r="V81" s="10">
        <v>3069</v>
      </c>
      <c r="W81" s="10">
        <v>22</v>
      </c>
      <c r="X81" s="12">
        <v>3.1161473087818602E-2</v>
      </c>
      <c r="Y81" s="8" t="b">
        <f>CleanedData[[#This Row],[Ship Date]]&lt;CleanedData[[#This Row],[Order Date]]</f>
        <v>1</v>
      </c>
      <c r="Z81" s="10">
        <f>YEAR(CleanedData[[#This Row],[Order Date]])</f>
        <v>2023</v>
      </c>
      <c r="AA81" s="8">
        <f>MONTH(CleanedData[[#This Row],[Order Date]])</f>
        <v>5</v>
      </c>
    </row>
    <row r="82" spans="1:27" x14ac:dyDescent="0.35">
      <c r="A82" s="8" t="s">
        <v>444</v>
      </c>
      <c r="B82" s="9">
        <v>45231</v>
      </c>
      <c r="C82" s="9">
        <v>45277</v>
      </c>
      <c r="D82" s="8" t="s">
        <v>445</v>
      </c>
      <c r="E82" s="8" t="s">
        <v>100</v>
      </c>
      <c r="F82" s="8" t="s">
        <v>330</v>
      </c>
      <c r="G82" s="8" t="s">
        <v>70</v>
      </c>
      <c r="H82" s="8" t="s">
        <v>446</v>
      </c>
      <c r="I82" s="8" t="s">
        <v>4967</v>
      </c>
      <c r="J82" s="10">
        <v>683</v>
      </c>
      <c r="K82" s="11">
        <v>1074.02</v>
      </c>
      <c r="L82" s="11">
        <v>1729.88</v>
      </c>
      <c r="M82" s="11">
        <v>1181508.04</v>
      </c>
      <c r="N82" s="11">
        <v>733555.66</v>
      </c>
      <c r="O82" s="11">
        <f>CleanedData[[#This Row],[Total Sales ($)]]-CleanedData[[#This Row],[Total Cost ($)]]</f>
        <v>447952.38</v>
      </c>
      <c r="P82" s="12">
        <f>CleanedData[[#This Row],[Profit ($)]]/CleanedData[[#This Row],[Total Sales ($)]]</f>
        <v>0.37913612504913635</v>
      </c>
      <c r="Q82" s="8" t="s">
        <v>31</v>
      </c>
      <c r="R82" s="8" t="s">
        <v>32</v>
      </c>
      <c r="S82" s="8" t="b">
        <f>_xlfn.SINGLE(CleanedData[[#This Row],[Delivery Status]])="Late"</f>
        <v>1</v>
      </c>
      <c r="T82" s="10">
        <v>12</v>
      </c>
      <c r="U82" s="8" t="s">
        <v>158</v>
      </c>
      <c r="V82" s="10">
        <v>249</v>
      </c>
      <c r="W82" s="10">
        <v>9</v>
      </c>
      <c r="X82" s="12">
        <v>1.31771595900439E-2</v>
      </c>
      <c r="Y82" s="8" t="b">
        <f>CleanedData[[#This Row],[Ship Date]]&lt;CleanedData[[#This Row],[Order Date]]</f>
        <v>0</v>
      </c>
      <c r="Z82" s="10">
        <f>YEAR(CleanedData[[#This Row],[Order Date]])</f>
        <v>2023</v>
      </c>
      <c r="AA82" s="8">
        <f>MONTH(CleanedData[[#This Row],[Order Date]])</f>
        <v>11</v>
      </c>
    </row>
    <row r="83" spans="1:27" x14ac:dyDescent="0.35">
      <c r="A83" s="8" t="s">
        <v>447</v>
      </c>
      <c r="B83" s="9">
        <v>45052</v>
      </c>
      <c r="C83" s="9">
        <v>44986</v>
      </c>
      <c r="D83" s="8" t="s">
        <v>450</v>
      </c>
      <c r="E83" s="8" t="s">
        <v>100</v>
      </c>
      <c r="F83" s="8" t="s">
        <v>451</v>
      </c>
      <c r="G83" s="8" t="s">
        <v>60</v>
      </c>
      <c r="H83" s="8" t="s">
        <v>265</v>
      </c>
      <c r="I83" s="8" t="s">
        <v>4969</v>
      </c>
      <c r="J83" s="10">
        <v>175</v>
      </c>
      <c r="K83" s="11">
        <v>929.53</v>
      </c>
      <c r="L83" s="11">
        <v>1224.8900000000001</v>
      </c>
      <c r="M83" s="11">
        <v>214355.75</v>
      </c>
      <c r="N83" s="11">
        <v>162667.75</v>
      </c>
      <c r="O83" s="11">
        <f>CleanedData[[#This Row],[Total Sales ($)]]-CleanedData[[#This Row],[Total Cost ($)]]</f>
        <v>51688</v>
      </c>
      <c r="P83" s="12">
        <f>CleanedData[[#This Row],[Profit ($)]]/CleanedData[[#This Row],[Total Sales ($)]]</f>
        <v>0.24113185673815607</v>
      </c>
      <c r="Q83" s="8" t="s">
        <v>42</v>
      </c>
      <c r="R83" s="8" t="s">
        <v>32</v>
      </c>
      <c r="S83" s="8" t="b">
        <f>_xlfn.SINGLE(CleanedData[[#This Row],[Delivery Status]])="Late"</f>
        <v>1</v>
      </c>
      <c r="T83" s="10">
        <v>10</v>
      </c>
      <c r="U83" s="8" t="s">
        <v>158</v>
      </c>
      <c r="V83" s="10">
        <v>4786</v>
      </c>
      <c r="W83" s="10">
        <v>6</v>
      </c>
      <c r="X83" s="12">
        <v>3.4285714285714197E-2</v>
      </c>
      <c r="Y83" s="8" t="b">
        <f>CleanedData[[#This Row],[Ship Date]]&lt;CleanedData[[#This Row],[Order Date]]</f>
        <v>1</v>
      </c>
      <c r="Z83" s="10">
        <f>YEAR(CleanedData[[#This Row],[Order Date]])</f>
        <v>2023</v>
      </c>
      <c r="AA83" s="8">
        <f>MONTH(CleanedData[[#This Row],[Order Date]])</f>
        <v>5</v>
      </c>
    </row>
    <row r="84" spans="1:27" x14ac:dyDescent="0.35">
      <c r="A84" s="8" t="s">
        <v>452</v>
      </c>
      <c r="B84" s="9">
        <v>45201</v>
      </c>
      <c r="C84" s="9">
        <v>45158</v>
      </c>
      <c r="D84" s="8" t="s">
        <v>455</v>
      </c>
      <c r="E84" s="8" t="s">
        <v>26</v>
      </c>
      <c r="F84" s="8" t="s">
        <v>228</v>
      </c>
      <c r="G84" s="8" t="s">
        <v>28</v>
      </c>
      <c r="H84" s="8" t="s">
        <v>212</v>
      </c>
      <c r="I84" s="8" t="s">
        <v>4975</v>
      </c>
      <c r="J84" s="10">
        <v>434</v>
      </c>
      <c r="K84" s="11">
        <v>199.43</v>
      </c>
      <c r="L84" s="11">
        <v>272.47000000000003</v>
      </c>
      <c r="M84" s="11">
        <v>118251.98</v>
      </c>
      <c r="N84" s="11">
        <v>86552.62</v>
      </c>
      <c r="O84" s="11">
        <f>CleanedData[[#This Row],[Total Sales ($)]]-CleanedData[[#This Row],[Total Cost ($)]]</f>
        <v>31699.360000000001</v>
      </c>
      <c r="P84" s="12">
        <f>CleanedData[[#This Row],[Profit ($)]]/CleanedData[[#This Row],[Total Sales ($)]]</f>
        <v>0.26806620912394025</v>
      </c>
      <c r="Q84" s="8" t="s">
        <v>42</v>
      </c>
      <c r="R84" s="8" t="s">
        <v>63</v>
      </c>
      <c r="S84" s="8" t="b">
        <f>_xlfn.SINGLE(CleanedData[[#This Row],[Delivery Status]])="Late"</f>
        <v>0</v>
      </c>
      <c r="T84" s="10">
        <v>13</v>
      </c>
      <c r="U84" s="8" t="s">
        <v>158</v>
      </c>
      <c r="V84" s="10">
        <v>3572</v>
      </c>
      <c r="W84" s="10">
        <v>16</v>
      </c>
      <c r="X84" s="12">
        <v>3.6866359447004601E-2</v>
      </c>
      <c r="Y84" s="8" t="b">
        <f>CleanedData[[#This Row],[Ship Date]]&lt;CleanedData[[#This Row],[Order Date]]</f>
        <v>1</v>
      </c>
      <c r="Z84" s="10">
        <f>YEAR(CleanedData[[#This Row],[Order Date]])</f>
        <v>2023</v>
      </c>
      <c r="AA84" s="8">
        <f>MONTH(CleanedData[[#This Row],[Order Date]])</f>
        <v>10</v>
      </c>
    </row>
    <row r="85" spans="1:27" x14ac:dyDescent="0.35">
      <c r="A85" s="8" t="s">
        <v>457</v>
      </c>
      <c r="B85" s="9">
        <v>45026</v>
      </c>
      <c r="C85" s="9">
        <v>45064</v>
      </c>
      <c r="D85" s="8" t="s">
        <v>460</v>
      </c>
      <c r="E85" s="8" t="s">
        <v>58</v>
      </c>
      <c r="F85" s="8" t="s">
        <v>417</v>
      </c>
      <c r="G85" s="8" t="s">
        <v>60</v>
      </c>
      <c r="H85" s="8" t="s">
        <v>400</v>
      </c>
      <c r="I85" s="8" t="s">
        <v>4969</v>
      </c>
      <c r="J85" s="10">
        <v>555</v>
      </c>
      <c r="K85" s="11"/>
      <c r="L85" s="11">
        <v>1022.07</v>
      </c>
      <c r="M85" s="11">
        <v>567248.85</v>
      </c>
      <c r="N85" s="11">
        <v>387079.2</v>
      </c>
      <c r="O85" s="11">
        <f>CleanedData[[#This Row],[Total Sales ($)]]-CleanedData[[#This Row],[Total Cost ($)]]</f>
        <v>180169.64999999997</v>
      </c>
      <c r="P85" s="12">
        <f>CleanedData[[#This Row],[Profit ($)]]/CleanedData[[#This Row],[Total Sales ($)]]</f>
        <v>0.31762012386627136</v>
      </c>
      <c r="Q85" s="8" t="s">
        <v>52</v>
      </c>
      <c r="R85" s="8" t="s">
        <v>63</v>
      </c>
      <c r="S85" s="8" t="b">
        <f>_xlfn.SINGLE(CleanedData[[#This Row],[Delivery Status]])="Late"</f>
        <v>0</v>
      </c>
      <c r="T85" s="10">
        <v>1</v>
      </c>
      <c r="U85" s="8" t="s">
        <v>112</v>
      </c>
      <c r="V85" s="10">
        <v>238</v>
      </c>
      <c r="W85" s="10">
        <v>9</v>
      </c>
      <c r="X85" s="12">
        <v>1.62162162162162E-2</v>
      </c>
      <c r="Y85" s="8" t="b">
        <f>CleanedData[[#This Row],[Ship Date]]&lt;CleanedData[[#This Row],[Order Date]]</f>
        <v>0</v>
      </c>
      <c r="Z85" s="10">
        <f>YEAR(CleanedData[[#This Row],[Order Date]])</f>
        <v>2023</v>
      </c>
      <c r="AA85" s="8">
        <f>MONTH(CleanedData[[#This Row],[Order Date]])</f>
        <v>4</v>
      </c>
    </row>
    <row r="86" spans="1:27" x14ac:dyDescent="0.35">
      <c r="A86" s="8" t="s">
        <v>461</v>
      </c>
      <c r="B86" s="9">
        <v>45518</v>
      </c>
      <c r="C86" s="9">
        <v>45353</v>
      </c>
      <c r="D86" s="8" t="s">
        <v>462</v>
      </c>
      <c r="E86" s="8" t="s">
        <v>68</v>
      </c>
      <c r="F86" s="8" t="s">
        <v>276</v>
      </c>
      <c r="G86" s="8" t="s">
        <v>28</v>
      </c>
      <c r="H86" s="8" t="s">
        <v>29</v>
      </c>
      <c r="I86" s="8" t="s">
        <v>4969</v>
      </c>
      <c r="J86" s="10">
        <v>560</v>
      </c>
      <c r="K86" s="11">
        <v>269.20999999999998</v>
      </c>
      <c r="L86" s="11">
        <v>427.31</v>
      </c>
      <c r="M86" s="11">
        <v>239293.6</v>
      </c>
      <c r="N86" s="11">
        <v>150757.6</v>
      </c>
      <c r="O86" s="11">
        <f>CleanedData[[#This Row],[Total Sales ($)]]-CleanedData[[#This Row],[Total Cost ($)]]</f>
        <v>88536</v>
      </c>
      <c r="P86" s="12">
        <f>CleanedData[[#This Row],[Profit ($)]]/CleanedData[[#This Row],[Total Sales ($)]]</f>
        <v>0.36998900095949078</v>
      </c>
      <c r="Q86" s="8" t="s">
        <v>42</v>
      </c>
      <c r="R86" s="8" t="s">
        <v>32</v>
      </c>
      <c r="S86" s="8" t="b">
        <f>_xlfn.SINGLE(CleanedData[[#This Row],[Delivery Status]])="Late"</f>
        <v>1</v>
      </c>
      <c r="T86" s="10">
        <v>7</v>
      </c>
      <c r="U86" s="8" t="s">
        <v>43</v>
      </c>
      <c r="V86" s="10">
        <v>138</v>
      </c>
      <c r="W86" s="10">
        <v>3</v>
      </c>
      <c r="X86" s="12">
        <v>5.3571428571427999E-3</v>
      </c>
      <c r="Y86" s="8" t="b">
        <f>CleanedData[[#This Row],[Ship Date]]&lt;CleanedData[[#This Row],[Order Date]]</f>
        <v>1</v>
      </c>
      <c r="Z86" s="10">
        <f>YEAR(CleanedData[[#This Row],[Order Date]])</f>
        <v>2024</v>
      </c>
      <c r="AA86" s="8">
        <f>MONTH(CleanedData[[#This Row],[Order Date]])</f>
        <v>8</v>
      </c>
    </row>
    <row r="87" spans="1:27" x14ac:dyDescent="0.35">
      <c r="A87" s="8" t="s">
        <v>463</v>
      </c>
      <c r="B87" s="9">
        <v>45142</v>
      </c>
      <c r="C87" s="9">
        <v>45098</v>
      </c>
      <c r="D87" s="8" t="s">
        <v>465</v>
      </c>
      <c r="E87" s="8" t="s">
        <v>58</v>
      </c>
      <c r="F87" s="8" t="s">
        <v>59</v>
      </c>
      <c r="G87" s="8" t="s">
        <v>189</v>
      </c>
      <c r="H87" s="8" t="s">
        <v>437</v>
      </c>
      <c r="I87" s="8" t="s">
        <v>4976</v>
      </c>
      <c r="J87" s="10">
        <v>497</v>
      </c>
      <c r="K87" s="11">
        <v>631.91999999999996</v>
      </c>
      <c r="L87" s="11">
        <v>1027.68</v>
      </c>
      <c r="M87" s="11">
        <v>510756.96</v>
      </c>
      <c r="N87" s="11">
        <v>314064.24</v>
      </c>
      <c r="O87" s="11">
        <f>CleanedData[[#This Row],[Total Sales ($)]]-CleanedData[[#This Row],[Total Cost ($)]]</f>
        <v>196692.72000000003</v>
      </c>
      <c r="P87" s="12">
        <f>CleanedData[[#This Row],[Profit ($)]]/CleanedData[[#This Row],[Total Sales ($)]]</f>
        <v>0.3851004203643158</v>
      </c>
      <c r="Q87" s="8" t="s">
        <v>52</v>
      </c>
      <c r="R87" s="8" t="s">
        <v>32</v>
      </c>
      <c r="S87" s="8" t="b">
        <f>_xlfn.SINGLE(CleanedData[[#This Row],[Delivery Status]])="Late"</f>
        <v>1</v>
      </c>
      <c r="T87" s="10">
        <v>15</v>
      </c>
      <c r="U87" s="8" t="s">
        <v>112</v>
      </c>
      <c r="V87" s="10">
        <v>2574</v>
      </c>
      <c r="W87" s="10">
        <v>7</v>
      </c>
      <c r="X87" s="12">
        <v>1.4084507042253501E-2</v>
      </c>
      <c r="Y87" s="8" t="b">
        <f>CleanedData[[#This Row],[Ship Date]]&lt;CleanedData[[#This Row],[Order Date]]</f>
        <v>1</v>
      </c>
      <c r="Z87" s="10">
        <f>YEAR(CleanedData[[#This Row],[Order Date]])</f>
        <v>2023</v>
      </c>
      <c r="AA87" s="8">
        <f>MONTH(CleanedData[[#This Row],[Order Date]])</f>
        <v>8</v>
      </c>
    </row>
    <row r="88" spans="1:27" x14ac:dyDescent="0.35">
      <c r="A88" s="8" t="s">
        <v>466</v>
      </c>
      <c r="B88" s="9">
        <v>45060</v>
      </c>
      <c r="C88" s="9">
        <v>45204</v>
      </c>
      <c r="D88" s="8" t="s">
        <v>469</v>
      </c>
      <c r="E88" s="8" t="s">
        <v>26</v>
      </c>
      <c r="F88" s="8" t="s">
        <v>77</v>
      </c>
      <c r="G88" s="8" t="s">
        <v>129</v>
      </c>
      <c r="H88" s="8" t="s">
        <v>168</v>
      </c>
      <c r="I88" s="8" t="s">
        <v>4973</v>
      </c>
      <c r="J88" s="10">
        <v>627</v>
      </c>
      <c r="K88" s="11">
        <v>577.51</v>
      </c>
      <c r="L88" s="11">
        <v>926.45</v>
      </c>
      <c r="M88" s="11">
        <v>580884.15</v>
      </c>
      <c r="N88" s="11">
        <v>362098.77</v>
      </c>
      <c r="O88" s="11">
        <f>CleanedData[[#This Row],[Total Sales ($)]]-CleanedData[[#This Row],[Total Cost ($)]]</f>
        <v>218785.38</v>
      </c>
      <c r="P88" s="12">
        <f>CleanedData[[#This Row],[Profit ($)]]/CleanedData[[#This Row],[Total Sales ($)]]</f>
        <v>0.37664202061633117</v>
      </c>
      <c r="Q88" s="8" t="s">
        <v>52</v>
      </c>
      <c r="R88" s="8" t="s">
        <v>32</v>
      </c>
      <c r="S88" s="8" t="b">
        <f>_xlfn.SINGLE(CleanedData[[#This Row],[Delivery Status]])="Late"</f>
        <v>1</v>
      </c>
      <c r="T88" s="10">
        <v>9</v>
      </c>
      <c r="U88" s="8" t="s">
        <v>53</v>
      </c>
      <c r="V88" s="10">
        <v>2083</v>
      </c>
      <c r="W88" s="10">
        <v>23</v>
      </c>
      <c r="X88" s="12">
        <v>3.6682615629983997E-2</v>
      </c>
      <c r="Y88" s="8" t="b">
        <f>CleanedData[[#This Row],[Ship Date]]&lt;CleanedData[[#This Row],[Order Date]]</f>
        <v>0</v>
      </c>
      <c r="Z88" s="10">
        <f>YEAR(CleanedData[[#This Row],[Order Date]])</f>
        <v>2023</v>
      </c>
      <c r="AA88" s="8">
        <f>MONTH(CleanedData[[#This Row],[Order Date]])</f>
        <v>5</v>
      </c>
    </row>
    <row r="89" spans="1:27" x14ac:dyDescent="0.35">
      <c r="A89" s="8" t="s">
        <v>470</v>
      </c>
      <c r="B89" s="9">
        <v>45393</v>
      </c>
      <c r="C89" s="9">
        <v>45622</v>
      </c>
      <c r="D89" s="8" t="s">
        <v>473</v>
      </c>
      <c r="E89" s="8" t="s">
        <v>58</v>
      </c>
      <c r="F89" s="8" t="s">
        <v>59</v>
      </c>
      <c r="G89" s="8" t="s">
        <v>28</v>
      </c>
      <c r="H89" s="8" t="s">
        <v>212</v>
      </c>
      <c r="I89" s="8" t="s">
        <v>4976</v>
      </c>
      <c r="J89" s="10">
        <v>208</v>
      </c>
      <c r="K89" s="11">
        <v>256.63</v>
      </c>
      <c r="L89" s="11">
        <v>305.31</v>
      </c>
      <c r="M89" s="11">
        <v>63504.480000000003</v>
      </c>
      <c r="N89" s="11">
        <v>53379.040000000001</v>
      </c>
      <c r="O89" s="11">
        <f>CleanedData[[#This Row],[Total Sales ($)]]-CleanedData[[#This Row],[Total Cost ($)]]</f>
        <v>10125.440000000002</v>
      </c>
      <c r="P89" s="12">
        <f>CleanedData[[#This Row],[Profit ($)]]/CleanedData[[#This Row],[Total Sales ($)]]</f>
        <v>0.15944449903376898</v>
      </c>
      <c r="Q89" s="8" t="s">
        <v>42</v>
      </c>
      <c r="R89" s="8" t="s">
        <v>32</v>
      </c>
      <c r="S89" s="8" t="b">
        <f>_xlfn.SINGLE(CleanedData[[#This Row],[Delivery Status]])="Late"</f>
        <v>1</v>
      </c>
      <c r="T89" s="10">
        <v>7</v>
      </c>
      <c r="U89" s="8" t="s">
        <v>86</v>
      </c>
      <c r="V89" s="10">
        <v>868</v>
      </c>
      <c r="W89" s="10">
        <v>3</v>
      </c>
      <c r="X89" s="12">
        <v>1.44230769230769E-2</v>
      </c>
      <c r="Y89" s="8" t="b">
        <f>CleanedData[[#This Row],[Ship Date]]&lt;CleanedData[[#This Row],[Order Date]]</f>
        <v>0</v>
      </c>
      <c r="Z89" s="10">
        <f>YEAR(CleanedData[[#This Row],[Order Date]])</f>
        <v>2024</v>
      </c>
      <c r="AA89" s="8">
        <f>MONTH(CleanedData[[#This Row],[Order Date]])</f>
        <v>4</v>
      </c>
    </row>
    <row r="90" spans="1:27" x14ac:dyDescent="0.35">
      <c r="A90" s="8" t="s">
        <v>474</v>
      </c>
      <c r="B90" s="9">
        <v>45184</v>
      </c>
      <c r="C90" s="9">
        <v>44942</v>
      </c>
      <c r="D90" s="8" t="s">
        <v>476</v>
      </c>
      <c r="E90" s="8" t="s">
        <v>48</v>
      </c>
      <c r="F90" s="8" t="s">
        <v>183</v>
      </c>
      <c r="G90" s="8" t="s">
        <v>39</v>
      </c>
      <c r="H90" s="8" t="s">
        <v>477</v>
      </c>
      <c r="I90" s="8" t="s">
        <v>4976</v>
      </c>
      <c r="J90" s="10">
        <v>407</v>
      </c>
      <c r="K90" s="11">
        <v>420.93</v>
      </c>
      <c r="L90" s="11">
        <v>683.72</v>
      </c>
      <c r="M90" s="11">
        <v>278274.03999999998</v>
      </c>
      <c r="N90" s="11">
        <v>171318.51</v>
      </c>
      <c r="O90" s="11">
        <f>CleanedData[[#This Row],[Total Sales ($)]]-CleanedData[[#This Row],[Total Cost ($)]]</f>
        <v>106955.52999999997</v>
      </c>
      <c r="P90" s="12">
        <f>CleanedData[[#This Row],[Profit ($)]]/CleanedData[[#This Row],[Total Sales ($)]]</f>
        <v>0.38435324401801901</v>
      </c>
      <c r="Q90" s="8" t="s">
        <v>95</v>
      </c>
      <c r="R90" s="8" t="s">
        <v>32</v>
      </c>
      <c r="S90" s="8" t="b">
        <f>_xlfn.SINGLE(CleanedData[[#This Row],[Delivery Status]])="Late"</f>
        <v>1</v>
      </c>
      <c r="T90" s="10">
        <v>11</v>
      </c>
      <c r="U90" s="8" t="s">
        <v>53</v>
      </c>
      <c r="V90" s="10">
        <v>69</v>
      </c>
      <c r="W90" s="10">
        <v>12</v>
      </c>
      <c r="X90" s="12">
        <v>2.9484029484029398E-2</v>
      </c>
      <c r="Y90" s="8" t="b">
        <f>CleanedData[[#This Row],[Ship Date]]&lt;CleanedData[[#This Row],[Order Date]]</f>
        <v>1</v>
      </c>
      <c r="Z90" s="10">
        <f>YEAR(CleanedData[[#This Row],[Order Date]])</f>
        <v>2023</v>
      </c>
      <c r="AA90" s="8">
        <f>MONTH(CleanedData[[#This Row],[Order Date]])</f>
        <v>9</v>
      </c>
    </row>
    <row r="91" spans="1:27" x14ac:dyDescent="0.35">
      <c r="A91" s="8" t="s">
        <v>478</v>
      </c>
      <c r="B91" s="9">
        <v>45051</v>
      </c>
      <c r="C91" s="9">
        <v>45218</v>
      </c>
      <c r="D91" s="8" t="s">
        <v>480</v>
      </c>
      <c r="E91" s="8" t="s">
        <v>100</v>
      </c>
      <c r="F91" s="8" t="s">
        <v>238</v>
      </c>
      <c r="G91" s="8" t="s">
        <v>78</v>
      </c>
      <c r="H91" s="8" t="s">
        <v>481</v>
      </c>
      <c r="I91" s="8" t="s">
        <v>4967</v>
      </c>
      <c r="J91" s="10">
        <v>380</v>
      </c>
      <c r="K91" s="11">
        <v>423.18</v>
      </c>
      <c r="L91" s="11">
        <v>591.88</v>
      </c>
      <c r="M91" s="11">
        <v>224914.4</v>
      </c>
      <c r="N91" s="11">
        <v>160808.4</v>
      </c>
      <c r="O91" s="11">
        <f>CleanedData[[#This Row],[Total Sales ($)]]-CleanedData[[#This Row],[Total Cost ($)]]</f>
        <v>64106</v>
      </c>
      <c r="P91" s="12">
        <f>CleanedData[[#This Row],[Profit ($)]]/CleanedData[[#This Row],[Total Sales ($)]]</f>
        <v>0.28502399134959788</v>
      </c>
      <c r="Q91" s="8" t="s">
        <v>95</v>
      </c>
      <c r="R91" s="8" t="s">
        <v>32</v>
      </c>
      <c r="S91" s="8" t="b">
        <f>_xlfn.SINGLE(CleanedData[[#This Row],[Delivery Status]])="Late"</f>
        <v>1</v>
      </c>
      <c r="T91" s="10">
        <v>15</v>
      </c>
      <c r="U91" s="8" t="s">
        <v>158</v>
      </c>
      <c r="V91" s="10">
        <v>2291</v>
      </c>
      <c r="W91" s="10">
        <v>17</v>
      </c>
      <c r="X91" s="12">
        <v>4.4736842105263103E-2</v>
      </c>
      <c r="Y91" s="8" t="b">
        <f>CleanedData[[#This Row],[Ship Date]]&lt;CleanedData[[#This Row],[Order Date]]</f>
        <v>0</v>
      </c>
      <c r="Z91" s="10">
        <f>YEAR(CleanedData[[#This Row],[Order Date]])</f>
        <v>2023</v>
      </c>
      <c r="AA91" s="8">
        <f>MONTH(CleanedData[[#This Row],[Order Date]])</f>
        <v>5</v>
      </c>
    </row>
    <row r="92" spans="1:27" x14ac:dyDescent="0.35">
      <c r="A92" s="8" t="s">
        <v>482</v>
      </c>
      <c r="B92" s="9">
        <v>45166</v>
      </c>
      <c r="C92" s="9">
        <v>44949</v>
      </c>
      <c r="D92" s="8" t="s">
        <v>157</v>
      </c>
      <c r="E92" s="8" t="s">
        <v>48</v>
      </c>
      <c r="F92" s="8" t="s">
        <v>49</v>
      </c>
      <c r="G92" s="8" t="s">
        <v>93</v>
      </c>
      <c r="H92" s="8" t="s">
        <v>485</v>
      </c>
      <c r="I92" s="8" t="s">
        <v>4977</v>
      </c>
      <c r="J92" s="10">
        <v>700</v>
      </c>
      <c r="K92" s="11">
        <v>759.05</v>
      </c>
      <c r="L92" s="11">
        <v>1096.22</v>
      </c>
      <c r="M92" s="11">
        <v>767354</v>
      </c>
      <c r="N92" s="11">
        <v>531335</v>
      </c>
      <c r="O92" s="11">
        <f>CleanedData[[#This Row],[Total Sales ($)]]-CleanedData[[#This Row],[Total Cost ($)]]</f>
        <v>236019</v>
      </c>
      <c r="P92" s="12">
        <f>CleanedData[[#This Row],[Profit ($)]]/CleanedData[[#This Row],[Total Sales ($)]]</f>
        <v>0.30757512178212404</v>
      </c>
      <c r="Q92" s="8" t="s">
        <v>31</v>
      </c>
      <c r="R92" s="8" t="s">
        <v>32</v>
      </c>
      <c r="S92" s="8" t="b">
        <f>_xlfn.SINGLE(CleanedData[[#This Row],[Delivery Status]])="Late"</f>
        <v>1</v>
      </c>
      <c r="T92" s="10">
        <v>8</v>
      </c>
      <c r="U92" s="8" t="s">
        <v>158</v>
      </c>
      <c r="V92" s="10">
        <v>2980</v>
      </c>
      <c r="W92" s="10">
        <v>29</v>
      </c>
      <c r="X92" s="12">
        <v>4.1428571428571398E-2</v>
      </c>
      <c r="Y92" s="8" t="b">
        <f>CleanedData[[#This Row],[Ship Date]]&lt;CleanedData[[#This Row],[Order Date]]</f>
        <v>1</v>
      </c>
      <c r="Z92" s="10">
        <f>YEAR(CleanedData[[#This Row],[Order Date]])</f>
        <v>2023</v>
      </c>
      <c r="AA92" s="8">
        <f>MONTH(CleanedData[[#This Row],[Order Date]])</f>
        <v>8</v>
      </c>
    </row>
    <row r="93" spans="1:27" x14ac:dyDescent="0.35">
      <c r="A93" s="8" t="s">
        <v>486</v>
      </c>
      <c r="B93" s="9">
        <v>45118</v>
      </c>
      <c r="C93" s="9">
        <v>45268</v>
      </c>
      <c r="D93" s="8" t="s">
        <v>489</v>
      </c>
      <c r="E93" s="8" t="s">
        <v>58</v>
      </c>
      <c r="F93" s="8" t="s">
        <v>122</v>
      </c>
      <c r="G93" s="8" t="s">
        <v>28</v>
      </c>
      <c r="H93" s="8" t="s">
        <v>212</v>
      </c>
      <c r="I93" s="8" t="s">
        <v>4969</v>
      </c>
      <c r="J93" s="10">
        <v>718</v>
      </c>
      <c r="K93" s="11">
        <v>756.22</v>
      </c>
      <c r="L93" s="11">
        <v>1207.6400000000001</v>
      </c>
      <c r="M93" s="11">
        <v>867085.52</v>
      </c>
      <c r="N93" s="11">
        <v>542965.96</v>
      </c>
      <c r="O93" s="11">
        <f>CleanedData[[#This Row],[Total Sales ($)]]-CleanedData[[#This Row],[Total Cost ($)]]</f>
        <v>324119.56000000006</v>
      </c>
      <c r="P93" s="12">
        <f>CleanedData[[#This Row],[Profit ($)]]/CleanedData[[#This Row],[Total Sales ($)]]</f>
        <v>0.3738034513596768</v>
      </c>
      <c r="Q93" s="8" t="s">
        <v>52</v>
      </c>
      <c r="R93" s="8" t="s">
        <v>63</v>
      </c>
      <c r="S93" s="8" t="b">
        <f>_xlfn.SINGLE(CleanedData[[#This Row],[Delivery Status]])="Late"</f>
        <v>0</v>
      </c>
      <c r="T93" s="10">
        <v>3</v>
      </c>
      <c r="U93" s="8" t="s">
        <v>33</v>
      </c>
      <c r="V93" s="10">
        <v>1655</v>
      </c>
      <c r="W93" s="10">
        <v>0</v>
      </c>
      <c r="X93" s="12">
        <v>0</v>
      </c>
      <c r="Y93" s="8" t="b">
        <f>CleanedData[[#This Row],[Ship Date]]&lt;CleanedData[[#This Row],[Order Date]]</f>
        <v>0</v>
      </c>
      <c r="Z93" s="10">
        <f>YEAR(CleanedData[[#This Row],[Order Date]])</f>
        <v>2023</v>
      </c>
      <c r="AA93" s="8">
        <f>MONTH(CleanedData[[#This Row],[Order Date]])</f>
        <v>7</v>
      </c>
    </row>
    <row r="94" spans="1:27" x14ac:dyDescent="0.35">
      <c r="A94" s="8" t="s">
        <v>490</v>
      </c>
      <c r="B94" s="9">
        <v>45482</v>
      </c>
      <c r="C94" s="9">
        <v>45551</v>
      </c>
      <c r="D94" s="8" t="s">
        <v>493</v>
      </c>
      <c r="E94" s="8" t="s">
        <v>68</v>
      </c>
      <c r="F94" s="8" t="s">
        <v>249</v>
      </c>
      <c r="G94" s="8" t="s">
        <v>217</v>
      </c>
      <c r="H94" s="8" t="s">
        <v>494</v>
      </c>
      <c r="I94" s="8" t="s">
        <v>4975</v>
      </c>
      <c r="J94" s="10">
        <v>204</v>
      </c>
      <c r="K94" s="11">
        <v>884.64</v>
      </c>
      <c r="L94" s="11">
        <v>1411.28</v>
      </c>
      <c r="M94" s="11">
        <v>287901.12</v>
      </c>
      <c r="N94" s="11">
        <v>180466.56</v>
      </c>
      <c r="O94" s="11">
        <f>CleanedData[[#This Row],[Total Sales ($)]]-CleanedData[[#This Row],[Total Cost ($)]]</f>
        <v>107434.56</v>
      </c>
      <c r="P94" s="12">
        <f>CleanedData[[#This Row],[Profit ($)]]/CleanedData[[#This Row],[Total Sales ($)]]</f>
        <v>0.37316478657672469</v>
      </c>
      <c r="Q94" s="8" t="s">
        <v>52</v>
      </c>
      <c r="R94" s="8" t="s">
        <v>32</v>
      </c>
      <c r="S94" s="8" t="b">
        <f>_xlfn.SINGLE(CleanedData[[#This Row],[Delivery Status]])="Late"</f>
        <v>1</v>
      </c>
      <c r="T94" s="10">
        <v>12</v>
      </c>
      <c r="U94" s="8" t="s">
        <v>86</v>
      </c>
      <c r="V94" s="10">
        <v>2052</v>
      </c>
      <c r="W94" s="10">
        <v>9</v>
      </c>
      <c r="X94" s="12">
        <v>4.4117647058823498E-2</v>
      </c>
      <c r="Y94" s="8" t="b">
        <f>CleanedData[[#This Row],[Ship Date]]&lt;CleanedData[[#This Row],[Order Date]]</f>
        <v>0</v>
      </c>
      <c r="Z94" s="10">
        <f>YEAR(CleanedData[[#This Row],[Order Date]])</f>
        <v>2024</v>
      </c>
      <c r="AA94" s="8">
        <f>MONTH(CleanedData[[#This Row],[Order Date]])</f>
        <v>7</v>
      </c>
    </row>
    <row r="95" spans="1:27" x14ac:dyDescent="0.35">
      <c r="A95" s="8" t="s">
        <v>495</v>
      </c>
      <c r="B95" s="9">
        <v>45108</v>
      </c>
      <c r="C95" s="9">
        <v>45270</v>
      </c>
      <c r="D95" s="8" t="s">
        <v>497</v>
      </c>
      <c r="E95" s="8" t="s">
        <v>48</v>
      </c>
      <c r="F95" s="8" t="s">
        <v>183</v>
      </c>
      <c r="G95" s="8" t="s">
        <v>28</v>
      </c>
      <c r="H95" s="8" t="s">
        <v>111</v>
      </c>
      <c r="I95" s="8" t="s">
        <v>4970</v>
      </c>
      <c r="J95" s="10">
        <v>727</v>
      </c>
      <c r="K95" s="11">
        <v>299.72000000000003</v>
      </c>
      <c r="L95" s="11">
        <v>479.44</v>
      </c>
      <c r="M95" s="11">
        <v>348552.88</v>
      </c>
      <c r="N95" s="11">
        <v>217896.44</v>
      </c>
      <c r="O95" s="11">
        <f>CleanedData[[#This Row],[Total Sales ($)]]-CleanedData[[#This Row],[Total Cost ($)]]</f>
        <v>130656.44</v>
      </c>
      <c r="P95" s="12">
        <f>CleanedData[[#This Row],[Profit ($)]]/CleanedData[[#This Row],[Total Sales ($)]]</f>
        <v>0.37485399632905059</v>
      </c>
      <c r="Q95" s="8" t="s">
        <v>42</v>
      </c>
      <c r="R95" s="8" t="s">
        <v>32</v>
      </c>
      <c r="S95" s="8" t="b">
        <f>_xlfn.SINGLE(CleanedData[[#This Row],[Delivery Status]])="Late"</f>
        <v>1</v>
      </c>
      <c r="T95" s="10">
        <v>13</v>
      </c>
      <c r="U95" s="8" t="s">
        <v>43</v>
      </c>
      <c r="V95" s="10">
        <v>1970</v>
      </c>
      <c r="W95" s="10">
        <v>33</v>
      </c>
      <c r="X95" s="12">
        <v>4.5392022008253097E-2</v>
      </c>
      <c r="Y95" s="8" t="b">
        <f>CleanedData[[#This Row],[Ship Date]]&lt;CleanedData[[#This Row],[Order Date]]</f>
        <v>0</v>
      </c>
      <c r="Z95" s="10">
        <f>YEAR(CleanedData[[#This Row],[Order Date]])</f>
        <v>2023</v>
      </c>
      <c r="AA95" s="8">
        <f>MONTH(CleanedData[[#This Row],[Order Date]])</f>
        <v>7</v>
      </c>
    </row>
    <row r="96" spans="1:27" x14ac:dyDescent="0.35">
      <c r="A96" s="8" t="s">
        <v>498</v>
      </c>
      <c r="B96" s="9">
        <v>45450</v>
      </c>
      <c r="C96" s="9">
        <v>45305</v>
      </c>
      <c r="D96" s="8" t="s">
        <v>500</v>
      </c>
      <c r="E96" s="8" t="s">
        <v>48</v>
      </c>
      <c r="F96" s="8" t="s">
        <v>501</v>
      </c>
      <c r="G96" s="8" t="s">
        <v>70</v>
      </c>
      <c r="H96" s="8" t="s">
        <v>239</v>
      </c>
      <c r="I96" s="8" t="s">
        <v>4979</v>
      </c>
      <c r="J96" s="10">
        <v>253</v>
      </c>
      <c r="K96" s="11">
        <v>116.77</v>
      </c>
      <c r="L96" s="11">
        <v>177.38</v>
      </c>
      <c r="M96" s="11">
        <v>44877.14</v>
      </c>
      <c r="N96" s="11">
        <v>29542.81</v>
      </c>
      <c r="O96" s="11">
        <f>CleanedData[[#This Row],[Total Sales ($)]]-CleanedData[[#This Row],[Total Cost ($)]]</f>
        <v>15334.329999999998</v>
      </c>
      <c r="P96" s="12">
        <f>CleanedData[[#This Row],[Profit ($)]]/CleanedData[[#This Row],[Total Sales ($)]]</f>
        <v>0.34169579433983532</v>
      </c>
      <c r="Q96" s="8" t="s">
        <v>95</v>
      </c>
      <c r="R96" s="8" t="s">
        <v>32</v>
      </c>
      <c r="S96" s="8" t="b">
        <f>_xlfn.SINGLE(CleanedData[[#This Row],[Delivery Status]])="Late"</f>
        <v>1</v>
      </c>
      <c r="T96" s="10">
        <v>9</v>
      </c>
      <c r="U96" s="8" t="s">
        <v>53</v>
      </c>
      <c r="V96" s="10">
        <v>2983</v>
      </c>
      <c r="W96" s="10">
        <v>10</v>
      </c>
      <c r="X96" s="12">
        <v>3.9525691699604702E-2</v>
      </c>
      <c r="Y96" s="8" t="b">
        <f>CleanedData[[#This Row],[Ship Date]]&lt;CleanedData[[#This Row],[Order Date]]</f>
        <v>1</v>
      </c>
      <c r="Z96" s="10">
        <f>YEAR(CleanedData[[#This Row],[Order Date]])</f>
        <v>2024</v>
      </c>
      <c r="AA96" s="8">
        <f>MONTH(CleanedData[[#This Row],[Order Date]])</f>
        <v>6</v>
      </c>
    </row>
    <row r="97" spans="1:27" x14ac:dyDescent="0.35">
      <c r="A97" s="8" t="s">
        <v>502</v>
      </c>
      <c r="B97" s="9">
        <v>45602</v>
      </c>
      <c r="C97" s="9">
        <v>45334</v>
      </c>
      <c r="D97" s="8" t="s">
        <v>505</v>
      </c>
      <c r="E97" s="8" t="s">
        <v>26</v>
      </c>
      <c r="F97" s="8" t="s">
        <v>92</v>
      </c>
      <c r="G97" s="8" t="s">
        <v>28</v>
      </c>
      <c r="H97" s="8" t="s">
        <v>507</v>
      </c>
      <c r="I97" s="8" t="s">
        <v>4968</v>
      </c>
      <c r="J97" s="10">
        <v>604</v>
      </c>
      <c r="K97" s="11">
        <v>-0.5</v>
      </c>
      <c r="L97" s="11">
        <v>371.61</v>
      </c>
      <c r="M97" s="11">
        <v>224452.44</v>
      </c>
      <c r="N97" s="11">
        <v>196070.48</v>
      </c>
      <c r="O97" s="11">
        <f>CleanedData[[#This Row],[Total Sales ($)]]-CleanedData[[#This Row],[Total Cost ($)]]</f>
        <v>28381.959999999992</v>
      </c>
      <c r="P97" s="12">
        <f>CleanedData[[#This Row],[Profit ($)]]/CleanedData[[#This Row],[Total Sales ($)]]</f>
        <v>0.12644977261107071</v>
      </c>
      <c r="Q97" s="8" t="s">
        <v>42</v>
      </c>
      <c r="R97" s="8" t="s">
        <v>32</v>
      </c>
      <c r="S97" s="8" t="b">
        <f>_xlfn.SINGLE(CleanedData[[#This Row],[Delivery Status]])="Late"</f>
        <v>1</v>
      </c>
      <c r="T97" s="10">
        <v>10</v>
      </c>
      <c r="U97" s="8" t="s">
        <v>33</v>
      </c>
      <c r="V97" s="10">
        <v>961</v>
      </c>
      <c r="W97" s="10">
        <v>13</v>
      </c>
      <c r="X97" s="12">
        <v>2.1523178807947001E-2</v>
      </c>
      <c r="Y97" s="8" t="b">
        <f>CleanedData[[#This Row],[Ship Date]]&lt;CleanedData[[#This Row],[Order Date]]</f>
        <v>1</v>
      </c>
      <c r="Z97" s="10">
        <f>YEAR(CleanedData[[#This Row],[Order Date]])</f>
        <v>2024</v>
      </c>
      <c r="AA97" s="8">
        <f>MONTH(CleanedData[[#This Row],[Order Date]])</f>
        <v>11</v>
      </c>
    </row>
    <row r="98" spans="1:27" x14ac:dyDescent="0.35">
      <c r="A98" s="8" t="s">
        <v>508</v>
      </c>
      <c r="B98" s="9">
        <v>45232</v>
      </c>
      <c r="C98" s="9">
        <v>45264</v>
      </c>
      <c r="D98" s="8" t="s">
        <v>511</v>
      </c>
      <c r="E98" s="8" t="s">
        <v>48</v>
      </c>
      <c r="F98" s="8" t="s">
        <v>270</v>
      </c>
      <c r="G98" s="8" t="s">
        <v>78</v>
      </c>
      <c r="H98" s="8" t="s">
        <v>481</v>
      </c>
      <c r="I98" s="8" t="s">
        <v>4967</v>
      </c>
      <c r="J98" s="10">
        <v>166</v>
      </c>
      <c r="K98" s="11">
        <v>530.07000000000005</v>
      </c>
      <c r="L98" s="11">
        <v>611.09</v>
      </c>
      <c r="M98" s="11">
        <v>101440.94</v>
      </c>
      <c r="N98" s="11">
        <v>87991.62</v>
      </c>
      <c r="O98" s="11">
        <f>CleanedData[[#This Row],[Total Sales ($)]]-CleanedData[[#This Row],[Total Cost ($)]]</f>
        <v>13449.320000000007</v>
      </c>
      <c r="P98" s="12">
        <f>CleanedData[[#This Row],[Profit ($)]]/CleanedData[[#This Row],[Total Sales ($)]]</f>
        <v>0.13258276194995833</v>
      </c>
      <c r="Q98" s="8" t="s">
        <v>95</v>
      </c>
      <c r="R98" s="8" t="s">
        <v>32</v>
      </c>
      <c r="S98" s="8" t="b">
        <f>_xlfn.SINGLE(CleanedData[[#This Row],[Delivery Status]])="Late"</f>
        <v>1</v>
      </c>
      <c r="T98" s="10">
        <v>11</v>
      </c>
      <c r="U98" s="8" t="s">
        <v>112</v>
      </c>
      <c r="V98" s="10">
        <v>2678</v>
      </c>
      <c r="W98" s="10">
        <v>6</v>
      </c>
      <c r="X98" s="12">
        <v>3.6144578313252997E-2</v>
      </c>
      <c r="Y98" s="8" t="b">
        <f>CleanedData[[#This Row],[Ship Date]]&lt;CleanedData[[#This Row],[Order Date]]</f>
        <v>0</v>
      </c>
      <c r="Z98" s="10">
        <f>YEAR(CleanedData[[#This Row],[Order Date]])</f>
        <v>2023</v>
      </c>
      <c r="AA98" s="8">
        <f>MONTH(CleanedData[[#This Row],[Order Date]])</f>
        <v>11</v>
      </c>
    </row>
    <row r="99" spans="1:27" x14ac:dyDescent="0.35">
      <c r="A99" s="8" t="s">
        <v>512</v>
      </c>
      <c r="B99" s="9">
        <v>44965</v>
      </c>
      <c r="C99" s="9">
        <v>45244</v>
      </c>
      <c r="D99" s="8" t="s">
        <v>514</v>
      </c>
      <c r="E99" s="8" t="s">
        <v>100</v>
      </c>
      <c r="F99" s="8" t="s">
        <v>330</v>
      </c>
      <c r="G99" s="8" t="s">
        <v>189</v>
      </c>
      <c r="H99" s="8" t="s">
        <v>437</v>
      </c>
      <c r="I99" s="8" t="s">
        <v>4977</v>
      </c>
      <c r="J99" s="10">
        <v>180</v>
      </c>
      <c r="K99" s="11">
        <v>436.35</v>
      </c>
      <c r="L99" s="11">
        <v>652.29</v>
      </c>
      <c r="M99" s="11">
        <v>117412.2</v>
      </c>
      <c r="N99" s="11">
        <v>78543</v>
      </c>
      <c r="O99" s="11">
        <f>CleanedData[[#This Row],[Total Sales ($)]]-CleanedData[[#This Row],[Total Cost ($)]]</f>
        <v>38869.199999999997</v>
      </c>
      <c r="P99" s="12">
        <f>CleanedData[[#This Row],[Profit ($)]]/CleanedData[[#This Row],[Total Sales ($)]]</f>
        <v>0.3310490732649588</v>
      </c>
      <c r="Q99" s="8" t="s">
        <v>31</v>
      </c>
      <c r="R99" s="8" t="s">
        <v>32</v>
      </c>
      <c r="S99" s="8" t="b">
        <f>_xlfn.SINGLE(CleanedData[[#This Row],[Delivery Status]])="Late"</f>
        <v>1</v>
      </c>
      <c r="T99" s="10">
        <v>6</v>
      </c>
      <c r="U99" s="8" t="s">
        <v>33</v>
      </c>
      <c r="V99" s="10">
        <v>4261</v>
      </c>
      <c r="W99" s="10">
        <v>0</v>
      </c>
      <c r="X99" s="12">
        <v>0</v>
      </c>
      <c r="Y99" s="8" t="b">
        <f>CleanedData[[#This Row],[Ship Date]]&lt;CleanedData[[#This Row],[Order Date]]</f>
        <v>0</v>
      </c>
      <c r="Z99" s="10">
        <f>YEAR(CleanedData[[#This Row],[Order Date]])</f>
        <v>2023</v>
      </c>
      <c r="AA99" s="8">
        <f>MONTH(CleanedData[[#This Row],[Order Date]])</f>
        <v>2</v>
      </c>
    </row>
    <row r="100" spans="1:27" x14ac:dyDescent="0.35">
      <c r="A100" s="8" t="s">
        <v>516</v>
      </c>
      <c r="B100" s="9">
        <v>45211</v>
      </c>
      <c r="C100" s="9">
        <v>45150</v>
      </c>
      <c r="D100" s="8" t="s">
        <v>519</v>
      </c>
      <c r="E100" s="8" t="s">
        <v>58</v>
      </c>
      <c r="F100" s="8" t="s">
        <v>59</v>
      </c>
      <c r="G100" s="8" t="s">
        <v>129</v>
      </c>
      <c r="H100" s="8" t="s">
        <v>520</v>
      </c>
      <c r="I100" s="8" t="s">
        <v>4969</v>
      </c>
      <c r="J100" s="10">
        <v>483</v>
      </c>
      <c r="K100" s="11">
        <v>266.17</v>
      </c>
      <c r="L100" s="11">
        <v>401.83</v>
      </c>
      <c r="M100" s="11">
        <v>194083.89</v>
      </c>
      <c r="N100" s="11">
        <v>128560.11</v>
      </c>
      <c r="O100" s="11">
        <f>CleanedData[[#This Row],[Total Sales ($)]]-CleanedData[[#This Row],[Total Cost ($)]]</f>
        <v>65523.780000000013</v>
      </c>
      <c r="P100" s="12">
        <f>CleanedData[[#This Row],[Profit ($)]]/CleanedData[[#This Row],[Total Sales ($)]]</f>
        <v>0.33760545504317752</v>
      </c>
      <c r="Q100" s="8" t="s">
        <v>95</v>
      </c>
      <c r="R100" s="8" t="s">
        <v>63</v>
      </c>
      <c r="S100" s="8" t="b">
        <f>_xlfn.SINGLE(CleanedData[[#This Row],[Delivery Status]])="Late"</f>
        <v>0</v>
      </c>
      <c r="T100" s="10">
        <v>2</v>
      </c>
      <c r="U100" s="8" t="s">
        <v>43</v>
      </c>
      <c r="V100" s="10">
        <v>2470</v>
      </c>
      <c r="W100" s="10">
        <v>0</v>
      </c>
      <c r="X100" s="12">
        <v>0</v>
      </c>
      <c r="Y100" s="8" t="b">
        <f>CleanedData[[#This Row],[Ship Date]]&lt;CleanedData[[#This Row],[Order Date]]</f>
        <v>1</v>
      </c>
      <c r="Z100" s="10">
        <f>YEAR(CleanedData[[#This Row],[Order Date]])</f>
        <v>2023</v>
      </c>
      <c r="AA100" s="8">
        <f>MONTH(CleanedData[[#This Row],[Order Date]])</f>
        <v>10</v>
      </c>
    </row>
    <row r="101" spans="1:27" x14ac:dyDescent="0.35">
      <c r="A101" s="8" t="s">
        <v>521</v>
      </c>
      <c r="B101" s="9">
        <v>44952</v>
      </c>
      <c r="C101" s="9">
        <v>45008</v>
      </c>
      <c r="D101" s="8" t="s">
        <v>523</v>
      </c>
      <c r="E101" s="8" t="s">
        <v>68</v>
      </c>
      <c r="F101" s="8" t="s">
        <v>69</v>
      </c>
      <c r="G101" s="8" t="s">
        <v>217</v>
      </c>
      <c r="H101" s="8" t="s">
        <v>524</v>
      </c>
      <c r="I101" s="8" t="s">
        <v>4978</v>
      </c>
      <c r="J101" s="10">
        <v>139</v>
      </c>
      <c r="K101" s="11">
        <v>262.31</v>
      </c>
      <c r="L101" s="11">
        <v>368.2</v>
      </c>
      <c r="M101" s="11">
        <v>51179.8</v>
      </c>
      <c r="N101" s="11">
        <v>36461.089999999997</v>
      </c>
      <c r="O101" s="11">
        <f>CleanedData[[#This Row],[Total Sales ($)]]-CleanedData[[#This Row],[Total Cost ($)]]</f>
        <v>14718.710000000006</v>
      </c>
      <c r="P101" s="12">
        <f>CleanedData[[#This Row],[Profit ($)]]/CleanedData[[#This Row],[Total Sales ($)]]</f>
        <v>0.28758826724606201</v>
      </c>
      <c r="Q101" s="8" t="s">
        <v>42</v>
      </c>
      <c r="R101" s="8" t="s">
        <v>32</v>
      </c>
      <c r="S101" s="8" t="b">
        <f>_xlfn.SINGLE(CleanedData[[#This Row],[Delivery Status]])="Late"</f>
        <v>1</v>
      </c>
      <c r="T101" s="10">
        <v>14</v>
      </c>
      <c r="U101" s="8" t="s">
        <v>53</v>
      </c>
      <c r="V101" s="10">
        <v>3443</v>
      </c>
      <c r="W101" s="10">
        <v>5</v>
      </c>
      <c r="X101" s="12">
        <v>3.5971223021582698E-2</v>
      </c>
      <c r="Y101" s="8" t="b">
        <f>CleanedData[[#This Row],[Ship Date]]&lt;CleanedData[[#This Row],[Order Date]]</f>
        <v>0</v>
      </c>
      <c r="Z101" s="10">
        <f>YEAR(CleanedData[[#This Row],[Order Date]])</f>
        <v>2023</v>
      </c>
      <c r="AA101" s="8">
        <f>MONTH(CleanedData[[#This Row],[Order Date]])</f>
        <v>1</v>
      </c>
    </row>
    <row r="102" spans="1:27" x14ac:dyDescent="0.35">
      <c r="A102" s="8" t="s">
        <v>525</v>
      </c>
      <c r="B102" s="9">
        <v>45622</v>
      </c>
      <c r="C102" s="9">
        <v>45450</v>
      </c>
      <c r="D102" s="8" t="s">
        <v>526</v>
      </c>
      <c r="E102" s="8" t="s">
        <v>68</v>
      </c>
      <c r="F102" s="8" t="s">
        <v>276</v>
      </c>
      <c r="G102" s="8" t="s">
        <v>39</v>
      </c>
      <c r="H102" s="8" t="s">
        <v>527</v>
      </c>
      <c r="I102" s="8" t="s">
        <v>4970</v>
      </c>
      <c r="J102" s="10">
        <v>746</v>
      </c>
      <c r="K102" s="11">
        <v>1086.71</v>
      </c>
      <c r="L102" s="11">
        <v>1566.72</v>
      </c>
      <c r="M102" s="11">
        <v>1168773.1200000001</v>
      </c>
      <c r="N102" s="11">
        <v>810685.66</v>
      </c>
      <c r="O102" s="11">
        <f>CleanedData[[#This Row],[Total Sales ($)]]-CleanedData[[#This Row],[Total Cost ($)]]</f>
        <v>358087.46000000008</v>
      </c>
      <c r="P102" s="12">
        <f>CleanedData[[#This Row],[Profit ($)]]/CleanedData[[#This Row],[Total Sales ($)]]</f>
        <v>0.3063789317810458</v>
      </c>
      <c r="Q102" s="8" t="s">
        <v>95</v>
      </c>
      <c r="R102" s="8" t="s">
        <v>63</v>
      </c>
      <c r="S102" s="8" t="b">
        <f>_xlfn.SINGLE(CleanedData[[#This Row],[Delivery Status]])="Late"</f>
        <v>0</v>
      </c>
      <c r="T102" s="10">
        <v>3</v>
      </c>
      <c r="U102" s="8" t="s">
        <v>33</v>
      </c>
      <c r="V102" s="10">
        <v>2024</v>
      </c>
      <c r="W102" s="10">
        <v>2</v>
      </c>
      <c r="X102" s="12">
        <v>2.6809651474529999E-3</v>
      </c>
      <c r="Y102" s="8" t="b">
        <f>CleanedData[[#This Row],[Ship Date]]&lt;CleanedData[[#This Row],[Order Date]]</f>
        <v>1</v>
      </c>
      <c r="Z102" s="10">
        <f>YEAR(CleanedData[[#This Row],[Order Date]])</f>
        <v>2024</v>
      </c>
      <c r="AA102" s="8">
        <f>MONTH(CleanedData[[#This Row],[Order Date]])</f>
        <v>11</v>
      </c>
    </row>
    <row r="103" spans="1:27" x14ac:dyDescent="0.35">
      <c r="A103" s="8" t="s">
        <v>528</v>
      </c>
      <c r="B103" s="9">
        <v>45244</v>
      </c>
      <c r="C103" s="9">
        <v>45010</v>
      </c>
      <c r="D103" s="8" t="s">
        <v>530</v>
      </c>
      <c r="E103" s="8" t="s">
        <v>68</v>
      </c>
      <c r="F103" s="8" t="s">
        <v>276</v>
      </c>
      <c r="G103" s="8" t="s">
        <v>60</v>
      </c>
      <c r="H103" s="8" t="s">
        <v>229</v>
      </c>
      <c r="I103" s="8" t="s">
        <v>4978</v>
      </c>
      <c r="J103" s="10">
        <v>262</v>
      </c>
      <c r="K103" s="11">
        <v>53.12</v>
      </c>
      <c r="L103" s="11">
        <v>76.510000000000005</v>
      </c>
      <c r="M103" s="11">
        <v>20045.62</v>
      </c>
      <c r="N103" s="11">
        <v>13917.44</v>
      </c>
      <c r="O103" s="11">
        <f>CleanedData[[#This Row],[Total Sales ($)]]-CleanedData[[#This Row],[Total Cost ($)]]</f>
        <v>6128.1799999999985</v>
      </c>
      <c r="P103" s="12">
        <f>CleanedData[[#This Row],[Profit ($)]]/CleanedData[[#This Row],[Total Sales ($)]]</f>
        <v>0.30571167167690494</v>
      </c>
      <c r="Q103" s="8" t="s">
        <v>52</v>
      </c>
      <c r="R103" s="8" t="s">
        <v>63</v>
      </c>
      <c r="S103" s="8" t="b">
        <f>_xlfn.SINGLE(CleanedData[[#This Row],[Delivery Status]])="Late"</f>
        <v>0</v>
      </c>
      <c r="T103" s="10">
        <v>2</v>
      </c>
      <c r="U103" s="8" t="s">
        <v>112</v>
      </c>
      <c r="V103" s="10">
        <v>4285</v>
      </c>
      <c r="W103" s="10">
        <v>1</v>
      </c>
      <c r="X103" s="12">
        <v>3.8167938931297002E-3</v>
      </c>
      <c r="Y103" s="8" t="b">
        <f>CleanedData[[#This Row],[Ship Date]]&lt;CleanedData[[#This Row],[Order Date]]</f>
        <v>1</v>
      </c>
      <c r="Z103" s="10">
        <f>YEAR(CleanedData[[#This Row],[Order Date]])</f>
        <v>2023</v>
      </c>
      <c r="AA103" s="8">
        <f>MONTH(CleanedData[[#This Row],[Order Date]])</f>
        <v>11</v>
      </c>
    </row>
    <row r="104" spans="1:27" x14ac:dyDescent="0.35">
      <c r="A104" s="8" t="s">
        <v>531</v>
      </c>
      <c r="B104" s="9">
        <v>45155</v>
      </c>
      <c r="C104" s="9">
        <v>45123</v>
      </c>
      <c r="D104" s="8" t="s">
        <v>534</v>
      </c>
      <c r="E104" s="8" t="s">
        <v>58</v>
      </c>
      <c r="F104" s="8" t="s">
        <v>59</v>
      </c>
      <c r="G104" s="8" t="s">
        <v>217</v>
      </c>
      <c r="H104" s="8" t="s">
        <v>292</v>
      </c>
      <c r="I104" s="8" t="s">
        <v>4969</v>
      </c>
      <c r="J104" s="10">
        <v>246</v>
      </c>
      <c r="K104" s="11">
        <v>147.44</v>
      </c>
      <c r="L104" s="11">
        <v>187.67</v>
      </c>
      <c r="M104" s="11">
        <v>46166.82</v>
      </c>
      <c r="N104" s="11">
        <v>36270.239999999998</v>
      </c>
      <c r="O104" s="11">
        <f>CleanedData[[#This Row],[Total Sales ($)]]-CleanedData[[#This Row],[Total Cost ($)]]</f>
        <v>9896.5800000000017</v>
      </c>
      <c r="P104" s="12">
        <f>CleanedData[[#This Row],[Profit ($)]]/CleanedData[[#This Row],[Total Sales ($)]]</f>
        <v>0.21436564181808498</v>
      </c>
      <c r="Q104" s="8" t="s">
        <v>42</v>
      </c>
      <c r="R104" s="8" t="s">
        <v>63</v>
      </c>
      <c r="S104" s="8" t="b">
        <f>_xlfn.SINGLE(CleanedData[[#This Row],[Delivery Status]])="Late"</f>
        <v>0</v>
      </c>
      <c r="T104" s="10">
        <v>2</v>
      </c>
      <c r="U104" s="8" t="s">
        <v>112</v>
      </c>
      <c r="V104" s="10">
        <v>1393</v>
      </c>
      <c r="W104" s="10">
        <v>6</v>
      </c>
      <c r="X104" s="12">
        <v>2.4390243902439001E-2</v>
      </c>
      <c r="Y104" s="8" t="b">
        <f>CleanedData[[#This Row],[Ship Date]]&lt;CleanedData[[#This Row],[Order Date]]</f>
        <v>1</v>
      </c>
      <c r="Z104" s="10">
        <f>YEAR(CleanedData[[#This Row],[Order Date]])</f>
        <v>2023</v>
      </c>
      <c r="AA104" s="8">
        <f>MONTH(CleanedData[[#This Row],[Order Date]])</f>
        <v>8</v>
      </c>
    </row>
    <row r="105" spans="1:27" x14ac:dyDescent="0.35">
      <c r="A105" s="8" t="s">
        <v>535</v>
      </c>
      <c r="B105" s="9">
        <v>45029</v>
      </c>
      <c r="C105" s="9">
        <v>45231</v>
      </c>
      <c r="D105" s="8" t="s">
        <v>537</v>
      </c>
      <c r="E105" s="8" t="s">
        <v>100</v>
      </c>
      <c r="F105" s="8" t="s">
        <v>538</v>
      </c>
      <c r="G105" s="8" t="s">
        <v>60</v>
      </c>
      <c r="H105" s="8" t="s">
        <v>539</v>
      </c>
      <c r="I105" s="8" t="s">
        <v>4974</v>
      </c>
      <c r="J105" s="10">
        <v>165</v>
      </c>
      <c r="K105" s="11">
        <v>883.24</v>
      </c>
      <c r="L105" s="11">
        <v>1187.02</v>
      </c>
      <c r="M105" s="11">
        <v>195858.3</v>
      </c>
      <c r="N105" s="11">
        <v>145734.6</v>
      </c>
      <c r="O105" s="11">
        <f>CleanedData[[#This Row],[Total Sales ($)]]-CleanedData[[#This Row],[Total Cost ($)]]</f>
        <v>50123.699999999983</v>
      </c>
      <c r="P105" s="12">
        <f>CleanedData[[#This Row],[Profit ($)]]/CleanedData[[#This Row],[Total Sales ($)]]</f>
        <v>0.25591818166500979</v>
      </c>
      <c r="Q105" s="8" t="s">
        <v>31</v>
      </c>
      <c r="R105" s="8" t="s">
        <v>63</v>
      </c>
      <c r="S105" s="8" t="b">
        <f>_xlfn.SINGLE(CleanedData[[#This Row],[Delivery Status]])="Late"</f>
        <v>0</v>
      </c>
      <c r="T105" s="10">
        <v>2</v>
      </c>
      <c r="U105" s="8" t="s">
        <v>158</v>
      </c>
      <c r="V105" s="10">
        <v>4864</v>
      </c>
      <c r="W105" s="10">
        <v>1</v>
      </c>
      <c r="X105" s="12">
        <v>6.0606060606059999E-3</v>
      </c>
      <c r="Y105" s="8" t="b">
        <f>CleanedData[[#This Row],[Ship Date]]&lt;CleanedData[[#This Row],[Order Date]]</f>
        <v>0</v>
      </c>
      <c r="Z105" s="10">
        <f>YEAR(CleanedData[[#This Row],[Order Date]])</f>
        <v>2023</v>
      </c>
      <c r="AA105" s="8">
        <f>MONTH(CleanedData[[#This Row],[Order Date]])</f>
        <v>4</v>
      </c>
    </row>
    <row r="106" spans="1:27" x14ac:dyDescent="0.35">
      <c r="A106" s="8" t="s">
        <v>541</v>
      </c>
      <c r="B106" s="9">
        <v>44927</v>
      </c>
      <c r="C106" s="9">
        <v>45091</v>
      </c>
      <c r="D106" s="8" t="s">
        <v>543</v>
      </c>
      <c r="E106" s="8" t="s">
        <v>48</v>
      </c>
      <c r="F106" s="8" t="s">
        <v>49</v>
      </c>
      <c r="G106" s="8" t="s">
        <v>60</v>
      </c>
      <c r="H106" s="8" t="s">
        <v>229</v>
      </c>
      <c r="I106" s="8" t="s">
        <v>4971</v>
      </c>
      <c r="J106" s="10">
        <v>153</v>
      </c>
      <c r="K106" s="11">
        <v>953.02</v>
      </c>
      <c r="L106" s="11">
        <v>1323.69</v>
      </c>
      <c r="M106" s="11">
        <v>202524.57</v>
      </c>
      <c r="N106" s="11">
        <v>145812.06</v>
      </c>
      <c r="O106" s="11">
        <f>CleanedData[[#This Row],[Total Sales ($)]]-CleanedData[[#This Row],[Total Cost ($)]]</f>
        <v>56712.510000000009</v>
      </c>
      <c r="P106" s="12">
        <f>CleanedData[[#This Row],[Profit ($)]]/CleanedData[[#This Row],[Total Sales ($)]]</f>
        <v>0.28002780107124786</v>
      </c>
      <c r="Q106" s="8" t="s">
        <v>52</v>
      </c>
      <c r="R106" s="8" t="s">
        <v>32</v>
      </c>
      <c r="S106" s="8" t="b">
        <f>_xlfn.SINGLE(CleanedData[[#This Row],[Delivery Status]])="Late"</f>
        <v>1</v>
      </c>
      <c r="T106" s="10">
        <v>10</v>
      </c>
      <c r="U106" s="8" t="s">
        <v>86</v>
      </c>
      <c r="V106" s="10">
        <v>4537</v>
      </c>
      <c r="W106" s="10">
        <v>3</v>
      </c>
      <c r="X106" s="12">
        <v>1.9607843137254902E-2</v>
      </c>
      <c r="Y106" s="8" t="b">
        <f>CleanedData[[#This Row],[Ship Date]]&lt;CleanedData[[#This Row],[Order Date]]</f>
        <v>0</v>
      </c>
      <c r="Z106" s="10">
        <f>YEAR(CleanedData[[#This Row],[Order Date]])</f>
        <v>2023</v>
      </c>
      <c r="AA106" s="8">
        <f>MONTH(CleanedData[[#This Row],[Order Date]])</f>
        <v>1</v>
      </c>
    </row>
    <row r="107" spans="1:27" x14ac:dyDescent="0.35">
      <c r="A107" s="8" t="s">
        <v>544</v>
      </c>
      <c r="B107" s="9">
        <v>45236</v>
      </c>
      <c r="C107" s="9">
        <v>45140</v>
      </c>
      <c r="D107" s="8" t="s">
        <v>546</v>
      </c>
      <c r="E107" s="8" t="s">
        <v>100</v>
      </c>
      <c r="F107" s="8" t="s">
        <v>106</v>
      </c>
      <c r="G107" s="8" t="s">
        <v>28</v>
      </c>
      <c r="H107" s="8" t="s">
        <v>29</v>
      </c>
      <c r="I107" s="8" t="s">
        <v>4973</v>
      </c>
      <c r="J107" s="10">
        <v>236</v>
      </c>
      <c r="K107" s="11">
        <v>1105.6600000000001</v>
      </c>
      <c r="L107" s="11">
        <v>1772.77</v>
      </c>
      <c r="M107" s="11">
        <v>418373.72</v>
      </c>
      <c r="N107" s="11">
        <v>260935.76</v>
      </c>
      <c r="O107" s="11">
        <f>CleanedData[[#This Row],[Total Sales ($)]]-CleanedData[[#This Row],[Total Cost ($)]]</f>
        <v>157437.95999999996</v>
      </c>
      <c r="P107" s="12">
        <f>CleanedData[[#This Row],[Profit ($)]]/CleanedData[[#This Row],[Total Sales ($)]]</f>
        <v>0.37630939151723003</v>
      </c>
      <c r="Q107" s="8" t="s">
        <v>95</v>
      </c>
      <c r="R107" s="8" t="s">
        <v>32</v>
      </c>
      <c r="S107" s="8" t="b">
        <f>_xlfn.SINGLE(CleanedData[[#This Row],[Delivery Status]])="Late"</f>
        <v>1</v>
      </c>
      <c r="T107" s="10">
        <v>10</v>
      </c>
      <c r="U107" s="8" t="s">
        <v>33</v>
      </c>
      <c r="V107" s="10">
        <v>907</v>
      </c>
      <c r="W107" s="10">
        <v>9</v>
      </c>
      <c r="X107" s="12">
        <v>3.8135593220338902E-2</v>
      </c>
      <c r="Y107" s="8" t="b">
        <f>CleanedData[[#This Row],[Ship Date]]&lt;CleanedData[[#This Row],[Order Date]]</f>
        <v>1</v>
      </c>
      <c r="Z107" s="10">
        <f>YEAR(CleanedData[[#This Row],[Order Date]])</f>
        <v>2023</v>
      </c>
      <c r="AA107" s="8">
        <f>MONTH(CleanedData[[#This Row],[Order Date]])</f>
        <v>11</v>
      </c>
    </row>
    <row r="108" spans="1:27" x14ac:dyDescent="0.35">
      <c r="A108" s="8" t="s">
        <v>547</v>
      </c>
      <c r="B108" s="9">
        <v>44961</v>
      </c>
      <c r="C108" s="9">
        <v>45613</v>
      </c>
      <c r="D108" s="8" t="s">
        <v>550</v>
      </c>
      <c r="E108" s="8" t="s">
        <v>68</v>
      </c>
      <c r="F108" s="8" t="s">
        <v>163</v>
      </c>
      <c r="G108" s="8" t="s">
        <v>217</v>
      </c>
      <c r="H108" s="8" t="s">
        <v>494</v>
      </c>
      <c r="I108" s="8" t="s">
        <v>4977</v>
      </c>
      <c r="J108" s="10">
        <v>647</v>
      </c>
      <c r="K108" s="11">
        <v>1094.23</v>
      </c>
      <c r="L108" s="11">
        <v>1461.26</v>
      </c>
      <c r="M108" s="11">
        <v>945435.22</v>
      </c>
      <c r="N108" s="11">
        <v>707966.81</v>
      </c>
      <c r="O108" s="11">
        <f>CleanedData[[#This Row],[Total Sales ($)]]-CleanedData[[#This Row],[Total Cost ($)]]</f>
        <v>237468.40999999992</v>
      </c>
      <c r="P108" s="12">
        <f>CleanedData[[#This Row],[Profit ($)]]/CleanedData[[#This Row],[Total Sales ($)]]</f>
        <v>0.25117364466282516</v>
      </c>
      <c r="Q108" s="8" t="s">
        <v>95</v>
      </c>
      <c r="R108" s="8" t="s">
        <v>32</v>
      </c>
      <c r="S108" s="8" t="b">
        <f>_xlfn.SINGLE(CleanedData[[#This Row],[Delivery Status]])="Late"</f>
        <v>1</v>
      </c>
      <c r="T108" s="10">
        <v>15</v>
      </c>
      <c r="U108" s="8" t="s">
        <v>53</v>
      </c>
      <c r="V108" s="10">
        <v>1207</v>
      </c>
      <c r="W108" s="10">
        <v>6</v>
      </c>
      <c r="X108" s="12">
        <v>9.2735703245749E-3</v>
      </c>
      <c r="Y108" s="8" t="b">
        <f>CleanedData[[#This Row],[Ship Date]]&lt;CleanedData[[#This Row],[Order Date]]</f>
        <v>0</v>
      </c>
      <c r="Z108" s="10">
        <f>YEAR(CleanedData[[#This Row],[Order Date]])</f>
        <v>2023</v>
      </c>
      <c r="AA108" s="8">
        <f>MONTH(CleanedData[[#This Row],[Order Date]])</f>
        <v>2</v>
      </c>
    </row>
    <row r="109" spans="1:27" x14ac:dyDescent="0.35">
      <c r="A109" s="8" t="s">
        <v>551</v>
      </c>
      <c r="B109" s="9">
        <v>45549</v>
      </c>
      <c r="C109" s="9">
        <v>45314</v>
      </c>
      <c r="D109" s="8" t="s">
        <v>554</v>
      </c>
      <c r="E109" s="8" t="s">
        <v>48</v>
      </c>
      <c r="F109" s="8" t="s">
        <v>49</v>
      </c>
      <c r="G109" s="8" t="s">
        <v>93</v>
      </c>
      <c r="H109" s="8" t="s">
        <v>302</v>
      </c>
      <c r="I109" s="8" t="s">
        <v>4979</v>
      </c>
      <c r="J109" s="10">
        <v>633</v>
      </c>
      <c r="K109" s="11">
        <v>1166.3</v>
      </c>
      <c r="L109" s="11">
        <v>1472.25</v>
      </c>
      <c r="M109" s="11">
        <v>931934.25</v>
      </c>
      <c r="N109" s="11">
        <v>738267.9</v>
      </c>
      <c r="O109" s="11">
        <f>CleanedData[[#This Row],[Total Sales ($)]]-CleanedData[[#This Row],[Total Cost ($)]]</f>
        <v>193666.34999999998</v>
      </c>
      <c r="P109" s="12">
        <f>CleanedData[[#This Row],[Profit ($)]]/CleanedData[[#This Row],[Total Sales ($)]]</f>
        <v>0.20781117337408725</v>
      </c>
      <c r="Q109" s="8" t="s">
        <v>95</v>
      </c>
      <c r="R109" s="8" t="s">
        <v>32</v>
      </c>
      <c r="S109" s="8" t="b">
        <f>_xlfn.SINGLE(CleanedData[[#This Row],[Delivery Status]])="Late"</f>
        <v>1</v>
      </c>
      <c r="T109" s="10">
        <v>15</v>
      </c>
      <c r="U109" s="8" t="s">
        <v>53</v>
      </c>
      <c r="V109" s="10">
        <v>519</v>
      </c>
      <c r="W109" s="10">
        <v>10</v>
      </c>
      <c r="X109" s="12">
        <v>1.5797788309636601E-2</v>
      </c>
      <c r="Y109" s="8" t="b">
        <f>CleanedData[[#This Row],[Ship Date]]&lt;CleanedData[[#This Row],[Order Date]]</f>
        <v>1</v>
      </c>
      <c r="Z109" s="10">
        <f>YEAR(CleanedData[[#This Row],[Order Date]])</f>
        <v>2024</v>
      </c>
      <c r="AA109" s="8">
        <f>MONTH(CleanedData[[#This Row],[Order Date]])</f>
        <v>9</v>
      </c>
    </row>
    <row r="110" spans="1:27" x14ac:dyDescent="0.35">
      <c r="A110" s="8" t="s">
        <v>555</v>
      </c>
      <c r="B110" s="9">
        <v>45170</v>
      </c>
      <c r="C110" s="9">
        <v>45149</v>
      </c>
      <c r="D110" s="8" t="s">
        <v>557</v>
      </c>
      <c r="E110" s="8" t="s">
        <v>48</v>
      </c>
      <c r="F110" s="8" t="s">
        <v>223</v>
      </c>
      <c r="G110" s="8" t="s">
        <v>93</v>
      </c>
      <c r="H110" s="8" t="s">
        <v>94</v>
      </c>
      <c r="I110" s="8" t="s">
        <v>4977</v>
      </c>
      <c r="J110" s="10">
        <v>698</v>
      </c>
      <c r="K110" s="11">
        <v>448.85</v>
      </c>
      <c r="L110" s="11">
        <v>607.67999999999995</v>
      </c>
      <c r="M110" s="11">
        <v>424160.64</v>
      </c>
      <c r="N110" s="11">
        <v>313297.3</v>
      </c>
      <c r="O110" s="11">
        <f>CleanedData[[#This Row],[Total Sales ($)]]-CleanedData[[#This Row],[Total Cost ($)]]</f>
        <v>110863.34000000003</v>
      </c>
      <c r="P110" s="12">
        <f>CleanedData[[#This Row],[Profit ($)]]/CleanedData[[#This Row],[Total Sales ($)]]</f>
        <v>0.26137111637704058</v>
      </c>
      <c r="Q110" s="8" t="s">
        <v>31</v>
      </c>
      <c r="R110" s="8" t="s">
        <v>32</v>
      </c>
      <c r="S110" s="8" t="b">
        <f>_xlfn.SINGLE(CleanedData[[#This Row],[Delivery Status]])="Late"</f>
        <v>1</v>
      </c>
      <c r="T110" s="10">
        <v>9</v>
      </c>
      <c r="U110" s="8" t="s">
        <v>43</v>
      </c>
      <c r="V110" s="10">
        <v>2361</v>
      </c>
      <c r="W110" s="10">
        <v>19</v>
      </c>
      <c r="X110" s="12">
        <v>2.72206303724928E-2</v>
      </c>
      <c r="Y110" s="8" t="b">
        <f>CleanedData[[#This Row],[Ship Date]]&lt;CleanedData[[#This Row],[Order Date]]</f>
        <v>1</v>
      </c>
      <c r="Z110" s="10">
        <f>YEAR(CleanedData[[#This Row],[Order Date]])</f>
        <v>2023</v>
      </c>
      <c r="AA110" s="8">
        <f>MONTH(CleanedData[[#This Row],[Order Date]])</f>
        <v>9</v>
      </c>
    </row>
    <row r="111" spans="1:27" x14ac:dyDescent="0.35">
      <c r="A111" s="8" t="s">
        <v>558</v>
      </c>
      <c r="B111" s="9">
        <v>45190</v>
      </c>
      <c r="C111" s="9">
        <v>44998</v>
      </c>
      <c r="D111" s="8" t="s">
        <v>560</v>
      </c>
      <c r="E111" s="8" t="s">
        <v>100</v>
      </c>
      <c r="F111" s="8" t="s">
        <v>330</v>
      </c>
      <c r="G111" s="8" t="s">
        <v>189</v>
      </c>
      <c r="H111" s="8" t="s">
        <v>561</v>
      </c>
      <c r="I111" s="8" t="s">
        <v>4978</v>
      </c>
      <c r="J111" s="10">
        <v>496</v>
      </c>
      <c r="K111" s="11">
        <v>546.91</v>
      </c>
      <c r="L111" s="11">
        <v>892.39</v>
      </c>
      <c r="M111" s="11">
        <v>442625.44</v>
      </c>
      <c r="N111" s="11">
        <v>271267.36</v>
      </c>
      <c r="O111" s="11">
        <f>CleanedData[[#This Row],[Total Sales ($)]]-CleanedData[[#This Row],[Total Cost ($)]]</f>
        <v>171358.08000000002</v>
      </c>
      <c r="P111" s="12">
        <f>CleanedData[[#This Row],[Profit ($)]]/CleanedData[[#This Row],[Total Sales ($)]]</f>
        <v>0.38714015172738381</v>
      </c>
      <c r="Q111" s="8" t="s">
        <v>31</v>
      </c>
      <c r="R111" s="8" t="s">
        <v>63</v>
      </c>
      <c r="S111" s="8" t="b">
        <f>_xlfn.SINGLE(CleanedData[[#This Row],[Delivery Status]])="Late"</f>
        <v>0</v>
      </c>
      <c r="T111" s="10">
        <v>1</v>
      </c>
      <c r="U111" s="8" t="s">
        <v>86</v>
      </c>
      <c r="V111" s="10">
        <v>548</v>
      </c>
      <c r="W111" s="10">
        <v>1</v>
      </c>
      <c r="X111" s="12">
        <v>2.0161290322579998E-3</v>
      </c>
      <c r="Y111" s="8" t="b">
        <f>CleanedData[[#This Row],[Ship Date]]&lt;CleanedData[[#This Row],[Order Date]]</f>
        <v>1</v>
      </c>
      <c r="Z111" s="10">
        <f>YEAR(CleanedData[[#This Row],[Order Date]])</f>
        <v>2023</v>
      </c>
      <c r="AA111" s="8">
        <f>MONTH(CleanedData[[#This Row],[Order Date]])</f>
        <v>9</v>
      </c>
    </row>
    <row r="112" spans="1:27" x14ac:dyDescent="0.35">
      <c r="A112" s="8" t="s">
        <v>562</v>
      </c>
      <c r="B112" s="9">
        <v>45091</v>
      </c>
      <c r="C112" s="9">
        <v>45125</v>
      </c>
      <c r="D112" s="8" t="s">
        <v>565</v>
      </c>
      <c r="E112" s="8" t="s">
        <v>68</v>
      </c>
      <c r="F112" s="8" t="s">
        <v>163</v>
      </c>
      <c r="G112" s="8" t="s">
        <v>189</v>
      </c>
      <c r="H112" s="8" t="s">
        <v>365</v>
      </c>
      <c r="I112" s="8" t="s">
        <v>4978</v>
      </c>
      <c r="J112" s="10">
        <v>581</v>
      </c>
      <c r="K112" s="11">
        <v>-2</v>
      </c>
      <c r="L112" s="11">
        <v>311.08999999999997</v>
      </c>
      <c r="M112" s="11">
        <v>180743.29</v>
      </c>
      <c r="N112" s="11">
        <v>159995.78</v>
      </c>
      <c r="O112" s="11">
        <f>CleanedData[[#This Row],[Total Sales ($)]]-CleanedData[[#This Row],[Total Cost ($)]]</f>
        <v>20747.510000000009</v>
      </c>
      <c r="P112" s="12">
        <f>CleanedData[[#This Row],[Profit ($)]]/CleanedData[[#This Row],[Total Sales ($)]]</f>
        <v>0.11478993217396899</v>
      </c>
      <c r="Q112" s="8" t="s">
        <v>31</v>
      </c>
      <c r="R112" s="8" t="s">
        <v>63</v>
      </c>
      <c r="S112" s="8" t="b">
        <f>_xlfn.SINGLE(CleanedData[[#This Row],[Delivery Status]])="Late"</f>
        <v>0</v>
      </c>
      <c r="T112" s="10">
        <v>3</v>
      </c>
      <c r="U112" s="8" t="s">
        <v>33</v>
      </c>
      <c r="V112" s="10">
        <v>3179</v>
      </c>
      <c r="W112" s="10">
        <v>26</v>
      </c>
      <c r="X112" s="12">
        <v>4.4750430292598897E-2</v>
      </c>
      <c r="Y112" s="8" t="b">
        <f>CleanedData[[#This Row],[Ship Date]]&lt;CleanedData[[#This Row],[Order Date]]</f>
        <v>0</v>
      </c>
      <c r="Z112" s="10">
        <f>YEAR(CleanedData[[#This Row],[Order Date]])</f>
        <v>2023</v>
      </c>
      <c r="AA112" s="8">
        <f>MONTH(CleanedData[[#This Row],[Order Date]])</f>
        <v>6</v>
      </c>
    </row>
    <row r="113" spans="1:27" x14ac:dyDescent="0.35">
      <c r="A113" s="8" t="s">
        <v>566</v>
      </c>
      <c r="B113" s="9">
        <v>45184</v>
      </c>
      <c r="C113" s="9">
        <v>44989</v>
      </c>
      <c r="D113" s="8" t="s">
        <v>4980</v>
      </c>
      <c r="E113" s="8" t="s">
        <v>58</v>
      </c>
      <c r="F113" s="8" t="s">
        <v>568</v>
      </c>
      <c r="G113" s="8" t="s">
        <v>93</v>
      </c>
      <c r="H113" s="8" t="s">
        <v>140</v>
      </c>
      <c r="I113" s="8" t="s">
        <v>4977</v>
      </c>
      <c r="J113" s="10">
        <v>787</v>
      </c>
      <c r="K113" s="11">
        <v>28.92</v>
      </c>
      <c r="L113" s="11">
        <v>44.98</v>
      </c>
      <c r="M113" s="11">
        <v>35399.26</v>
      </c>
      <c r="N113" s="11">
        <v>22760.04</v>
      </c>
      <c r="O113" s="11">
        <f>CleanedData[[#This Row],[Total Sales ($)]]-CleanedData[[#This Row],[Total Cost ($)]]</f>
        <v>12639.220000000001</v>
      </c>
      <c r="P113" s="12">
        <f>CleanedData[[#This Row],[Profit ($)]]/CleanedData[[#This Row],[Total Sales ($)]]</f>
        <v>0.35704757670075593</v>
      </c>
      <c r="Q113" s="8" t="s">
        <v>31</v>
      </c>
      <c r="R113" s="8" t="s">
        <v>32</v>
      </c>
      <c r="S113" s="8" t="b">
        <f>_xlfn.SINGLE(CleanedData[[#This Row],[Delivery Status]])="Late"</f>
        <v>1</v>
      </c>
      <c r="T113" s="10">
        <v>7</v>
      </c>
      <c r="U113" s="8" t="s">
        <v>33</v>
      </c>
      <c r="V113" s="10">
        <v>675</v>
      </c>
      <c r="W113" s="10">
        <v>29</v>
      </c>
      <c r="X113" s="12">
        <v>3.6848792884370998E-2</v>
      </c>
      <c r="Y113" s="8" t="b">
        <f>CleanedData[[#This Row],[Ship Date]]&lt;CleanedData[[#This Row],[Order Date]]</f>
        <v>1</v>
      </c>
      <c r="Z113" s="10">
        <f>YEAR(CleanedData[[#This Row],[Order Date]])</f>
        <v>2023</v>
      </c>
      <c r="AA113" s="8">
        <f>MONTH(CleanedData[[#This Row],[Order Date]])</f>
        <v>9</v>
      </c>
    </row>
    <row r="114" spans="1:27" x14ac:dyDescent="0.35">
      <c r="A114" s="8" t="s">
        <v>569</v>
      </c>
      <c r="B114" s="9">
        <v>45622</v>
      </c>
      <c r="C114" s="9">
        <v>45532</v>
      </c>
      <c r="D114" s="8" t="s">
        <v>571</v>
      </c>
      <c r="E114" s="8" t="s">
        <v>58</v>
      </c>
      <c r="F114" s="8" t="s">
        <v>417</v>
      </c>
      <c r="G114" s="8" t="s">
        <v>78</v>
      </c>
      <c r="H114" s="8" t="s">
        <v>572</v>
      </c>
      <c r="I114" s="8" t="s">
        <v>4971</v>
      </c>
      <c r="J114" s="10">
        <v>253</v>
      </c>
      <c r="K114" s="11">
        <v>290.12</v>
      </c>
      <c r="L114" s="11">
        <v>331.3</v>
      </c>
      <c r="M114" s="11">
        <v>83818.899999999994</v>
      </c>
      <c r="N114" s="11">
        <v>73400.36</v>
      </c>
      <c r="O114" s="11">
        <f>CleanedData[[#This Row],[Total Sales ($)]]-CleanedData[[#This Row],[Total Cost ($)]]</f>
        <v>10418.539999999994</v>
      </c>
      <c r="P114" s="12">
        <f>CleanedData[[#This Row],[Profit ($)]]/CleanedData[[#This Row],[Total Sales ($)]]</f>
        <v>0.12429821913673401</v>
      </c>
      <c r="Q114" s="8" t="s">
        <v>52</v>
      </c>
      <c r="R114" s="8" t="s">
        <v>32</v>
      </c>
      <c r="S114" s="8" t="b">
        <f>_xlfn.SINGLE(CleanedData[[#This Row],[Delivery Status]])="Late"</f>
        <v>1</v>
      </c>
      <c r="T114" s="10">
        <v>10</v>
      </c>
      <c r="U114" s="8" t="s">
        <v>53</v>
      </c>
      <c r="V114" s="10">
        <v>3370</v>
      </c>
      <c r="W114" s="10">
        <v>2</v>
      </c>
      <c r="X114" s="12">
        <v>7.9051383399208995E-3</v>
      </c>
      <c r="Y114" s="8" t="b">
        <f>CleanedData[[#This Row],[Ship Date]]&lt;CleanedData[[#This Row],[Order Date]]</f>
        <v>1</v>
      </c>
      <c r="Z114" s="10">
        <f>YEAR(CleanedData[[#This Row],[Order Date]])</f>
        <v>2024</v>
      </c>
      <c r="AA114" s="8">
        <f>MONTH(CleanedData[[#This Row],[Order Date]])</f>
        <v>11</v>
      </c>
    </row>
    <row r="115" spans="1:27" x14ac:dyDescent="0.35">
      <c r="A115" s="8" t="s">
        <v>573</v>
      </c>
      <c r="B115" s="9">
        <v>45011</v>
      </c>
      <c r="C115" s="9">
        <v>45205</v>
      </c>
      <c r="D115" s="8" t="s">
        <v>575</v>
      </c>
      <c r="E115" s="8" t="s">
        <v>48</v>
      </c>
      <c r="F115" s="8" t="s">
        <v>183</v>
      </c>
      <c r="G115" s="8" t="s">
        <v>39</v>
      </c>
      <c r="H115" s="8" t="s">
        <v>412</v>
      </c>
      <c r="I115" s="8" t="s">
        <v>4975</v>
      </c>
      <c r="J115" s="10">
        <v>778</v>
      </c>
      <c r="K115" s="11">
        <v>396.74</v>
      </c>
      <c r="L115" s="11">
        <v>484.74</v>
      </c>
      <c r="M115" s="11">
        <v>377127.72</v>
      </c>
      <c r="N115" s="11">
        <v>308663.71999999997</v>
      </c>
      <c r="O115" s="11">
        <f>CleanedData[[#This Row],[Total Sales ($)]]-CleanedData[[#This Row],[Total Cost ($)]]</f>
        <v>68464</v>
      </c>
      <c r="P115" s="12">
        <f>CleanedData[[#This Row],[Profit ($)]]/CleanedData[[#This Row],[Total Sales ($)]]</f>
        <v>0.18154061971366095</v>
      </c>
      <c r="Q115" s="8" t="s">
        <v>95</v>
      </c>
      <c r="R115" s="8" t="s">
        <v>32</v>
      </c>
      <c r="S115" s="8" t="b">
        <f>_xlfn.SINGLE(CleanedData[[#This Row],[Delivery Status]])="Late"</f>
        <v>1</v>
      </c>
      <c r="T115" s="10">
        <v>13</v>
      </c>
      <c r="U115" s="8" t="s">
        <v>112</v>
      </c>
      <c r="V115" s="10">
        <v>1829</v>
      </c>
      <c r="W115" s="10">
        <v>28</v>
      </c>
      <c r="X115" s="12">
        <v>3.5989717223650297E-2</v>
      </c>
      <c r="Y115" s="8" t="b">
        <f>CleanedData[[#This Row],[Ship Date]]&lt;CleanedData[[#This Row],[Order Date]]</f>
        <v>0</v>
      </c>
      <c r="Z115" s="10">
        <f>YEAR(CleanedData[[#This Row],[Order Date]])</f>
        <v>2023</v>
      </c>
      <c r="AA115" s="8">
        <f>MONTH(CleanedData[[#This Row],[Order Date]])</f>
        <v>3</v>
      </c>
    </row>
    <row r="116" spans="1:27" x14ac:dyDescent="0.35">
      <c r="A116" s="8" t="s">
        <v>576</v>
      </c>
      <c r="B116" s="9">
        <v>44985</v>
      </c>
      <c r="C116" s="9">
        <v>45151</v>
      </c>
      <c r="D116" s="8" t="s">
        <v>578</v>
      </c>
      <c r="E116" s="8" t="s">
        <v>58</v>
      </c>
      <c r="F116" s="8" t="s">
        <v>417</v>
      </c>
      <c r="G116" s="8" t="s">
        <v>28</v>
      </c>
      <c r="H116" s="8" t="s">
        <v>579</v>
      </c>
      <c r="I116" s="8" t="s">
        <v>4968</v>
      </c>
      <c r="J116" s="10">
        <v>459</v>
      </c>
      <c r="K116" s="11">
        <v>1193.48</v>
      </c>
      <c r="L116" s="11">
        <v>1599.28</v>
      </c>
      <c r="M116" s="11">
        <v>734069.52</v>
      </c>
      <c r="N116" s="11">
        <v>547807.31999999995</v>
      </c>
      <c r="O116" s="11">
        <f>CleanedData[[#This Row],[Total Sales ($)]]-CleanedData[[#This Row],[Total Cost ($)]]</f>
        <v>186262.20000000007</v>
      </c>
      <c r="P116" s="12">
        <f>CleanedData[[#This Row],[Profit ($)]]/CleanedData[[#This Row],[Total Sales ($)]]</f>
        <v>0.25373918263218459</v>
      </c>
      <c r="Q116" s="8" t="s">
        <v>52</v>
      </c>
      <c r="R116" s="8" t="s">
        <v>32</v>
      </c>
      <c r="S116" s="8" t="b">
        <f>_xlfn.SINGLE(CleanedData[[#This Row],[Delivery Status]])="Late"</f>
        <v>1</v>
      </c>
      <c r="T116" s="10">
        <v>6</v>
      </c>
      <c r="U116" s="8" t="s">
        <v>112</v>
      </c>
      <c r="V116" s="10">
        <v>802</v>
      </c>
      <c r="W116" s="10">
        <v>19</v>
      </c>
      <c r="X116" s="12">
        <v>4.1394335511982502E-2</v>
      </c>
      <c r="Y116" s="8" t="b">
        <f>CleanedData[[#This Row],[Ship Date]]&lt;CleanedData[[#This Row],[Order Date]]</f>
        <v>0</v>
      </c>
      <c r="Z116" s="10">
        <f>YEAR(CleanedData[[#This Row],[Order Date]])</f>
        <v>2023</v>
      </c>
      <c r="AA116" s="8">
        <f>MONTH(CleanedData[[#This Row],[Order Date]])</f>
        <v>2</v>
      </c>
    </row>
    <row r="117" spans="1:27" x14ac:dyDescent="0.35">
      <c r="A117" s="8" t="s">
        <v>580</v>
      </c>
      <c r="B117" s="9">
        <v>44995</v>
      </c>
      <c r="C117" s="9">
        <v>45019</v>
      </c>
      <c r="D117" s="8" t="s">
        <v>583</v>
      </c>
      <c r="E117" s="8" t="s">
        <v>48</v>
      </c>
      <c r="F117" s="8" t="s">
        <v>183</v>
      </c>
      <c r="G117" s="8" t="s">
        <v>70</v>
      </c>
      <c r="H117" s="8" t="s">
        <v>239</v>
      </c>
      <c r="I117" s="8" t="s">
        <v>4977</v>
      </c>
      <c r="J117" s="10">
        <v>244</v>
      </c>
      <c r="K117" s="11">
        <v>645.53</v>
      </c>
      <c r="L117" s="11">
        <v>763.72</v>
      </c>
      <c r="M117" s="11">
        <v>186347.68</v>
      </c>
      <c r="N117" s="11">
        <v>157509.32</v>
      </c>
      <c r="O117" s="11">
        <f>CleanedData[[#This Row],[Total Sales ($)]]-CleanedData[[#This Row],[Total Cost ($)]]</f>
        <v>28838.359999999986</v>
      </c>
      <c r="P117" s="12">
        <f>CleanedData[[#This Row],[Profit ($)]]/CleanedData[[#This Row],[Total Sales ($)]]</f>
        <v>0.1547556696171371</v>
      </c>
      <c r="Q117" s="8" t="s">
        <v>52</v>
      </c>
      <c r="R117" s="8" t="s">
        <v>32</v>
      </c>
      <c r="S117" s="8" t="b">
        <f>_xlfn.SINGLE(CleanedData[[#This Row],[Delivery Status]])="Late"</f>
        <v>1</v>
      </c>
      <c r="T117" s="10">
        <v>14</v>
      </c>
      <c r="U117" s="8" t="s">
        <v>86</v>
      </c>
      <c r="V117" s="10">
        <v>3437</v>
      </c>
      <c r="W117" s="10">
        <v>6</v>
      </c>
      <c r="X117" s="12">
        <v>2.4590163934426201E-2</v>
      </c>
      <c r="Y117" s="8" t="b">
        <f>CleanedData[[#This Row],[Ship Date]]&lt;CleanedData[[#This Row],[Order Date]]</f>
        <v>0</v>
      </c>
      <c r="Z117" s="10">
        <f>YEAR(CleanedData[[#This Row],[Order Date]])</f>
        <v>2023</v>
      </c>
      <c r="AA117" s="8">
        <f>MONTH(CleanedData[[#This Row],[Order Date]])</f>
        <v>3</v>
      </c>
    </row>
    <row r="118" spans="1:27" x14ac:dyDescent="0.35">
      <c r="A118" s="8" t="s">
        <v>584</v>
      </c>
      <c r="B118" s="9">
        <v>44971</v>
      </c>
      <c r="C118" s="9">
        <v>45020</v>
      </c>
      <c r="D118" s="8" t="s">
        <v>586</v>
      </c>
      <c r="E118" s="8" t="s">
        <v>26</v>
      </c>
      <c r="F118" s="8" t="s">
        <v>38</v>
      </c>
      <c r="G118" s="8" t="s">
        <v>39</v>
      </c>
      <c r="H118" s="8" t="s">
        <v>354</v>
      </c>
      <c r="I118" s="8" t="s">
        <v>4978</v>
      </c>
      <c r="J118" s="10">
        <v>471</v>
      </c>
      <c r="K118" s="11">
        <v>958.78</v>
      </c>
      <c r="L118" s="11">
        <v>1160.3399999999999</v>
      </c>
      <c r="M118" s="11">
        <v>546520.14</v>
      </c>
      <c r="N118" s="11">
        <v>451585.38</v>
      </c>
      <c r="O118" s="11">
        <f>CleanedData[[#This Row],[Total Sales ($)]]-CleanedData[[#This Row],[Total Cost ($)]]</f>
        <v>94934.760000000009</v>
      </c>
      <c r="P118" s="12">
        <f>CleanedData[[#This Row],[Profit ($)]]/CleanedData[[#This Row],[Total Sales ($)]]</f>
        <v>0.17370770636192842</v>
      </c>
      <c r="Q118" s="8" t="s">
        <v>42</v>
      </c>
      <c r="R118" s="8" t="s">
        <v>63</v>
      </c>
      <c r="S118" s="8" t="b">
        <f>_xlfn.SINGLE(CleanedData[[#This Row],[Delivery Status]])="Late"</f>
        <v>0</v>
      </c>
      <c r="T118" s="10">
        <v>5</v>
      </c>
      <c r="U118" s="8" t="s">
        <v>158</v>
      </c>
      <c r="V118" s="10">
        <v>3584</v>
      </c>
      <c r="W118" s="10">
        <v>7</v>
      </c>
      <c r="X118" s="12">
        <v>1.48619957537154E-2</v>
      </c>
      <c r="Y118" s="8" t="b">
        <f>CleanedData[[#This Row],[Ship Date]]&lt;CleanedData[[#This Row],[Order Date]]</f>
        <v>0</v>
      </c>
      <c r="Z118" s="10">
        <f>YEAR(CleanedData[[#This Row],[Order Date]])</f>
        <v>2023</v>
      </c>
      <c r="AA118" s="8">
        <f>MONTH(CleanedData[[#This Row],[Order Date]])</f>
        <v>2</v>
      </c>
    </row>
    <row r="119" spans="1:27" x14ac:dyDescent="0.35">
      <c r="A119" s="8" t="s">
        <v>587</v>
      </c>
      <c r="B119" s="9">
        <v>45103</v>
      </c>
      <c r="C119" s="9">
        <v>44949</v>
      </c>
      <c r="D119" s="8" t="s">
        <v>589</v>
      </c>
      <c r="E119" s="8" t="s">
        <v>58</v>
      </c>
      <c r="F119" s="8" t="s">
        <v>417</v>
      </c>
      <c r="G119" s="8" t="s">
        <v>78</v>
      </c>
      <c r="H119" s="8" t="s">
        <v>123</v>
      </c>
      <c r="I119" s="8" t="s">
        <v>4968</v>
      </c>
      <c r="J119" s="10">
        <v>440</v>
      </c>
      <c r="K119" s="11">
        <v>903.27</v>
      </c>
      <c r="L119" s="11">
        <v>1431.15</v>
      </c>
      <c r="M119" s="11">
        <v>629706</v>
      </c>
      <c r="N119" s="11">
        <v>397438.8</v>
      </c>
      <c r="O119" s="11">
        <f>CleanedData[[#This Row],[Total Sales ($)]]-CleanedData[[#This Row],[Total Cost ($)]]</f>
        <v>232267.2</v>
      </c>
      <c r="P119" s="12">
        <f>CleanedData[[#This Row],[Profit ($)]]/CleanedData[[#This Row],[Total Sales ($)]]</f>
        <v>0.36885022534325546</v>
      </c>
      <c r="Q119" s="8" t="s">
        <v>42</v>
      </c>
      <c r="R119" s="8" t="s">
        <v>32</v>
      </c>
      <c r="S119" s="8" t="b">
        <f>_xlfn.SINGLE(CleanedData[[#This Row],[Delivery Status]])="Late"</f>
        <v>1</v>
      </c>
      <c r="T119" s="10">
        <v>6</v>
      </c>
      <c r="U119" s="8" t="s">
        <v>158</v>
      </c>
      <c r="V119" s="10">
        <v>1933</v>
      </c>
      <c r="W119" s="10">
        <v>2</v>
      </c>
      <c r="X119" s="12">
        <v>4.5454545454545001E-3</v>
      </c>
      <c r="Y119" s="8" t="b">
        <f>CleanedData[[#This Row],[Ship Date]]&lt;CleanedData[[#This Row],[Order Date]]</f>
        <v>1</v>
      </c>
      <c r="Z119" s="10">
        <f>YEAR(CleanedData[[#This Row],[Order Date]])</f>
        <v>2023</v>
      </c>
      <c r="AA119" s="8">
        <f>MONTH(CleanedData[[#This Row],[Order Date]])</f>
        <v>6</v>
      </c>
    </row>
    <row r="120" spans="1:27" x14ac:dyDescent="0.35">
      <c r="A120" s="8" t="s">
        <v>590</v>
      </c>
      <c r="B120" s="9">
        <v>45116</v>
      </c>
      <c r="C120" s="9">
        <v>44951</v>
      </c>
      <c r="D120" s="8" t="s">
        <v>593</v>
      </c>
      <c r="E120" s="8" t="s">
        <v>68</v>
      </c>
      <c r="F120" s="8" t="s">
        <v>146</v>
      </c>
      <c r="G120" s="8" t="s">
        <v>129</v>
      </c>
      <c r="H120" s="8" t="s">
        <v>316</v>
      </c>
      <c r="I120" s="8" t="s">
        <v>4976</v>
      </c>
      <c r="J120" s="10">
        <v>500</v>
      </c>
      <c r="K120" s="11">
        <v>294.89</v>
      </c>
      <c r="L120" s="11">
        <v>365.88</v>
      </c>
      <c r="M120" s="11">
        <v>182940</v>
      </c>
      <c r="N120" s="11">
        <v>147445</v>
      </c>
      <c r="O120" s="11">
        <f>CleanedData[[#This Row],[Total Sales ($)]]-CleanedData[[#This Row],[Total Cost ($)]]</f>
        <v>35495</v>
      </c>
      <c r="P120" s="12">
        <f>CleanedData[[#This Row],[Profit ($)]]/CleanedData[[#This Row],[Total Sales ($)]]</f>
        <v>0.19402536350716082</v>
      </c>
      <c r="Q120" s="8" t="s">
        <v>42</v>
      </c>
      <c r="R120" s="8" t="s">
        <v>32</v>
      </c>
      <c r="S120" s="8" t="b">
        <f>_xlfn.SINGLE(CleanedData[[#This Row],[Delivery Status]])="Late"</f>
        <v>1</v>
      </c>
      <c r="T120" s="10">
        <v>6</v>
      </c>
      <c r="U120" s="8" t="s">
        <v>53</v>
      </c>
      <c r="V120" s="10">
        <v>3831</v>
      </c>
      <c r="W120" s="10">
        <v>23</v>
      </c>
      <c r="X120" s="12">
        <v>4.5999999999999999E-2</v>
      </c>
      <c r="Y120" s="8" t="b">
        <f>CleanedData[[#This Row],[Ship Date]]&lt;CleanedData[[#This Row],[Order Date]]</f>
        <v>1</v>
      </c>
      <c r="Z120" s="10">
        <f>YEAR(CleanedData[[#This Row],[Order Date]])</f>
        <v>2023</v>
      </c>
      <c r="AA120" s="8">
        <f>MONTH(CleanedData[[#This Row],[Order Date]])</f>
        <v>7</v>
      </c>
    </row>
    <row r="121" spans="1:27" x14ac:dyDescent="0.35">
      <c r="A121" s="8" t="s">
        <v>594</v>
      </c>
      <c r="B121" s="9">
        <v>45120</v>
      </c>
      <c r="C121" s="9">
        <v>45261</v>
      </c>
      <c r="D121" s="8" t="s">
        <v>597</v>
      </c>
      <c r="E121" s="8" t="s">
        <v>48</v>
      </c>
      <c r="F121" s="8" t="s">
        <v>4972</v>
      </c>
      <c r="G121" s="8" t="s">
        <v>217</v>
      </c>
      <c r="H121" s="8" t="s">
        <v>524</v>
      </c>
      <c r="I121" s="8" t="s">
        <v>4970</v>
      </c>
      <c r="J121" s="10">
        <v>172</v>
      </c>
      <c r="K121" s="11">
        <v>752.8</v>
      </c>
      <c r="L121" s="11">
        <v>1050.67</v>
      </c>
      <c r="M121" s="11">
        <v>180715.24</v>
      </c>
      <c r="N121" s="11">
        <v>129481.60000000001</v>
      </c>
      <c r="O121" s="11">
        <f>CleanedData[[#This Row],[Total Sales ($)]]-CleanedData[[#This Row],[Total Cost ($)]]</f>
        <v>51233.639999999985</v>
      </c>
      <c r="P121" s="12">
        <f>CleanedData[[#This Row],[Profit ($)]]/CleanedData[[#This Row],[Total Sales ($)]]</f>
        <v>0.28350481121570037</v>
      </c>
      <c r="Q121" s="8" t="s">
        <v>31</v>
      </c>
      <c r="R121" s="8" t="s">
        <v>32</v>
      </c>
      <c r="S121" s="8" t="b">
        <f>_xlfn.SINGLE(CleanedData[[#This Row],[Delivery Status]])="Late"</f>
        <v>1</v>
      </c>
      <c r="T121" s="10">
        <v>13</v>
      </c>
      <c r="U121" s="8" t="s">
        <v>86</v>
      </c>
      <c r="V121" s="10">
        <v>3623</v>
      </c>
      <c r="W121" s="10">
        <v>1</v>
      </c>
      <c r="X121" s="12">
        <v>5.8139534883720001E-3</v>
      </c>
      <c r="Y121" s="8" t="b">
        <f>CleanedData[[#This Row],[Ship Date]]&lt;CleanedData[[#This Row],[Order Date]]</f>
        <v>0</v>
      </c>
      <c r="Z121" s="10">
        <f>YEAR(CleanedData[[#This Row],[Order Date]])</f>
        <v>2023</v>
      </c>
      <c r="AA121" s="8">
        <f>MONTH(CleanedData[[#This Row],[Order Date]])</f>
        <v>7</v>
      </c>
    </row>
    <row r="122" spans="1:27" x14ac:dyDescent="0.35">
      <c r="A122" s="8" t="s">
        <v>598</v>
      </c>
      <c r="B122" s="9">
        <v>45043</v>
      </c>
      <c r="C122" s="9">
        <v>44936</v>
      </c>
      <c r="D122" s="8" t="s">
        <v>601</v>
      </c>
      <c r="E122" s="8" t="s">
        <v>100</v>
      </c>
      <c r="F122" s="8" t="s">
        <v>101</v>
      </c>
      <c r="G122" s="8" t="s">
        <v>70</v>
      </c>
      <c r="H122" s="8" t="s">
        <v>71</v>
      </c>
      <c r="I122" s="8" t="s">
        <v>4977</v>
      </c>
      <c r="J122" s="10">
        <v>46</v>
      </c>
      <c r="K122" s="11">
        <v>1192.55</v>
      </c>
      <c r="L122" s="11">
        <v>1671.7</v>
      </c>
      <c r="M122" s="11">
        <v>76898.2</v>
      </c>
      <c r="N122" s="11">
        <v>54857.3</v>
      </c>
      <c r="O122" s="11">
        <f>CleanedData[[#This Row],[Total Sales ($)]]-CleanedData[[#This Row],[Total Cost ($)]]</f>
        <v>22040.899999999994</v>
      </c>
      <c r="P122" s="12">
        <f>CleanedData[[#This Row],[Profit ($)]]/CleanedData[[#This Row],[Total Sales ($)]]</f>
        <v>0.28662439432912595</v>
      </c>
      <c r="Q122" s="8" t="s">
        <v>31</v>
      </c>
      <c r="R122" s="8" t="s">
        <v>32</v>
      </c>
      <c r="S122" s="8" t="b">
        <f>_xlfn.SINGLE(CleanedData[[#This Row],[Delivery Status]])="Late"</f>
        <v>1</v>
      </c>
      <c r="T122" s="10">
        <v>12</v>
      </c>
      <c r="U122" s="8" t="s">
        <v>33</v>
      </c>
      <c r="V122" s="10">
        <v>1921</v>
      </c>
      <c r="W122" s="10">
        <v>1</v>
      </c>
      <c r="X122" s="12">
        <v>2.1739130434782601E-2</v>
      </c>
      <c r="Y122" s="8" t="b">
        <f>CleanedData[[#This Row],[Ship Date]]&lt;CleanedData[[#This Row],[Order Date]]</f>
        <v>1</v>
      </c>
      <c r="Z122" s="10">
        <f>YEAR(CleanedData[[#This Row],[Order Date]])</f>
        <v>2023</v>
      </c>
      <c r="AA122" s="8">
        <f>MONTH(CleanedData[[#This Row],[Order Date]])</f>
        <v>4</v>
      </c>
    </row>
    <row r="123" spans="1:27" x14ac:dyDescent="0.35">
      <c r="A123" s="8" t="s">
        <v>603</v>
      </c>
      <c r="B123" s="9">
        <v>45637</v>
      </c>
      <c r="C123" s="9">
        <v>45396</v>
      </c>
      <c r="D123" s="8" t="s">
        <v>606</v>
      </c>
      <c r="E123" s="8" t="s">
        <v>26</v>
      </c>
      <c r="F123" s="8" t="s">
        <v>92</v>
      </c>
      <c r="G123" s="8" t="s">
        <v>129</v>
      </c>
      <c r="H123" s="8" t="s">
        <v>130</v>
      </c>
      <c r="I123" s="8" t="s">
        <v>4977</v>
      </c>
      <c r="J123" s="10">
        <v>59</v>
      </c>
      <c r="K123" s="11">
        <v>636.33000000000004</v>
      </c>
      <c r="L123" s="11">
        <v>737.58</v>
      </c>
      <c r="M123" s="11">
        <v>43517.22</v>
      </c>
      <c r="N123" s="11">
        <v>37543.47</v>
      </c>
      <c r="O123" s="11">
        <f>CleanedData[[#This Row],[Total Sales ($)]]-CleanedData[[#This Row],[Total Cost ($)]]</f>
        <v>5973.75</v>
      </c>
      <c r="P123" s="12">
        <f>CleanedData[[#This Row],[Profit ($)]]/CleanedData[[#This Row],[Total Sales ($)]]</f>
        <v>0.13727324493614251</v>
      </c>
      <c r="Q123" s="8" t="s">
        <v>31</v>
      </c>
      <c r="R123" s="8" t="s">
        <v>32</v>
      </c>
      <c r="S123" s="8" t="b">
        <f>_xlfn.SINGLE(CleanedData[[#This Row],[Delivery Status]])="Late"</f>
        <v>1</v>
      </c>
      <c r="T123" s="10">
        <v>10</v>
      </c>
      <c r="U123" s="8" t="s">
        <v>112</v>
      </c>
      <c r="V123" s="10">
        <v>115</v>
      </c>
      <c r="W123" s="10">
        <v>2</v>
      </c>
      <c r="X123" s="12">
        <v>3.38983050847457E-2</v>
      </c>
      <c r="Y123" s="8" t="b">
        <f>CleanedData[[#This Row],[Ship Date]]&lt;CleanedData[[#This Row],[Order Date]]</f>
        <v>1</v>
      </c>
      <c r="Z123" s="10">
        <f>YEAR(CleanedData[[#This Row],[Order Date]])</f>
        <v>2024</v>
      </c>
      <c r="AA123" s="8">
        <f>MONTH(CleanedData[[#This Row],[Order Date]])</f>
        <v>12</v>
      </c>
    </row>
    <row r="124" spans="1:27" x14ac:dyDescent="0.35">
      <c r="A124" s="8" t="s">
        <v>607</v>
      </c>
      <c r="B124" s="9">
        <v>45114</v>
      </c>
      <c r="C124" s="9">
        <v>45271</v>
      </c>
      <c r="D124" s="8" t="s">
        <v>609</v>
      </c>
      <c r="E124" s="8" t="s">
        <v>58</v>
      </c>
      <c r="F124" s="8" t="s">
        <v>259</v>
      </c>
      <c r="G124" s="8" t="s">
        <v>189</v>
      </c>
      <c r="H124" s="8" t="s">
        <v>369</v>
      </c>
      <c r="I124" s="8" t="s">
        <v>4967</v>
      </c>
      <c r="J124" s="10">
        <v>564</v>
      </c>
      <c r="K124" s="11">
        <v>618.21</v>
      </c>
      <c r="L124" s="11">
        <v>849.91</v>
      </c>
      <c r="M124" s="11">
        <v>479349.24</v>
      </c>
      <c r="N124" s="11">
        <v>348670.44</v>
      </c>
      <c r="O124" s="11">
        <f>CleanedData[[#This Row],[Total Sales ($)]]-CleanedData[[#This Row],[Total Cost ($)]]</f>
        <v>130678.79999999999</v>
      </c>
      <c r="P124" s="12">
        <f>CleanedData[[#This Row],[Profit ($)]]/CleanedData[[#This Row],[Total Sales ($)]]</f>
        <v>0.27261710063418476</v>
      </c>
      <c r="Q124" s="8" t="s">
        <v>42</v>
      </c>
      <c r="R124" s="8" t="s">
        <v>63</v>
      </c>
      <c r="S124" s="8" t="b">
        <f>_xlfn.SINGLE(CleanedData[[#This Row],[Delivery Status]])="Late"</f>
        <v>0</v>
      </c>
      <c r="T124" s="10">
        <v>5</v>
      </c>
      <c r="U124" s="8" t="s">
        <v>43</v>
      </c>
      <c r="V124" s="10">
        <v>1278</v>
      </c>
      <c r="W124" s="10">
        <v>7</v>
      </c>
      <c r="X124" s="12">
        <v>1.24113475177304E-2</v>
      </c>
      <c r="Y124" s="8" t="b">
        <f>CleanedData[[#This Row],[Ship Date]]&lt;CleanedData[[#This Row],[Order Date]]</f>
        <v>0</v>
      </c>
      <c r="Z124" s="10">
        <f>YEAR(CleanedData[[#This Row],[Order Date]])</f>
        <v>2023</v>
      </c>
      <c r="AA124" s="8">
        <f>MONTH(CleanedData[[#This Row],[Order Date]])</f>
        <v>7</v>
      </c>
    </row>
    <row r="125" spans="1:27" x14ac:dyDescent="0.35">
      <c r="A125" s="8" t="s">
        <v>610</v>
      </c>
      <c r="B125" s="9">
        <v>45196</v>
      </c>
      <c r="C125" s="9">
        <v>45061</v>
      </c>
      <c r="D125" s="8" t="s">
        <v>612</v>
      </c>
      <c r="E125" s="8" t="s">
        <v>68</v>
      </c>
      <c r="F125" s="8" t="s">
        <v>146</v>
      </c>
      <c r="G125" s="8" t="s">
        <v>217</v>
      </c>
      <c r="H125" s="8" t="s">
        <v>218</v>
      </c>
      <c r="I125" s="8" t="s">
        <v>4972</v>
      </c>
      <c r="J125" s="10">
        <v>763</v>
      </c>
      <c r="K125" s="11">
        <v>191.27</v>
      </c>
      <c r="L125" s="11">
        <v>315.56</v>
      </c>
      <c r="M125" s="11">
        <v>240772.28</v>
      </c>
      <c r="N125" s="11">
        <v>145939.01</v>
      </c>
      <c r="O125" s="11">
        <f>CleanedData[[#This Row],[Total Sales ($)]]-CleanedData[[#This Row],[Total Cost ($)]]</f>
        <v>94833.26999999999</v>
      </c>
      <c r="P125" s="12">
        <f>CleanedData[[#This Row],[Profit ($)]]/CleanedData[[#This Row],[Total Sales ($)]]</f>
        <v>0.39387121308150586</v>
      </c>
      <c r="Q125" s="8" t="s">
        <v>95</v>
      </c>
      <c r="R125" s="8" t="s">
        <v>32</v>
      </c>
      <c r="S125" s="8" t="b">
        <f>_xlfn.SINGLE(CleanedData[[#This Row],[Delivery Status]])="Late"</f>
        <v>1</v>
      </c>
      <c r="T125" s="10">
        <v>14</v>
      </c>
      <c r="U125" s="8" t="s">
        <v>112</v>
      </c>
      <c r="V125" s="10">
        <v>4200</v>
      </c>
      <c r="W125" s="10">
        <v>2</v>
      </c>
      <c r="X125" s="12">
        <v>2.6212319790301E-3</v>
      </c>
      <c r="Y125" s="8" t="b">
        <f>CleanedData[[#This Row],[Ship Date]]&lt;CleanedData[[#This Row],[Order Date]]</f>
        <v>1</v>
      </c>
      <c r="Z125" s="10">
        <f>YEAR(CleanedData[[#This Row],[Order Date]])</f>
        <v>2023</v>
      </c>
      <c r="AA125" s="8">
        <f>MONTH(CleanedData[[#This Row],[Order Date]])</f>
        <v>9</v>
      </c>
    </row>
    <row r="126" spans="1:27" x14ac:dyDescent="0.35">
      <c r="A126" s="8" t="s">
        <v>613</v>
      </c>
      <c r="B126" s="9">
        <v>45125</v>
      </c>
      <c r="C126" s="9">
        <v>45255</v>
      </c>
      <c r="D126" s="8" t="s">
        <v>615</v>
      </c>
      <c r="E126" s="8" t="s">
        <v>26</v>
      </c>
      <c r="F126" s="8" t="s">
        <v>27</v>
      </c>
      <c r="G126" s="8" t="s">
        <v>78</v>
      </c>
      <c r="H126" s="8" t="s">
        <v>425</v>
      </c>
      <c r="I126" s="8" t="s">
        <v>4975</v>
      </c>
      <c r="J126" s="10">
        <v>487</v>
      </c>
      <c r="K126" s="11">
        <v>1152.69</v>
      </c>
      <c r="L126" s="11">
        <v>1888.03</v>
      </c>
      <c r="M126" s="11">
        <v>919470.61</v>
      </c>
      <c r="N126" s="11">
        <v>561360.03</v>
      </c>
      <c r="O126" s="11">
        <f>CleanedData[[#This Row],[Total Sales ($)]]-CleanedData[[#This Row],[Total Cost ($)]]</f>
        <v>358110.57999999996</v>
      </c>
      <c r="P126" s="12">
        <f>CleanedData[[#This Row],[Profit ($)]]/CleanedData[[#This Row],[Total Sales ($)]]</f>
        <v>0.38947474351572797</v>
      </c>
      <c r="Q126" s="8" t="s">
        <v>42</v>
      </c>
      <c r="R126" s="8" t="s">
        <v>32</v>
      </c>
      <c r="S126" s="8" t="b">
        <f>_xlfn.SINGLE(CleanedData[[#This Row],[Delivery Status]])="Late"</f>
        <v>1</v>
      </c>
      <c r="T126" s="10">
        <v>13</v>
      </c>
      <c r="U126" s="8" t="s">
        <v>53</v>
      </c>
      <c r="V126" s="10">
        <v>2637</v>
      </c>
      <c r="W126" s="10">
        <v>9</v>
      </c>
      <c r="X126" s="12">
        <v>1.84804928131416E-2</v>
      </c>
      <c r="Y126" s="8" t="b">
        <f>CleanedData[[#This Row],[Ship Date]]&lt;CleanedData[[#This Row],[Order Date]]</f>
        <v>0</v>
      </c>
      <c r="Z126" s="10">
        <f>YEAR(CleanedData[[#This Row],[Order Date]])</f>
        <v>2023</v>
      </c>
      <c r="AA126" s="8">
        <f>MONTH(CleanedData[[#This Row],[Order Date]])</f>
        <v>7</v>
      </c>
    </row>
    <row r="127" spans="1:27" x14ac:dyDescent="0.35">
      <c r="A127" s="8" t="s">
        <v>616</v>
      </c>
      <c r="B127" s="9">
        <v>45112</v>
      </c>
      <c r="C127" s="9">
        <v>44928</v>
      </c>
      <c r="D127" s="8" t="s">
        <v>618</v>
      </c>
      <c r="E127" s="8" t="s">
        <v>100</v>
      </c>
      <c r="F127" s="8" t="s">
        <v>106</v>
      </c>
      <c r="G127" s="8" t="s">
        <v>78</v>
      </c>
      <c r="H127" s="8" t="s">
        <v>481</v>
      </c>
      <c r="I127" s="8" t="s">
        <v>4973</v>
      </c>
      <c r="J127" s="10">
        <v>642</v>
      </c>
      <c r="K127" s="11">
        <v>451.88</v>
      </c>
      <c r="L127" s="11">
        <v>731.31</v>
      </c>
      <c r="M127" s="11">
        <v>469501.02</v>
      </c>
      <c r="N127" s="11">
        <v>290106.96000000002</v>
      </c>
      <c r="O127" s="11">
        <f>CleanedData[[#This Row],[Total Sales ($)]]-CleanedData[[#This Row],[Total Cost ($)]]</f>
        <v>179394.06</v>
      </c>
      <c r="P127" s="12">
        <f>CleanedData[[#This Row],[Profit ($)]]/CleanedData[[#This Row],[Total Sales ($)]]</f>
        <v>0.38209514433003788</v>
      </c>
      <c r="Q127" s="8" t="s">
        <v>31</v>
      </c>
      <c r="R127" s="8" t="s">
        <v>32</v>
      </c>
      <c r="S127" s="8" t="b">
        <f>_xlfn.SINGLE(CleanedData[[#This Row],[Delivery Status]])="Late"</f>
        <v>1</v>
      </c>
      <c r="T127" s="10">
        <v>10</v>
      </c>
      <c r="U127" s="8" t="s">
        <v>86</v>
      </c>
      <c r="V127" s="10">
        <v>1680</v>
      </c>
      <c r="W127" s="10">
        <v>32</v>
      </c>
      <c r="X127" s="12">
        <v>4.9844236760124602E-2</v>
      </c>
      <c r="Y127" s="8" t="b">
        <f>CleanedData[[#This Row],[Ship Date]]&lt;CleanedData[[#This Row],[Order Date]]</f>
        <v>1</v>
      </c>
      <c r="Z127" s="10">
        <f>YEAR(CleanedData[[#This Row],[Order Date]])</f>
        <v>2023</v>
      </c>
      <c r="AA127" s="8">
        <f>MONTH(CleanedData[[#This Row],[Order Date]])</f>
        <v>7</v>
      </c>
    </row>
    <row r="128" spans="1:27" x14ac:dyDescent="0.35">
      <c r="A128" s="8" t="s">
        <v>619</v>
      </c>
      <c r="B128" s="9">
        <v>44958</v>
      </c>
      <c r="C128" s="9">
        <v>45630</v>
      </c>
      <c r="D128" s="8" t="s">
        <v>622</v>
      </c>
      <c r="E128" s="8" t="s">
        <v>68</v>
      </c>
      <c r="F128" s="8" t="s">
        <v>146</v>
      </c>
      <c r="G128" s="8" t="s">
        <v>70</v>
      </c>
      <c r="H128" s="8" t="s">
        <v>623</v>
      </c>
      <c r="I128" s="8" t="s">
        <v>4978</v>
      </c>
      <c r="J128" s="10">
        <v>488</v>
      </c>
      <c r="K128" s="11">
        <v>217.71</v>
      </c>
      <c r="L128" s="11">
        <v>290.2</v>
      </c>
      <c r="M128" s="11">
        <v>141617.60000000001</v>
      </c>
      <c r="N128" s="11">
        <v>106242.48</v>
      </c>
      <c r="O128" s="11">
        <f>CleanedData[[#This Row],[Total Sales ($)]]-CleanedData[[#This Row],[Total Cost ($)]]</f>
        <v>35375.12000000001</v>
      </c>
      <c r="P128" s="12">
        <f>CleanedData[[#This Row],[Profit ($)]]/CleanedData[[#This Row],[Total Sales ($)]]</f>
        <v>0.24979324603721578</v>
      </c>
      <c r="Q128" s="8" t="s">
        <v>31</v>
      </c>
      <c r="R128" s="8" t="s">
        <v>32</v>
      </c>
      <c r="S128" s="8" t="b">
        <f>_xlfn.SINGLE(CleanedData[[#This Row],[Delivery Status]])="Late"</f>
        <v>1</v>
      </c>
      <c r="T128" s="10">
        <v>12</v>
      </c>
      <c r="U128" s="8" t="s">
        <v>33</v>
      </c>
      <c r="V128" s="10">
        <v>4627</v>
      </c>
      <c r="W128" s="10">
        <v>24</v>
      </c>
      <c r="X128" s="12">
        <v>4.9180327868852403E-2</v>
      </c>
      <c r="Y128" s="8" t="b">
        <f>CleanedData[[#This Row],[Ship Date]]&lt;CleanedData[[#This Row],[Order Date]]</f>
        <v>0</v>
      </c>
      <c r="Z128" s="10">
        <f>YEAR(CleanedData[[#This Row],[Order Date]])</f>
        <v>2023</v>
      </c>
      <c r="AA128" s="8">
        <f>MONTH(CleanedData[[#This Row],[Order Date]])</f>
        <v>2</v>
      </c>
    </row>
    <row r="129" spans="1:27" x14ac:dyDescent="0.35">
      <c r="A129" s="8" t="s">
        <v>624</v>
      </c>
      <c r="B129" s="9">
        <v>45126</v>
      </c>
      <c r="C129" s="9">
        <v>45078</v>
      </c>
      <c r="D129" s="8" t="s">
        <v>627</v>
      </c>
      <c r="E129" s="8" t="s">
        <v>58</v>
      </c>
      <c r="F129" s="8" t="s">
        <v>122</v>
      </c>
      <c r="G129" s="8" t="s">
        <v>78</v>
      </c>
      <c r="H129" s="8" t="s">
        <v>628</v>
      </c>
      <c r="I129" s="8" t="s">
        <v>4979</v>
      </c>
      <c r="J129" s="10">
        <v>725</v>
      </c>
      <c r="K129" s="11">
        <v>179.65</v>
      </c>
      <c r="L129" s="11">
        <v>232.13</v>
      </c>
      <c r="M129" s="11">
        <v>168294.25</v>
      </c>
      <c r="N129" s="11">
        <v>130246.25</v>
      </c>
      <c r="O129" s="11">
        <f>CleanedData[[#This Row],[Total Sales ($)]]-CleanedData[[#This Row],[Total Cost ($)]]</f>
        <v>38048</v>
      </c>
      <c r="P129" s="12">
        <f>CleanedData[[#This Row],[Profit ($)]]/CleanedData[[#This Row],[Total Sales ($)]]</f>
        <v>0.22608021367337267</v>
      </c>
      <c r="Q129" s="8" t="s">
        <v>42</v>
      </c>
      <c r="R129" s="8" t="s">
        <v>63</v>
      </c>
      <c r="S129" s="8" t="b">
        <f>_xlfn.SINGLE(CleanedData[[#This Row],[Delivery Status]])="Late"</f>
        <v>0</v>
      </c>
      <c r="T129" s="10">
        <v>2</v>
      </c>
      <c r="U129" s="8" t="s">
        <v>33</v>
      </c>
      <c r="V129" s="10">
        <v>3946</v>
      </c>
      <c r="W129" s="10">
        <v>3</v>
      </c>
      <c r="X129" s="12">
        <v>4.1379310344826998E-3</v>
      </c>
      <c r="Y129" s="8" t="b">
        <f>CleanedData[[#This Row],[Ship Date]]&lt;CleanedData[[#This Row],[Order Date]]</f>
        <v>1</v>
      </c>
      <c r="Z129" s="10">
        <f>YEAR(CleanedData[[#This Row],[Order Date]])</f>
        <v>2023</v>
      </c>
      <c r="AA129" s="8">
        <f>MONTH(CleanedData[[#This Row],[Order Date]])</f>
        <v>7</v>
      </c>
    </row>
    <row r="130" spans="1:27" x14ac:dyDescent="0.35">
      <c r="A130" s="8" t="s">
        <v>629</v>
      </c>
      <c r="B130" s="9">
        <v>45134</v>
      </c>
      <c r="C130" s="9">
        <v>45108</v>
      </c>
      <c r="D130" s="8" t="s">
        <v>631</v>
      </c>
      <c r="E130" s="8" t="s">
        <v>58</v>
      </c>
      <c r="F130" s="8" t="s">
        <v>259</v>
      </c>
      <c r="G130" s="8" t="s">
        <v>217</v>
      </c>
      <c r="H130" s="8" t="s">
        <v>524</v>
      </c>
      <c r="I130" s="8" t="s">
        <v>4974</v>
      </c>
      <c r="J130" s="10">
        <v>665</v>
      </c>
      <c r="K130" s="11">
        <v>948.6</v>
      </c>
      <c r="L130" s="11">
        <v>1316.34</v>
      </c>
      <c r="M130" s="11">
        <v>875366.1</v>
      </c>
      <c r="N130" s="11">
        <v>630819</v>
      </c>
      <c r="O130" s="11">
        <f>CleanedData[[#This Row],[Total Sales ($)]]-CleanedData[[#This Row],[Total Cost ($)]]</f>
        <v>244547.09999999998</v>
      </c>
      <c r="P130" s="12">
        <f>CleanedData[[#This Row],[Profit ($)]]/CleanedData[[#This Row],[Total Sales ($)]]</f>
        <v>0.27936551346916449</v>
      </c>
      <c r="Q130" s="8" t="s">
        <v>42</v>
      </c>
      <c r="R130" s="8" t="s">
        <v>63</v>
      </c>
      <c r="S130" s="8" t="b">
        <f>_xlfn.SINGLE(CleanedData[[#This Row],[Delivery Status]])="Late"</f>
        <v>0</v>
      </c>
      <c r="T130" s="10">
        <v>2</v>
      </c>
      <c r="U130" s="8" t="s">
        <v>86</v>
      </c>
      <c r="V130" s="10">
        <v>3575</v>
      </c>
      <c r="W130" s="10">
        <v>11</v>
      </c>
      <c r="X130" s="12">
        <v>1.65413533834586E-2</v>
      </c>
      <c r="Y130" s="8" t="b">
        <f>CleanedData[[#This Row],[Ship Date]]&lt;CleanedData[[#This Row],[Order Date]]</f>
        <v>1</v>
      </c>
      <c r="Z130" s="10">
        <f>YEAR(CleanedData[[#This Row],[Order Date]])</f>
        <v>2023</v>
      </c>
      <c r="AA130" s="8">
        <f>MONTH(CleanedData[[#This Row],[Order Date]])</f>
        <v>7</v>
      </c>
    </row>
    <row r="131" spans="1:27" x14ac:dyDescent="0.35">
      <c r="A131" s="8" t="s">
        <v>632</v>
      </c>
      <c r="B131" s="9">
        <v>45082</v>
      </c>
      <c r="C131" s="9">
        <v>45006</v>
      </c>
      <c r="D131" s="8" t="s">
        <v>635</v>
      </c>
      <c r="E131" s="8" t="s">
        <v>100</v>
      </c>
      <c r="F131" s="8" t="s">
        <v>106</v>
      </c>
      <c r="G131" s="8" t="s">
        <v>28</v>
      </c>
      <c r="H131" s="8" t="s">
        <v>29</v>
      </c>
      <c r="I131" s="8" t="s">
        <v>4974</v>
      </c>
      <c r="J131" s="10">
        <v>399</v>
      </c>
      <c r="K131" s="11">
        <v>225.39</v>
      </c>
      <c r="L131" s="11">
        <v>295.58999999999997</v>
      </c>
      <c r="M131" s="11">
        <v>117940.41</v>
      </c>
      <c r="N131" s="11">
        <v>89930.61</v>
      </c>
      <c r="O131" s="11">
        <f>CleanedData[[#This Row],[Total Sales ($)]]-CleanedData[[#This Row],[Total Cost ($)]]</f>
        <v>28009.800000000003</v>
      </c>
      <c r="P131" s="12">
        <f>CleanedData[[#This Row],[Profit ($)]]/CleanedData[[#This Row],[Total Sales ($)]]</f>
        <v>0.23749111945600326</v>
      </c>
      <c r="Q131" s="8" t="s">
        <v>95</v>
      </c>
      <c r="R131" s="8" t="s">
        <v>63</v>
      </c>
      <c r="S131" s="8" t="b">
        <f>_xlfn.SINGLE(CleanedData[[#This Row],[Delivery Status]])="Late"</f>
        <v>0</v>
      </c>
      <c r="T131" s="10">
        <v>2</v>
      </c>
      <c r="U131" s="8" t="s">
        <v>112</v>
      </c>
      <c r="V131" s="10">
        <v>1620</v>
      </c>
      <c r="W131" s="10">
        <v>16</v>
      </c>
      <c r="X131" s="12">
        <v>4.01002506265664E-2</v>
      </c>
      <c r="Y131" s="8" t="b">
        <f>CleanedData[[#This Row],[Ship Date]]&lt;CleanedData[[#This Row],[Order Date]]</f>
        <v>1</v>
      </c>
      <c r="Z131" s="10">
        <f>YEAR(CleanedData[[#This Row],[Order Date]])</f>
        <v>2023</v>
      </c>
      <c r="AA131" s="8">
        <f>MONTH(CleanedData[[#This Row],[Order Date]])</f>
        <v>6</v>
      </c>
    </row>
    <row r="132" spans="1:27" x14ac:dyDescent="0.35">
      <c r="A132" s="8" t="s">
        <v>636</v>
      </c>
      <c r="B132" s="9">
        <v>45181</v>
      </c>
      <c r="C132" s="9">
        <v>45185</v>
      </c>
      <c r="D132" s="8" t="s">
        <v>638</v>
      </c>
      <c r="E132" s="8" t="s">
        <v>68</v>
      </c>
      <c r="F132" s="8" t="s">
        <v>276</v>
      </c>
      <c r="G132" s="8" t="s">
        <v>70</v>
      </c>
      <c r="H132" s="8" t="s">
        <v>446</v>
      </c>
      <c r="I132" s="8" t="s">
        <v>4975</v>
      </c>
      <c r="J132" s="10">
        <v>675</v>
      </c>
      <c r="K132" s="11">
        <v>197.71</v>
      </c>
      <c r="L132" s="11">
        <v>285.37</v>
      </c>
      <c r="M132" s="11">
        <v>192624.75</v>
      </c>
      <c r="N132" s="11">
        <v>133454.25</v>
      </c>
      <c r="O132" s="11">
        <f>CleanedData[[#This Row],[Total Sales ($)]]-CleanedData[[#This Row],[Total Cost ($)]]</f>
        <v>59170.5</v>
      </c>
      <c r="P132" s="12">
        <f>CleanedData[[#This Row],[Profit ($)]]/CleanedData[[#This Row],[Total Sales ($)]]</f>
        <v>0.30718015208326033</v>
      </c>
      <c r="Q132" s="8" t="s">
        <v>52</v>
      </c>
      <c r="R132" s="8" t="s">
        <v>32</v>
      </c>
      <c r="S132" s="8" t="b">
        <f>_xlfn.SINGLE(CleanedData[[#This Row],[Delivery Status]])="Late"</f>
        <v>1</v>
      </c>
      <c r="T132" s="10">
        <v>10</v>
      </c>
      <c r="U132" s="8" t="s">
        <v>158</v>
      </c>
      <c r="V132" s="10">
        <v>3140</v>
      </c>
      <c r="W132" s="10">
        <v>7</v>
      </c>
      <c r="X132" s="12">
        <v>1.0370370370370301E-2</v>
      </c>
      <c r="Y132" s="8" t="b">
        <f>CleanedData[[#This Row],[Ship Date]]&lt;CleanedData[[#This Row],[Order Date]]</f>
        <v>0</v>
      </c>
      <c r="Z132" s="10">
        <f>YEAR(CleanedData[[#This Row],[Order Date]])</f>
        <v>2023</v>
      </c>
      <c r="AA132" s="8">
        <f>MONTH(CleanedData[[#This Row],[Order Date]])</f>
        <v>9</v>
      </c>
    </row>
    <row r="133" spans="1:27" x14ac:dyDescent="0.35">
      <c r="A133" s="8" t="s">
        <v>639</v>
      </c>
      <c r="B133" s="9">
        <v>45287</v>
      </c>
      <c r="C133" s="9">
        <v>45027</v>
      </c>
      <c r="D133" s="8" t="s">
        <v>642</v>
      </c>
      <c r="E133" s="8" t="s">
        <v>100</v>
      </c>
      <c r="F133" s="8" t="s">
        <v>330</v>
      </c>
      <c r="G133" s="8" t="s">
        <v>93</v>
      </c>
      <c r="H133" s="8" t="s">
        <v>643</v>
      </c>
      <c r="I133" s="8" t="s">
        <v>4971</v>
      </c>
      <c r="J133" s="10">
        <v>377</v>
      </c>
      <c r="K133" s="11">
        <v>745.09</v>
      </c>
      <c r="L133" s="11">
        <v>917.01</v>
      </c>
      <c r="M133" s="11">
        <v>345712.77</v>
      </c>
      <c r="N133" s="11">
        <v>280898.93</v>
      </c>
      <c r="O133" s="11">
        <f>CleanedData[[#This Row],[Total Sales ($)]]-CleanedData[[#This Row],[Total Cost ($)]]</f>
        <v>64813.840000000026</v>
      </c>
      <c r="P133" s="12">
        <f>CleanedData[[#This Row],[Profit ($)]]/CleanedData[[#This Row],[Total Sales ($)]]</f>
        <v>0.18747887154992865</v>
      </c>
      <c r="Q133" s="8" t="s">
        <v>42</v>
      </c>
      <c r="R133" s="8" t="s">
        <v>32</v>
      </c>
      <c r="S133" s="8" t="b">
        <f>_xlfn.SINGLE(CleanedData[[#This Row],[Delivery Status]])="Late"</f>
        <v>1</v>
      </c>
      <c r="T133" s="10">
        <v>11</v>
      </c>
      <c r="U133" s="8" t="s">
        <v>158</v>
      </c>
      <c r="V133" s="10">
        <v>963</v>
      </c>
      <c r="W133" s="10">
        <v>1</v>
      </c>
      <c r="X133" s="12">
        <v>2.6525198938992002E-3</v>
      </c>
      <c r="Y133" s="8" t="b">
        <f>CleanedData[[#This Row],[Ship Date]]&lt;CleanedData[[#This Row],[Order Date]]</f>
        <v>1</v>
      </c>
      <c r="Z133" s="10">
        <f>YEAR(CleanedData[[#This Row],[Order Date]])</f>
        <v>2023</v>
      </c>
      <c r="AA133" s="8">
        <f>MONTH(CleanedData[[#This Row],[Order Date]])</f>
        <v>12</v>
      </c>
    </row>
    <row r="134" spans="1:27" x14ac:dyDescent="0.35">
      <c r="A134" s="8" t="s">
        <v>644</v>
      </c>
      <c r="B134" s="9">
        <v>45069</v>
      </c>
      <c r="C134" s="9">
        <v>45013</v>
      </c>
      <c r="D134" s="8" t="s">
        <v>646</v>
      </c>
      <c r="E134" s="8" t="s">
        <v>26</v>
      </c>
      <c r="F134" s="8" t="s">
        <v>228</v>
      </c>
      <c r="G134" s="8" t="s">
        <v>39</v>
      </c>
      <c r="H134" s="8" t="s">
        <v>647</v>
      </c>
      <c r="I134" s="8" t="s">
        <v>4973</v>
      </c>
      <c r="J134" s="10">
        <v>7</v>
      </c>
      <c r="K134" s="11">
        <v>583.17999999999995</v>
      </c>
      <c r="L134" s="11">
        <v>930.9</v>
      </c>
      <c r="M134" s="11">
        <v>6516.3</v>
      </c>
      <c r="N134" s="11">
        <v>4082.26</v>
      </c>
      <c r="O134" s="11">
        <f>CleanedData[[#This Row],[Total Sales ($)]]-CleanedData[[#This Row],[Total Cost ($)]]</f>
        <v>2434.04</v>
      </c>
      <c r="P134" s="12">
        <f>CleanedData[[#This Row],[Profit ($)]]/CleanedData[[#This Row],[Total Sales ($)]]</f>
        <v>0.37353099151358898</v>
      </c>
      <c r="Q134" s="8" t="s">
        <v>31</v>
      </c>
      <c r="R134" s="8" t="s">
        <v>32</v>
      </c>
      <c r="S134" s="8" t="b">
        <f>_xlfn.SINGLE(CleanedData[[#This Row],[Delivery Status]])="Late"</f>
        <v>1</v>
      </c>
      <c r="T134" s="10">
        <v>14</v>
      </c>
      <c r="U134" s="8" t="s">
        <v>158</v>
      </c>
      <c r="V134" s="10">
        <v>2434</v>
      </c>
      <c r="W134" s="10">
        <v>1</v>
      </c>
      <c r="X134" s="12">
        <v>0.14285714285714299</v>
      </c>
      <c r="Y134" s="8" t="b">
        <f>CleanedData[[#This Row],[Ship Date]]&lt;CleanedData[[#This Row],[Order Date]]</f>
        <v>1</v>
      </c>
      <c r="Z134" s="10">
        <f>YEAR(CleanedData[[#This Row],[Order Date]])</f>
        <v>2023</v>
      </c>
      <c r="AA134" s="8">
        <f>MONTH(CleanedData[[#This Row],[Order Date]])</f>
        <v>5</v>
      </c>
    </row>
    <row r="135" spans="1:27" x14ac:dyDescent="0.35">
      <c r="A135" s="8" t="s">
        <v>648</v>
      </c>
      <c r="B135" s="9">
        <v>44927</v>
      </c>
      <c r="C135" s="9">
        <v>45132</v>
      </c>
      <c r="D135" s="8" t="s">
        <v>651</v>
      </c>
      <c r="E135" s="8" t="s">
        <v>58</v>
      </c>
      <c r="F135" s="8" t="s">
        <v>116</v>
      </c>
      <c r="G135" s="8" t="s">
        <v>78</v>
      </c>
      <c r="H135" s="8" t="s">
        <v>79</v>
      </c>
      <c r="I135" s="8" t="s">
        <v>4975</v>
      </c>
      <c r="J135" s="10">
        <v>604</v>
      </c>
      <c r="K135" s="11">
        <v>1042.24</v>
      </c>
      <c r="L135" s="11">
        <v>1350.09</v>
      </c>
      <c r="M135" s="11">
        <v>815454.36</v>
      </c>
      <c r="N135" s="11">
        <v>629512.95999999996</v>
      </c>
      <c r="O135" s="11">
        <f>CleanedData[[#This Row],[Total Sales ($)]]-CleanedData[[#This Row],[Total Cost ($)]]</f>
        <v>185941.40000000002</v>
      </c>
      <c r="P135" s="12">
        <f>CleanedData[[#This Row],[Profit ($)]]/CleanedData[[#This Row],[Total Sales ($)]]</f>
        <v>0.22802183558133166</v>
      </c>
      <c r="Q135" s="8" t="s">
        <v>42</v>
      </c>
      <c r="R135" s="8" t="s">
        <v>63</v>
      </c>
      <c r="S135" s="8" t="b">
        <f>_xlfn.SINGLE(CleanedData[[#This Row],[Delivery Status]])="Late"</f>
        <v>0</v>
      </c>
      <c r="T135" s="10">
        <v>3</v>
      </c>
      <c r="U135" s="8" t="s">
        <v>43</v>
      </c>
      <c r="V135" s="10">
        <v>312</v>
      </c>
      <c r="W135" s="10">
        <v>5</v>
      </c>
      <c r="X135" s="12">
        <v>8.2781456953641992E-3</v>
      </c>
      <c r="Y135" s="8" t="b">
        <f>CleanedData[[#This Row],[Ship Date]]&lt;CleanedData[[#This Row],[Order Date]]</f>
        <v>0</v>
      </c>
      <c r="Z135" s="10">
        <f>YEAR(CleanedData[[#This Row],[Order Date]])</f>
        <v>2023</v>
      </c>
      <c r="AA135" s="8">
        <f>MONTH(CleanedData[[#This Row],[Order Date]])</f>
        <v>1</v>
      </c>
    </row>
    <row r="136" spans="1:27" x14ac:dyDescent="0.35">
      <c r="A136" s="8" t="s">
        <v>652</v>
      </c>
      <c r="B136" s="9">
        <v>45124</v>
      </c>
      <c r="C136" s="9">
        <v>45124</v>
      </c>
      <c r="D136" s="8" t="s">
        <v>654</v>
      </c>
      <c r="E136" s="8" t="s">
        <v>100</v>
      </c>
      <c r="F136" s="8" t="s">
        <v>330</v>
      </c>
      <c r="G136" s="8" t="s">
        <v>70</v>
      </c>
      <c r="H136" s="8" t="s">
        <v>446</v>
      </c>
      <c r="I136" s="8" t="s">
        <v>4974</v>
      </c>
      <c r="J136" s="10">
        <v>646</v>
      </c>
      <c r="K136" s="11">
        <v>945.71</v>
      </c>
      <c r="L136" s="11">
        <v>1311.53</v>
      </c>
      <c r="M136" s="11">
        <v>847248.38</v>
      </c>
      <c r="N136" s="11">
        <v>610928.66</v>
      </c>
      <c r="O136" s="11">
        <f>CleanedData[[#This Row],[Total Sales ($)]]-CleanedData[[#This Row],[Total Cost ($)]]</f>
        <v>236319.71999999997</v>
      </c>
      <c r="P136" s="12">
        <f>CleanedData[[#This Row],[Profit ($)]]/CleanedData[[#This Row],[Total Sales ($)]]</f>
        <v>0.27892613969943497</v>
      </c>
      <c r="Q136" s="8" t="s">
        <v>31</v>
      </c>
      <c r="R136" s="8" t="s">
        <v>63</v>
      </c>
      <c r="S136" s="8" t="b">
        <f>_xlfn.SINGLE(CleanedData[[#This Row],[Delivery Status]])="Late"</f>
        <v>0</v>
      </c>
      <c r="T136" s="10">
        <v>1</v>
      </c>
      <c r="U136" s="8" t="s">
        <v>33</v>
      </c>
      <c r="V136" s="10">
        <v>4934</v>
      </c>
      <c r="W136" s="10">
        <v>9</v>
      </c>
      <c r="X136" s="12">
        <v>1.3931888544891601E-2</v>
      </c>
      <c r="Y136" s="8" t="b">
        <f>CleanedData[[#This Row],[Ship Date]]&lt;CleanedData[[#This Row],[Order Date]]</f>
        <v>0</v>
      </c>
      <c r="Z136" s="10">
        <f>YEAR(CleanedData[[#This Row],[Order Date]])</f>
        <v>2023</v>
      </c>
      <c r="AA136" s="8">
        <f>MONTH(CleanedData[[#This Row],[Order Date]])</f>
        <v>7</v>
      </c>
    </row>
    <row r="137" spans="1:27" x14ac:dyDescent="0.35">
      <c r="A137" s="8" t="s">
        <v>655</v>
      </c>
      <c r="B137" s="9">
        <v>45266</v>
      </c>
      <c r="C137" s="9">
        <v>45245</v>
      </c>
      <c r="D137" s="8" t="s">
        <v>658</v>
      </c>
      <c r="E137" s="8" t="s">
        <v>48</v>
      </c>
      <c r="F137" s="8" t="s">
        <v>281</v>
      </c>
      <c r="G137" s="8" t="s">
        <v>78</v>
      </c>
      <c r="H137" s="8" t="s">
        <v>628</v>
      </c>
      <c r="I137" s="8" t="s">
        <v>4973</v>
      </c>
      <c r="J137" s="10">
        <v>727</v>
      </c>
      <c r="K137" s="11">
        <v>222.36</v>
      </c>
      <c r="L137" s="11">
        <v>252.4</v>
      </c>
      <c r="M137" s="11">
        <v>183494.8</v>
      </c>
      <c r="N137" s="11">
        <v>161655.72</v>
      </c>
      <c r="O137" s="11">
        <f>CleanedData[[#This Row],[Total Sales ($)]]-CleanedData[[#This Row],[Total Cost ($)]]</f>
        <v>21839.079999999987</v>
      </c>
      <c r="P137" s="12">
        <f>CleanedData[[#This Row],[Profit ($)]]/CleanedData[[#This Row],[Total Sales ($)]]</f>
        <v>0.11901743264659265</v>
      </c>
      <c r="Q137" s="8" t="s">
        <v>42</v>
      </c>
      <c r="R137" s="8" t="s">
        <v>32</v>
      </c>
      <c r="S137" s="8" t="b">
        <f>_xlfn.SINGLE(CleanedData[[#This Row],[Delivery Status]])="Late"</f>
        <v>1</v>
      </c>
      <c r="T137" s="10">
        <v>15</v>
      </c>
      <c r="U137" s="8" t="s">
        <v>112</v>
      </c>
      <c r="V137" s="10">
        <v>2765</v>
      </c>
      <c r="W137" s="10">
        <v>35</v>
      </c>
      <c r="X137" s="12">
        <v>4.8143053645116902E-2</v>
      </c>
      <c r="Y137" s="8" t="b">
        <f>CleanedData[[#This Row],[Ship Date]]&lt;CleanedData[[#This Row],[Order Date]]</f>
        <v>1</v>
      </c>
      <c r="Z137" s="10">
        <f>YEAR(CleanedData[[#This Row],[Order Date]])</f>
        <v>2023</v>
      </c>
      <c r="AA137" s="8">
        <f>MONTH(CleanedData[[#This Row],[Order Date]])</f>
        <v>12</v>
      </c>
    </row>
    <row r="138" spans="1:27" x14ac:dyDescent="0.35">
      <c r="A138" s="8" t="s">
        <v>659</v>
      </c>
      <c r="B138" s="9">
        <v>45090</v>
      </c>
      <c r="C138" s="9">
        <v>44951</v>
      </c>
      <c r="D138" s="8" t="s">
        <v>660</v>
      </c>
      <c r="E138" s="8" t="s">
        <v>58</v>
      </c>
      <c r="F138" s="8" t="s">
        <v>417</v>
      </c>
      <c r="G138" s="8" t="s">
        <v>129</v>
      </c>
      <c r="H138" s="8" t="s">
        <v>168</v>
      </c>
      <c r="I138" s="8" t="s">
        <v>4976</v>
      </c>
      <c r="J138" s="10">
        <v>135</v>
      </c>
      <c r="K138" s="11">
        <v>1129.18</v>
      </c>
      <c r="L138" s="11">
        <v>1305.8900000000001</v>
      </c>
      <c r="M138" s="11">
        <v>176295.15</v>
      </c>
      <c r="N138" s="11">
        <v>152439.29999999999</v>
      </c>
      <c r="O138" s="11">
        <f>CleanedData[[#This Row],[Total Sales ($)]]-CleanedData[[#This Row],[Total Cost ($)]]</f>
        <v>23855.850000000006</v>
      </c>
      <c r="P138" s="12">
        <f>CleanedData[[#This Row],[Profit ($)]]/CleanedData[[#This Row],[Total Sales ($)]]</f>
        <v>0.13531767606766271</v>
      </c>
      <c r="Q138" s="8" t="s">
        <v>31</v>
      </c>
      <c r="R138" s="8" t="s">
        <v>32</v>
      </c>
      <c r="S138" s="8" t="b">
        <f>_xlfn.SINGLE(CleanedData[[#This Row],[Delivery Status]])="Late"</f>
        <v>1</v>
      </c>
      <c r="T138" s="10">
        <v>11</v>
      </c>
      <c r="U138" s="8" t="s">
        <v>158</v>
      </c>
      <c r="V138" s="10">
        <v>2423</v>
      </c>
      <c r="W138" s="10">
        <v>2</v>
      </c>
      <c r="X138" s="12">
        <v>1.48148148148148E-2</v>
      </c>
      <c r="Y138" s="8" t="b">
        <f>CleanedData[[#This Row],[Ship Date]]&lt;CleanedData[[#This Row],[Order Date]]</f>
        <v>1</v>
      </c>
      <c r="Z138" s="10">
        <f>YEAR(CleanedData[[#This Row],[Order Date]])</f>
        <v>2023</v>
      </c>
      <c r="AA138" s="8">
        <f>MONTH(CleanedData[[#This Row],[Order Date]])</f>
        <v>6</v>
      </c>
    </row>
    <row r="139" spans="1:27" x14ac:dyDescent="0.35">
      <c r="A139" s="8" t="s">
        <v>661</v>
      </c>
      <c r="B139" s="9">
        <v>45051</v>
      </c>
      <c r="C139" s="9">
        <v>44987</v>
      </c>
      <c r="D139" s="8" t="s">
        <v>663</v>
      </c>
      <c r="E139" s="8" t="s">
        <v>58</v>
      </c>
      <c r="F139" s="8" t="s">
        <v>417</v>
      </c>
      <c r="G139" s="8" t="s">
        <v>39</v>
      </c>
      <c r="H139" s="8" t="s">
        <v>664</v>
      </c>
      <c r="I139" s="8" t="s">
        <v>4970</v>
      </c>
      <c r="J139" s="10">
        <v>201</v>
      </c>
      <c r="K139" s="11">
        <v>633.9</v>
      </c>
      <c r="L139" s="11">
        <v>982.08</v>
      </c>
      <c r="M139" s="11">
        <v>197398.08</v>
      </c>
      <c r="N139" s="11">
        <v>127413.9</v>
      </c>
      <c r="O139" s="11">
        <f>CleanedData[[#This Row],[Total Sales ($)]]-CleanedData[[#This Row],[Total Cost ($)]]</f>
        <v>69984.179999999993</v>
      </c>
      <c r="P139" s="12">
        <f>CleanedData[[#This Row],[Profit ($)]]/CleanedData[[#This Row],[Total Sales ($)]]</f>
        <v>0.35453323558162264</v>
      </c>
      <c r="Q139" s="8" t="s">
        <v>52</v>
      </c>
      <c r="R139" s="8" t="s">
        <v>32</v>
      </c>
      <c r="S139" s="8" t="b">
        <f>_xlfn.SINGLE(CleanedData[[#This Row],[Delivery Status]])="Late"</f>
        <v>1</v>
      </c>
      <c r="T139" s="10">
        <v>15</v>
      </c>
      <c r="U139" s="8" t="s">
        <v>158</v>
      </c>
      <c r="V139" s="10">
        <v>2402</v>
      </c>
      <c r="W139" s="10">
        <v>10</v>
      </c>
      <c r="X139" s="12">
        <v>4.9751243781094502E-2</v>
      </c>
      <c r="Y139" s="8" t="b">
        <f>CleanedData[[#This Row],[Ship Date]]&lt;CleanedData[[#This Row],[Order Date]]</f>
        <v>1</v>
      </c>
      <c r="Z139" s="10">
        <f>YEAR(CleanedData[[#This Row],[Order Date]])</f>
        <v>2023</v>
      </c>
      <c r="AA139" s="8">
        <f>MONTH(CleanedData[[#This Row],[Order Date]])</f>
        <v>5</v>
      </c>
    </row>
    <row r="140" spans="1:27" x14ac:dyDescent="0.35">
      <c r="A140" s="8" t="s">
        <v>665</v>
      </c>
      <c r="B140" s="9">
        <v>45187</v>
      </c>
      <c r="C140" s="9">
        <v>45174</v>
      </c>
      <c r="D140" s="8" t="s">
        <v>666</v>
      </c>
      <c r="E140" s="8" t="s">
        <v>48</v>
      </c>
      <c r="F140" s="8" t="s">
        <v>270</v>
      </c>
      <c r="G140" s="8" t="s">
        <v>28</v>
      </c>
      <c r="H140" s="8" t="s">
        <v>507</v>
      </c>
      <c r="I140" s="8" t="s">
        <v>4975</v>
      </c>
      <c r="J140" s="10">
        <v>506</v>
      </c>
      <c r="K140" s="11">
        <v>945.46</v>
      </c>
      <c r="L140" s="11">
        <v>1300.6400000000001</v>
      </c>
      <c r="M140" s="11">
        <v>658123.84</v>
      </c>
      <c r="N140" s="11">
        <v>478402.76</v>
      </c>
      <c r="O140" s="11">
        <f>CleanedData[[#This Row],[Total Sales ($)]]-CleanedData[[#This Row],[Total Cost ($)]]</f>
        <v>179721.07999999996</v>
      </c>
      <c r="P140" s="12">
        <f>CleanedData[[#This Row],[Profit ($)]]/CleanedData[[#This Row],[Total Sales ($)]]</f>
        <v>0.27308094476565375</v>
      </c>
      <c r="Q140" s="8" t="s">
        <v>31</v>
      </c>
      <c r="R140" s="8" t="s">
        <v>63</v>
      </c>
      <c r="S140" s="8" t="b">
        <f>_xlfn.SINGLE(CleanedData[[#This Row],[Delivery Status]])="Late"</f>
        <v>0</v>
      </c>
      <c r="T140" s="10">
        <v>5</v>
      </c>
      <c r="U140" s="8" t="s">
        <v>86</v>
      </c>
      <c r="V140" s="10">
        <v>3566</v>
      </c>
      <c r="W140" s="10">
        <v>16</v>
      </c>
      <c r="X140" s="12">
        <v>3.1620553359683702E-2</v>
      </c>
      <c r="Y140" s="8" t="b">
        <f>CleanedData[[#This Row],[Ship Date]]&lt;CleanedData[[#This Row],[Order Date]]</f>
        <v>1</v>
      </c>
      <c r="Z140" s="10">
        <f>YEAR(CleanedData[[#This Row],[Order Date]])</f>
        <v>2023</v>
      </c>
      <c r="AA140" s="8">
        <f>MONTH(CleanedData[[#This Row],[Order Date]])</f>
        <v>9</v>
      </c>
    </row>
    <row r="141" spans="1:27" x14ac:dyDescent="0.35">
      <c r="A141" s="8" t="s">
        <v>667</v>
      </c>
      <c r="B141" s="9">
        <v>45237</v>
      </c>
      <c r="C141" s="9">
        <v>45264</v>
      </c>
      <c r="D141" s="8" t="s">
        <v>669</v>
      </c>
      <c r="E141" s="8" t="s">
        <v>100</v>
      </c>
      <c r="F141" s="8" t="s">
        <v>106</v>
      </c>
      <c r="G141" s="8" t="s">
        <v>70</v>
      </c>
      <c r="H141" s="8" t="s">
        <v>84</v>
      </c>
      <c r="I141" s="8" t="s">
        <v>4979</v>
      </c>
      <c r="J141" s="10">
        <v>382</v>
      </c>
      <c r="K141" s="11">
        <v>1103.24</v>
      </c>
      <c r="L141" s="11">
        <v>1541.89</v>
      </c>
      <c r="M141" s="11">
        <v>589001.98</v>
      </c>
      <c r="N141" s="11">
        <v>421437.68</v>
      </c>
      <c r="O141" s="11">
        <f>CleanedData[[#This Row],[Total Sales ($)]]-CleanedData[[#This Row],[Total Cost ($)]]</f>
        <v>167564.29999999999</v>
      </c>
      <c r="P141" s="12">
        <f>CleanedData[[#This Row],[Profit ($)]]/CleanedData[[#This Row],[Total Sales ($)]]</f>
        <v>0.28448851733910979</v>
      </c>
      <c r="Q141" s="8" t="s">
        <v>31</v>
      </c>
      <c r="R141" s="8" t="s">
        <v>32</v>
      </c>
      <c r="S141" s="8" t="b">
        <f>_xlfn.SINGLE(CleanedData[[#This Row],[Delivery Status]])="Late"</f>
        <v>1</v>
      </c>
      <c r="T141" s="10">
        <v>8</v>
      </c>
      <c r="U141" s="8" t="s">
        <v>33</v>
      </c>
      <c r="V141" s="10">
        <v>2313</v>
      </c>
      <c r="W141" s="10">
        <v>8</v>
      </c>
      <c r="X141" s="12">
        <v>2.09424083769633E-2</v>
      </c>
      <c r="Y141" s="8" t="b">
        <f>CleanedData[[#This Row],[Ship Date]]&lt;CleanedData[[#This Row],[Order Date]]</f>
        <v>0</v>
      </c>
      <c r="Z141" s="10">
        <f>YEAR(CleanedData[[#This Row],[Order Date]])</f>
        <v>2023</v>
      </c>
      <c r="AA141" s="8">
        <f>MONTH(CleanedData[[#This Row],[Order Date]])</f>
        <v>11</v>
      </c>
    </row>
    <row r="142" spans="1:27" x14ac:dyDescent="0.35">
      <c r="A142" s="8" t="s">
        <v>670</v>
      </c>
      <c r="B142" s="9">
        <v>45108</v>
      </c>
      <c r="C142" s="9">
        <v>45139</v>
      </c>
      <c r="D142" s="8" t="s">
        <v>673</v>
      </c>
      <c r="E142" s="8" t="s">
        <v>48</v>
      </c>
      <c r="F142" s="8" t="s">
        <v>49</v>
      </c>
      <c r="G142" s="8" t="s">
        <v>28</v>
      </c>
      <c r="H142" s="8" t="s">
        <v>674</v>
      </c>
      <c r="I142" s="8" t="s">
        <v>4973</v>
      </c>
      <c r="J142" s="10">
        <v>672</v>
      </c>
      <c r="K142" s="11">
        <v>53.66</v>
      </c>
      <c r="L142" s="11">
        <v>74.39</v>
      </c>
      <c r="M142" s="11">
        <v>49990.080000000002</v>
      </c>
      <c r="N142" s="11">
        <v>36059.519999999997</v>
      </c>
      <c r="O142" s="11">
        <f>CleanedData[[#This Row],[Total Sales ($)]]-CleanedData[[#This Row],[Total Cost ($)]]</f>
        <v>13930.560000000005</v>
      </c>
      <c r="P142" s="12">
        <f>CleanedData[[#This Row],[Profit ($)]]/CleanedData[[#This Row],[Total Sales ($)]]</f>
        <v>0.27866648743110645</v>
      </c>
      <c r="Q142" s="8" t="s">
        <v>95</v>
      </c>
      <c r="R142" s="8" t="s">
        <v>32</v>
      </c>
      <c r="S142" s="8" t="b">
        <f>_xlfn.SINGLE(CleanedData[[#This Row],[Delivery Status]])="Late"</f>
        <v>1</v>
      </c>
      <c r="T142" s="10">
        <v>6</v>
      </c>
      <c r="U142" s="8" t="s">
        <v>33</v>
      </c>
      <c r="V142" s="10">
        <v>4071</v>
      </c>
      <c r="W142" s="10">
        <v>14</v>
      </c>
      <c r="X142" s="12">
        <v>2.0833333333333301E-2</v>
      </c>
      <c r="Y142" s="8" t="b">
        <f>CleanedData[[#This Row],[Ship Date]]&lt;CleanedData[[#This Row],[Order Date]]</f>
        <v>0</v>
      </c>
      <c r="Z142" s="10">
        <f>YEAR(CleanedData[[#This Row],[Order Date]])</f>
        <v>2023</v>
      </c>
      <c r="AA142" s="8">
        <f>MONTH(CleanedData[[#This Row],[Order Date]])</f>
        <v>7</v>
      </c>
    </row>
    <row r="143" spans="1:27" x14ac:dyDescent="0.35">
      <c r="A143" s="8" t="s">
        <v>675</v>
      </c>
      <c r="B143" s="9">
        <v>44970</v>
      </c>
      <c r="C143" s="9">
        <v>45190</v>
      </c>
      <c r="D143" s="8" t="s">
        <v>677</v>
      </c>
      <c r="E143" s="8" t="s">
        <v>100</v>
      </c>
      <c r="F143" s="8" t="s">
        <v>538</v>
      </c>
      <c r="G143" s="8" t="s">
        <v>28</v>
      </c>
      <c r="H143" s="8" t="s">
        <v>111</v>
      </c>
      <c r="I143" s="8" t="s">
        <v>4976</v>
      </c>
      <c r="J143" s="10">
        <v>334</v>
      </c>
      <c r="K143" s="11">
        <v>909.92</v>
      </c>
      <c r="L143" s="11">
        <v>1485.19</v>
      </c>
      <c r="M143" s="11">
        <v>496053.46</v>
      </c>
      <c r="N143" s="11">
        <v>303913.28000000003</v>
      </c>
      <c r="O143" s="11">
        <f>CleanedData[[#This Row],[Total Sales ($)]]-CleanedData[[#This Row],[Total Cost ($)]]</f>
        <v>192140.18</v>
      </c>
      <c r="P143" s="12">
        <f>CleanedData[[#This Row],[Profit ($)]]/CleanedData[[#This Row],[Total Sales ($)]]</f>
        <v>0.38733764703505946</v>
      </c>
      <c r="Q143" s="8" t="s">
        <v>95</v>
      </c>
      <c r="R143" s="8" t="s">
        <v>32</v>
      </c>
      <c r="S143" s="8" t="b">
        <f>_xlfn.SINGLE(CleanedData[[#This Row],[Delivery Status]])="Late"</f>
        <v>1</v>
      </c>
      <c r="T143" s="10">
        <v>10</v>
      </c>
      <c r="U143" s="8" t="s">
        <v>53</v>
      </c>
      <c r="V143" s="10">
        <v>1106</v>
      </c>
      <c r="W143" s="10">
        <v>14</v>
      </c>
      <c r="X143" s="12">
        <v>4.1916167664670601E-2</v>
      </c>
      <c r="Y143" s="8" t="b">
        <f>CleanedData[[#This Row],[Ship Date]]&lt;CleanedData[[#This Row],[Order Date]]</f>
        <v>0</v>
      </c>
      <c r="Z143" s="10">
        <f>YEAR(CleanedData[[#This Row],[Order Date]])</f>
        <v>2023</v>
      </c>
      <c r="AA143" s="8">
        <f>MONTH(CleanedData[[#This Row],[Order Date]])</f>
        <v>2</v>
      </c>
    </row>
    <row r="144" spans="1:27" x14ac:dyDescent="0.35">
      <c r="A144" s="8" t="s">
        <v>678</v>
      </c>
      <c r="B144" s="9">
        <v>45004</v>
      </c>
      <c r="C144" s="9">
        <v>45190</v>
      </c>
      <c r="D144" s="8" t="s">
        <v>679</v>
      </c>
      <c r="E144" s="8" t="s">
        <v>68</v>
      </c>
      <c r="F144" s="8" t="s">
        <v>276</v>
      </c>
      <c r="G144" s="8" t="s">
        <v>78</v>
      </c>
      <c r="H144" s="8" t="s">
        <v>425</v>
      </c>
      <c r="I144" s="8" t="s">
        <v>4967</v>
      </c>
      <c r="J144" s="10">
        <v>650</v>
      </c>
      <c r="K144" s="11">
        <v>29.39</v>
      </c>
      <c r="L144" s="11">
        <v>38.950000000000003</v>
      </c>
      <c r="M144" s="11">
        <v>25317.5</v>
      </c>
      <c r="N144" s="11">
        <v>19103.5</v>
      </c>
      <c r="O144" s="11">
        <f>CleanedData[[#This Row],[Total Sales ($)]]-CleanedData[[#This Row],[Total Cost ($)]]</f>
        <v>6214</v>
      </c>
      <c r="P144" s="12">
        <f>CleanedData[[#This Row],[Profit ($)]]/CleanedData[[#This Row],[Total Sales ($)]]</f>
        <v>0.24544287548138638</v>
      </c>
      <c r="Q144" s="8" t="s">
        <v>52</v>
      </c>
      <c r="R144" s="8" t="s">
        <v>63</v>
      </c>
      <c r="S144" s="8" t="b">
        <f>_xlfn.SINGLE(CleanedData[[#This Row],[Delivery Status]])="Late"</f>
        <v>0</v>
      </c>
      <c r="T144" s="10">
        <v>3</v>
      </c>
      <c r="U144" s="8" t="s">
        <v>43</v>
      </c>
      <c r="V144" s="10">
        <v>1291</v>
      </c>
      <c r="W144" s="10">
        <v>24</v>
      </c>
      <c r="X144" s="12">
        <v>3.6923076923076899E-2</v>
      </c>
      <c r="Y144" s="8" t="b">
        <f>CleanedData[[#This Row],[Ship Date]]&lt;CleanedData[[#This Row],[Order Date]]</f>
        <v>0</v>
      </c>
      <c r="Z144" s="10">
        <f>YEAR(CleanedData[[#This Row],[Order Date]])</f>
        <v>2023</v>
      </c>
      <c r="AA144" s="8">
        <f>MONTH(CleanedData[[#This Row],[Order Date]])</f>
        <v>3</v>
      </c>
    </row>
    <row r="145" spans="1:27" x14ac:dyDescent="0.35">
      <c r="A145" s="8" t="s">
        <v>680</v>
      </c>
      <c r="B145" s="9">
        <v>45004</v>
      </c>
      <c r="C145" s="9">
        <v>45283</v>
      </c>
      <c r="D145" s="8" t="s">
        <v>681</v>
      </c>
      <c r="E145" s="8" t="s">
        <v>48</v>
      </c>
      <c r="F145" s="8" t="s">
        <v>183</v>
      </c>
      <c r="G145" s="8" t="s">
        <v>39</v>
      </c>
      <c r="H145" s="8" t="s">
        <v>664</v>
      </c>
      <c r="I145" s="8" t="s">
        <v>4970</v>
      </c>
      <c r="J145" s="10">
        <v>315</v>
      </c>
      <c r="K145" s="11">
        <v>570.61</v>
      </c>
      <c r="L145" s="11">
        <v>889.47</v>
      </c>
      <c r="M145" s="11">
        <v>280183.05</v>
      </c>
      <c r="N145" s="11">
        <v>179742.15</v>
      </c>
      <c r="O145" s="11">
        <f>CleanedData[[#This Row],[Total Sales ($)]]-CleanedData[[#This Row],[Total Cost ($)]]</f>
        <v>100440.9</v>
      </c>
      <c r="P145" s="12">
        <f>CleanedData[[#This Row],[Profit ($)]]/CleanedData[[#This Row],[Total Sales ($)]]</f>
        <v>0.35848314164614881</v>
      </c>
      <c r="Q145" s="8" t="s">
        <v>42</v>
      </c>
      <c r="R145" s="8" t="s">
        <v>32</v>
      </c>
      <c r="S145" s="8" t="b">
        <f>_xlfn.SINGLE(CleanedData[[#This Row],[Delivery Status]])="Late"</f>
        <v>1</v>
      </c>
      <c r="T145" s="10">
        <v>10</v>
      </c>
      <c r="U145" s="8" t="s">
        <v>86</v>
      </c>
      <c r="V145" s="10">
        <v>1858</v>
      </c>
      <c r="W145" s="10">
        <v>4</v>
      </c>
      <c r="X145" s="12">
        <v>1.26984126984126E-2</v>
      </c>
      <c r="Y145" s="8" t="b">
        <f>CleanedData[[#This Row],[Ship Date]]&lt;CleanedData[[#This Row],[Order Date]]</f>
        <v>0</v>
      </c>
      <c r="Z145" s="10">
        <f>YEAR(CleanedData[[#This Row],[Order Date]])</f>
        <v>2023</v>
      </c>
      <c r="AA145" s="8">
        <f>MONTH(CleanedData[[#This Row],[Order Date]])</f>
        <v>3</v>
      </c>
    </row>
    <row r="146" spans="1:27" x14ac:dyDescent="0.35">
      <c r="A146" s="8" t="s">
        <v>682</v>
      </c>
      <c r="B146" s="9">
        <v>45097</v>
      </c>
      <c r="C146" s="9">
        <v>45020</v>
      </c>
      <c r="D146" s="8" t="s">
        <v>683</v>
      </c>
      <c r="E146" s="8" t="s">
        <v>100</v>
      </c>
      <c r="F146" s="8" t="s">
        <v>538</v>
      </c>
      <c r="G146" s="8" t="s">
        <v>217</v>
      </c>
      <c r="H146" s="8" t="s">
        <v>684</v>
      </c>
      <c r="I146" s="8" t="s">
        <v>4967</v>
      </c>
      <c r="J146" s="10">
        <v>368</v>
      </c>
      <c r="K146" s="11">
        <v>544.57000000000005</v>
      </c>
      <c r="L146" s="11">
        <v>787.03</v>
      </c>
      <c r="M146" s="11">
        <v>289627.03999999998</v>
      </c>
      <c r="N146" s="11">
        <v>200401.76</v>
      </c>
      <c r="O146" s="11">
        <f>CleanedData[[#This Row],[Total Sales ($)]]-CleanedData[[#This Row],[Total Cost ($)]]</f>
        <v>89225.27999999997</v>
      </c>
      <c r="P146" s="12">
        <f>CleanedData[[#This Row],[Profit ($)]]/CleanedData[[#This Row],[Total Sales ($)]]</f>
        <v>0.30806957803387408</v>
      </c>
      <c r="Q146" s="8" t="s">
        <v>52</v>
      </c>
      <c r="R146" s="8" t="s">
        <v>32</v>
      </c>
      <c r="S146" s="8" t="b">
        <f>_xlfn.SINGLE(CleanedData[[#This Row],[Delivery Status]])="Late"</f>
        <v>1</v>
      </c>
      <c r="T146" s="10">
        <v>6</v>
      </c>
      <c r="U146" s="8" t="s">
        <v>43</v>
      </c>
      <c r="V146" s="10">
        <v>4111</v>
      </c>
      <c r="W146" s="10">
        <v>0</v>
      </c>
      <c r="X146" s="12">
        <v>0</v>
      </c>
      <c r="Y146" s="8" t="b">
        <f>CleanedData[[#This Row],[Ship Date]]&lt;CleanedData[[#This Row],[Order Date]]</f>
        <v>1</v>
      </c>
      <c r="Z146" s="10">
        <f>YEAR(CleanedData[[#This Row],[Order Date]])</f>
        <v>2023</v>
      </c>
      <c r="AA146" s="8">
        <f>MONTH(CleanedData[[#This Row],[Order Date]])</f>
        <v>6</v>
      </c>
    </row>
    <row r="147" spans="1:27" x14ac:dyDescent="0.35">
      <c r="A147" s="8" t="s">
        <v>685</v>
      </c>
      <c r="B147" s="9">
        <v>44927</v>
      </c>
      <c r="C147" s="9">
        <v>45068</v>
      </c>
      <c r="D147" s="8" t="s">
        <v>686</v>
      </c>
      <c r="E147" s="8" t="s">
        <v>58</v>
      </c>
      <c r="F147" s="8" t="s">
        <v>122</v>
      </c>
      <c r="G147" s="8" t="s">
        <v>78</v>
      </c>
      <c r="H147" s="8" t="s">
        <v>425</v>
      </c>
      <c r="I147" s="8" t="s">
        <v>4976</v>
      </c>
      <c r="J147" s="10">
        <v>616</v>
      </c>
      <c r="K147" s="11">
        <v>1004.5</v>
      </c>
      <c r="L147" s="11">
        <v>1412.41</v>
      </c>
      <c r="M147" s="11">
        <v>870044.56</v>
      </c>
      <c r="N147" s="11">
        <v>618772</v>
      </c>
      <c r="O147" s="11">
        <f>CleanedData[[#This Row],[Total Sales ($)]]-CleanedData[[#This Row],[Total Cost ($)]]</f>
        <v>251272.56000000006</v>
      </c>
      <c r="P147" s="12">
        <f>CleanedData[[#This Row],[Profit ($)]]/CleanedData[[#This Row],[Total Sales ($)]]</f>
        <v>0.28880424239420571</v>
      </c>
      <c r="Q147" s="8" t="s">
        <v>42</v>
      </c>
      <c r="R147" s="8" t="s">
        <v>32</v>
      </c>
      <c r="S147" s="8" t="b">
        <f>_xlfn.SINGLE(CleanedData[[#This Row],[Delivery Status]])="Late"</f>
        <v>1</v>
      </c>
      <c r="T147" s="10">
        <v>15</v>
      </c>
      <c r="U147" s="8" t="s">
        <v>86</v>
      </c>
      <c r="V147" s="10">
        <v>2508</v>
      </c>
      <c r="W147" s="10"/>
      <c r="X147" s="12"/>
      <c r="Y147" s="8" t="b">
        <f>CleanedData[[#This Row],[Ship Date]]&lt;CleanedData[[#This Row],[Order Date]]</f>
        <v>0</v>
      </c>
      <c r="Z147" s="10">
        <f>YEAR(CleanedData[[#This Row],[Order Date]])</f>
        <v>2023</v>
      </c>
      <c r="AA147" s="8">
        <f>MONTH(CleanedData[[#This Row],[Order Date]])</f>
        <v>1</v>
      </c>
    </row>
    <row r="148" spans="1:27" x14ac:dyDescent="0.35">
      <c r="A148" s="8" t="s">
        <v>688</v>
      </c>
      <c r="B148" s="9">
        <v>44931</v>
      </c>
      <c r="C148" s="9">
        <v>45221</v>
      </c>
      <c r="D148" s="8" t="s">
        <v>689</v>
      </c>
      <c r="E148" s="8" t="s">
        <v>58</v>
      </c>
      <c r="F148" s="8" t="s">
        <v>122</v>
      </c>
      <c r="G148" s="8" t="s">
        <v>93</v>
      </c>
      <c r="H148" s="8" t="s">
        <v>302</v>
      </c>
      <c r="I148" s="8" t="s">
        <v>4969</v>
      </c>
      <c r="J148" s="10">
        <v>23</v>
      </c>
      <c r="K148" s="11">
        <v>798.88</v>
      </c>
      <c r="L148" s="11">
        <v>1045.27</v>
      </c>
      <c r="M148" s="11">
        <v>24041.21</v>
      </c>
      <c r="N148" s="11">
        <v>18374.240000000002</v>
      </c>
      <c r="O148" s="11">
        <f>CleanedData[[#This Row],[Total Sales ($)]]-CleanedData[[#This Row],[Total Cost ($)]]</f>
        <v>5666.9699999999975</v>
      </c>
      <c r="P148" s="12">
        <f>CleanedData[[#This Row],[Profit ($)]]/CleanedData[[#This Row],[Total Sales ($)]]</f>
        <v>0.23571900083232075</v>
      </c>
      <c r="Q148" s="8" t="s">
        <v>31</v>
      </c>
      <c r="R148" s="8" t="s">
        <v>63</v>
      </c>
      <c r="S148" s="8" t="b">
        <f>_xlfn.SINGLE(CleanedData[[#This Row],[Delivery Status]])="Late"</f>
        <v>0</v>
      </c>
      <c r="T148" s="10">
        <v>5</v>
      </c>
      <c r="U148" s="8" t="s">
        <v>158</v>
      </c>
      <c r="V148" s="10">
        <v>2876</v>
      </c>
      <c r="W148" s="10">
        <v>0</v>
      </c>
      <c r="X148" s="12">
        <v>0</v>
      </c>
      <c r="Y148" s="8" t="b">
        <f>CleanedData[[#This Row],[Ship Date]]&lt;CleanedData[[#This Row],[Order Date]]</f>
        <v>0</v>
      </c>
      <c r="Z148" s="10">
        <f>YEAR(CleanedData[[#This Row],[Order Date]])</f>
        <v>2023</v>
      </c>
      <c r="AA148" s="8">
        <f>MONTH(CleanedData[[#This Row],[Order Date]])</f>
        <v>1</v>
      </c>
    </row>
    <row r="149" spans="1:27" x14ac:dyDescent="0.35">
      <c r="A149" s="8" t="s">
        <v>690</v>
      </c>
      <c r="B149" s="9">
        <v>44983</v>
      </c>
      <c r="C149" s="9">
        <v>45091</v>
      </c>
      <c r="D149" s="8" t="s">
        <v>692</v>
      </c>
      <c r="E149" s="8" t="s">
        <v>58</v>
      </c>
      <c r="F149" s="8" t="s">
        <v>417</v>
      </c>
      <c r="G149" s="8" t="s">
        <v>50</v>
      </c>
      <c r="H149" s="8" t="s">
        <v>282</v>
      </c>
      <c r="I149" s="8" t="s">
        <v>4976</v>
      </c>
      <c r="J149" s="10">
        <v>6</v>
      </c>
      <c r="K149" s="11">
        <v>1003.65</v>
      </c>
      <c r="L149" s="11">
        <v>1528.7</v>
      </c>
      <c r="M149" s="11">
        <v>9172.2000000000007</v>
      </c>
      <c r="N149" s="11">
        <v>6021.9</v>
      </c>
      <c r="O149" s="11">
        <f>CleanedData[[#This Row],[Total Sales ($)]]-CleanedData[[#This Row],[Total Cost ($)]]</f>
        <v>3150.3000000000011</v>
      </c>
      <c r="P149" s="12">
        <f>CleanedData[[#This Row],[Profit ($)]]/CleanedData[[#This Row],[Total Sales ($)]]</f>
        <v>0.34346176489827968</v>
      </c>
      <c r="Q149" s="8" t="s">
        <v>31</v>
      </c>
      <c r="R149" s="8" t="s">
        <v>63</v>
      </c>
      <c r="S149" s="8" t="b">
        <f>_xlfn.SINGLE(CleanedData[[#This Row],[Delivery Status]])="Late"</f>
        <v>0</v>
      </c>
      <c r="T149" s="10">
        <v>3</v>
      </c>
      <c r="U149" s="8" t="s">
        <v>158</v>
      </c>
      <c r="V149" s="10">
        <v>3835</v>
      </c>
      <c r="W149" s="10">
        <v>1</v>
      </c>
      <c r="X149" s="12">
        <v>0.16666666666666699</v>
      </c>
      <c r="Y149" s="8" t="b">
        <f>CleanedData[[#This Row],[Ship Date]]&lt;CleanedData[[#This Row],[Order Date]]</f>
        <v>0</v>
      </c>
      <c r="Z149" s="10">
        <f>YEAR(CleanedData[[#This Row],[Order Date]])</f>
        <v>2023</v>
      </c>
      <c r="AA149" s="8">
        <f>MONTH(CleanedData[[#This Row],[Order Date]])</f>
        <v>2</v>
      </c>
    </row>
    <row r="150" spans="1:27" x14ac:dyDescent="0.35">
      <c r="A150" s="8" t="s">
        <v>693</v>
      </c>
      <c r="B150" s="9">
        <v>44977</v>
      </c>
      <c r="C150" s="9">
        <v>45010</v>
      </c>
      <c r="D150" s="8" t="s">
        <v>695</v>
      </c>
      <c r="E150" s="8" t="s">
        <v>68</v>
      </c>
      <c r="F150" s="8" t="s">
        <v>146</v>
      </c>
      <c r="G150" s="8" t="s">
        <v>60</v>
      </c>
      <c r="H150" s="8" t="s">
        <v>400</v>
      </c>
      <c r="I150" s="8" t="s">
        <v>4973</v>
      </c>
      <c r="J150" s="10">
        <v>557</v>
      </c>
      <c r="K150" s="11">
        <v>854.35</v>
      </c>
      <c r="L150" s="11">
        <v>1195.8900000000001</v>
      </c>
      <c r="M150" s="11">
        <v>666110.73</v>
      </c>
      <c r="N150" s="11">
        <v>475872.95</v>
      </c>
      <c r="O150" s="11">
        <f>CleanedData[[#This Row],[Total Sales ($)]]-CleanedData[[#This Row],[Total Cost ($)]]</f>
        <v>190237.77999999997</v>
      </c>
      <c r="P150" s="12">
        <f>CleanedData[[#This Row],[Profit ($)]]/CleanedData[[#This Row],[Total Sales ($)]]</f>
        <v>0.28559482895584037</v>
      </c>
      <c r="Q150" s="8" t="s">
        <v>52</v>
      </c>
      <c r="R150" s="8" t="s">
        <v>63</v>
      </c>
      <c r="S150" s="8" t="b">
        <f>_xlfn.SINGLE(CleanedData[[#This Row],[Delivery Status]])="Late"</f>
        <v>0</v>
      </c>
      <c r="T150" s="10">
        <v>2</v>
      </c>
      <c r="U150" s="8" t="s">
        <v>33</v>
      </c>
      <c r="V150" s="10">
        <v>2501.41</v>
      </c>
      <c r="W150" s="10">
        <v>22</v>
      </c>
      <c r="X150" s="12">
        <v>3.9497307001795302E-2</v>
      </c>
      <c r="Y150" s="8" t="b">
        <f>CleanedData[[#This Row],[Ship Date]]&lt;CleanedData[[#This Row],[Order Date]]</f>
        <v>0</v>
      </c>
      <c r="Z150" s="10">
        <f>YEAR(CleanedData[[#This Row],[Order Date]])</f>
        <v>2023</v>
      </c>
      <c r="AA150" s="8">
        <f>MONTH(CleanedData[[#This Row],[Order Date]])</f>
        <v>2</v>
      </c>
    </row>
    <row r="151" spans="1:27" x14ac:dyDescent="0.35">
      <c r="A151" s="8" t="s">
        <v>698</v>
      </c>
      <c r="B151" s="9">
        <v>45052</v>
      </c>
      <c r="C151" s="9">
        <v>45283</v>
      </c>
      <c r="D151" s="8" t="s">
        <v>699</v>
      </c>
      <c r="E151" s="8" t="s">
        <v>58</v>
      </c>
      <c r="F151" s="8" t="s">
        <v>259</v>
      </c>
      <c r="G151" s="8" t="s">
        <v>28</v>
      </c>
      <c r="H151" s="8" t="s">
        <v>579</v>
      </c>
      <c r="I151" s="8" t="s">
        <v>4976</v>
      </c>
      <c r="J151" s="10">
        <v>733</v>
      </c>
      <c r="K151" s="11">
        <v>230.25</v>
      </c>
      <c r="L151" s="11">
        <v>363.94</v>
      </c>
      <c r="M151" s="11">
        <v>266768.02</v>
      </c>
      <c r="N151" s="11">
        <v>168773.25</v>
      </c>
      <c r="O151" s="11">
        <f>CleanedData[[#This Row],[Total Sales ($)]]-CleanedData[[#This Row],[Total Cost ($)]]</f>
        <v>97994.770000000019</v>
      </c>
      <c r="P151" s="12">
        <f>CleanedData[[#This Row],[Profit ($)]]/CleanedData[[#This Row],[Total Sales ($)]]</f>
        <v>0.36734077045666874</v>
      </c>
      <c r="Q151" s="8" t="s">
        <v>52</v>
      </c>
      <c r="R151" s="8" t="s">
        <v>32</v>
      </c>
      <c r="S151" s="8" t="b">
        <f>_xlfn.SINGLE(CleanedData[[#This Row],[Delivery Status]])="Late"</f>
        <v>1</v>
      </c>
      <c r="T151" s="10">
        <v>7</v>
      </c>
      <c r="U151" s="8" t="s">
        <v>158</v>
      </c>
      <c r="V151" s="10">
        <v>1809</v>
      </c>
      <c r="W151" s="10">
        <v>13</v>
      </c>
      <c r="X151" s="12">
        <v>1.7735334242837599E-2</v>
      </c>
      <c r="Y151" s="8" t="b">
        <f>CleanedData[[#This Row],[Ship Date]]&lt;CleanedData[[#This Row],[Order Date]]</f>
        <v>0</v>
      </c>
      <c r="Z151" s="10">
        <f>YEAR(CleanedData[[#This Row],[Order Date]])</f>
        <v>2023</v>
      </c>
      <c r="AA151" s="8">
        <f>MONTH(CleanedData[[#This Row],[Order Date]])</f>
        <v>5</v>
      </c>
    </row>
    <row r="152" spans="1:27" x14ac:dyDescent="0.35">
      <c r="A152" s="8" t="s">
        <v>700</v>
      </c>
      <c r="B152" s="9">
        <v>45263</v>
      </c>
      <c r="C152" s="9">
        <v>44954</v>
      </c>
      <c r="D152" s="8" t="s">
        <v>703</v>
      </c>
      <c r="E152" s="8" t="s">
        <v>100</v>
      </c>
      <c r="F152" s="8" t="s">
        <v>330</v>
      </c>
      <c r="G152" s="8" t="s">
        <v>129</v>
      </c>
      <c r="H152" s="8" t="s">
        <v>704</v>
      </c>
      <c r="I152" s="8" t="s">
        <v>4978</v>
      </c>
      <c r="J152" s="10">
        <v>279</v>
      </c>
      <c r="K152" s="11">
        <v>1001.61</v>
      </c>
      <c r="L152" s="11">
        <v>1413.31</v>
      </c>
      <c r="M152" s="11">
        <v>394313.49</v>
      </c>
      <c r="N152" s="11">
        <v>279449.19</v>
      </c>
      <c r="O152" s="11">
        <f>CleanedData[[#This Row],[Total Sales ($)]]-CleanedData[[#This Row],[Total Cost ($)]]</f>
        <v>114864.29999999999</v>
      </c>
      <c r="P152" s="12">
        <f>CleanedData[[#This Row],[Profit ($)]]/CleanedData[[#This Row],[Total Sales ($)]]</f>
        <v>0.29130197904210681</v>
      </c>
      <c r="Q152" s="8" t="s">
        <v>42</v>
      </c>
      <c r="R152" s="8" t="s">
        <v>32</v>
      </c>
      <c r="S152" s="8" t="b">
        <f>_xlfn.SINGLE(CleanedData[[#This Row],[Delivery Status]])="Late"</f>
        <v>1</v>
      </c>
      <c r="T152" s="10">
        <v>12</v>
      </c>
      <c r="U152" s="8" t="s">
        <v>86</v>
      </c>
      <c r="V152" s="10">
        <v>3612</v>
      </c>
      <c r="W152" s="10">
        <v>11</v>
      </c>
      <c r="X152" s="12">
        <v>3.9426523297491002E-2</v>
      </c>
      <c r="Y152" s="8" t="b">
        <f>CleanedData[[#This Row],[Ship Date]]&lt;CleanedData[[#This Row],[Order Date]]</f>
        <v>1</v>
      </c>
      <c r="Z152" s="10">
        <f>YEAR(CleanedData[[#This Row],[Order Date]])</f>
        <v>2023</v>
      </c>
      <c r="AA152" s="8">
        <f>MONTH(CleanedData[[#This Row],[Order Date]])</f>
        <v>12</v>
      </c>
    </row>
    <row r="153" spans="1:27" x14ac:dyDescent="0.35">
      <c r="A153" s="8" t="s">
        <v>705</v>
      </c>
      <c r="B153" s="9">
        <v>45111</v>
      </c>
      <c r="C153" s="9">
        <v>45094</v>
      </c>
      <c r="D153" s="8" t="s">
        <v>708</v>
      </c>
      <c r="E153" s="8" t="s">
        <v>26</v>
      </c>
      <c r="F153" s="8" t="s">
        <v>709</v>
      </c>
      <c r="G153" s="8" t="s">
        <v>28</v>
      </c>
      <c r="H153" s="8" t="s">
        <v>674</v>
      </c>
      <c r="I153" s="8" t="s">
        <v>4968</v>
      </c>
      <c r="J153" s="10">
        <v>598</v>
      </c>
      <c r="K153" s="11">
        <v>665</v>
      </c>
      <c r="L153" s="11">
        <v>1032.18</v>
      </c>
      <c r="M153" s="11">
        <v>617243.64</v>
      </c>
      <c r="N153" s="11">
        <v>397670</v>
      </c>
      <c r="O153" s="11">
        <f>CleanedData[[#This Row],[Total Sales ($)]]-CleanedData[[#This Row],[Total Cost ($)]]</f>
        <v>219573.64</v>
      </c>
      <c r="P153" s="12">
        <f>CleanedData[[#This Row],[Profit ($)]]/CleanedData[[#This Row],[Total Sales ($)]]</f>
        <v>0.35573252727237498</v>
      </c>
      <c r="Q153" s="8" t="s">
        <v>42</v>
      </c>
      <c r="R153" s="8" t="s">
        <v>32</v>
      </c>
      <c r="S153" s="8" t="b">
        <f>_xlfn.SINGLE(CleanedData[[#This Row],[Delivery Status]])="Late"</f>
        <v>1</v>
      </c>
      <c r="T153" s="10">
        <v>12</v>
      </c>
      <c r="U153" s="8" t="s">
        <v>86</v>
      </c>
      <c r="V153" s="10">
        <v>2944</v>
      </c>
      <c r="W153" s="10">
        <v>24</v>
      </c>
      <c r="X153" s="12">
        <v>4.0133779264213999E-2</v>
      </c>
      <c r="Y153" s="8" t="b">
        <f>CleanedData[[#This Row],[Ship Date]]&lt;CleanedData[[#This Row],[Order Date]]</f>
        <v>1</v>
      </c>
      <c r="Z153" s="10">
        <f>YEAR(CleanedData[[#This Row],[Order Date]])</f>
        <v>2023</v>
      </c>
      <c r="AA153" s="8">
        <f>MONTH(CleanedData[[#This Row],[Order Date]])</f>
        <v>7</v>
      </c>
    </row>
    <row r="154" spans="1:27" x14ac:dyDescent="0.35">
      <c r="A154" s="8" t="s">
        <v>710</v>
      </c>
      <c r="B154" s="9">
        <v>45284</v>
      </c>
      <c r="C154" s="9">
        <v>45049</v>
      </c>
      <c r="D154" s="8" t="s">
        <v>713</v>
      </c>
      <c r="E154" s="8" t="s">
        <v>68</v>
      </c>
      <c r="F154" s="8" t="s">
        <v>69</v>
      </c>
      <c r="G154" s="8" t="s">
        <v>28</v>
      </c>
      <c r="H154" s="8" t="s">
        <v>714</v>
      </c>
      <c r="I154" s="8" t="s">
        <v>4975</v>
      </c>
      <c r="J154" s="10">
        <v>309</v>
      </c>
      <c r="K154" s="11">
        <v>686.49</v>
      </c>
      <c r="L154" s="11">
        <v>932.64</v>
      </c>
      <c r="M154" s="11">
        <v>288185.76</v>
      </c>
      <c r="N154" s="11">
        <v>212125.41</v>
      </c>
      <c r="O154" s="11">
        <f>CleanedData[[#This Row],[Total Sales ($)]]-CleanedData[[#This Row],[Total Cost ($)]]</f>
        <v>76060.350000000006</v>
      </c>
      <c r="P154" s="12">
        <f>CleanedData[[#This Row],[Profit ($)]]/CleanedData[[#This Row],[Total Sales ($)]]</f>
        <v>0.26392820380854348</v>
      </c>
      <c r="Q154" s="8" t="s">
        <v>31</v>
      </c>
      <c r="R154" s="8" t="s">
        <v>63</v>
      </c>
      <c r="S154" s="8" t="b">
        <f>_xlfn.SINGLE(CleanedData[[#This Row],[Delivery Status]])="Late"</f>
        <v>0</v>
      </c>
      <c r="T154" s="10">
        <v>5</v>
      </c>
      <c r="U154" s="8" t="s">
        <v>86</v>
      </c>
      <c r="V154" s="10">
        <v>2067</v>
      </c>
      <c r="W154" s="10">
        <v>11</v>
      </c>
      <c r="X154" s="12">
        <v>3.5598705501618103E-2</v>
      </c>
      <c r="Y154" s="8" t="b">
        <f>CleanedData[[#This Row],[Ship Date]]&lt;CleanedData[[#This Row],[Order Date]]</f>
        <v>1</v>
      </c>
      <c r="Z154" s="10">
        <f>YEAR(CleanedData[[#This Row],[Order Date]])</f>
        <v>2023</v>
      </c>
      <c r="AA154" s="8">
        <f>MONTH(CleanedData[[#This Row],[Order Date]])</f>
        <v>12</v>
      </c>
    </row>
    <row r="155" spans="1:27" x14ac:dyDescent="0.35">
      <c r="A155" s="8" t="s">
        <v>715</v>
      </c>
      <c r="B155" s="9">
        <v>45083</v>
      </c>
      <c r="C155" s="9">
        <v>44986</v>
      </c>
      <c r="D155" s="8" t="s">
        <v>717</v>
      </c>
      <c r="E155" s="8" t="s">
        <v>100</v>
      </c>
      <c r="F155" s="8" t="s">
        <v>238</v>
      </c>
      <c r="G155" s="8" t="s">
        <v>70</v>
      </c>
      <c r="H155" s="8" t="s">
        <v>623</v>
      </c>
      <c r="I155" s="8" t="s">
        <v>4979</v>
      </c>
      <c r="J155" s="10">
        <v>592</v>
      </c>
      <c r="K155" s="11">
        <v>341.54</v>
      </c>
      <c r="L155" s="11">
        <v>414.17</v>
      </c>
      <c r="M155" s="11">
        <v>245188.64</v>
      </c>
      <c r="N155" s="11">
        <v>202191.68</v>
      </c>
      <c r="O155" s="11">
        <f>CleanedData[[#This Row],[Total Sales ($)]]-CleanedData[[#This Row],[Total Cost ($)]]</f>
        <v>42996.960000000021</v>
      </c>
      <c r="P155" s="12">
        <f>CleanedData[[#This Row],[Profit ($)]]/CleanedData[[#This Row],[Total Sales ($)]]</f>
        <v>0.17536277374025167</v>
      </c>
      <c r="Q155" s="8" t="s">
        <v>52</v>
      </c>
      <c r="R155" s="8" t="s">
        <v>63</v>
      </c>
      <c r="S155" s="8" t="b">
        <f>_xlfn.SINGLE(CleanedData[[#This Row],[Delivery Status]])="Late"</f>
        <v>0</v>
      </c>
      <c r="T155" s="10">
        <v>4</v>
      </c>
      <c r="U155" s="8" t="s">
        <v>112</v>
      </c>
      <c r="V155" s="10">
        <v>4536</v>
      </c>
      <c r="W155" s="10">
        <v>4</v>
      </c>
      <c r="X155" s="12">
        <v>6.7567567567566999E-3</v>
      </c>
      <c r="Y155" s="8" t="b">
        <f>CleanedData[[#This Row],[Ship Date]]&lt;CleanedData[[#This Row],[Order Date]]</f>
        <v>1</v>
      </c>
      <c r="Z155" s="10">
        <f>YEAR(CleanedData[[#This Row],[Order Date]])</f>
        <v>2023</v>
      </c>
      <c r="AA155" s="8">
        <f>MONTH(CleanedData[[#This Row],[Order Date]])</f>
        <v>6</v>
      </c>
    </row>
    <row r="156" spans="1:27" x14ac:dyDescent="0.35">
      <c r="A156" s="8" t="s">
        <v>718</v>
      </c>
      <c r="B156" s="9">
        <v>45117</v>
      </c>
      <c r="C156" s="9">
        <v>45226</v>
      </c>
      <c r="D156" s="8" t="s">
        <v>721</v>
      </c>
      <c r="E156" s="8" t="s">
        <v>26</v>
      </c>
      <c r="F156" s="8" t="s">
        <v>92</v>
      </c>
      <c r="G156" s="8" t="s">
        <v>28</v>
      </c>
      <c r="H156" s="8" t="s">
        <v>507</v>
      </c>
      <c r="I156" s="8" t="s">
        <v>4976</v>
      </c>
      <c r="J156" s="10">
        <v>508</v>
      </c>
      <c r="K156" s="11">
        <v>585.97</v>
      </c>
      <c r="L156" s="11">
        <v>763.26</v>
      </c>
      <c r="M156" s="11">
        <v>387736.08</v>
      </c>
      <c r="N156" s="11">
        <v>297672.76</v>
      </c>
      <c r="O156" s="11">
        <f>CleanedData[[#This Row],[Total Sales ($)]]-CleanedData[[#This Row],[Total Cost ($)]]</f>
        <v>90063.32</v>
      </c>
      <c r="P156" s="12">
        <f>CleanedData[[#This Row],[Profit ($)]]/CleanedData[[#This Row],[Total Sales ($)]]</f>
        <v>0.23227995702643922</v>
      </c>
      <c r="Q156" s="8" t="s">
        <v>31</v>
      </c>
      <c r="R156" s="8" t="s">
        <v>32</v>
      </c>
      <c r="S156" s="8" t="b">
        <f>_xlfn.SINGLE(CleanedData[[#This Row],[Delivery Status]])="Late"</f>
        <v>1</v>
      </c>
      <c r="T156" s="10">
        <v>10</v>
      </c>
      <c r="U156" s="8" t="s">
        <v>112</v>
      </c>
      <c r="V156" s="10">
        <v>2567</v>
      </c>
      <c r="W156" s="10">
        <v>13</v>
      </c>
      <c r="X156" s="12">
        <v>2.5590551181102299E-2</v>
      </c>
      <c r="Y156" s="8" t="b">
        <f>CleanedData[[#This Row],[Ship Date]]&lt;CleanedData[[#This Row],[Order Date]]</f>
        <v>0</v>
      </c>
      <c r="Z156" s="10">
        <f>YEAR(CleanedData[[#This Row],[Order Date]])</f>
        <v>2023</v>
      </c>
      <c r="AA156" s="8">
        <f>MONTH(CleanedData[[#This Row],[Order Date]])</f>
        <v>7</v>
      </c>
    </row>
    <row r="157" spans="1:27" x14ac:dyDescent="0.35">
      <c r="A157" s="8" t="s">
        <v>722</v>
      </c>
      <c r="B157" s="9">
        <v>45050</v>
      </c>
      <c r="C157" s="9">
        <v>44975</v>
      </c>
      <c r="D157" s="8" t="s">
        <v>724</v>
      </c>
      <c r="E157" s="8" t="s">
        <v>58</v>
      </c>
      <c r="F157" s="8" t="s">
        <v>59</v>
      </c>
      <c r="G157" s="8" t="s">
        <v>217</v>
      </c>
      <c r="H157" s="8" t="s">
        <v>725</v>
      </c>
      <c r="I157" s="8" t="s">
        <v>4968</v>
      </c>
      <c r="J157" s="10">
        <v>733</v>
      </c>
      <c r="K157" s="11">
        <v>65.510000000000005</v>
      </c>
      <c r="L157" s="11">
        <v>95.4</v>
      </c>
      <c r="M157" s="11">
        <v>69928.2</v>
      </c>
      <c r="N157" s="11">
        <v>48018.83</v>
      </c>
      <c r="O157" s="11">
        <f>CleanedData[[#This Row],[Total Sales ($)]]-CleanedData[[#This Row],[Total Cost ($)]]</f>
        <v>21909.369999999995</v>
      </c>
      <c r="P157" s="12">
        <f>CleanedData[[#This Row],[Profit ($)]]/CleanedData[[#This Row],[Total Sales ($)]]</f>
        <v>0.31331236897274628</v>
      </c>
      <c r="Q157" s="8" t="s">
        <v>95</v>
      </c>
      <c r="R157" s="8" t="s">
        <v>32</v>
      </c>
      <c r="S157" s="8" t="b">
        <f>_xlfn.SINGLE(CleanedData[[#This Row],[Delivery Status]])="Late"</f>
        <v>1</v>
      </c>
      <c r="T157" s="10">
        <v>8</v>
      </c>
      <c r="U157" s="8" t="s">
        <v>53</v>
      </c>
      <c r="V157" s="10">
        <v>219</v>
      </c>
      <c r="W157" s="10">
        <v>12</v>
      </c>
      <c r="X157" s="12">
        <v>1.6371077762619299E-2</v>
      </c>
      <c r="Y157" s="8" t="b">
        <f>CleanedData[[#This Row],[Ship Date]]&lt;CleanedData[[#This Row],[Order Date]]</f>
        <v>1</v>
      </c>
      <c r="Z157" s="10">
        <f>YEAR(CleanedData[[#This Row],[Order Date]])</f>
        <v>2023</v>
      </c>
      <c r="AA157" s="8">
        <f>MONTH(CleanedData[[#This Row],[Order Date]])</f>
        <v>5</v>
      </c>
    </row>
    <row r="158" spans="1:27" x14ac:dyDescent="0.35">
      <c r="A158" s="8" t="s">
        <v>726</v>
      </c>
      <c r="B158" s="9">
        <v>45611</v>
      </c>
      <c r="C158" s="9">
        <v>45536</v>
      </c>
      <c r="D158" s="8" t="s">
        <v>729</v>
      </c>
      <c r="E158" s="8" t="s">
        <v>68</v>
      </c>
      <c r="F158" s="8" t="s">
        <v>276</v>
      </c>
      <c r="G158" s="8" t="s">
        <v>93</v>
      </c>
      <c r="H158" s="8" t="s">
        <v>184</v>
      </c>
      <c r="I158" s="8" t="s">
        <v>4979</v>
      </c>
      <c r="J158" s="10">
        <v>229</v>
      </c>
      <c r="K158" s="11">
        <v>322.67</v>
      </c>
      <c r="L158" s="11">
        <v>467.58</v>
      </c>
      <c r="M158" s="11">
        <v>107075.82</v>
      </c>
      <c r="N158" s="11">
        <v>73891.429999999993</v>
      </c>
      <c r="O158" s="11">
        <f>CleanedData[[#This Row],[Total Sales ($)]]-CleanedData[[#This Row],[Total Cost ($)]]</f>
        <v>33184.390000000014</v>
      </c>
      <c r="P158" s="12">
        <f>CleanedData[[#This Row],[Profit ($)]]/CleanedData[[#This Row],[Total Sales ($)]]</f>
        <v>0.30991488087599994</v>
      </c>
      <c r="Q158" s="8" t="s">
        <v>42</v>
      </c>
      <c r="R158" s="8" t="s">
        <v>32</v>
      </c>
      <c r="S158" s="8" t="b">
        <f>_xlfn.SINGLE(CleanedData[[#This Row],[Delivery Status]])="Late"</f>
        <v>1</v>
      </c>
      <c r="T158" s="10">
        <v>15</v>
      </c>
      <c r="U158" s="8" t="s">
        <v>43</v>
      </c>
      <c r="V158" s="10">
        <v>1991</v>
      </c>
      <c r="W158" s="10">
        <v>3</v>
      </c>
      <c r="X158" s="12">
        <v>1.31004366812227E-2</v>
      </c>
      <c r="Y158" s="8" t="b">
        <f>CleanedData[[#This Row],[Ship Date]]&lt;CleanedData[[#This Row],[Order Date]]</f>
        <v>1</v>
      </c>
      <c r="Z158" s="10">
        <f>YEAR(CleanedData[[#This Row],[Order Date]])</f>
        <v>2024</v>
      </c>
      <c r="AA158" s="8">
        <f>MONTH(CleanedData[[#This Row],[Order Date]])</f>
        <v>11</v>
      </c>
    </row>
    <row r="159" spans="1:27" x14ac:dyDescent="0.35">
      <c r="A159" s="8" t="s">
        <v>730</v>
      </c>
      <c r="B159" s="9">
        <v>45623</v>
      </c>
      <c r="C159" s="9">
        <v>45363</v>
      </c>
      <c r="D159" s="8" t="s">
        <v>733</v>
      </c>
      <c r="E159" s="8" t="s">
        <v>58</v>
      </c>
      <c r="F159" s="8" t="s">
        <v>417</v>
      </c>
      <c r="G159" s="8" t="s">
        <v>50</v>
      </c>
      <c r="H159" s="8" t="s">
        <v>734</v>
      </c>
      <c r="I159" s="8" t="s">
        <v>4976</v>
      </c>
      <c r="J159" s="10">
        <v>674</v>
      </c>
      <c r="K159" s="11">
        <v>107.98</v>
      </c>
      <c r="L159" s="11">
        <v>160.22</v>
      </c>
      <c r="M159" s="11">
        <v>107988.28</v>
      </c>
      <c r="N159" s="11">
        <v>72778.52</v>
      </c>
      <c r="O159" s="11">
        <f>CleanedData[[#This Row],[Total Sales ($)]]-CleanedData[[#This Row],[Total Cost ($)]]</f>
        <v>35209.759999999995</v>
      </c>
      <c r="P159" s="12">
        <f>CleanedData[[#This Row],[Profit ($)]]/CleanedData[[#This Row],[Total Sales ($)]]</f>
        <v>0.32605167894145548</v>
      </c>
      <c r="Q159" s="8" t="s">
        <v>52</v>
      </c>
      <c r="R159" s="8" t="s">
        <v>63</v>
      </c>
      <c r="S159" s="8" t="b">
        <f>_xlfn.SINGLE(CleanedData[[#This Row],[Delivery Status]])="Late"</f>
        <v>0</v>
      </c>
      <c r="T159" s="10">
        <v>4</v>
      </c>
      <c r="U159" s="8" t="s">
        <v>158</v>
      </c>
      <c r="V159" s="10">
        <v>2623</v>
      </c>
      <c r="W159" s="10">
        <v>7</v>
      </c>
      <c r="X159" s="12">
        <v>1.0385756676557801E-2</v>
      </c>
      <c r="Y159" s="8" t="b">
        <f>CleanedData[[#This Row],[Ship Date]]&lt;CleanedData[[#This Row],[Order Date]]</f>
        <v>1</v>
      </c>
      <c r="Z159" s="10">
        <f>YEAR(CleanedData[[#This Row],[Order Date]])</f>
        <v>2024</v>
      </c>
      <c r="AA159" s="8">
        <f>MONTH(CleanedData[[#This Row],[Order Date]])</f>
        <v>11</v>
      </c>
    </row>
    <row r="160" spans="1:27" x14ac:dyDescent="0.35">
      <c r="A160" s="8" t="s">
        <v>735</v>
      </c>
      <c r="B160" s="9">
        <v>44966</v>
      </c>
      <c r="C160" s="9">
        <v>45027</v>
      </c>
      <c r="D160" s="8" t="s">
        <v>737</v>
      </c>
      <c r="E160" s="8" t="s">
        <v>48</v>
      </c>
      <c r="F160" s="8" t="s">
        <v>49</v>
      </c>
      <c r="G160" s="8" t="s">
        <v>28</v>
      </c>
      <c r="H160" s="8" t="s">
        <v>254</v>
      </c>
      <c r="I160" s="8" t="s">
        <v>4977</v>
      </c>
      <c r="J160" s="10">
        <v>504</v>
      </c>
      <c r="K160" s="11">
        <v>947.24</v>
      </c>
      <c r="L160" s="11">
        <v>1261.58</v>
      </c>
      <c r="M160" s="11">
        <v>635836.31999999995</v>
      </c>
      <c r="N160" s="11">
        <v>477408.96</v>
      </c>
      <c r="O160" s="11">
        <f>CleanedData[[#This Row],[Total Sales ($)]]-CleanedData[[#This Row],[Total Cost ($)]]</f>
        <v>158427.35999999993</v>
      </c>
      <c r="P160" s="12">
        <f>CleanedData[[#This Row],[Profit ($)]]/CleanedData[[#This Row],[Total Sales ($)]]</f>
        <v>0.24916374704735322</v>
      </c>
      <c r="Q160" s="8" t="s">
        <v>52</v>
      </c>
      <c r="R160" s="8" t="s">
        <v>63</v>
      </c>
      <c r="S160" s="8" t="b">
        <f>_xlfn.SINGLE(CleanedData[[#This Row],[Delivery Status]])="Late"</f>
        <v>0</v>
      </c>
      <c r="T160" s="10">
        <v>2</v>
      </c>
      <c r="U160" s="8" t="s">
        <v>53</v>
      </c>
      <c r="V160" s="10">
        <v>2952</v>
      </c>
      <c r="W160" s="10">
        <v>24</v>
      </c>
      <c r="X160" s="12">
        <v>4.7619047619047603E-2</v>
      </c>
      <c r="Y160" s="8" t="b">
        <f>CleanedData[[#This Row],[Ship Date]]&lt;CleanedData[[#This Row],[Order Date]]</f>
        <v>0</v>
      </c>
      <c r="Z160" s="10">
        <f>YEAR(CleanedData[[#This Row],[Order Date]])</f>
        <v>2023</v>
      </c>
      <c r="AA160" s="8">
        <f>MONTH(CleanedData[[#This Row],[Order Date]])</f>
        <v>2</v>
      </c>
    </row>
    <row r="161" spans="1:27" x14ac:dyDescent="0.35">
      <c r="A161" s="8" t="s">
        <v>738</v>
      </c>
      <c r="B161" s="9">
        <v>45101</v>
      </c>
      <c r="C161" s="9">
        <v>45032</v>
      </c>
      <c r="D161" s="8" t="s">
        <v>739</v>
      </c>
      <c r="E161" s="8" t="s">
        <v>100</v>
      </c>
      <c r="F161" s="8" t="s">
        <v>101</v>
      </c>
      <c r="G161" s="8" t="s">
        <v>70</v>
      </c>
      <c r="H161" s="8" t="s">
        <v>71</v>
      </c>
      <c r="I161" s="8" t="s">
        <v>4971</v>
      </c>
      <c r="J161" s="10">
        <v>342</v>
      </c>
      <c r="K161" s="11">
        <v>142.31</v>
      </c>
      <c r="L161" s="11">
        <v>234.05</v>
      </c>
      <c r="M161" s="11">
        <v>80045.100000000006</v>
      </c>
      <c r="N161" s="11">
        <v>48670.02</v>
      </c>
      <c r="O161" s="11">
        <f>CleanedData[[#This Row],[Total Sales ($)]]-CleanedData[[#This Row],[Total Cost ($)]]</f>
        <v>31375.080000000009</v>
      </c>
      <c r="P161" s="12">
        <f>CleanedData[[#This Row],[Profit ($)]]/CleanedData[[#This Row],[Total Sales ($)]]</f>
        <v>0.39196752830591763</v>
      </c>
      <c r="Q161" s="8" t="s">
        <v>42</v>
      </c>
      <c r="R161" s="8" t="s">
        <v>32</v>
      </c>
      <c r="S161" s="8" t="b">
        <f>_xlfn.SINGLE(CleanedData[[#This Row],[Delivery Status]])="Late"</f>
        <v>1</v>
      </c>
      <c r="T161" s="10">
        <v>7</v>
      </c>
      <c r="U161" s="8" t="s">
        <v>43</v>
      </c>
      <c r="V161" s="10">
        <v>1395</v>
      </c>
      <c r="W161" s="10">
        <v>7</v>
      </c>
      <c r="X161" s="12">
        <v>2.0467836257309899E-2</v>
      </c>
      <c r="Y161" s="8" t="b">
        <f>CleanedData[[#This Row],[Ship Date]]&lt;CleanedData[[#This Row],[Order Date]]</f>
        <v>1</v>
      </c>
      <c r="Z161" s="10">
        <f>YEAR(CleanedData[[#This Row],[Order Date]])</f>
        <v>2023</v>
      </c>
      <c r="AA161" s="8">
        <f>MONTH(CleanedData[[#This Row],[Order Date]])</f>
        <v>6</v>
      </c>
    </row>
    <row r="162" spans="1:27" x14ac:dyDescent="0.35">
      <c r="A162" s="8" t="s">
        <v>740</v>
      </c>
      <c r="B162" s="9">
        <v>44959</v>
      </c>
      <c r="C162" s="9">
        <v>45213</v>
      </c>
      <c r="D162" s="8" t="s">
        <v>743</v>
      </c>
      <c r="E162" s="8" t="s">
        <v>68</v>
      </c>
      <c r="F162" s="8" t="s">
        <v>249</v>
      </c>
      <c r="G162" s="8" t="s">
        <v>50</v>
      </c>
      <c r="H162" s="8" t="s">
        <v>107</v>
      </c>
      <c r="I162" s="8" t="s">
        <v>4969</v>
      </c>
      <c r="J162" s="10">
        <v>639</v>
      </c>
      <c r="K162" s="11">
        <v>523.12</v>
      </c>
      <c r="L162" s="11">
        <v>697.63</v>
      </c>
      <c r="M162" s="11">
        <v>445785.57</v>
      </c>
      <c r="N162" s="11">
        <v>334273.68</v>
      </c>
      <c r="O162" s="11">
        <f>CleanedData[[#This Row],[Total Sales ($)]]-CleanedData[[#This Row],[Total Cost ($)]]</f>
        <v>111511.89000000001</v>
      </c>
      <c r="P162" s="12">
        <f>CleanedData[[#This Row],[Profit ($)]]/CleanedData[[#This Row],[Total Sales ($)]]</f>
        <v>0.25014692602095667</v>
      </c>
      <c r="Q162" s="8" t="s">
        <v>52</v>
      </c>
      <c r="R162" s="8" t="s">
        <v>63</v>
      </c>
      <c r="S162" s="8" t="b">
        <f>_xlfn.SINGLE(CleanedData[[#This Row],[Delivery Status]])="Late"</f>
        <v>0</v>
      </c>
      <c r="T162" s="10">
        <v>4</v>
      </c>
      <c r="U162" s="8" t="s">
        <v>112</v>
      </c>
      <c r="V162" s="10">
        <v>4685</v>
      </c>
      <c r="W162" s="10">
        <v>14</v>
      </c>
      <c r="X162" s="12">
        <v>2.1909233176838801E-2</v>
      </c>
      <c r="Y162" s="8" t="b">
        <f>CleanedData[[#This Row],[Ship Date]]&lt;CleanedData[[#This Row],[Order Date]]</f>
        <v>0</v>
      </c>
      <c r="Z162" s="10">
        <f>YEAR(CleanedData[[#This Row],[Order Date]])</f>
        <v>2023</v>
      </c>
      <c r="AA162" s="8">
        <f>MONTH(CleanedData[[#This Row],[Order Date]])</f>
        <v>2</v>
      </c>
    </row>
    <row r="163" spans="1:27" x14ac:dyDescent="0.35">
      <c r="A163" s="8" t="s">
        <v>744</v>
      </c>
      <c r="B163" s="9">
        <v>45183</v>
      </c>
      <c r="C163" s="9">
        <v>45220</v>
      </c>
      <c r="D163" s="8" t="s">
        <v>745</v>
      </c>
      <c r="E163" s="8" t="s">
        <v>26</v>
      </c>
      <c r="F163" s="8" t="s">
        <v>38</v>
      </c>
      <c r="G163" s="8" t="s">
        <v>217</v>
      </c>
      <c r="H163" s="8" t="s">
        <v>340</v>
      </c>
      <c r="I163" s="8" t="s">
        <v>4974</v>
      </c>
      <c r="J163" s="10">
        <v>549</v>
      </c>
      <c r="K163" s="11">
        <v>707.35</v>
      </c>
      <c r="L163" s="11">
        <v>967.61</v>
      </c>
      <c r="M163" s="11">
        <v>531217.89</v>
      </c>
      <c r="N163" s="11">
        <v>388335.15</v>
      </c>
      <c r="O163" s="11">
        <f>CleanedData[[#This Row],[Total Sales ($)]]-CleanedData[[#This Row],[Total Cost ($)]]</f>
        <v>142882.74</v>
      </c>
      <c r="P163" s="12">
        <f>CleanedData[[#This Row],[Profit ($)]]/CleanedData[[#This Row],[Total Sales ($)]]</f>
        <v>0.26897200318310061</v>
      </c>
      <c r="Q163" s="8" t="s">
        <v>31</v>
      </c>
      <c r="R163" s="8" t="s">
        <v>32</v>
      </c>
      <c r="S163" s="8" t="b">
        <f>_xlfn.SINGLE(CleanedData[[#This Row],[Delivery Status]])="Late"</f>
        <v>1</v>
      </c>
      <c r="T163" s="10">
        <v>9</v>
      </c>
      <c r="U163" s="8" t="s">
        <v>86</v>
      </c>
      <c r="V163" s="10">
        <v>204</v>
      </c>
      <c r="W163" s="10">
        <v>22</v>
      </c>
      <c r="X163" s="12">
        <v>4.0072859744990801E-2</v>
      </c>
      <c r="Y163" s="8" t="b">
        <f>CleanedData[[#This Row],[Ship Date]]&lt;CleanedData[[#This Row],[Order Date]]</f>
        <v>0</v>
      </c>
      <c r="Z163" s="10">
        <f>YEAR(CleanedData[[#This Row],[Order Date]])</f>
        <v>2023</v>
      </c>
      <c r="AA163" s="8">
        <f>MONTH(CleanedData[[#This Row],[Order Date]])</f>
        <v>9</v>
      </c>
    </row>
    <row r="164" spans="1:27" x14ac:dyDescent="0.35">
      <c r="A164" s="8" t="s">
        <v>746</v>
      </c>
      <c r="B164" s="9">
        <v>44934</v>
      </c>
      <c r="C164" s="9">
        <v>45195</v>
      </c>
      <c r="D164" s="8" t="s">
        <v>749</v>
      </c>
      <c r="E164" s="8" t="s">
        <v>48</v>
      </c>
      <c r="F164" s="8" t="s">
        <v>183</v>
      </c>
      <c r="G164" s="8" t="s">
        <v>28</v>
      </c>
      <c r="H164" s="8" t="s">
        <v>254</v>
      </c>
      <c r="I164" s="8" t="s">
        <v>4978</v>
      </c>
      <c r="J164" s="10">
        <v>470</v>
      </c>
      <c r="K164" s="11">
        <v>106.71</v>
      </c>
      <c r="L164" s="11">
        <v>161.79</v>
      </c>
      <c r="M164" s="11">
        <v>76041.3</v>
      </c>
      <c r="N164" s="11">
        <v>50153.7</v>
      </c>
      <c r="O164" s="11">
        <f>CleanedData[[#This Row],[Total Sales ($)]]-CleanedData[[#This Row],[Total Cost ($)]]</f>
        <v>25887.600000000006</v>
      </c>
      <c r="P164" s="12">
        <f>CleanedData[[#This Row],[Profit ($)]]/CleanedData[[#This Row],[Total Sales ($)]]</f>
        <v>0.34044131281290568</v>
      </c>
      <c r="Q164" s="8" t="s">
        <v>31</v>
      </c>
      <c r="R164" s="8" t="s">
        <v>32</v>
      </c>
      <c r="S164" s="8" t="b">
        <f>_xlfn.SINGLE(CleanedData[[#This Row],[Delivery Status]])="Late"</f>
        <v>1</v>
      </c>
      <c r="T164" s="10">
        <v>14</v>
      </c>
      <c r="U164" s="8" t="s">
        <v>53</v>
      </c>
      <c r="V164" s="10">
        <v>2467</v>
      </c>
      <c r="W164" s="10">
        <v>14</v>
      </c>
      <c r="X164" s="12">
        <v>2.9787234042553099E-2</v>
      </c>
      <c r="Y164" s="8" t="b">
        <f>CleanedData[[#This Row],[Ship Date]]&lt;CleanedData[[#This Row],[Order Date]]</f>
        <v>0</v>
      </c>
      <c r="Z164" s="10">
        <f>YEAR(CleanedData[[#This Row],[Order Date]])</f>
        <v>2023</v>
      </c>
      <c r="AA164" s="8">
        <f>MONTH(CleanedData[[#This Row],[Order Date]])</f>
        <v>1</v>
      </c>
    </row>
    <row r="165" spans="1:27" x14ac:dyDescent="0.35">
      <c r="A165" s="8" t="s">
        <v>750</v>
      </c>
      <c r="B165" s="9">
        <v>44963</v>
      </c>
      <c r="C165" s="9">
        <v>45051</v>
      </c>
      <c r="D165" s="8" t="s">
        <v>752</v>
      </c>
      <c r="E165" s="8" t="s">
        <v>48</v>
      </c>
      <c r="F165" s="8" t="s">
        <v>753</v>
      </c>
      <c r="G165" s="8" t="s">
        <v>78</v>
      </c>
      <c r="H165" s="8" t="s">
        <v>481</v>
      </c>
      <c r="I165" s="8" t="s">
        <v>4978</v>
      </c>
      <c r="J165" s="10">
        <v>705</v>
      </c>
      <c r="K165" s="11">
        <v>1145.5899999999999</v>
      </c>
      <c r="L165" s="11">
        <v>1445.12</v>
      </c>
      <c r="M165" s="11">
        <v>1018809.6</v>
      </c>
      <c r="N165" s="11">
        <v>807640.95</v>
      </c>
      <c r="O165" s="11">
        <f>CleanedData[[#This Row],[Total Sales ($)]]-CleanedData[[#This Row],[Total Cost ($)]]</f>
        <v>211168.65000000002</v>
      </c>
      <c r="P165" s="12">
        <f>CleanedData[[#This Row],[Profit ($)]]/CleanedData[[#This Row],[Total Sales ($)]]</f>
        <v>0.20726998449955716</v>
      </c>
      <c r="Q165" s="8" t="s">
        <v>31</v>
      </c>
      <c r="R165" s="8" t="s">
        <v>32</v>
      </c>
      <c r="S165" s="8" t="b">
        <f>_xlfn.SINGLE(CleanedData[[#This Row],[Delivery Status]])="Late"</f>
        <v>1</v>
      </c>
      <c r="T165" s="10">
        <v>9</v>
      </c>
      <c r="U165" s="8" t="s">
        <v>43</v>
      </c>
      <c r="V165" s="10">
        <v>3392</v>
      </c>
      <c r="W165" s="10">
        <v>34</v>
      </c>
      <c r="X165" s="12">
        <v>4.8226950354609902E-2</v>
      </c>
      <c r="Y165" s="8" t="b">
        <f>CleanedData[[#This Row],[Ship Date]]&lt;CleanedData[[#This Row],[Order Date]]</f>
        <v>0</v>
      </c>
      <c r="Z165" s="10">
        <f>YEAR(CleanedData[[#This Row],[Order Date]])</f>
        <v>2023</v>
      </c>
      <c r="AA165" s="8">
        <f>MONTH(CleanedData[[#This Row],[Order Date]])</f>
        <v>2</v>
      </c>
    </row>
    <row r="166" spans="1:27" x14ac:dyDescent="0.35">
      <c r="A166" s="8" t="s">
        <v>754</v>
      </c>
      <c r="B166" s="9">
        <v>45225</v>
      </c>
      <c r="C166" s="9">
        <v>45182</v>
      </c>
      <c r="D166" s="8" t="s">
        <v>756</v>
      </c>
      <c r="E166" s="8" t="s">
        <v>26</v>
      </c>
      <c r="F166" s="8" t="s">
        <v>27</v>
      </c>
      <c r="G166" s="8" t="s">
        <v>50</v>
      </c>
      <c r="H166" s="8" t="s">
        <v>51</v>
      </c>
      <c r="I166" s="8" t="s">
        <v>4969</v>
      </c>
      <c r="J166" s="10">
        <v>686</v>
      </c>
      <c r="K166" s="11">
        <v>364.87</v>
      </c>
      <c r="L166" s="11">
        <v>554.29999999999995</v>
      </c>
      <c r="M166" s="11">
        <v>380249.8</v>
      </c>
      <c r="N166" s="11">
        <v>250300.82</v>
      </c>
      <c r="O166" s="11">
        <f>CleanedData[[#This Row],[Total Sales ($)]]-CleanedData[[#This Row],[Total Cost ($)]]</f>
        <v>129948.97999999998</v>
      </c>
      <c r="P166" s="12">
        <f>CleanedData[[#This Row],[Profit ($)]]/CleanedData[[#This Row],[Total Sales ($)]]</f>
        <v>0.34174634674364057</v>
      </c>
      <c r="Q166" s="8" t="s">
        <v>52</v>
      </c>
      <c r="R166" s="8" t="s">
        <v>32</v>
      </c>
      <c r="S166" s="8" t="b">
        <f>_xlfn.SINGLE(CleanedData[[#This Row],[Delivery Status]])="Late"</f>
        <v>1</v>
      </c>
      <c r="T166" s="10">
        <v>12</v>
      </c>
      <c r="U166" s="8" t="s">
        <v>112</v>
      </c>
      <c r="V166" s="10">
        <v>341</v>
      </c>
      <c r="W166" s="10">
        <v>32</v>
      </c>
      <c r="X166" s="12">
        <v>4.6647230320699701E-2</v>
      </c>
      <c r="Y166" s="8" t="b">
        <f>CleanedData[[#This Row],[Ship Date]]&lt;CleanedData[[#This Row],[Order Date]]</f>
        <v>1</v>
      </c>
      <c r="Z166" s="10">
        <f>YEAR(CleanedData[[#This Row],[Order Date]])</f>
        <v>2023</v>
      </c>
      <c r="AA166" s="8">
        <f>MONTH(CleanedData[[#This Row],[Order Date]])</f>
        <v>10</v>
      </c>
    </row>
    <row r="167" spans="1:27" x14ac:dyDescent="0.35">
      <c r="A167" s="8" t="s">
        <v>758</v>
      </c>
      <c r="B167" s="9">
        <v>45189</v>
      </c>
      <c r="C167" s="9">
        <v>45222</v>
      </c>
      <c r="D167" s="8" t="s">
        <v>760</v>
      </c>
      <c r="E167" s="8" t="s">
        <v>58</v>
      </c>
      <c r="F167" s="8" t="s">
        <v>122</v>
      </c>
      <c r="G167" s="8" t="s">
        <v>78</v>
      </c>
      <c r="H167" s="8" t="s">
        <v>178</v>
      </c>
      <c r="I167" s="8" t="s">
        <v>4977</v>
      </c>
      <c r="J167" s="10">
        <v>112</v>
      </c>
      <c r="K167" s="11">
        <v>533.52</v>
      </c>
      <c r="L167" s="11">
        <v>837.85</v>
      </c>
      <c r="M167" s="11">
        <v>93839.2</v>
      </c>
      <c r="N167" s="11">
        <v>59754.239999999998</v>
      </c>
      <c r="O167" s="11">
        <f>CleanedData[[#This Row],[Total Sales ($)]]-CleanedData[[#This Row],[Total Cost ($)]]</f>
        <v>34084.959999999999</v>
      </c>
      <c r="P167" s="12">
        <f>CleanedData[[#This Row],[Profit ($)]]/CleanedData[[#This Row],[Total Sales ($)]]</f>
        <v>0.36322730799069047</v>
      </c>
      <c r="Q167" s="8" t="s">
        <v>31</v>
      </c>
      <c r="R167" s="8" t="s">
        <v>63</v>
      </c>
      <c r="S167" s="8" t="b">
        <f>_xlfn.SINGLE(CleanedData[[#This Row],[Delivery Status]])="Late"</f>
        <v>0</v>
      </c>
      <c r="T167" s="10">
        <v>5</v>
      </c>
      <c r="U167" s="8" t="s">
        <v>33</v>
      </c>
      <c r="V167" s="10">
        <v>2456</v>
      </c>
      <c r="W167" s="10">
        <v>5</v>
      </c>
      <c r="X167" s="12">
        <v>4.4642857142857102E-2</v>
      </c>
      <c r="Y167" s="8" t="b">
        <f>CleanedData[[#This Row],[Ship Date]]&lt;CleanedData[[#This Row],[Order Date]]</f>
        <v>0</v>
      </c>
      <c r="Z167" s="10">
        <f>YEAR(CleanedData[[#This Row],[Order Date]])</f>
        <v>2023</v>
      </c>
      <c r="AA167" s="8">
        <f>MONTH(CleanedData[[#This Row],[Order Date]])</f>
        <v>9</v>
      </c>
    </row>
    <row r="168" spans="1:27" x14ac:dyDescent="0.35">
      <c r="A168" s="8" t="s">
        <v>761</v>
      </c>
      <c r="B168" s="9">
        <v>45010</v>
      </c>
      <c r="C168" s="9">
        <v>44954</v>
      </c>
      <c r="D168" s="8" t="s">
        <v>762</v>
      </c>
      <c r="E168" s="8" t="s">
        <v>48</v>
      </c>
      <c r="F168" s="8" t="s">
        <v>223</v>
      </c>
      <c r="G168" s="8" t="s">
        <v>217</v>
      </c>
      <c r="H168" s="8" t="s">
        <v>725</v>
      </c>
      <c r="I168" s="8" t="s">
        <v>4979</v>
      </c>
      <c r="J168" s="10">
        <v>530</v>
      </c>
      <c r="K168" s="11">
        <v>1098.49</v>
      </c>
      <c r="L168" s="11">
        <v>1805.85</v>
      </c>
      <c r="M168" s="11">
        <v>957100.5</v>
      </c>
      <c r="N168" s="11">
        <v>582199.69999999995</v>
      </c>
      <c r="O168" s="11">
        <f>CleanedData[[#This Row],[Total Sales ($)]]-CleanedData[[#This Row],[Total Cost ($)]]</f>
        <v>374900.80000000005</v>
      </c>
      <c r="P168" s="12">
        <f>CleanedData[[#This Row],[Profit ($)]]/CleanedData[[#This Row],[Total Sales ($)]]</f>
        <v>0.39170473738128864</v>
      </c>
      <c r="Q168" s="8" t="s">
        <v>42</v>
      </c>
      <c r="R168" s="8" t="s">
        <v>32</v>
      </c>
      <c r="S168" s="8" t="b">
        <f>_xlfn.SINGLE(CleanedData[[#This Row],[Delivery Status]])="Late"</f>
        <v>1</v>
      </c>
      <c r="T168" s="10">
        <v>15</v>
      </c>
      <c r="U168" s="8" t="s">
        <v>86</v>
      </c>
      <c r="V168" s="10">
        <v>27</v>
      </c>
      <c r="W168" s="10">
        <v>11</v>
      </c>
      <c r="X168" s="12">
        <v>2.0754716981132001E-2</v>
      </c>
      <c r="Y168" s="8" t="b">
        <f>CleanedData[[#This Row],[Ship Date]]&lt;CleanedData[[#This Row],[Order Date]]</f>
        <v>1</v>
      </c>
      <c r="Z168" s="10">
        <f>YEAR(CleanedData[[#This Row],[Order Date]])</f>
        <v>2023</v>
      </c>
      <c r="AA168" s="8">
        <f>MONTH(CleanedData[[#This Row],[Order Date]])</f>
        <v>3</v>
      </c>
    </row>
    <row r="169" spans="1:27" x14ac:dyDescent="0.35">
      <c r="A169" s="8" t="s">
        <v>763</v>
      </c>
      <c r="B169" s="9">
        <v>45071</v>
      </c>
      <c r="C169" s="9">
        <v>45246</v>
      </c>
      <c r="D169" s="8" t="s">
        <v>766</v>
      </c>
      <c r="E169" s="8" t="s">
        <v>58</v>
      </c>
      <c r="F169" s="8" t="s">
        <v>59</v>
      </c>
      <c r="G169" s="8" t="s">
        <v>217</v>
      </c>
      <c r="H169" s="8" t="s">
        <v>524</v>
      </c>
      <c r="I169" s="8" t="s">
        <v>4971</v>
      </c>
      <c r="J169" s="10">
        <v>567</v>
      </c>
      <c r="K169" s="11">
        <v>822.03</v>
      </c>
      <c r="L169" s="11">
        <v>1167.33</v>
      </c>
      <c r="M169" s="11">
        <v>661876.11</v>
      </c>
      <c r="N169" s="11">
        <v>466091.01</v>
      </c>
      <c r="O169" s="11">
        <f>CleanedData[[#This Row],[Total Sales ($)]]-CleanedData[[#This Row],[Total Cost ($)]]</f>
        <v>195785.09999999998</v>
      </c>
      <c r="P169" s="12">
        <f>CleanedData[[#This Row],[Profit ($)]]/CleanedData[[#This Row],[Total Sales ($)]]</f>
        <v>0.29580324329881008</v>
      </c>
      <c r="Q169" s="8" t="s">
        <v>95</v>
      </c>
      <c r="R169" s="8" t="s">
        <v>32</v>
      </c>
      <c r="S169" s="8" t="b">
        <f>_xlfn.SINGLE(CleanedData[[#This Row],[Delivery Status]])="Late"</f>
        <v>1</v>
      </c>
      <c r="T169" s="10">
        <v>8</v>
      </c>
      <c r="U169" s="8" t="s">
        <v>43</v>
      </c>
      <c r="V169" s="10">
        <v>385</v>
      </c>
      <c r="W169" s="10">
        <v>11</v>
      </c>
      <c r="X169" s="12">
        <v>1.9400352733686E-2</v>
      </c>
      <c r="Y169" s="8" t="b">
        <f>CleanedData[[#This Row],[Ship Date]]&lt;CleanedData[[#This Row],[Order Date]]</f>
        <v>0</v>
      </c>
      <c r="Z169" s="10">
        <f>YEAR(CleanedData[[#This Row],[Order Date]])</f>
        <v>2023</v>
      </c>
      <c r="AA169" s="8">
        <f>MONTH(CleanedData[[#This Row],[Order Date]])</f>
        <v>5</v>
      </c>
    </row>
    <row r="170" spans="1:27" x14ac:dyDescent="0.35">
      <c r="A170" s="8" t="s">
        <v>767</v>
      </c>
      <c r="B170" s="9">
        <v>45165</v>
      </c>
      <c r="C170" s="9">
        <v>45116</v>
      </c>
      <c r="D170" s="8" t="s">
        <v>769</v>
      </c>
      <c r="E170" s="8" t="s">
        <v>48</v>
      </c>
      <c r="F170" s="8" t="s">
        <v>223</v>
      </c>
      <c r="G170" s="8" t="s">
        <v>60</v>
      </c>
      <c r="H170" s="8" t="s">
        <v>164</v>
      </c>
      <c r="I170" s="8" t="s">
        <v>4967</v>
      </c>
      <c r="J170" s="10">
        <v>733</v>
      </c>
      <c r="K170" s="11">
        <v>238.09</v>
      </c>
      <c r="L170" s="11">
        <v>315.2</v>
      </c>
      <c r="M170" s="11">
        <v>231041.6</v>
      </c>
      <c r="N170" s="11">
        <v>174519.97</v>
      </c>
      <c r="O170" s="11">
        <f>CleanedData[[#This Row],[Total Sales ($)]]-CleanedData[[#This Row],[Total Cost ($)]]</f>
        <v>56521.630000000005</v>
      </c>
      <c r="P170" s="12">
        <f>CleanedData[[#This Row],[Profit ($)]]/CleanedData[[#This Row],[Total Sales ($)]]</f>
        <v>0.24463832487309647</v>
      </c>
      <c r="Q170" s="8" t="s">
        <v>52</v>
      </c>
      <c r="R170" s="8" t="s">
        <v>32</v>
      </c>
      <c r="S170" s="8" t="b">
        <f>_xlfn.SINGLE(CleanedData[[#This Row],[Delivery Status]])="Late"</f>
        <v>1</v>
      </c>
      <c r="T170" s="10">
        <v>7</v>
      </c>
      <c r="U170" s="8" t="s">
        <v>43</v>
      </c>
      <c r="V170" s="10">
        <v>3484</v>
      </c>
      <c r="W170" s="10">
        <v>19</v>
      </c>
      <c r="X170" s="12">
        <v>2.5920873124147301E-2</v>
      </c>
      <c r="Y170" s="8" t="b">
        <f>CleanedData[[#This Row],[Ship Date]]&lt;CleanedData[[#This Row],[Order Date]]</f>
        <v>1</v>
      </c>
      <c r="Z170" s="10">
        <f>YEAR(CleanedData[[#This Row],[Order Date]])</f>
        <v>2023</v>
      </c>
      <c r="AA170" s="8">
        <f>MONTH(CleanedData[[#This Row],[Order Date]])</f>
        <v>8</v>
      </c>
    </row>
    <row r="171" spans="1:27" x14ac:dyDescent="0.35">
      <c r="A171" s="8" t="s">
        <v>770</v>
      </c>
      <c r="B171" s="9">
        <v>45310</v>
      </c>
      <c r="C171" s="9">
        <v>45078</v>
      </c>
      <c r="D171" s="8" t="s">
        <v>772</v>
      </c>
      <c r="E171" s="8" t="s">
        <v>26</v>
      </c>
      <c r="F171" s="8" t="s">
        <v>228</v>
      </c>
      <c r="G171" s="8" t="s">
        <v>28</v>
      </c>
      <c r="H171" s="8" t="s">
        <v>111</v>
      </c>
      <c r="I171" s="8" t="s">
        <v>4978</v>
      </c>
      <c r="J171" s="10">
        <v>412</v>
      </c>
      <c r="K171" s="11">
        <v>885.12</v>
      </c>
      <c r="L171" s="11">
        <v>1066.08</v>
      </c>
      <c r="M171" s="11">
        <v>439224.96</v>
      </c>
      <c r="N171" s="11">
        <v>364669.44</v>
      </c>
      <c r="O171" s="11">
        <f>CleanedData[[#This Row],[Total Sales ($)]]-CleanedData[[#This Row],[Total Cost ($)]]</f>
        <v>74555.520000000019</v>
      </c>
      <c r="P171" s="12">
        <f>CleanedData[[#This Row],[Profit ($)]]/CleanedData[[#This Row],[Total Sales ($)]]</f>
        <v>0.16974335884736608</v>
      </c>
      <c r="Q171" s="8" t="s">
        <v>52</v>
      </c>
      <c r="R171" s="8" t="s">
        <v>32</v>
      </c>
      <c r="S171" s="8" t="b">
        <f>_xlfn.SINGLE(CleanedData[[#This Row],[Delivery Status]])="Late"</f>
        <v>1</v>
      </c>
      <c r="T171" s="10">
        <v>12</v>
      </c>
      <c r="U171" s="8" t="s">
        <v>43</v>
      </c>
      <c r="V171" s="10">
        <v>298</v>
      </c>
      <c r="W171" s="10">
        <v>18</v>
      </c>
      <c r="X171" s="12">
        <v>4.3689320388349502E-2</v>
      </c>
      <c r="Y171" s="8" t="b">
        <f>CleanedData[[#This Row],[Ship Date]]&lt;CleanedData[[#This Row],[Order Date]]</f>
        <v>1</v>
      </c>
      <c r="Z171" s="10">
        <f>YEAR(CleanedData[[#This Row],[Order Date]])</f>
        <v>2024</v>
      </c>
      <c r="AA171" s="8">
        <f>MONTH(CleanedData[[#This Row],[Order Date]])</f>
        <v>1</v>
      </c>
    </row>
    <row r="172" spans="1:27" x14ac:dyDescent="0.35">
      <c r="A172" s="8" t="s">
        <v>773</v>
      </c>
      <c r="B172" s="9">
        <v>45201</v>
      </c>
      <c r="C172" s="9">
        <v>45236</v>
      </c>
      <c r="D172" s="8" t="s">
        <v>775</v>
      </c>
      <c r="E172" s="8" t="s">
        <v>100</v>
      </c>
      <c r="F172" s="8" t="s">
        <v>106</v>
      </c>
      <c r="G172" s="8" t="s">
        <v>189</v>
      </c>
      <c r="H172" s="8" t="s">
        <v>561</v>
      </c>
      <c r="I172" s="8" t="s">
        <v>4973</v>
      </c>
      <c r="J172" s="10">
        <v>218</v>
      </c>
      <c r="K172" s="11">
        <v>494.97</v>
      </c>
      <c r="L172" s="11">
        <v>659.77</v>
      </c>
      <c r="M172" s="11">
        <v>143829.85999999999</v>
      </c>
      <c r="N172" s="11">
        <v>107903.46</v>
      </c>
      <c r="O172" s="11">
        <f>CleanedData[[#This Row],[Total Sales ($)]]-CleanedData[[#This Row],[Total Cost ($)]]</f>
        <v>35926.39999999998</v>
      </c>
      <c r="P172" s="12">
        <f>CleanedData[[#This Row],[Profit ($)]]/CleanedData[[#This Row],[Total Sales ($)]]</f>
        <v>0.24978401564181446</v>
      </c>
      <c r="Q172" s="8" t="s">
        <v>95</v>
      </c>
      <c r="R172" s="8" t="s">
        <v>63</v>
      </c>
      <c r="S172" s="8" t="b">
        <f>_xlfn.SINGLE(CleanedData[[#This Row],[Delivery Status]])="Late"</f>
        <v>0</v>
      </c>
      <c r="T172" s="10">
        <v>1</v>
      </c>
      <c r="U172" s="8" t="s">
        <v>43</v>
      </c>
      <c r="V172" s="10">
        <v>1210</v>
      </c>
      <c r="W172" s="10">
        <v>0</v>
      </c>
      <c r="X172" s="12">
        <v>0</v>
      </c>
      <c r="Y172" s="8" t="b">
        <f>CleanedData[[#This Row],[Ship Date]]&lt;CleanedData[[#This Row],[Order Date]]</f>
        <v>0</v>
      </c>
      <c r="Z172" s="10">
        <f>YEAR(CleanedData[[#This Row],[Order Date]])</f>
        <v>2023</v>
      </c>
      <c r="AA172" s="8">
        <f>MONTH(CleanedData[[#This Row],[Order Date]])</f>
        <v>10</v>
      </c>
    </row>
    <row r="173" spans="1:27" x14ac:dyDescent="0.35">
      <c r="A173" s="8" t="s">
        <v>776</v>
      </c>
      <c r="B173" s="9">
        <v>45059</v>
      </c>
      <c r="C173" s="9">
        <v>44961</v>
      </c>
      <c r="D173" s="8" t="s">
        <v>779</v>
      </c>
      <c r="E173" s="8" t="s">
        <v>100</v>
      </c>
      <c r="F173" s="8" t="s">
        <v>101</v>
      </c>
      <c r="G173" s="8" t="s">
        <v>60</v>
      </c>
      <c r="H173" s="8" t="s">
        <v>780</v>
      </c>
      <c r="I173" s="8" t="s">
        <v>4971</v>
      </c>
      <c r="J173" s="10">
        <v>119</v>
      </c>
      <c r="K173" s="11">
        <v>940.43</v>
      </c>
      <c r="L173" s="11">
        <v>1091.48</v>
      </c>
      <c r="M173" s="11">
        <v>129886.12</v>
      </c>
      <c r="N173" s="11">
        <v>111911.17</v>
      </c>
      <c r="O173" s="11">
        <f>CleanedData[[#This Row],[Total Sales ($)]]-CleanedData[[#This Row],[Total Cost ($)]]</f>
        <v>17974.949999999997</v>
      </c>
      <c r="P173" s="12">
        <f>CleanedData[[#This Row],[Profit ($)]]/CleanedData[[#This Row],[Total Sales ($)]]</f>
        <v>0.13839007586029975</v>
      </c>
      <c r="Q173" s="8" t="s">
        <v>95</v>
      </c>
      <c r="R173" s="8" t="s">
        <v>63</v>
      </c>
      <c r="S173" s="8" t="b">
        <f>_xlfn.SINGLE(CleanedData[[#This Row],[Delivery Status]])="Late"</f>
        <v>0</v>
      </c>
      <c r="T173" s="10">
        <v>1</v>
      </c>
      <c r="U173" s="8" t="s">
        <v>33</v>
      </c>
      <c r="V173" s="10">
        <v>921</v>
      </c>
      <c r="W173" s="10">
        <v>1</v>
      </c>
      <c r="X173" s="12">
        <v>8.4033613445377991E-3</v>
      </c>
      <c r="Y173" s="8" t="b">
        <f>CleanedData[[#This Row],[Ship Date]]&lt;CleanedData[[#This Row],[Order Date]]</f>
        <v>1</v>
      </c>
      <c r="Z173" s="10">
        <f>YEAR(CleanedData[[#This Row],[Order Date]])</f>
        <v>2023</v>
      </c>
      <c r="AA173" s="8">
        <f>MONTH(CleanedData[[#This Row],[Order Date]])</f>
        <v>5</v>
      </c>
    </row>
    <row r="174" spans="1:27" x14ac:dyDescent="0.35">
      <c r="A174" s="8" t="s">
        <v>781</v>
      </c>
      <c r="B174" s="9">
        <v>45305</v>
      </c>
      <c r="C174" s="9">
        <v>45648</v>
      </c>
      <c r="D174" s="8" t="s">
        <v>783</v>
      </c>
      <c r="E174" s="8" t="s">
        <v>58</v>
      </c>
      <c r="F174" s="8" t="s">
        <v>116</v>
      </c>
      <c r="G174" s="8" t="s">
        <v>217</v>
      </c>
      <c r="H174" s="8" t="s">
        <v>524</v>
      </c>
      <c r="I174" s="8" t="s">
        <v>4977</v>
      </c>
      <c r="J174" s="10">
        <v>538</v>
      </c>
      <c r="K174" s="11">
        <v>967.54</v>
      </c>
      <c r="L174" s="11">
        <v>1426.39</v>
      </c>
      <c r="M174" s="11">
        <v>767397.82</v>
      </c>
      <c r="N174" s="11">
        <v>520536.52</v>
      </c>
      <c r="O174" s="11">
        <f>CleanedData[[#This Row],[Total Sales ($)]]-CleanedData[[#This Row],[Total Cost ($)]]</f>
        <v>246861.29999999993</v>
      </c>
      <c r="P174" s="12">
        <f>CleanedData[[#This Row],[Profit ($)]]/CleanedData[[#This Row],[Total Sales ($)]]</f>
        <v>0.32168621485007598</v>
      </c>
      <c r="Q174" s="8" t="s">
        <v>52</v>
      </c>
      <c r="R174" s="8" t="s">
        <v>63</v>
      </c>
      <c r="S174" s="8" t="b">
        <f>_xlfn.SINGLE(CleanedData[[#This Row],[Delivery Status]])="Late"</f>
        <v>0</v>
      </c>
      <c r="T174" s="10">
        <v>1</v>
      </c>
      <c r="U174" s="8" t="s">
        <v>86</v>
      </c>
      <c r="V174" s="10">
        <v>849</v>
      </c>
      <c r="W174" s="10">
        <v>15</v>
      </c>
      <c r="X174" s="12">
        <v>2.7881040892193301E-2</v>
      </c>
      <c r="Y174" s="8" t="b">
        <f>CleanedData[[#This Row],[Ship Date]]&lt;CleanedData[[#This Row],[Order Date]]</f>
        <v>0</v>
      </c>
      <c r="Z174" s="10">
        <f>YEAR(CleanedData[[#This Row],[Order Date]])</f>
        <v>2024</v>
      </c>
      <c r="AA174" s="8">
        <f>MONTH(CleanedData[[#This Row],[Order Date]])</f>
        <v>1</v>
      </c>
    </row>
    <row r="175" spans="1:27" x14ac:dyDescent="0.35">
      <c r="A175" s="8" t="s">
        <v>784</v>
      </c>
      <c r="B175" s="9">
        <v>45165</v>
      </c>
      <c r="C175" s="9">
        <v>45080</v>
      </c>
      <c r="D175" s="8" t="s">
        <v>787</v>
      </c>
      <c r="E175" s="8" t="s">
        <v>58</v>
      </c>
      <c r="F175" s="8" t="s">
        <v>417</v>
      </c>
      <c r="G175" s="8" t="s">
        <v>28</v>
      </c>
      <c r="H175" s="8" t="s">
        <v>111</v>
      </c>
      <c r="I175" s="8" t="s">
        <v>1167</v>
      </c>
      <c r="J175" s="10">
        <v>501</v>
      </c>
      <c r="K175" s="11">
        <v>1024.92</v>
      </c>
      <c r="L175" s="11">
        <v>1319.83</v>
      </c>
      <c r="M175" s="11">
        <v>661234.82999999996</v>
      </c>
      <c r="N175" s="11">
        <v>513484.92</v>
      </c>
      <c r="O175" s="11">
        <f>CleanedData[[#This Row],[Total Sales ($)]]-CleanedData[[#This Row],[Total Cost ($)]]</f>
        <v>147749.90999999997</v>
      </c>
      <c r="P175" s="12">
        <f>CleanedData[[#This Row],[Profit ($)]]/CleanedData[[#This Row],[Total Sales ($)]]</f>
        <v>0.22344544373138964</v>
      </c>
      <c r="Q175" s="8" t="s">
        <v>31</v>
      </c>
      <c r="R175" s="8" t="s">
        <v>63</v>
      </c>
      <c r="S175" s="8" t="b">
        <f>_xlfn.SINGLE(CleanedData[[#This Row],[Delivery Status]])="Late"</f>
        <v>0</v>
      </c>
      <c r="T175" s="10">
        <v>3</v>
      </c>
      <c r="U175" s="8" t="s">
        <v>86</v>
      </c>
      <c r="V175" s="10">
        <v>2018</v>
      </c>
      <c r="W175" s="10">
        <v>16</v>
      </c>
      <c r="X175" s="12">
        <v>3.1936127744510899E-2</v>
      </c>
      <c r="Y175" s="8" t="b">
        <f>CleanedData[[#This Row],[Ship Date]]&lt;CleanedData[[#This Row],[Order Date]]</f>
        <v>1</v>
      </c>
      <c r="Z175" s="10">
        <f>YEAR(CleanedData[[#This Row],[Order Date]])</f>
        <v>2023</v>
      </c>
      <c r="AA175" s="8">
        <f>MONTH(CleanedData[[#This Row],[Order Date]])</f>
        <v>8</v>
      </c>
    </row>
    <row r="176" spans="1:27" x14ac:dyDescent="0.35">
      <c r="A176" s="8" t="s">
        <v>789</v>
      </c>
      <c r="B176" s="9">
        <v>45628</v>
      </c>
      <c r="C176" s="9">
        <v>45460</v>
      </c>
      <c r="D176" s="8" t="s">
        <v>792</v>
      </c>
      <c r="E176" s="8" t="s">
        <v>58</v>
      </c>
      <c r="F176" s="8" t="s">
        <v>122</v>
      </c>
      <c r="G176" s="8" t="s">
        <v>129</v>
      </c>
      <c r="H176" s="8" t="s">
        <v>316</v>
      </c>
      <c r="I176" s="8" t="s">
        <v>4968</v>
      </c>
      <c r="J176" s="10">
        <v>731</v>
      </c>
      <c r="K176" s="11">
        <v>332.45</v>
      </c>
      <c r="L176" s="11">
        <v>525.63</v>
      </c>
      <c r="M176" s="11">
        <v>384235.53</v>
      </c>
      <c r="N176" s="11">
        <v>243020.95</v>
      </c>
      <c r="O176" s="11">
        <f>CleanedData[[#This Row],[Total Sales ($)]]-CleanedData[[#This Row],[Total Cost ($)]]</f>
        <v>141214.58000000002</v>
      </c>
      <c r="P176" s="12">
        <f>CleanedData[[#This Row],[Profit ($)]]/CleanedData[[#This Row],[Total Sales ($)]]</f>
        <v>0.36752087970625724</v>
      </c>
      <c r="Q176" s="8" t="s">
        <v>52</v>
      </c>
      <c r="R176" s="8" t="s">
        <v>32</v>
      </c>
      <c r="S176" s="8" t="b">
        <f>_xlfn.SINGLE(CleanedData[[#This Row],[Delivery Status]])="Late"</f>
        <v>1</v>
      </c>
      <c r="T176" s="10">
        <v>999</v>
      </c>
      <c r="U176" s="8" t="s">
        <v>33</v>
      </c>
      <c r="V176" s="10">
        <v>483</v>
      </c>
      <c r="W176" s="10">
        <v>3</v>
      </c>
      <c r="X176" s="12">
        <v>4.1039671682626001E-3</v>
      </c>
      <c r="Y176" s="8" t="b">
        <f>CleanedData[[#This Row],[Ship Date]]&lt;CleanedData[[#This Row],[Order Date]]</f>
        <v>1</v>
      </c>
      <c r="Z176" s="10">
        <f>YEAR(CleanedData[[#This Row],[Order Date]])</f>
        <v>2024</v>
      </c>
      <c r="AA176" s="8">
        <f>MONTH(CleanedData[[#This Row],[Order Date]])</f>
        <v>12</v>
      </c>
    </row>
    <row r="177" spans="1:27" x14ac:dyDescent="0.35">
      <c r="A177" s="8" t="s">
        <v>793</v>
      </c>
      <c r="B177" s="9">
        <v>45279</v>
      </c>
      <c r="C177" s="9">
        <v>44973</v>
      </c>
      <c r="D177" s="8" t="s">
        <v>796</v>
      </c>
      <c r="E177" s="8" t="s">
        <v>26</v>
      </c>
      <c r="F177" s="8" t="s">
        <v>27</v>
      </c>
      <c r="G177" s="8" t="s">
        <v>60</v>
      </c>
      <c r="H177" s="8" t="s">
        <v>400</v>
      </c>
      <c r="I177" s="8" t="s">
        <v>4971</v>
      </c>
      <c r="J177" s="10">
        <v>5</v>
      </c>
      <c r="K177" s="11">
        <v>839.47</v>
      </c>
      <c r="L177" s="11">
        <v>1229.8399999999999</v>
      </c>
      <c r="M177" s="11">
        <v>6149.2</v>
      </c>
      <c r="N177" s="11">
        <v>4197.3500000000004</v>
      </c>
      <c r="O177" s="11">
        <f>CleanedData[[#This Row],[Total Sales ($)]]-CleanedData[[#This Row],[Total Cost ($)]]</f>
        <v>1951.8499999999995</v>
      </c>
      <c r="P177" s="12">
        <f>CleanedData[[#This Row],[Profit ($)]]/CleanedData[[#This Row],[Total Sales ($)]]</f>
        <v>0.31741527353151622</v>
      </c>
      <c r="Q177" s="8" t="s">
        <v>52</v>
      </c>
      <c r="R177" s="8" t="s">
        <v>32</v>
      </c>
      <c r="S177" s="8" t="b">
        <f>_xlfn.SINGLE(CleanedData[[#This Row],[Delivery Status]])="Late"</f>
        <v>1</v>
      </c>
      <c r="T177" s="10">
        <v>13</v>
      </c>
      <c r="U177" s="8" t="s">
        <v>158</v>
      </c>
      <c r="V177" s="10">
        <v>204</v>
      </c>
      <c r="W177" s="10">
        <v>1</v>
      </c>
      <c r="X177" s="12">
        <v>0.2</v>
      </c>
      <c r="Y177" s="8" t="b">
        <f>CleanedData[[#This Row],[Ship Date]]&lt;CleanedData[[#This Row],[Order Date]]</f>
        <v>1</v>
      </c>
      <c r="Z177" s="10">
        <f>YEAR(CleanedData[[#This Row],[Order Date]])</f>
        <v>2023</v>
      </c>
      <c r="AA177" s="8">
        <f>MONTH(CleanedData[[#This Row],[Order Date]])</f>
        <v>12</v>
      </c>
    </row>
    <row r="178" spans="1:27" x14ac:dyDescent="0.35">
      <c r="A178" s="8" t="s">
        <v>797</v>
      </c>
      <c r="B178" s="9">
        <v>45507</v>
      </c>
      <c r="C178" s="9">
        <v>45608</v>
      </c>
      <c r="D178" s="8" t="s">
        <v>800</v>
      </c>
      <c r="E178" s="8" t="s">
        <v>58</v>
      </c>
      <c r="F178" s="8" t="s">
        <v>59</v>
      </c>
      <c r="G178" s="8" t="s">
        <v>39</v>
      </c>
      <c r="H178" s="8" t="s">
        <v>527</v>
      </c>
      <c r="I178" s="8" t="s">
        <v>4969</v>
      </c>
      <c r="J178" s="10">
        <v>417</v>
      </c>
      <c r="K178" s="11">
        <v>947.35</v>
      </c>
      <c r="L178" s="11">
        <v>1348.22</v>
      </c>
      <c r="M178" s="11">
        <v>562207.74</v>
      </c>
      <c r="N178" s="11">
        <v>395044.95</v>
      </c>
      <c r="O178" s="11">
        <f>CleanedData[[#This Row],[Total Sales ($)]]-CleanedData[[#This Row],[Total Cost ($)]]</f>
        <v>167162.78999999998</v>
      </c>
      <c r="P178" s="12">
        <f>CleanedData[[#This Row],[Profit ($)]]/CleanedData[[#This Row],[Total Sales ($)]]</f>
        <v>0.29733277951669607</v>
      </c>
      <c r="Q178" s="8" t="s">
        <v>42</v>
      </c>
      <c r="R178" s="8" t="s">
        <v>32</v>
      </c>
      <c r="S178" s="8" t="b">
        <f>_xlfn.SINGLE(CleanedData[[#This Row],[Delivery Status]])="Late"</f>
        <v>1</v>
      </c>
      <c r="T178" s="10">
        <v>6</v>
      </c>
      <c r="U178" s="8" t="s">
        <v>53</v>
      </c>
      <c r="V178" s="10">
        <v>487</v>
      </c>
      <c r="W178" s="10">
        <v>17</v>
      </c>
      <c r="X178" s="12">
        <v>4.0767386091127102E-2</v>
      </c>
      <c r="Y178" s="8" t="b">
        <f>CleanedData[[#This Row],[Ship Date]]&lt;CleanedData[[#This Row],[Order Date]]</f>
        <v>0</v>
      </c>
      <c r="Z178" s="10">
        <f>YEAR(CleanedData[[#This Row],[Order Date]])</f>
        <v>2024</v>
      </c>
      <c r="AA178" s="8">
        <f>MONTH(CleanedData[[#This Row],[Order Date]])</f>
        <v>8</v>
      </c>
    </row>
    <row r="179" spans="1:27" x14ac:dyDescent="0.35">
      <c r="A179" s="8" t="s">
        <v>801</v>
      </c>
      <c r="B179" s="9">
        <v>45288</v>
      </c>
      <c r="C179" s="9">
        <v>45108</v>
      </c>
      <c r="D179" s="8" t="s">
        <v>803</v>
      </c>
      <c r="E179" s="8" t="s">
        <v>100</v>
      </c>
      <c r="F179" s="8" t="s">
        <v>330</v>
      </c>
      <c r="G179" s="8" t="s">
        <v>78</v>
      </c>
      <c r="H179" s="8" t="s">
        <v>628</v>
      </c>
      <c r="I179" s="8" t="s">
        <v>4976</v>
      </c>
      <c r="J179" s="10">
        <v>735</v>
      </c>
      <c r="K179" s="11">
        <v>706.67</v>
      </c>
      <c r="L179" s="11">
        <v>871.29</v>
      </c>
      <c r="M179" s="11">
        <v>640398.15</v>
      </c>
      <c r="N179" s="11">
        <v>519402.45</v>
      </c>
      <c r="O179" s="11">
        <f>CleanedData[[#This Row],[Total Sales ($)]]-CleanedData[[#This Row],[Total Cost ($)]]</f>
        <v>120995.70000000001</v>
      </c>
      <c r="P179" s="12">
        <f>CleanedData[[#This Row],[Profit ($)]]/CleanedData[[#This Row],[Total Sales ($)]]</f>
        <v>0.18893824099897855</v>
      </c>
      <c r="Q179" s="8" t="s">
        <v>31</v>
      </c>
      <c r="R179" s="8" t="s">
        <v>32</v>
      </c>
      <c r="S179" s="8" t="b">
        <f>_xlfn.SINGLE(CleanedData[[#This Row],[Delivery Status]])="Late"</f>
        <v>1</v>
      </c>
      <c r="T179" s="10">
        <v>13</v>
      </c>
      <c r="U179" s="8" t="s">
        <v>43</v>
      </c>
      <c r="V179" s="10">
        <v>2649</v>
      </c>
      <c r="W179" s="10">
        <v>35</v>
      </c>
      <c r="X179" s="12">
        <v>4.7619047619047603E-2</v>
      </c>
      <c r="Y179" s="8" t="b">
        <f>CleanedData[[#This Row],[Ship Date]]&lt;CleanedData[[#This Row],[Order Date]]</f>
        <v>1</v>
      </c>
      <c r="Z179" s="10">
        <f>YEAR(CleanedData[[#This Row],[Order Date]])</f>
        <v>2023</v>
      </c>
      <c r="AA179" s="8">
        <f>MONTH(CleanedData[[#This Row],[Order Date]])</f>
        <v>12</v>
      </c>
    </row>
    <row r="180" spans="1:27" x14ac:dyDescent="0.35">
      <c r="A180" s="8" t="s">
        <v>804</v>
      </c>
      <c r="B180" s="9">
        <v>44945</v>
      </c>
      <c r="C180" s="9">
        <v>45251</v>
      </c>
      <c r="D180" s="8" t="s">
        <v>806</v>
      </c>
      <c r="E180" s="8" t="s">
        <v>100</v>
      </c>
      <c r="F180" s="8" t="s">
        <v>106</v>
      </c>
      <c r="G180" s="8" t="s">
        <v>189</v>
      </c>
      <c r="H180" s="8" t="s">
        <v>437</v>
      </c>
      <c r="I180" s="8" t="s">
        <v>4968</v>
      </c>
      <c r="J180" s="10">
        <v>457</v>
      </c>
      <c r="K180" s="11">
        <v>579.36</v>
      </c>
      <c r="L180" s="11">
        <v>814.85</v>
      </c>
      <c r="M180" s="11">
        <v>372386.45</v>
      </c>
      <c r="N180" s="11">
        <v>264767.52</v>
      </c>
      <c r="O180" s="11">
        <f>CleanedData[[#This Row],[Total Sales ($)]]-CleanedData[[#This Row],[Total Cost ($)]]</f>
        <v>107618.93</v>
      </c>
      <c r="P180" s="12">
        <f>CleanedData[[#This Row],[Profit ($)]]/CleanedData[[#This Row],[Total Sales ($)]]</f>
        <v>0.28899797508743935</v>
      </c>
      <c r="Q180" s="8" t="s">
        <v>31</v>
      </c>
      <c r="R180" s="8" t="s">
        <v>63</v>
      </c>
      <c r="S180" s="8" t="b">
        <f>_xlfn.SINGLE(CleanedData[[#This Row],[Delivery Status]])="Late"</f>
        <v>0</v>
      </c>
      <c r="T180" s="10">
        <v>5</v>
      </c>
      <c r="U180" s="8" t="s">
        <v>53</v>
      </c>
      <c r="V180" s="10">
        <v>4124</v>
      </c>
      <c r="W180" s="10">
        <v>11</v>
      </c>
      <c r="X180" s="12">
        <v>2.4070021881837999E-2</v>
      </c>
      <c r="Y180" s="8" t="b">
        <f>CleanedData[[#This Row],[Ship Date]]&lt;CleanedData[[#This Row],[Order Date]]</f>
        <v>0</v>
      </c>
      <c r="Z180" s="10">
        <f>YEAR(CleanedData[[#This Row],[Order Date]])</f>
        <v>2023</v>
      </c>
      <c r="AA180" s="8">
        <f>MONTH(CleanedData[[#This Row],[Order Date]])</f>
        <v>1</v>
      </c>
    </row>
    <row r="181" spans="1:27" x14ac:dyDescent="0.35">
      <c r="A181" s="8" t="s">
        <v>807</v>
      </c>
      <c r="B181" s="9">
        <v>45467</v>
      </c>
      <c r="C181" s="9">
        <v>45429</v>
      </c>
      <c r="D181" s="8" t="s">
        <v>810</v>
      </c>
      <c r="E181" s="8" t="s">
        <v>48</v>
      </c>
      <c r="F181" s="8" t="s">
        <v>49</v>
      </c>
      <c r="G181" s="8" t="s">
        <v>129</v>
      </c>
      <c r="H181" s="8" t="s">
        <v>811</v>
      </c>
      <c r="I181" s="8" t="s">
        <v>4978</v>
      </c>
      <c r="J181" s="10">
        <v>564</v>
      </c>
      <c r="K181" s="11">
        <v>408.93</v>
      </c>
      <c r="L181" s="11">
        <v>459.07</v>
      </c>
      <c r="M181" s="11">
        <v>258915.48</v>
      </c>
      <c r="N181" s="11">
        <v>230636.52</v>
      </c>
      <c r="O181" s="11">
        <f>CleanedData[[#This Row],[Total Sales ($)]]-CleanedData[[#This Row],[Total Cost ($)]]</f>
        <v>28278.960000000021</v>
      </c>
      <c r="P181" s="12">
        <f>CleanedData[[#This Row],[Profit ($)]]/CleanedData[[#This Row],[Total Sales ($)]]</f>
        <v>0.10922081599756037</v>
      </c>
      <c r="Q181" s="8" t="s">
        <v>31</v>
      </c>
      <c r="R181" s="8" t="s">
        <v>63</v>
      </c>
      <c r="S181" s="8" t="b">
        <f>_xlfn.SINGLE(CleanedData[[#This Row],[Delivery Status]])="Late"</f>
        <v>0</v>
      </c>
      <c r="T181" s="10">
        <v>5</v>
      </c>
      <c r="U181" s="8" t="s">
        <v>86</v>
      </c>
      <c r="V181" s="10">
        <v>3756</v>
      </c>
      <c r="W181" s="10">
        <v>4</v>
      </c>
      <c r="X181" s="12">
        <v>7.0921985815602002E-3</v>
      </c>
      <c r="Y181" s="8" t="b">
        <f>CleanedData[[#This Row],[Ship Date]]&lt;CleanedData[[#This Row],[Order Date]]</f>
        <v>1</v>
      </c>
      <c r="Z181" s="10">
        <f>YEAR(CleanedData[[#This Row],[Order Date]])</f>
        <v>2024</v>
      </c>
      <c r="AA181" s="8">
        <f>MONTH(CleanedData[[#This Row],[Order Date]])</f>
        <v>6</v>
      </c>
    </row>
    <row r="182" spans="1:27" x14ac:dyDescent="0.35">
      <c r="A182" s="8" t="s">
        <v>812</v>
      </c>
      <c r="B182" s="9">
        <v>45123</v>
      </c>
      <c r="C182" s="9">
        <v>45251</v>
      </c>
      <c r="D182" s="8" t="s">
        <v>813</v>
      </c>
      <c r="E182" s="8" t="s">
        <v>48</v>
      </c>
      <c r="F182" s="8" t="s">
        <v>183</v>
      </c>
      <c r="G182" s="8" t="s">
        <v>189</v>
      </c>
      <c r="H182" s="8" t="s">
        <v>360</v>
      </c>
      <c r="I182" s="8" t="s">
        <v>4975</v>
      </c>
      <c r="J182" s="10">
        <v>598</v>
      </c>
      <c r="K182" s="11">
        <v>1089.48</v>
      </c>
      <c r="L182" s="11">
        <v>1418.62</v>
      </c>
      <c r="M182" s="11">
        <v>848334.76</v>
      </c>
      <c r="N182" s="11">
        <v>651509.04</v>
      </c>
      <c r="O182" s="11">
        <f>CleanedData[[#This Row],[Total Sales ($)]]-CleanedData[[#This Row],[Total Cost ($)]]</f>
        <v>196825.71999999997</v>
      </c>
      <c r="P182" s="12">
        <f>CleanedData[[#This Row],[Profit ($)]]/CleanedData[[#This Row],[Total Sales ($)]]</f>
        <v>0.23201421099378267</v>
      </c>
      <c r="Q182" s="8" t="s">
        <v>31</v>
      </c>
      <c r="R182" s="8" t="s">
        <v>32</v>
      </c>
      <c r="S182" s="8" t="b">
        <f>_xlfn.SINGLE(CleanedData[[#This Row],[Delivery Status]])="Late"</f>
        <v>1</v>
      </c>
      <c r="T182" s="10">
        <v>15</v>
      </c>
      <c r="U182" s="8" t="s">
        <v>43</v>
      </c>
      <c r="V182" s="10">
        <v>727</v>
      </c>
      <c r="W182" s="10">
        <v>11</v>
      </c>
      <c r="X182" s="12">
        <v>1.8394648829431402E-2</v>
      </c>
      <c r="Y182" s="8" t="b">
        <f>CleanedData[[#This Row],[Ship Date]]&lt;CleanedData[[#This Row],[Order Date]]</f>
        <v>0</v>
      </c>
      <c r="Z182" s="10">
        <f>YEAR(CleanedData[[#This Row],[Order Date]])</f>
        <v>2023</v>
      </c>
      <c r="AA182" s="8">
        <f>MONTH(CleanedData[[#This Row],[Order Date]])</f>
        <v>7</v>
      </c>
    </row>
    <row r="183" spans="1:27" x14ac:dyDescent="0.35">
      <c r="A183" s="8" t="s">
        <v>814</v>
      </c>
      <c r="B183" s="9">
        <v>45578</v>
      </c>
      <c r="C183" s="9">
        <v>45607</v>
      </c>
      <c r="D183" s="8" t="s">
        <v>817</v>
      </c>
      <c r="E183" s="8" t="s">
        <v>58</v>
      </c>
      <c r="F183" s="8" t="s">
        <v>122</v>
      </c>
      <c r="G183" s="8" t="s">
        <v>78</v>
      </c>
      <c r="H183" s="8" t="s">
        <v>628</v>
      </c>
      <c r="I183" s="8" t="s">
        <v>4968</v>
      </c>
      <c r="J183" s="10">
        <v>427</v>
      </c>
      <c r="K183" s="11">
        <v>988.56</v>
      </c>
      <c r="L183" s="11">
        <v>1226.3499999999999</v>
      </c>
      <c r="M183" s="11">
        <v>523651.45</v>
      </c>
      <c r="N183" s="11">
        <v>422115.12</v>
      </c>
      <c r="O183" s="11">
        <f>CleanedData[[#This Row],[Total Sales ($)]]-CleanedData[[#This Row],[Total Cost ($)]]</f>
        <v>101536.33000000002</v>
      </c>
      <c r="P183" s="12">
        <f>CleanedData[[#This Row],[Profit ($)]]/CleanedData[[#This Row],[Total Sales ($)]]</f>
        <v>0.19390059933950343</v>
      </c>
      <c r="Q183" s="8" t="s">
        <v>42</v>
      </c>
      <c r="R183" s="8" t="s">
        <v>32</v>
      </c>
      <c r="S183" s="8" t="b">
        <f>_xlfn.SINGLE(CleanedData[[#This Row],[Delivery Status]])="Late"</f>
        <v>1</v>
      </c>
      <c r="T183" s="10">
        <v>9</v>
      </c>
      <c r="U183" s="8" t="s">
        <v>33</v>
      </c>
      <c r="V183" s="10">
        <v>4751</v>
      </c>
      <c r="W183" s="10">
        <v>6</v>
      </c>
      <c r="X183" s="12">
        <v>1.4051522248243501E-2</v>
      </c>
      <c r="Y183" s="8" t="b">
        <f>CleanedData[[#This Row],[Ship Date]]&lt;CleanedData[[#This Row],[Order Date]]</f>
        <v>0</v>
      </c>
      <c r="Z183" s="10">
        <f>YEAR(CleanedData[[#This Row],[Order Date]])</f>
        <v>2024</v>
      </c>
      <c r="AA183" s="8">
        <f>MONTH(CleanedData[[#This Row],[Order Date]])</f>
        <v>10</v>
      </c>
    </row>
    <row r="184" spans="1:27" x14ac:dyDescent="0.35">
      <c r="A184" s="8" t="s">
        <v>818</v>
      </c>
      <c r="B184" s="9">
        <v>44979</v>
      </c>
      <c r="C184" s="9">
        <v>45147</v>
      </c>
      <c r="D184" s="8" t="s">
        <v>821</v>
      </c>
      <c r="E184" s="8" t="s">
        <v>26</v>
      </c>
      <c r="F184" s="8" t="s">
        <v>92</v>
      </c>
      <c r="G184" s="8" t="s">
        <v>70</v>
      </c>
      <c r="H184" s="8" t="s">
        <v>822</v>
      </c>
      <c r="I184" s="8" t="s">
        <v>4970</v>
      </c>
      <c r="J184" s="10">
        <v>302</v>
      </c>
      <c r="K184" s="11">
        <v>459.83</v>
      </c>
      <c r="L184" s="11">
        <v>682.15</v>
      </c>
      <c r="M184" s="11">
        <v>206009.3</v>
      </c>
      <c r="N184" s="11">
        <v>138868.66</v>
      </c>
      <c r="O184" s="11">
        <f>CleanedData[[#This Row],[Total Sales ($)]]-CleanedData[[#This Row],[Total Cost ($)]]</f>
        <v>67140.639999999985</v>
      </c>
      <c r="P184" s="12">
        <f>CleanedData[[#This Row],[Profit ($)]]/CleanedData[[#This Row],[Total Sales ($)]]</f>
        <v>0.32591072344792194</v>
      </c>
      <c r="Q184" s="8" t="s">
        <v>42</v>
      </c>
      <c r="R184" s="8" t="s">
        <v>63</v>
      </c>
      <c r="S184" s="8" t="b">
        <f>_xlfn.SINGLE(CleanedData[[#This Row],[Delivery Status]])="Late"</f>
        <v>0</v>
      </c>
      <c r="T184" s="10">
        <v>14</v>
      </c>
      <c r="U184" s="8" t="s">
        <v>53</v>
      </c>
      <c r="V184" s="10">
        <v>2067</v>
      </c>
      <c r="W184" s="10">
        <v>12</v>
      </c>
      <c r="X184" s="12">
        <v>3.9735099337748297E-2</v>
      </c>
      <c r="Y184" s="8" t="b">
        <f>CleanedData[[#This Row],[Ship Date]]&lt;CleanedData[[#This Row],[Order Date]]</f>
        <v>0</v>
      </c>
      <c r="Z184" s="10">
        <f>YEAR(CleanedData[[#This Row],[Order Date]])</f>
        <v>2023</v>
      </c>
      <c r="AA184" s="8">
        <f>MONTH(CleanedData[[#This Row],[Order Date]])</f>
        <v>2</v>
      </c>
    </row>
    <row r="185" spans="1:27" x14ac:dyDescent="0.35">
      <c r="A185" s="8" t="s">
        <v>824</v>
      </c>
      <c r="B185" s="9">
        <v>44965</v>
      </c>
      <c r="C185" s="9">
        <v>45088</v>
      </c>
      <c r="D185" s="8" t="s">
        <v>825</v>
      </c>
      <c r="E185" s="8" t="s">
        <v>48</v>
      </c>
      <c r="F185" s="8" t="s">
        <v>223</v>
      </c>
      <c r="G185" s="8" t="s">
        <v>50</v>
      </c>
      <c r="H185" s="8" t="s">
        <v>260</v>
      </c>
      <c r="I185" s="8" t="s">
        <v>4973</v>
      </c>
      <c r="J185" s="10">
        <v>266</v>
      </c>
      <c r="K185" s="11">
        <v>108.54</v>
      </c>
      <c r="L185" s="11">
        <v>137.05000000000001</v>
      </c>
      <c r="M185" s="11">
        <v>36455.300000000003</v>
      </c>
      <c r="N185" s="11">
        <v>28871.64</v>
      </c>
      <c r="O185" s="11">
        <f>CleanedData[[#This Row],[Total Sales ($)]]-CleanedData[[#This Row],[Total Cost ($)]]</f>
        <v>7583.6600000000035</v>
      </c>
      <c r="P185" s="12">
        <f>CleanedData[[#This Row],[Profit ($)]]/CleanedData[[#This Row],[Total Sales ($)]]</f>
        <v>0.20802626778547983</v>
      </c>
      <c r="Q185" s="8" t="s">
        <v>52</v>
      </c>
      <c r="R185" s="8" t="s">
        <v>63</v>
      </c>
      <c r="S185" s="8" t="b">
        <f>_xlfn.SINGLE(CleanedData[[#This Row],[Delivery Status]])="Late"</f>
        <v>0</v>
      </c>
      <c r="T185" s="10">
        <v>4</v>
      </c>
      <c r="U185" s="8" t="s">
        <v>86</v>
      </c>
      <c r="V185" s="10">
        <v>1997</v>
      </c>
      <c r="W185" s="10">
        <v>11</v>
      </c>
      <c r="X185" s="12">
        <v>4.13533834586466E-2</v>
      </c>
      <c r="Y185" s="8" t="b">
        <f>CleanedData[[#This Row],[Ship Date]]&lt;CleanedData[[#This Row],[Order Date]]</f>
        <v>0</v>
      </c>
      <c r="Z185" s="10">
        <f>YEAR(CleanedData[[#This Row],[Order Date]])</f>
        <v>2023</v>
      </c>
      <c r="AA185" s="8">
        <f>MONTH(CleanedData[[#This Row],[Order Date]])</f>
        <v>2</v>
      </c>
    </row>
    <row r="186" spans="1:27" x14ac:dyDescent="0.35">
      <c r="A186" s="8" t="s">
        <v>827</v>
      </c>
      <c r="B186" s="9">
        <v>45109</v>
      </c>
      <c r="C186" s="9">
        <v>45262</v>
      </c>
      <c r="D186" s="8" t="s">
        <v>830</v>
      </c>
      <c r="E186" s="8" t="s">
        <v>48</v>
      </c>
      <c r="F186" s="8" t="s">
        <v>49</v>
      </c>
      <c r="G186" s="8" t="s">
        <v>50</v>
      </c>
      <c r="H186" s="8" t="s">
        <v>135</v>
      </c>
      <c r="I186" s="8" t="s">
        <v>4967</v>
      </c>
      <c r="J186" s="10">
        <v>796</v>
      </c>
      <c r="K186" s="11">
        <v>984.25</v>
      </c>
      <c r="L186" s="11">
        <v>1587.86</v>
      </c>
      <c r="M186" s="11">
        <v>1263936.56</v>
      </c>
      <c r="N186" s="11">
        <v>783463</v>
      </c>
      <c r="O186" s="11">
        <f>CleanedData[[#This Row],[Total Sales ($)]]-CleanedData[[#This Row],[Total Cost ($)]]</f>
        <v>480473.56000000006</v>
      </c>
      <c r="P186" s="12">
        <f>CleanedData[[#This Row],[Profit ($)]]/CleanedData[[#This Row],[Total Sales ($)]]</f>
        <v>0.38014056654868822</v>
      </c>
      <c r="Q186" s="8" t="s">
        <v>42</v>
      </c>
      <c r="R186" s="8" t="s">
        <v>63</v>
      </c>
      <c r="S186" s="8" t="b">
        <f>_xlfn.SINGLE(CleanedData[[#This Row],[Delivery Status]])="Late"</f>
        <v>0</v>
      </c>
      <c r="T186" s="10">
        <v>5</v>
      </c>
      <c r="U186" s="8" t="s">
        <v>53</v>
      </c>
      <c r="V186" s="10">
        <v>2099</v>
      </c>
      <c r="W186" s="10">
        <v>6</v>
      </c>
      <c r="X186" s="12">
        <v>7.5376884422110003E-3</v>
      </c>
      <c r="Y186" s="8" t="b">
        <f>CleanedData[[#This Row],[Ship Date]]&lt;CleanedData[[#This Row],[Order Date]]</f>
        <v>0</v>
      </c>
      <c r="Z186" s="10">
        <f>YEAR(CleanedData[[#This Row],[Order Date]])</f>
        <v>2023</v>
      </c>
      <c r="AA186" s="8">
        <f>MONTH(CleanedData[[#This Row],[Order Date]])</f>
        <v>7</v>
      </c>
    </row>
    <row r="187" spans="1:27" x14ac:dyDescent="0.35">
      <c r="A187" s="8" t="s">
        <v>831</v>
      </c>
      <c r="B187" s="9">
        <v>44967</v>
      </c>
      <c r="C187" s="9">
        <v>45104</v>
      </c>
      <c r="D187" s="8" t="s">
        <v>833</v>
      </c>
      <c r="E187" s="8" t="s">
        <v>48</v>
      </c>
      <c r="F187" s="8" t="s">
        <v>49</v>
      </c>
      <c r="G187" s="8" t="s">
        <v>60</v>
      </c>
      <c r="H187" s="8" t="s">
        <v>834</v>
      </c>
      <c r="I187" s="8" t="s">
        <v>4968</v>
      </c>
      <c r="J187" s="10">
        <v>603</v>
      </c>
      <c r="K187" s="11">
        <v>514.04999999999995</v>
      </c>
      <c r="L187" s="11">
        <v>775.27</v>
      </c>
      <c r="M187" s="11">
        <v>467487.81</v>
      </c>
      <c r="N187" s="11">
        <v>309972.15000000002</v>
      </c>
      <c r="O187" s="11">
        <f>CleanedData[[#This Row],[Total Sales ($)]]-CleanedData[[#This Row],[Total Cost ($)]]</f>
        <v>157515.65999999997</v>
      </c>
      <c r="P187" s="12">
        <f>CleanedData[[#This Row],[Profit ($)]]/CleanedData[[#This Row],[Total Sales ($)]]</f>
        <v>0.33694067873128064</v>
      </c>
      <c r="Q187" s="8" t="s">
        <v>52</v>
      </c>
      <c r="R187" s="8" t="s">
        <v>63</v>
      </c>
      <c r="S187" s="8" t="b">
        <f>_xlfn.SINGLE(CleanedData[[#This Row],[Delivery Status]])="Late"</f>
        <v>0</v>
      </c>
      <c r="T187" s="10">
        <v>1</v>
      </c>
      <c r="U187" s="8" t="s">
        <v>112</v>
      </c>
      <c r="V187" s="10">
        <v>4499</v>
      </c>
      <c r="W187" s="10">
        <v>6</v>
      </c>
      <c r="X187" s="12">
        <v>9.9502487562189001E-3</v>
      </c>
      <c r="Y187" s="8" t="b">
        <f>CleanedData[[#This Row],[Ship Date]]&lt;CleanedData[[#This Row],[Order Date]]</f>
        <v>0</v>
      </c>
      <c r="Z187" s="10">
        <f>YEAR(CleanedData[[#This Row],[Order Date]])</f>
        <v>2023</v>
      </c>
      <c r="AA187" s="8">
        <f>MONTH(CleanedData[[#This Row],[Order Date]])</f>
        <v>2</v>
      </c>
    </row>
    <row r="188" spans="1:27" x14ac:dyDescent="0.35">
      <c r="A188" s="8" t="s">
        <v>835</v>
      </c>
      <c r="B188" s="9">
        <v>45007</v>
      </c>
      <c r="C188" s="9">
        <v>44965</v>
      </c>
      <c r="D188" s="8" t="s">
        <v>836</v>
      </c>
      <c r="E188" s="8" t="s">
        <v>100</v>
      </c>
      <c r="F188" s="8" t="s">
        <v>238</v>
      </c>
      <c r="G188" s="8" t="s">
        <v>189</v>
      </c>
      <c r="H188" s="8" t="s">
        <v>360</v>
      </c>
      <c r="I188" s="8" t="s">
        <v>4968</v>
      </c>
      <c r="J188" s="10">
        <v>518</v>
      </c>
      <c r="K188" s="11">
        <v>625.42999999999995</v>
      </c>
      <c r="L188" s="11">
        <v>796.87</v>
      </c>
      <c r="M188" s="11">
        <v>412778.66</v>
      </c>
      <c r="N188" s="11">
        <v>323972.74</v>
      </c>
      <c r="O188" s="11">
        <f>CleanedData[[#This Row],[Total Sales ($)]]-CleanedData[[#This Row],[Total Cost ($)]]</f>
        <v>88805.919999999984</v>
      </c>
      <c r="P188" s="12">
        <f>CleanedData[[#This Row],[Profit ($)]]/CleanedData[[#This Row],[Total Sales ($)]]</f>
        <v>0.21514174206583253</v>
      </c>
      <c r="Q188" s="8" t="s">
        <v>42</v>
      </c>
      <c r="R188" s="8" t="s">
        <v>32</v>
      </c>
      <c r="S188" s="8" t="b">
        <f>_xlfn.SINGLE(CleanedData[[#This Row],[Delivery Status]])="Late"</f>
        <v>1</v>
      </c>
      <c r="T188" s="10">
        <v>9</v>
      </c>
      <c r="U188" s="8" t="s">
        <v>33</v>
      </c>
      <c r="V188" s="10">
        <v>1959</v>
      </c>
      <c r="W188" s="10">
        <v>9</v>
      </c>
      <c r="X188" s="12">
        <v>1.7374517374517302E-2</v>
      </c>
      <c r="Y188" s="8" t="b">
        <f>CleanedData[[#This Row],[Ship Date]]&lt;CleanedData[[#This Row],[Order Date]]</f>
        <v>1</v>
      </c>
      <c r="Z188" s="10">
        <f>YEAR(CleanedData[[#This Row],[Order Date]])</f>
        <v>2023</v>
      </c>
      <c r="AA188" s="8">
        <f>MONTH(CleanedData[[#This Row],[Order Date]])</f>
        <v>3</v>
      </c>
    </row>
    <row r="189" spans="1:27" x14ac:dyDescent="0.35">
      <c r="A189" s="8" t="s">
        <v>837</v>
      </c>
      <c r="B189" s="9">
        <v>45323</v>
      </c>
      <c r="C189" s="9">
        <v>45310</v>
      </c>
      <c r="D189" s="8" t="s">
        <v>839</v>
      </c>
      <c r="E189" s="8" t="s">
        <v>100</v>
      </c>
      <c r="F189" s="8" t="s">
        <v>330</v>
      </c>
      <c r="G189" s="8" t="s">
        <v>78</v>
      </c>
      <c r="H189" s="8" t="s">
        <v>840</v>
      </c>
      <c r="I189" s="8" t="s">
        <v>4975</v>
      </c>
      <c r="J189" s="10">
        <v>112</v>
      </c>
      <c r="K189" s="11">
        <v>233.62</v>
      </c>
      <c r="L189" s="11">
        <v>315.23</v>
      </c>
      <c r="M189" s="11">
        <v>35305.760000000002</v>
      </c>
      <c r="N189" s="11">
        <v>26165.439999999999</v>
      </c>
      <c r="O189" s="11">
        <f>CleanedData[[#This Row],[Total Sales ($)]]-CleanedData[[#This Row],[Total Cost ($)]]</f>
        <v>9140.3200000000033</v>
      </c>
      <c r="P189" s="12">
        <f>CleanedData[[#This Row],[Profit ($)]]/CleanedData[[#This Row],[Total Sales ($)]]</f>
        <v>0.25889033404181083</v>
      </c>
      <c r="Q189" s="8" t="s">
        <v>52</v>
      </c>
      <c r="R189" s="8" t="s">
        <v>63</v>
      </c>
      <c r="S189" s="8" t="b">
        <f>_xlfn.SINGLE(CleanedData[[#This Row],[Delivery Status]])="Late"</f>
        <v>0</v>
      </c>
      <c r="T189" s="10">
        <v>4</v>
      </c>
      <c r="U189" s="8" t="s">
        <v>33</v>
      </c>
      <c r="V189" s="10">
        <v>2272</v>
      </c>
      <c r="W189" s="10">
        <v>2</v>
      </c>
      <c r="X189" s="12">
        <v>1.7857142857142801E-2</v>
      </c>
      <c r="Y189" s="8" t="b">
        <f>CleanedData[[#This Row],[Ship Date]]&lt;CleanedData[[#This Row],[Order Date]]</f>
        <v>1</v>
      </c>
      <c r="Z189" s="10">
        <f>YEAR(CleanedData[[#This Row],[Order Date]])</f>
        <v>2024</v>
      </c>
      <c r="AA189" s="8">
        <f>MONTH(CleanedData[[#This Row],[Order Date]])</f>
        <v>2</v>
      </c>
    </row>
    <row r="190" spans="1:27" x14ac:dyDescent="0.35">
      <c r="A190" s="8" t="s">
        <v>841</v>
      </c>
      <c r="B190" s="9">
        <v>45246</v>
      </c>
      <c r="C190" s="9">
        <v>45009</v>
      </c>
      <c r="D190" s="8" t="s">
        <v>842</v>
      </c>
      <c r="E190" s="8" t="s">
        <v>58</v>
      </c>
      <c r="F190" s="8" t="s">
        <v>59</v>
      </c>
      <c r="G190" s="8" t="s">
        <v>70</v>
      </c>
      <c r="H190" s="8" t="s">
        <v>822</v>
      </c>
      <c r="I190" s="8" t="s">
        <v>4979</v>
      </c>
      <c r="J190" s="10">
        <v>539</v>
      </c>
      <c r="K190" s="11">
        <v>466.25</v>
      </c>
      <c r="L190" s="11">
        <v>674.9</v>
      </c>
      <c r="M190" s="11">
        <v>363771.1</v>
      </c>
      <c r="N190" s="11">
        <v>251308.75</v>
      </c>
      <c r="O190" s="11">
        <f>CleanedData[[#This Row],[Total Sales ($)]]-CleanedData[[#This Row],[Total Cost ($)]]</f>
        <v>112462.34999999998</v>
      </c>
      <c r="P190" s="12">
        <f>CleanedData[[#This Row],[Profit ($)]]/CleanedData[[#This Row],[Total Sales ($)]]</f>
        <v>0.30915691213513108</v>
      </c>
      <c r="Q190" s="8" t="s">
        <v>42</v>
      </c>
      <c r="R190" s="8" t="s">
        <v>63</v>
      </c>
      <c r="S190" s="8" t="b">
        <f>_xlfn.SINGLE(CleanedData[[#This Row],[Delivery Status]])="Late"</f>
        <v>0</v>
      </c>
      <c r="T190" s="10">
        <v>2</v>
      </c>
      <c r="U190" s="8" t="s">
        <v>43</v>
      </c>
      <c r="V190" s="10">
        <v>3140</v>
      </c>
      <c r="W190" s="10">
        <v>4</v>
      </c>
      <c r="X190" s="12">
        <v>7.4211502782931E-3</v>
      </c>
      <c r="Y190" s="8" t="b">
        <f>CleanedData[[#This Row],[Ship Date]]&lt;CleanedData[[#This Row],[Order Date]]</f>
        <v>1</v>
      </c>
      <c r="Z190" s="10">
        <f>YEAR(CleanedData[[#This Row],[Order Date]])</f>
        <v>2023</v>
      </c>
      <c r="AA190" s="8">
        <f>MONTH(CleanedData[[#This Row],[Order Date]])</f>
        <v>11</v>
      </c>
    </row>
    <row r="191" spans="1:27" x14ac:dyDescent="0.35">
      <c r="A191" s="8" t="s">
        <v>843</v>
      </c>
      <c r="B191" s="9">
        <v>45078</v>
      </c>
      <c r="C191" s="9">
        <v>45190</v>
      </c>
      <c r="D191" s="8" t="s">
        <v>844</v>
      </c>
      <c r="E191" s="8" t="s">
        <v>58</v>
      </c>
      <c r="F191" s="8" t="s">
        <v>116</v>
      </c>
      <c r="G191" s="8" t="s">
        <v>217</v>
      </c>
      <c r="H191" s="8" t="s">
        <v>494</v>
      </c>
      <c r="I191" s="8" t="s">
        <v>4979</v>
      </c>
      <c r="J191" s="10">
        <v>718</v>
      </c>
      <c r="K191" s="11">
        <v>963.75</v>
      </c>
      <c r="L191" s="11">
        <v>1261.82</v>
      </c>
      <c r="M191" s="11">
        <v>905986.76</v>
      </c>
      <c r="N191" s="11">
        <v>691972.5</v>
      </c>
      <c r="O191" s="11">
        <f>CleanedData[[#This Row],[Total Sales ($)]]-CleanedData[[#This Row],[Total Cost ($)]]</f>
        <v>214014.26</v>
      </c>
      <c r="P191" s="12">
        <f>CleanedData[[#This Row],[Profit ($)]]/CleanedData[[#This Row],[Total Sales ($)]]</f>
        <v>0.23622228210045806</v>
      </c>
      <c r="Q191" s="8" t="s">
        <v>42</v>
      </c>
      <c r="R191" s="8" t="s">
        <v>32</v>
      </c>
      <c r="S191" s="8" t="b">
        <f>_xlfn.SINGLE(CleanedData[[#This Row],[Delivery Status]])="Late"</f>
        <v>1</v>
      </c>
      <c r="T191" s="10">
        <v>14</v>
      </c>
      <c r="U191" s="8" t="s">
        <v>53</v>
      </c>
      <c r="V191" s="10">
        <v>996</v>
      </c>
      <c r="W191" s="10">
        <v>19</v>
      </c>
      <c r="X191" s="12">
        <v>2.64623955431754E-2</v>
      </c>
      <c r="Y191" s="8" t="b">
        <f>CleanedData[[#This Row],[Ship Date]]&lt;CleanedData[[#This Row],[Order Date]]</f>
        <v>0</v>
      </c>
      <c r="Z191" s="10">
        <f>YEAR(CleanedData[[#This Row],[Order Date]])</f>
        <v>2023</v>
      </c>
      <c r="AA191" s="8">
        <f>MONTH(CleanedData[[#This Row],[Order Date]])</f>
        <v>6</v>
      </c>
    </row>
    <row r="192" spans="1:27" x14ac:dyDescent="0.35">
      <c r="A192" s="8" t="s">
        <v>845</v>
      </c>
      <c r="B192" s="9">
        <v>45231</v>
      </c>
      <c r="C192" s="9">
        <v>45474</v>
      </c>
      <c r="D192" s="8" t="s">
        <v>848</v>
      </c>
      <c r="E192" s="8" t="s">
        <v>100</v>
      </c>
      <c r="F192" s="8" t="s">
        <v>538</v>
      </c>
      <c r="G192" s="8" t="s">
        <v>39</v>
      </c>
      <c r="H192" s="8" t="s">
        <v>147</v>
      </c>
      <c r="I192" s="8" t="s">
        <v>4968</v>
      </c>
      <c r="J192" s="10">
        <v>503</v>
      </c>
      <c r="K192" s="11">
        <v>-0.5</v>
      </c>
      <c r="L192" s="11">
        <v>525.25</v>
      </c>
      <c r="M192" s="11">
        <v>264200.75</v>
      </c>
      <c r="N192" s="11">
        <v>179274.23</v>
      </c>
      <c r="O192" s="11">
        <f>CleanedData[[#This Row],[Total Sales ($)]]-CleanedData[[#This Row],[Total Cost ($)]]</f>
        <v>84926.51999999999</v>
      </c>
      <c r="P192" s="12">
        <f>CleanedData[[#This Row],[Profit ($)]]/CleanedData[[#This Row],[Total Sales ($)]]</f>
        <v>0.32144693003331742</v>
      </c>
      <c r="Q192" s="8" t="s">
        <v>31</v>
      </c>
      <c r="R192" s="8" t="s">
        <v>32</v>
      </c>
      <c r="S192" s="8" t="b">
        <f>_xlfn.SINGLE(CleanedData[[#This Row],[Delivery Status]])="Late"</f>
        <v>1</v>
      </c>
      <c r="T192" s="10">
        <v>11</v>
      </c>
      <c r="U192" s="8" t="s">
        <v>53</v>
      </c>
      <c r="V192" s="10">
        <v>3081</v>
      </c>
      <c r="W192" s="10">
        <v>8</v>
      </c>
      <c r="X192" s="12">
        <v>1.59045725646123E-2</v>
      </c>
      <c r="Y192" s="8" t="b">
        <f>CleanedData[[#This Row],[Ship Date]]&lt;CleanedData[[#This Row],[Order Date]]</f>
        <v>0</v>
      </c>
      <c r="Z192" s="10">
        <f>YEAR(CleanedData[[#This Row],[Order Date]])</f>
        <v>2023</v>
      </c>
      <c r="AA192" s="8">
        <f>MONTH(CleanedData[[#This Row],[Order Date]])</f>
        <v>11</v>
      </c>
    </row>
    <row r="193" spans="1:27" x14ac:dyDescent="0.35">
      <c r="A193" s="8" t="s">
        <v>849</v>
      </c>
      <c r="B193" s="9">
        <v>45098</v>
      </c>
      <c r="C193" s="9">
        <v>45214</v>
      </c>
      <c r="D193" s="8" t="s">
        <v>851</v>
      </c>
      <c r="E193" s="8" t="s">
        <v>58</v>
      </c>
      <c r="F193" s="8" t="s">
        <v>122</v>
      </c>
      <c r="G193" s="8" t="s">
        <v>78</v>
      </c>
      <c r="H193" s="8" t="s">
        <v>840</v>
      </c>
      <c r="I193" s="8" t="s">
        <v>4971</v>
      </c>
      <c r="J193" s="10">
        <v>143</v>
      </c>
      <c r="K193" s="11">
        <v>756.65</v>
      </c>
      <c r="L193" s="11">
        <v>1221.81</v>
      </c>
      <c r="M193" s="11">
        <v>174718.83</v>
      </c>
      <c r="N193" s="11">
        <v>108200.95</v>
      </c>
      <c r="O193" s="11">
        <f>CleanedData[[#This Row],[Total Sales ($)]]-CleanedData[[#This Row],[Total Cost ($)]]</f>
        <v>66517.87999999999</v>
      </c>
      <c r="P193" s="12">
        <f>CleanedData[[#This Row],[Profit ($)]]/CleanedData[[#This Row],[Total Sales ($)]]</f>
        <v>0.38071385894697207</v>
      </c>
      <c r="Q193" s="8" t="s">
        <v>52</v>
      </c>
      <c r="R193" s="8" t="s">
        <v>32</v>
      </c>
      <c r="S193" s="8" t="b">
        <f>_xlfn.SINGLE(CleanedData[[#This Row],[Delivery Status]])="Late"</f>
        <v>1</v>
      </c>
      <c r="T193" s="10">
        <v>11</v>
      </c>
      <c r="U193" s="8" t="s">
        <v>53</v>
      </c>
      <c r="V193" s="10">
        <v>3155</v>
      </c>
      <c r="W193" s="10">
        <v>5</v>
      </c>
      <c r="X193" s="12">
        <v>3.4965034965034898E-2</v>
      </c>
      <c r="Y193" s="8" t="b">
        <f>CleanedData[[#This Row],[Ship Date]]&lt;CleanedData[[#This Row],[Order Date]]</f>
        <v>0</v>
      </c>
      <c r="Z193" s="10">
        <f>YEAR(CleanedData[[#This Row],[Order Date]])</f>
        <v>2023</v>
      </c>
      <c r="AA193" s="8">
        <f>MONTH(CleanedData[[#This Row],[Order Date]])</f>
        <v>6</v>
      </c>
    </row>
    <row r="194" spans="1:27" x14ac:dyDescent="0.35">
      <c r="A194" s="8" t="s">
        <v>852</v>
      </c>
      <c r="B194" s="9">
        <v>45092</v>
      </c>
      <c r="C194" s="9">
        <v>45114</v>
      </c>
      <c r="D194" s="8" t="s">
        <v>854</v>
      </c>
      <c r="E194" s="8" t="s">
        <v>26</v>
      </c>
      <c r="F194" s="8" t="s">
        <v>92</v>
      </c>
      <c r="G194" s="8" t="s">
        <v>50</v>
      </c>
      <c r="H194" s="8" t="s">
        <v>734</v>
      </c>
      <c r="I194" s="8" t="s">
        <v>4968</v>
      </c>
      <c r="J194" s="10">
        <v>48</v>
      </c>
      <c r="K194" s="11">
        <v>415.85</v>
      </c>
      <c r="L194" s="11">
        <v>651.66</v>
      </c>
      <c r="M194" s="11">
        <v>31279.68</v>
      </c>
      <c r="N194" s="11">
        <v>19960.8</v>
      </c>
      <c r="O194" s="11">
        <f>CleanedData[[#This Row],[Total Sales ($)]]-CleanedData[[#This Row],[Total Cost ($)]]</f>
        <v>11318.880000000001</v>
      </c>
      <c r="P194" s="12">
        <f>CleanedData[[#This Row],[Profit ($)]]/CleanedData[[#This Row],[Total Sales ($)]]</f>
        <v>0.36186047939109356</v>
      </c>
      <c r="Q194" s="8" t="s">
        <v>95</v>
      </c>
      <c r="R194" s="8" t="s">
        <v>63</v>
      </c>
      <c r="S194" s="8" t="b">
        <f>_xlfn.SINGLE(CleanedData[[#This Row],[Delivery Status]])="Late"</f>
        <v>0</v>
      </c>
      <c r="T194" s="10">
        <v>1</v>
      </c>
      <c r="U194" s="8" t="s">
        <v>33</v>
      </c>
      <c r="V194" s="10">
        <v>2730</v>
      </c>
      <c r="W194" s="10">
        <v>1</v>
      </c>
      <c r="X194" s="12">
        <v>2.0833333333333301E-2</v>
      </c>
      <c r="Y194" s="8" t="b">
        <f>CleanedData[[#This Row],[Ship Date]]&lt;CleanedData[[#This Row],[Order Date]]</f>
        <v>0</v>
      </c>
      <c r="Z194" s="10">
        <f>YEAR(CleanedData[[#This Row],[Order Date]])</f>
        <v>2023</v>
      </c>
      <c r="AA194" s="8">
        <f>MONTH(CleanedData[[#This Row],[Order Date]])</f>
        <v>6</v>
      </c>
    </row>
    <row r="195" spans="1:27" x14ac:dyDescent="0.35">
      <c r="A195" s="8" t="s">
        <v>855</v>
      </c>
      <c r="B195" s="9">
        <v>45122</v>
      </c>
      <c r="C195" s="9">
        <v>45183</v>
      </c>
      <c r="D195" s="8" t="s">
        <v>857</v>
      </c>
      <c r="E195" s="8" t="s">
        <v>68</v>
      </c>
      <c r="F195" s="8" t="s">
        <v>276</v>
      </c>
      <c r="G195" s="8" t="s">
        <v>39</v>
      </c>
      <c r="H195" s="8" t="s">
        <v>477</v>
      </c>
      <c r="I195" s="8" t="s">
        <v>4971</v>
      </c>
      <c r="J195" s="10">
        <v>50</v>
      </c>
      <c r="K195" s="11">
        <v>864.92</v>
      </c>
      <c r="L195" s="11">
        <v>976.07</v>
      </c>
      <c r="M195" s="11">
        <v>48803.5</v>
      </c>
      <c r="N195" s="11">
        <v>43246</v>
      </c>
      <c r="O195" s="11">
        <f>CleanedData[[#This Row],[Total Sales ($)]]-CleanedData[[#This Row],[Total Cost ($)]]</f>
        <v>5557.5</v>
      </c>
      <c r="P195" s="12">
        <f>CleanedData[[#This Row],[Profit ($)]]/CleanedData[[#This Row],[Total Sales ($)]]</f>
        <v>0.11387502945485467</v>
      </c>
      <c r="Q195" s="8" t="s">
        <v>31</v>
      </c>
      <c r="R195" s="8" t="s">
        <v>32</v>
      </c>
      <c r="S195" s="8" t="b">
        <f>_xlfn.SINGLE(CleanedData[[#This Row],[Delivery Status]])="Late"</f>
        <v>1</v>
      </c>
      <c r="T195" s="10">
        <v>14</v>
      </c>
      <c r="U195" s="8" t="s">
        <v>33</v>
      </c>
      <c r="V195" s="10">
        <v>3185</v>
      </c>
      <c r="W195" s="10">
        <v>1</v>
      </c>
      <c r="X195" s="12">
        <v>0.02</v>
      </c>
      <c r="Y195" s="8" t="b">
        <f>CleanedData[[#This Row],[Ship Date]]&lt;CleanedData[[#This Row],[Order Date]]</f>
        <v>0</v>
      </c>
      <c r="Z195" s="10">
        <f>YEAR(CleanedData[[#This Row],[Order Date]])</f>
        <v>2023</v>
      </c>
      <c r="AA195" s="8">
        <f>MONTH(CleanedData[[#This Row],[Order Date]])</f>
        <v>7</v>
      </c>
    </row>
    <row r="196" spans="1:27" x14ac:dyDescent="0.35">
      <c r="A196" s="8" t="s">
        <v>858</v>
      </c>
      <c r="B196" s="9">
        <v>45608</v>
      </c>
      <c r="C196" s="9">
        <v>45589</v>
      </c>
      <c r="D196" s="8" t="s">
        <v>860</v>
      </c>
      <c r="E196" s="8" t="s">
        <v>26</v>
      </c>
      <c r="F196" s="8" t="s">
        <v>38</v>
      </c>
      <c r="G196" s="8" t="s">
        <v>189</v>
      </c>
      <c r="H196" s="8" t="s">
        <v>365</v>
      </c>
      <c r="I196" s="8" t="s">
        <v>4975</v>
      </c>
      <c r="J196" s="10">
        <v>143</v>
      </c>
      <c r="K196" s="11">
        <v>1087.45</v>
      </c>
      <c r="L196" s="11">
        <v>1661.33</v>
      </c>
      <c r="M196" s="11">
        <v>237570.19</v>
      </c>
      <c r="N196" s="11">
        <v>155505.35</v>
      </c>
      <c r="O196" s="11">
        <f>CleanedData[[#This Row],[Total Sales ($)]]-CleanedData[[#This Row],[Total Cost ($)]]</f>
        <v>82064.84</v>
      </c>
      <c r="P196" s="12">
        <f>CleanedData[[#This Row],[Profit ($)]]/CleanedData[[#This Row],[Total Sales ($)]]</f>
        <v>0.34543407992391634</v>
      </c>
      <c r="Q196" s="8" t="s">
        <v>31</v>
      </c>
      <c r="R196" s="8" t="s">
        <v>32</v>
      </c>
      <c r="S196" s="8" t="b">
        <f>_xlfn.SINGLE(CleanedData[[#This Row],[Delivery Status]])="Late"</f>
        <v>1</v>
      </c>
      <c r="T196" s="10">
        <v>8</v>
      </c>
      <c r="U196" s="8" t="s">
        <v>33</v>
      </c>
      <c r="V196" s="10">
        <v>4406</v>
      </c>
      <c r="W196" s="10">
        <v>7</v>
      </c>
      <c r="X196" s="12">
        <v>4.8951048951048903E-2</v>
      </c>
      <c r="Y196" s="8" t="b">
        <f>CleanedData[[#This Row],[Ship Date]]&lt;CleanedData[[#This Row],[Order Date]]</f>
        <v>1</v>
      </c>
      <c r="Z196" s="10">
        <f>YEAR(CleanedData[[#This Row],[Order Date]])</f>
        <v>2024</v>
      </c>
      <c r="AA196" s="8">
        <f>MONTH(CleanedData[[#This Row],[Order Date]])</f>
        <v>11</v>
      </c>
    </row>
    <row r="197" spans="1:27" x14ac:dyDescent="0.35">
      <c r="A197" s="8" t="s">
        <v>861</v>
      </c>
      <c r="B197" s="9">
        <v>45044</v>
      </c>
      <c r="C197" s="9">
        <v>44988</v>
      </c>
      <c r="D197" s="8" t="s">
        <v>863</v>
      </c>
      <c r="E197" s="8" t="s">
        <v>58</v>
      </c>
      <c r="F197" s="8" t="s">
        <v>259</v>
      </c>
      <c r="G197" s="8" t="s">
        <v>78</v>
      </c>
      <c r="H197" s="8" t="s">
        <v>123</v>
      </c>
      <c r="I197" s="8" t="s">
        <v>4974</v>
      </c>
      <c r="J197" s="10">
        <v>605</v>
      </c>
      <c r="K197" s="11">
        <v>211.96</v>
      </c>
      <c r="L197" s="11">
        <v>322.87</v>
      </c>
      <c r="M197" s="11">
        <v>195336.35</v>
      </c>
      <c r="N197" s="11">
        <v>128235.8</v>
      </c>
      <c r="O197" s="11">
        <f>CleanedData[[#This Row],[Total Sales ($)]]-CleanedData[[#This Row],[Total Cost ($)]]</f>
        <v>67100.55</v>
      </c>
      <c r="P197" s="12">
        <f>CleanedData[[#This Row],[Profit ($)]]/CleanedData[[#This Row],[Total Sales ($)]]</f>
        <v>0.34351286895654598</v>
      </c>
      <c r="Q197" s="8" t="s">
        <v>31</v>
      </c>
      <c r="R197" s="8" t="s">
        <v>63</v>
      </c>
      <c r="S197" s="8" t="b">
        <f>_xlfn.SINGLE(CleanedData[[#This Row],[Delivery Status]])="Late"</f>
        <v>0</v>
      </c>
      <c r="T197" s="10">
        <v>2</v>
      </c>
      <c r="U197" s="8" t="s">
        <v>43</v>
      </c>
      <c r="V197" s="10">
        <v>1888</v>
      </c>
      <c r="W197" s="10">
        <v>22</v>
      </c>
      <c r="X197" s="12">
        <v>3.6363636363636299E-2</v>
      </c>
      <c r="Y197" s="8" t="b">
        <f>CleanedData[[#This Row],[Ship Date]]&lt;CleanedData[[#This Row],[Order Date]]</f>
        <v>1</v>
      </c>
      <c r="Z197" s="10">
        <f>YEAR(CleanedData[[#This Row],[Order Date]])</f>
        <v>2023</v>
      </c>
      <c r="AA197" s="8">
        <f>MONTH(CleanedData[[#This Row],[Order Date]])</f>
        <v>4</v>
      </c>
    </row>
    <row r="198" spans="1:27" x14ac:dyDescent="0.35">
      <c r="A198" s="8" t="s">
        <v>864</v>
      </c>
      <c r="B198" s="9">
        <v>44991</v>
      </c>
      <c r="C198" s="9">
        <v>44928</v>
      </c>
      <c r="D198" s="8" t="s">
        <v>866</v>
      </c>
      <c r="E198" s="8" t="s">
        <v>100</v>
      </c>
      <c r="F198" s="8" t="s">
        <v>538</v>
      </c>
      <c r="G198" s="8" t="s">
        <v>39</v>
      </c>
      <c r="H198" s="8" t="s">
        <v>354</v>
      </c>
      <c r="I198" s="8" t="s">
        <v>4969</v>
      </c>
      <c r="J198" s="10">
        <v>378</v>
      </c>
      <c r="K198" s="11">
        <v>1176.25</v>
      </c>
      <c r="L198" s="11">
        <v>1792.41</v>
      </c>
      <c r="M198" s="11">
        <v>677530.98</v>
      </c>
      <c r="N198" s="11">
        <v>444622.5</v>
      </c>
      <c r="O198" s="11">
        <f>CleanedData[[#This Row],[Total Sales ($)]]-CleanedData[[#This Row],[Total Cost ($)]]</f>
        <v>232908.47999999998</v>
      </c>
      <c r="P198" s="12">
        <f>CleanedData[[#This Row],[Profit ($)]]/CleanedData[[#This Row],[Total Sales ($)]]</f>
        <v>0.34376063512254451</v>
      </c>
      <c r="Q198" s="8" t="s">
        <v>31</v>
      </c>
      <c r="R198" s="8" t="s">
        <v>32</v>
      </c>
      <c r="S198" s="8" t="b">
        <f>_xlfn.SINGLE(CleanedData[[#This Row],[Delivery Status]])="Late"</f>
        <v>1</v>
      </c>
      <c r="T198" s="10">
        <v>4</v>
      </c>
      <c r="U198" s="8" t="s">
        <v>33</v>
      </c>
      <c r="V198" s="10">
        <v>975</v>
      </c>
      <c r="W198" s="10">
        <v>2</v>
      </c>
      <c r="X198" s="12">
        <v>5.2910052910051996E-3</v>
      </c>
      <c r="Y198" s="8" t="b">
        <f>CleanedData[[#This Row],[Ship Date]]&lt;CleanedData[[#This Row],[Order Date]]</f>
        <v>1</v>
      </c>
      <c r="Z198" s="10">
        <f>YEAR(CleanedData[[#This Row],[Order Date]])</f>
        <v>2023</v>
      </c>
      <c r="AA198" s="8">
        <f>MONTH(CleanedData[[#This Row],[Order Date]])</f>
        <v>3</v>
      </c>
    </row>
    <row r="199" spans="1:27" x14ac:dyDescent="0.35">
      <c r="A199" s="8" t="s">
        <v>868</v>
      </c>
      <c r="B199" s="9">
        <v>45208</v>
      </c>
      <c r="C199" s="9">
        <v>45185</v>
      </c>
      <c r="D199" s="8" t="s">
        <v>869</v>
      </c>
      <c r="E199" s="8" t="s">
        <v>100</v>
      </c>
      <c r="F199" s="8" t="s">
        <v>101</v>
      </c>
      <c r="G199" s="8" t="s">
        <v>217</v>
      </c>
      <c r="H199" s="8" t="s">
        <v>684</v>
      </c>
      <c r="I199" s="8" t="s">
        <v>4968</v>
      </c>
      <c r="J199" s="10">
        <v>496</v>
      </c>
      <c r="K199" s="11">
        <v>618.69000000000005</v>
      </c>
      <c r="L199" s="11">
        <v>862.46</v>
      </c>
      <c r="M199" s="11">
        <v>427780.16</v>
      </c>
      <c r="N199" s="11">
        <v>306870.24</v>
      </c>
      <c r="O199" s="11">
        <f>CleanedData[[#This Row],[Total Sales ($)]]-CleanedData[[#This Row],[Total Cost ($)]]</f>
        <v>120909.91999999998</v>
      </c>
      <c r="P199" s="12">
        <f>CleanedData[[#This Row],[Profit ($)]]/CleanedData[[#This Row],[Total Sales ($)]]</f>
        <v>0.28264499223152378</v>
      </c>
      <c r="Q199" s="8" t="s">
        <v>42</v>
      </c>
      <c r="R199" s="8" t="s">
        <v>32</v>
      </c>
      <c r="S199" s="8" t="b">
        <f>_xlfn.SINGLE(CleanedData[[#This Row],[Delivery Status]])="Late"</f>
        <v>1</v>
      </c>
      <c r="T199" s="10">
        <v>13</v>
      </c>
      <c r="U199" s="8" t="s">
        <v>112</v>
      </c>
      <c r="V199" s="10">
        <v>3947</v>
      </c>
      <c r="W199" s="10">
        <v>18</v>
      </c>
      <c r="X199" s="12">
        <v>3.6290322580645101E-2</v>
      </c>
      <c r="Y199" s="8" t="b">
        <f>CleanedData[[#This Row],[Ship Date]]&lt;CleanedData[[#This Row],[Order Date]]</f>
        <v>1</v>
      </c>
      <c r="Z199" s="10">
        <f>YEAR(CleanedData[[#This Row],[Order Date]])</f>
        <v>2023</v>
      </c>
      <c r="AA199" s="8">
        <f>MONTH(CleanedData[[#This Row],[Order Date]])</f>
        <v>10</v>
      </c>
    </row>
    <row r="200" spans="1:27" x14ac:dyDescent="0.35">
      <c r="A200" s="8" t="s">
        <v>870</v>
      </c>
      <c r="B200" s="9">
        <v>45623</v>
      </c>
      <c r="C200" s="9">
        <v>45648</v>
      </c>
      <c r="D200" s="8" t="s">
        <v>871</v>
      </c>
      <c r="E200" s="8" t="s">
        <v>26</v>
      </c>
      <c r="F200" s="8" t="s">
        <v>38</v>
      </c>
      <c r="G200" s="8" t="s">
        <v>189</v>
      </c>
      <c r="H200" s="8" t="s">
        <v>561</v>
      </c>
      <c r="I200" s="8" t="s">
        <v>4976</v>
      </c>
      <c r="J200" s="10">
        <v>23</v>
      </c>
      <c r="K200" s="11">
        <v>227.49</v>
      </c>
      <c r="L200" s="11">
        <v>263.91000000000003</v>
      </c>
      <c r="M200" s="11">
        <v>6069.93</v>
      </c>
      <c r="N200" s="11">
        <v>5232.2700000000004</v>
      </c>
      <c r="O200" s="11">
        <f>CleanedData[[#This Row],[Total Sales ($)]]-CleanedData[[#This Row],[Total Cost ($)]]</f>
        <v>837.65999999999985</v>
      </c>
      <c r="P200" s="12">
        <f>CleanedData[[#This Row],[Profit ($)]]/CleanedData[[#This Row],[Total Sales ($)]]</f>
        <v>0.13800159145163121</v>
      </c>
      <c r="Q200" s="8" t="s">
        <v>52</v>
      </c>
      <c r="R200" s="8" t="s">
        <v>63</v>
      </c>
      <c r="S200" s="8" t="b">
        <f>_xlfn.SINGLE(CleanedData[[#This Row],[Delivery Status]])="Late"</f>
        <v>0</v>
      </c>
      <c r="T200" s="10">
        <v>3</v>
      </c>
      <c r="U200" s="8" t="s">
        <v>33</v>
      </c>
      <c r="V200" s="10">
        <v>1837</v>
      </c>
      <c r="W200" s="10">
        <v>1</v>
      </c>
      <c r="X200" s="12">
        <v>4.3478260869565202E-2</v>
      </c>
      <c r="Y200" s="8" t="b">
        <f>CleanedData[[#This Row],[Ship Date]]&lt;CleanedData[[#This Row],[Order Date]]</f>
        <v>0</v>
      </c>
      <c r="Z200" s="10">
        <f>YEAR(CleanedData[[#This Row],[Order Date]])</f>
        <v>2024</v>
      </c>
      <c r="AA200" s="8">
        <f>MONTH(CleanedData[[#This Row],[Order Date]])</f>
        <v>11</v>
      </c>
    </row>
    <row r="201" spans="1:27" x14ac:dyDescent="0.35">
      <c r="A201" s="8" t="s">
        <v>872</v>
      </c>
      <c r="B201" s="9">
        <v>45477</v>
      </c>
      <c r="C201" s="9">
        <v>45371</v>
      </c>
      <c r="D201" s="8" t="s">
        <v>875</v>
      </c>
      <c r="E201" s="8" t="s">
        <v>100</v>
      </c>
      <c r="F201" s="8" t="s">
        <v>101</v>
      </c>
      <c r="G201" s="8" t="s">
        <v>70</v>
      </c>
      <c r="H201" s="8" t="s">
        <v>239</v>
      </c>
      <c r="I201" s="8" t="s">
        <v>4968</v>
      </c>
      <c r="J201" s="10">
        <v>392</v>
      </c>
      <c r="K201" s="11">
        <v>795.57</v>
      </c>
      <c r="L201" s="11">
        <v>1039.98</v>
      </c>
      <c r="M201" s="11">
        <v>407672.16</v>
      </c>
      <c r="N201" s="11">
        <v>311863.44</v>
      </c>
      <c r="O201" s="11">
        <f>CleanedData[[#This Row],[Total Sales ($)]]-CleanedData[[#This Row],[Total Cost ($)]]</f>
        <v>95808.719999999972</v>
      </c>
      <c r="P201" s="12">
        <f>CleanedData[[#This Row],[Profit ($)]]/CleanedData[[#This Row],[Total Sales ($)]]</f>
        <v>0.23501413488720932</v>
      </c>
      <c r="Q201" s="8" t="s">
        <v>52</v>
      </c>
      <c r="R201" s="8" t="s">
        <v>63</v>
      </c>
      <c r="S201" s="8" t="b">
        <f>_xlfn.SINGLE(CleanedData[[#This Row],[Delivery Status]])="Late"</f>
        <v>0</v>
      </c>
      <c r="T201" s="10">
        <v>5</v>
      </c>
      <c r="U201" s="8" t="s">
        <v>53</v>
      </c>
      <c r="V201" s="10">
        <v>1332</v>
      </c>
      <c r="W201" s="10">
        <v>9</v>
      </c>
      <c r="X201" s="12">
        <v>2.2959183673469299E-2</v>
      </c>
      <c r="Y201" s="8" t="b">
        <f>CleanedData[[#This Row],[Ship Date]]&lt;CleanedData[[#This Row],[Order Date]]</f>
        <v>1</v>
      </c>
      <c r="Z201" s="10">
        <f>YEAR(CleanedData[[#This Row],[Order Date]])</f>
        <v>2024</v>
      </c>
      <c r="AA201" s="8">
        <f>MONTH(CleanedData[[#This Row],[Order Date]])</f>
        <v>7</v>
      </c>
    </row>
    <row r="202" spans="1:27" x14ac:dyDescent="0.35">
      <c r="A202" s="8" t="s">
        <v>876</v>
      </c>
      <c r="B202" s="9">
        <v>45118</v>
      </c>
      <c r="C202" s="9">
        <v>45101</v>
      </c>
      <c r="D202" s="8" t="s">
        <v>877</v>
      </c>
      <c r="E202" s="8" t="s">
        <v>26</v>
      </c>
      <c r="F202" s="8" t="s">
        <v>38</v>
      </c>
      <c r="G202" s="8" t="s">
        <v>189</v>
      </c>
      <c r="H202" s="8" t="s">
        <v>190</v>
      </c>
      <c r="I202" s="8" t="s">
        <v>4974</v>
      </c>
      <c r="J202" s="10">
        <v>489</v>
      </c>
      <c r="K202" s="11">
        <v>1190.8900000000001</v>
      </c>
      <c r="L202" s="11">
        <v>1776.17</v>
      </c>
      <c r="M202" s="11">
        <v>868547.13</v>
      </c>
      <c r="N202" s="11">
        <v>582345.21</v>
      </c>
      <c r="O202" s="11">
        <f>CleanedData[[#This Row],[Total Sales ($)]]-CleanedData[[#This Row],[Total Cost ($)]]</f>
        <v>286201.92000000004</v>
      </c>
      <c r="P202" s="12">
        <f>CleanedData[[#This Row],[Profit ($)]]/CleanedData[[#This Row],[Total Sales ($)]]</f>
        <v>0.32951800784834789</v>
      </c>
      <c r="Q202" s="8" t="s">
        <v>42</v>
      </c>
      <c r="R202" s="8" t="s">
        <v>32</v>
      </c>
      <c r="S202" s="8" t="b">
        <f>_xlfn.SINGLE(CleanedData[[#This Row],[Delivery Status]])="Late"</f>
        <v>1</v>
      </c>
      <c r="T202" s="10">
        <v>6</v>
      </c>
      <c r="U202" s="8" t="s">
        <v>158</v>
      </c>
      <c r="V202" s="10">
        <v>32</v>
      </c>
      <c r="W202" s="10">
        <v>24</v>
      </c>
      <c r="X202" s="12">
        <v>4.9079754601226898E-2</v>
      </c>
      <c r="Y202" s="8" t="b">
        <f>CleanedData[[#This Row],[Ship Date]]&lt;CleanedData[[#This Row],[Order Date]]</f>
        <v>1</v>
      </c>
      <c r="Z202" s="10">
        <f>YEAR(CleanedData[[#This Row],[Order Date]])</f>
        <v>2023</v>
      </c>
      <c r="AA202" s="8">
        <f>MONTH(CleanedData[[#This Row],[Order Date]])</f>
        <v>7</v>
      </c>
    </row>
    <row r="203" spans="1:27" x14ac:dyDescent="0.35">
      <c r="A203" s="8" t="s">
        <v>878</v>
      </c>
      <c r="B203" s="9">
        <v>45178</v>
      </c>
      <c r="C203" s="9">
        <v>44970</v>
      </c>
      <c r="D203" s="8" t="s">
        <v>880</v>
      </c>
      <c r="E203" s="8" t="s">
        <v>48</v>
      </c>
      <c r="F203" s="8" t="s">
        <v>270</v>
      </c>
      <c r="G203" s="8" t="s">
        <v>39</v>
      </c>
      <c r="H203" s="8" t="s">
        <v>4972</v>
      </c>
      <c r="I203" s="8" t="s">
        <v>4973</v>
      </c>
      <c r="J203" s="10">
        <v>638</v>
      </c>
      <c r="K203" s="11">
        <v>4.79</v>
      </c>
      <c r="L203" s="11">
        <v>6.55</v>
      </c>
      <c r="M203" s="11">
        <v>4178.8999999999996</v>
      </c>
      <c r="N203" s="11">
        <v>3056.02</v>
      </c>
      <c r="O203" s="11">
        <f>CleanedData[[#This Row],[Total Sales ($)]]-CleanedData[[#This Row],[Total Cost ($)]]</f>
        <v>1122.8799999999997</v>
      </c>
      <c r="P203" s="12">
        <f>CleanedData[[#This Row],[Profit ($)]]/CleanedData[[#This Row],[Total Sales ($)]]</f>
        <v>0.26870229007633584</v>
      </c>
      <c r="Q203" s="8" t="s">
        <v>95</v>
      </c>
      <c r="R203" s="8" t="s">
        <v>32</v>
      </c>
      <c r="S203" s="8" t="b">
        <f>_xlfn.SINGLE(CleanedData[[#This Row],[Delivery Status]])="Late"</f>
        <v>1</v>
      </c>
      <c r="T203" s="10">
        <v>7</v>
      </c>
      <c r="U203" s="8" t="s">
        <v>112</v>
      </c>
      <c r="V203" s="10">
        <v>852</v>
      </c>
      <c r="W203" s="10">
        <v>23</v>
      </c>
      <c r="X203" s="12">
        <v>3.6050156739811899E-2</v>
      </c>
      <c r="Y203" s="8" t="b">
        <f>CleanedData[[#This Row],[Ship Date]]&lt;CleanedData[[#This Row],[Order Date]]</f>
        <v>1</v>
      </c>
      <c r="Z203" s="10">
        <f>YEAR(CleanedData[[#This Row],[Order Date]])</f>
        <v>2023</v>
      </c>
      <c r="AA203" s="8">
        <f>MONTH(CleanedData[[#This Row],[Order Date]])</f>
        <v>9</v>
      </c>
    </row>
    <row r="204" spans="1:27" x14ac:dyDescent="0.35">
      <c r="A204" s="8" t="s">
        <v>881</v>
      </c>
      <c r="B204" s="9">
        <v>45126</v>
      </c>
      <c r="C204" s="9">
        <v>44939</v>
      </c>
      <c r="D204" s="8" t="s">
        <v>882</v>
      </c>
      <c r="E204" s="8" t="s">
        <v>100</v>
      </c>
      <c r="F204" s="8" t="s">
        <v>238</v>
      </c>
      <c r="G204" s="8" t="s">
        <v>39</v>
      </c>
      <c r="H204" s="8" t="s">
        <v>147</v>
      </c>
      <c r="I204" s="8" t="s">
        <v>4978</v>
      </c>
      <c r="J204" s="10">
        <v>279</v>
      </c>
      <c r="K204" s="11">
        <v>333.77</v>
      </c>
      <c r="L204" s="11">
        <v>493.03</v>
      </c>
      <c r="M204" s="11">
        <v>137555.37</v>
      </c>
      <c r="N204" s="11">
        <v>93121.83</v>
      </c>
      <c r="O204" s="11">
        <f>CleanedData[[#This Row],[Total Sales ($)]]-CleanedData[[#This Row],[Total Cost ($)]]</f>
        <v>44433.539999999994</v>
      </c>
      <c r="P204" s="12">
        <f>CleanedData[[#This Row],[Profit ($)]]/CleanedData[[#This Row],[Total Sales ($)]]</f>
        <v>0.3230229397805407</v>
      </c>
      <c r="Q204" s="8" t="s">
        <v>95</v>
      </c>
      <c r="R204" s="8" t="s">
        <v>32</v>
      </c>
      <c r="S204" s="8" t="b">
        <f>_xlfn.SINGLE(CleanedData[[#This Row],[Delivery Status]])="Late"</f>
        <v>1</v>
      </c>
      <c r="T204" s="10">
        <v>13</v>
      </c>
      <c r="U204" s="8" t="s">
        <v>86</v>
      </c>
      <c r="V204" s="10">
        <v>2827</v>
      </c>
      <c r="W204" s="10">
        <v>4</v>
      </c>
      <c r="X204" s="12">
        <v>1.4336917562724E-2</v>
      </c>
      <c r="Y204" s="8" t="b">
        <f>CleanedData[[#This Row],[Ship Date]]&lt;CleanedData[[#This Row],[Order Date]]</f>
        <v>1</v>
      </c>
      <c r="Z204" s="10">
        <f>YEAR(CleanedData[[#This Row],[Order Date]])</f>
        <v>2023</v>
      </c>
      <c r="AA204" s="8">
        <f>MONTH(CleanedData[[#This Row],[Order Date]])</f>
        <v>7</v>
      </c>
    </row>
    <row r="205" spans="1:27" x14ac:dyDescent="0.35">
      <c r="A205" s="8" t="s">
        <v>883</v>
      </c>
      <c r="B205" s="9">
        <v>45088</v>
      </c>
      <c r="C205" s="9">
        <v>45240</v>
      </c>
      <c r="D205" s="8" t="s">
        <v>885</v>
      </c>
      <c r="E205" s="8" t="s">
        <v>26</v>
      </c>
      <c r="F205" s="8" t="s">
        <v>92</v>
      </c>
      <c r="G205" s="8" t="s">
        <v>50</v>
      </c>
      <c r="H205" s="8" t="s">
        <v>107</v>
      </c>
      <c r="I205" s="8" t="s">
        <v>4978</v>
      </c>
      <c r="J205" s="10">
        <v>749</v>
      </c>
      <c r="K205" s="11">
        <v>461.68</v>
      </c>
      <c r="L205" s="11">
        <v>594.97</v>
      </c>
      <c r="M205" s="11">
        <v>445632.53</v>
      </c>
      <c r="N205" s="11">
        <v>345798.32</v>
      </c>
      <c r="O205" s="11">
        <f>CleanedData[[#This Row],[Total Sales ($)]]-CleanedData[[#This Row],[Total Cost ($)]]</f>
        <v>99834.210000000021</v>
      </c>
      <c r="P205" s="12">
        <f>CleanedData[[#This Row],[Profit ($)]]/CleanedData[[#This Row],[Total Sales ($)]]</f>
        <v>0.22402810225725669</v>
      </c>
      <c r="Q205" s="8" t="s">
        <v>95</v>
      </c>
      <c r="R205" s="8" t="s">
        <v>32</v>
      </c>
      <c r="S205" s="8" t="b">
        <f>_xlfn.SINGLE(CleanedData[[#This Row],[Delivery Status]])="Late"</f>
        <v>1</v>
      </c>
      <c r="T205" s="10">
        <v>11</v>
      </c>
      <c r="U205" s="8" t="s">
        <v>33</v>
      </c>
      <c r="V205" s="10">
        <v>48</v>
      </c>
      <c r="W205" s="10">
        <v>21</v>
      </c>
      <c r="X205" s="12">
        <v>2.8037383177569999E-2</v>
      </c>
      <c r="Y205" s="8" t="b">
        <f>CleanedData[[#This Row],[Ship Date]]&lt;CleanedData[[#This Row],[Order Date]]</f>
        <v>0</v>
      </c>
      <c r="Z205" s="10">
        <f>YEAR(CleanedData[[#This Row],[Order Date]])</f>
        <v>2023</v>
      </c>
      <c r="AA205" s="8">
        <f>MONTH(CleanedData[[#This Row],[Order Date]])</f>
        <v>6</v>
      </c>
    </row>
    <row r="206" spans="1:27" x14ac:dyDescent="0.35">
      <c r="A206" s="8" t="s">
        <v>886</v>
      </c>
      <c r="B206" s="9">
        <v>44937</v>
      </c>
      <c r="C206" s="9">
        <v>45013</v>
      </c>
      <c r="D206" s="8" t="s">
        <v>888</v>
      </c>
      <c r="E206" s="8" t="s">
        <v>26</v>
      </c>
      <c r="F206" s="8" t="s">
        <v>4972</v>
      </c>
      <c r="G206" s="8" t="s">
        <v>78</v>
      </c>
      <c r="H206" s="8" t="s">
        <v>178</v>
      </c>
      <c r="I206" s="8" t="s">
        <v>4967</v>
      </c>
      <c r="J206" s="10">
        <v>201</v>
      </c>
      <c r="K206" s="11">
        <v>249.91</v>
      </c>
      <c r="L206" s="11">
        <v>400.53</v>
      </c>
      <c r="M206" s="11">
        <v>80506.53</v>
      </c>
      <c r="N206" s="11">
        <v>50231.91</v>
      </c>
      <c r="O206" s="11">
        <f>CleanedData[[#This Row],[Total Sales ($)]]-CleanedData[[#This Row],[Total Cost ($)]]</f>
        <v>30274.619999999995</v>
      </c>
      <c r="P206" s="12">
        <f>CleanedData[[#This Row],[Profit ($)]]/CleanedData[[#This Row],[Total Sales ($)]]</f>
        <v>0.37605173145582099</v>
      </c>
      <c r="Q206" s="8" t="s">
        <v>95</v>
      </c>
      <c r="R206" s="8" t="s">
        <v>32</v>
      </c>
      <c r="S206" s="8" t="b">
        <f>_xlfn.SINGLE(CleanedData[[#This Row],[Delivery Status]])="Late"</f>
        <v>1</v>
      </c>
      <c r="T206" s="10">
        <v>10</v>
      </c>
      <c r="U206" s="8" t="s">
        <v>33</v>
      </c>
      <c r="V206" s="10">
        <v>795</v>
      </c>
      <c r="W206" s="10">
        <v>6</v>
      </c>
      <c r="X206" s="12">
        <v>2.9850746268656699E-2</v>
      </c>
      <c r="Y206" s="8" t="b">
        <f>CleanedData[[#This Row],[Ship Date]]&lt;CleanedData[[#This Row],[Order Date]]</f>
        <v>0</v>
      </c>
      <c r="Z206" s="10">
        <f>YEAR(CleanedData[[#This Row],[Order Date]])</f>
        <v>2023</v>
      </c>
      <c r="AA206" s="8">
        <f>MONTH(CleanedData[[#This Row],[Order Date]])</f>
        <v>1</v>
      </c>
    </row>
    <row r="207" spans="1:27" x14ac:dyDescent="0.35">
      <c r="A207" s="8" t="s">
        <v>889</v>
      </c>
      <c r="B207" s="9">
        <v>44952</v>
      </c>
      <c r="C207" s="9">
        <v>45182</v>
      </c>
      <c r="D207" s="8" t="s">
        <v>890</v>
      </c>
      <c r="E207" s="8" t="s">
        <v>68</v>
      </c>
      <c r="F207" s="8" t="s">
        <v>276</v>
      </c>
      <c r="G207" s="8" t="s">
        <v>70</v>
      </c>
      <c r="H207" s="8" t="s">
        <v>446</v>
      </c>
      <c r="I207" s="8" t="s">
        <v>4970</v>
      </c>
      <c r="J207" s="10">
        <v>345</v>
      </c>
      <c r="K207" s="11">
        <v>819.05</v>
      </c>
      <c r="L207" s="11">
        <v>1346.71</v>
      </c>
      <c r="M207" s="11">
        <v>464614.95</v>
      </c>
      <c r="N207" s="11">
        <v>282572.25</v>
      </c>
      <c r="O207" s="11">
        <f>CleanedData[[#This Row],[Total Sales ($)]]-CleanedData[[#This Row],[Total Cost ($)]]</f>
        <v>182042.7</v>
      </c>
      <c r="P207" s="12">
        <f>CleanedData[[#This Row],[Profit ($)]]/CleanedData[[#This Row],[Total Sales ($)]]</f>
        <v>0.39181412479301408</v>
      </c>
      <c r="Q207" s="8" t="s">
        <v>52</v>
      </c>
      <c r="R207" s="8" t="s">
        <v>32</v>
      </c>
      <c r="S207" s="8" t="b">
        <f>_xlfn.SINGLE(CleanedData[[#This Row],[Delivery Status]])="Late"</f>
        <v>1</v>
      </c>
      <c r="T207" s="10">
        <v>13</v>
      </c>
      <c r="U207" s="8" t="s">
        <v>33</v>
      </c>
      <c r="V207" s="10">
        <v>2422</v>
      </c>
      <c r="W207" s="10">
        <v>15</v>
      </c>
      <c r="X207" s="12">
        <v>4.3478260869565202E-2</v>
      </c>
      <c r="Y207" s="8" t="b">
        <f>CleanedData[[#This Row],[Ship Date]]&lt;CleanedData[[#This Row],[Order Date]]</f>
        <v>0</v>
      </c>
      <c r="Z207" s="10">
        <f>YEAR(CleanedData[[#This Row],[Order Date]])</f>
        <v>2023</v>
      </c>
      <c r="AA207" s="8">
        <f>MONTH(CleanedData[[#This Row],[Order Date]])</f>
        <v>1</v>
      </c>
    </row>
    <row r="208" spans="1:27" x14ac:dyDescent="0.35">
      <c r="A208" s="8" t="s">
        <v>891</v>
      </c>
      <c r="B208" s="9">
        <v>44949</v>
      </c>
      <c r="C208" s="9">
        <v>45216</v>
      </c>
      <c r="D208" s="8" t="s">
        <v>893</v>
      </c>
      <c r="E208" s="8" t="s">
        <v>100</v>
      </c>
      <c r="F208" s="8" t="s">
        <v>538</v>
      </c>
      <c r="G208" s="8" t="s">
        <v>129</v>
      </c>
      <c r="H208" s="8" t="s">
        <v>704</v>
      </c>
      <c r="I208" s="8" t="s">
        <v>4976</v>
      </c>
      <c r="J208" s="10">
        <v>522</v>
      </c>
      <c r="K208" s="11">
        <v>528.02</v>
      </c>
      <c r="L208" s="11">
        <v>804.87</v>
      </c>
      <c r="M208" s="11">
        <v>420142.14</v>
      </c>
      <c r="N208" s="11">
        <v>275626.44</v>
      </c>
      <c r="O208" s="11">
        <f>CleanedData[[#This Row],[Total Sales ($)]]-CleanedData[[#This Row],[Total Cost ($)]]</f>
        <v>144515.70000000001</v>
      </c>
      <c r="P208" s="12">
        <f>CleanedData[[#This Row],[Profit ($)]]/CleanedData[[#This Row],[Total Sales ($)]]</f>
        <v>0.34396859120106354</v>
      </c>
      <c r="Q208" s="8" t="s">
        <v>31</v>
      </c>
      <c r="R208" s="8" t="s">
        <v>63</v>
      </c>
      <c r="S208" s="8" t="b">
        <f>_xlfn.SINGLE(CleanedData[[#This Row],[Delivery Status]])="Late"</f>
        <v>0</v>
      </c>
      <c r="T208" s="10">
        <v>1</v>
      </c>
      <c r="U208" s="8" t="s">
        <v>158</v>
      </c>
      <c r="V208" s="10">
        <v>1020</v>
      </c>
      <c r="W208" s="10">
        <v>3</v>
      </c>
      <c r="X208" s="12">
        <v>5.7471264367815996E-3</v>
      </c>
      <c r="Y208" s="8" t="b">
        <f>CleanedData[[#This Row],[Ship Date]]&lt;CleanedData[[#This Row],[Order Date]]</f>
        <v>0</v>
      </c>
      <c r="Z208" s="10">
        <f>YEAR(CleanedData[[#This Row],[Order Date]])</f>
        <v>2023</v>
      </c>
      <c r="AA208" s="8">
        <f>MONTH(CleanedData[[#This Row],[Order Date]])</f>
        <v>1</v>
      </c>
    </row>
    <row r="209" spans="1:27" x14ac:dyDescent="0.35">
      <c r="A209" s="8" t="s">
        <v>894</v>
      </c>
      <c r="B209" s="9">
        <v>45261</v>
      </c>
      <c r="C209" s="9">
        <v>45011</v>
      </c>
      <c r="D209" s="8" t="s">
        <v>896</v>
      </c>
      <c r="E209" s="8" t="s">
        <v>100</v>
      </c>
      <c r="F209" s="8" t="s">
        <v>106</v>
      </c>
      <c r="G209" s="8" t="s">
        <v>39</v>
      </c>
      <c r="H209" s="8" t="s">
        <v>527</v>
      </c>
      <c r="I209" s="8" t="s">
        <v>4976</v>
      </c>
      <c r="J209" s="10">
        <v>104</v>
      </c>
      <c r="K209" s="11">
        <v>312.32</v>
      </c>
      <c r="L209" s="11">
        <v>382.31</v>
      </c>
      <c r="M209" s="11">
        <v>39760.239999999998</v>
      </c>
      <c r="N209" s="11">
        <v>32481.279999999999</v>
      </c>
      <c r="O209" s="11">
        <f>CleanedData[[#This Row],[Total Sales ($)]]-CleanedData[[#This Row],[Total Cost ($)]]</f>
        <v>7278.9599999999991</v>
      </c>
      <c r="P209" s="12">
        <f>CleanedData[[#This Row],[Profit ($)]]/CleanedData[[#This Row],[Total Sales ($)]]</f>
        <v>0.1830713295493186</v>
      </c>
      <c r="Q209" s="8" t="s">
        <v>31</v>
      </c>
      <c r="R209" s="8" t="s">
        <v>63</v>
      </c>
      <c r="S209" s="8" t="b">
        <f>_xlfn.SINGLE(CleanedData[[#This Row],[Delivery Status]])="Late"</f>
        <v>0</v>
      </c>
      <c r="T209" s="10">
        <v>2</v>
      </c>
      <c r="U209" s="8" t="s">
        <v>43</v>
      </c>
      <c r="V209" s="10">
        <v>4723</v>
      </c>
      <c r="W209" s="10">
        <v>3</v>
      </c>
      <c r="X209" s="12">
        <v>2.8846153846153799E-2</v>
      </c>
      <c r="Y209" s="8" t="b">
        <f>CleanedData[[#This Row],[Ship Date]]&lt;CleanedData[[#This Row],[Order Date]]</f>
        <v>1</v>
      </c>
      <c r="Z209" s="10">
        <f>YEAR(CleanedData[[#This Row],[Order Date]])</f>
        <v>2023</v>
      </c>
      <c r="AA209" s="8">
        <f>MONTH(CleanedData[[#This Row],[Order Date]])</f>
        <v>12</v>
      </c>
    </row>
    <row r="210" spans="1:27" x14ac:dyDescent="0.35">
      <c r="A210" s="8" t="s">
        <v>897</v>
      </c>
      <c r="B210" s="9">
        <v>45078</v>
      </c>
      <c r="C210" s="9">
        <v>44979</v>
      </c>
      <c r="D210" s="8" t="s">
        <v>900</v>
      </c>
      <c r="E210" s="8" t="s">
        <v>26</v>
      </c>
      <c r="F210" s="8" t="s">
        <v>38</v>
      </c>
      <c r="G210" s="8" t="s">
        <v>93</v>
      </c>
      <c r="H210" s="8" t="s">
        <v>140</v>
      </c>
      <c r="I210" s="8" t="s">
        <v>4973</v>
      </c>
      <c r="J210" s="10">
        <v>122</v>
      </c>
      <c r="K210" s="11">
        <v>178.48</v>
      </c>
      <c r="L210" s="11">
        <v>224.29</v>
      </c>
      <c r="M210" s="11">
        <v>27363.38</v>
      </c>
      <c r="N210" s="11">
        <v>21774.560000000001</v>
      </c>
      <c r="O210" s="11">
        <f>CleanedData[[#This Row],[Total Sales ($)]]-CleanedData[[#This Row],[Total Cost ($)]]</f>
        <v>5588.82</v>
      </c>
      <c r="P210" s="12">
        <f>CleanedData[[#This Row],[Profit ($)]]/CleanedData[[#This Row],[Total Sales ($)]]</f>
        <v>0.2042445048820723</v>
      </c>
      <c r="Q210" s="8" t="s">
        <v>42</v>
      </c>
      <c r="R210" s="8" t="s">
        <v>63</v>
      </c>
      <c r="S210" s="8" t="b">
        <f>_xlfn.SINGLE(CleanedData[[#This Row],[Delivery Status]])="Late"</f>
        <v>0</v>
      </c>
      <c r="T210" s="10">
        <v>3</v>
      </c>
      <c r="U210" s="8" t="s">
        <v>112</v>
      </c>
      <c r="V210" s="10">
        <v>1556</v>
      </c>
      <c r="W210" s="10">
        <v>0</v>
      </c>
      <c r="X210" s="12">
        <v>0</v>
      </c>
      <c r="Y210" s="8" t="b">
        <f>CleanedData[[#This Row],[Ship Date]]&lt;CleanedData[[#This Row],[Order Date]]</f>
        <v>1</v>
      </c>
      <c r="Z210" s="10">
        <f>YEAR(CleanedData[[#This Row],[Order Date]])</f>
        <v>2023</v>
      </c>
      <c r="AA210" s="8">
        <f>MONTH(CleanedData[[#This Row],[Order Date]])</f>
        <v>6</v>
      </c>
    </row>
    <row r="211" spans="1:27" x14ac:dyDescent="0.35">
      <c r="A211" s="8" t="s">
        <v>901</v>
      </c>
      <c r="B211" s="9">
        <v>44988</v>
      </c>
      <c r="C211" s="9">
        <v>45142</v>
      </c>
      <c r="D211" s="8" t="s">
        <v>902</v>
      </c>
      <c r="E211" s="8" t="s">
        <v>48</v>
      </c>
      <c r="F211" s="8" t="s">
        <v>223</v>
      </c>
      <c r="G211" s="8" t="s">
        <v>60</v>
      </c>
      <c r="H211" s="8" t="s">
        <v>164</v>
      </c>
      <c r="I211" s="8" t="s">
        <v>4978</v>
      </c>
      <c r="J211" s="10">
        <v>201</v>
      </c>
      <c r="K211" s="11">
        <v>774.72</v>
      </c>
      <c r="L211" s="11">
        <v>1035.3699999999999</v>
      </c>
      <c r="M211" s="11">
        <v>208109.37</v>
      </c>
      <c r="N211" s="11">
        <v>155718.72</v>
      </c>
      <c r="O211" s="11">
        <f>CleanedData[[#This Row],[Total Sales ($)]]-CleanedData[[#This Row],[Total Cost ($)]]</f>
        <v>52390.649999999994</v>
      </c>
      <c r="P211" s="12">
        <f>CleanedData[[#This Row],[Profit ($)]]/CleanedData[[#This Row],[Total Sales ($)]]</f>
        <v>0.25174575272607858</v>
      </c>
      <c r="Q211" s="8" t="s">
        <v>31</v>
      </c>
      <c r="R211" s="8" t="s">
        <v>32</v>
      </c>
      <c r="S211" s="8" t="b">
        <f>_xlfn.SINGLE(CleanedData[[#This Row],[Delivery Status]])="Late"</f>
        <v>1</v>
      </c>
      <c r="T211" s="10">
        <v>15</v>
      </c>
      <c r="U211" s="8" t="s">
        <v>158</v>
      </c>
      <c r="V211" s="10">
        <v>513</v>
      </c>
      <c r="W211" s="10">
        <v>2</v>
      </c>
      <c r="X211" s="12">
        <v>9.9502487562189001E-3</v>
      </c>
      <c r="Y211" s="8" t="b">
        <f>CleanedData[[#This Row],[Ship Date]]&lt;CleanedData[[#This Row],[Order Date]]</f>
        <v>0</v>
      </c>
      <c r="Z211" s="10">
        <f>YEAR(CleanedData[[#This Row],[Order Date]])</f>
        <v>2023</v>
      </c>
      <c r="AA211" s="8">
        <f>MONTH(CleanedData[[#This Row],[Order Date]])</f>
        <v>3</v>
      </c>
    </row>
    <row r="212" spans="1:27" x14ac:dyDescent="0.35">
      <c r="A212" s="8" t="s">
        <v>903</v>
      </c>
      <c r="B212" s="9">
        <v>45585</v>
      </c>
      <c r="C212" s="9">
        <v>45419</v>
      </c>
      <c r="D212" s="8" t="s">
        <v>905</v>
      </c>
      <c r="E212" s="8" t="s">
        <v>58</v>
      </c>
      <c r="F212" s="8" t="s">
        <v>417</v>
      </c>
      <c r="G212" s="8" t="s">
        <v>28</v>
      </c>
      <c r="H212" s="8" t="s">
        <v>579</v>
      </c>
      <c r="I212" s="8" t="s">
        <v>4979</v>
      </c>
      <c r="J212" s="10">
        <v>273</v>
      </c>
      <c r="K212" s="11">
        <v>1073.43</v>
      </c>
      <c r="L212" s="11">
        <v>1770.64</v>
      </c>
      <c r="M212" s="11">
        <v>483384.72</v>
      </c>
      <c r="N212" s="11">
        <v>293046.39</v>
      </c>
      <c r="O212" s="11">
        <f>CleanedData[[#This Row],[Total Sales ($)]]-CleanedData[[#This Row],[Total Cost ($)]]</f>
        <v>190338.32999999996</v>
      </c>
      <c r="P212" s="12">
        <f>CleanedData[[#This Row],[Profit ($)]]/CleanedData[[#This Row],[Total Sales ($)]]</f>
        <v>0.39376157773460435</v>
      </c>
      <c r="Q212" s="8" t="s">
        <v>42</v>
      </c>
      <c r="R212" s="8" t="s">
        <v>32</v>
      </c>
      <c r="S212" s="8" t="b">
        <f>_xlfn.SINGLE(CleanedData[[#This Row],[Delivery Status]])="Late"</f>
        <v>1</v>
      </c>
      <c r="T212" s="10">
        <v>10</v>
      </c>
      <c r="U212" s="8" t="s">
        <v>43</v>
      </c>
      <c r="V212" s="10">
        <v>3724</v>
      </c>
      <c r="W212" s="10">
        <v>1</v>
      </c>
      <c r="X212" s="12">
        <v>3.6630036630036001E-3</v>
      </c>
      <c r="Y212" s="8" t="b">
        <f>CleanedData[[#This Row],[Ship Date]]&lt;CleanedData[[#This Row],[Order Date]]</f>
        <v>1</v>
      </c>
      <c r="Z212" s="10">
        <f>YEAR(CleanedData[[#This Row],[Order Date]])</f>
        <v>2024</v>
      </c>
      <c r="AA212" s="8">
        <f>MONTH(CleanedData[[#This Row],[Order Date]])</f>
        <v>10</v>
      </c>
    </row>
    <row r="213" spans="1:27" x14ac:dyDescent="0.35">
      <c r="A213" s="8" t="s">
        <v>907</v>
      </c>
      <c r="B213" s="9">
        <v>45159</v>
      </c>
      <c r="C213" s="9">
        <v>45151</v>
      </c>
      <c r="D213" s="8" t="s">
        <v>908</v>
      </c>
      <c r="E213" s="8" t="s">
        <v>58</v>
      </c>
      <c r="F213" s="8" t="s">
        <v>429</v>
      </c>
      <c r="G213" s="8" t="s">
        <v>28</v>
      </c>
      <c r="H213" s="8" t="s">
        <v>29</v>
      </c>
      <c r="I213" s="8" t="s">
        <v>4978</v>
      </c>
      <c r="J213" s="10">
        <v>285</v>
      </c>
      <c r="K213" s="11">
        <v>144.41</v>
      </c>
      <c r="L213" s="11">
        <v>216.21</v>
      </c>
      <c r="M213" s="11">
        <v>61619.85</v>
      </c>
      <c r="N213" s="11">
        <v>41156.85</v>
      </c>
      <c r="O213" s="11">
        <f>CleanedData[[#This Row],[Total Sales ($)]]-CleanedData[[#This Row],[Total Cost ($)]]</f>
        <v>20463</v>
      </c>
      <c r="P213" s="12">
        <f>CleanedData[[#This Row],[Profit ($)]]/CleanedData[[#This Row],[Total Sales ($)]]</f>
        <v>0.33208454743073862</v>
      </c>
      <c r="Q213" s="8" t="s">
        <v>95</v>
      </c>
      <c r="R213" s="8" t="s">
        <v>32</v>
      </c>
      <c r="S213" s="8" t="b">
        <f>_xlfn.SINGLE(CleanedData[[#This Row],[Delivery Status]])="Late"</f>
        <v>1</v>
      </c>
      <c r="T213" s="10">
        <v>11</v>
      </c>
      <c r="U213" s="8" t="s">
        <v>158</v>
      </c>
      <c r="V213" s="10">
        <v>240</v>
      </c>
      <c r="W213" s="10">
        <v>4</v>
      </c>
      <c r="X213" s="12">
        <v>1.4035087719298201E-2</v>
      </c>
      <c r="Y213" s="8" t="b">
        <f>CleanedData[[#This Row],[Ship Date]]&lt;CleanedData[[#This Row],[Order Date]]</f>
        <v>1</v>
      </c>
      <c r="Z213" s="10">
        <f>YEAR(CleanedData[[#This Row],[Order Date]])</f>
        <v>2023</v>
      </c>
      <c r="AA213" s="8">
        <f>MONTH(CleanedData[[#This Row],[Order Date]])</f>
        <v>8</v>
      </c>
    </row>
    <row r="214" spans="1:27" x14ac:dyDescent="0.35">
      <c r="A214" s="8" t="s">
        <v>909</v>
      </c>
      <c r="B214" s="9">
        <v>45253</v>
      </c>
      <c r="C214" s="9">
        <v>45116</v>
      </c>
      <c r="D214" s="8" t="s">
        <v>910</v>
      </c>
      <c r="E214" s="8" t="s">
        <v>48</v>
      </c>
      <c r="F214" s="8" t="s">
        <v>270</v>
      </c>
      <c r="G214" s="8" t="s">
        <v>60</v>
      </c>
      <c r="H214" s="8" t="s">
        <v>834</v>
      </c>
      <c r="I214" s="8" t="s">
        <v>4979</v>
      </c>
      <c r="J214" s="10">
        <v>689</v>
      </c>
      <c r="K214" s="11">
        <v>206.45</v>
      </c>
      <c r="L214" s="11">
        <v>283.52999999999997</v>
      </c>
      <c r="M214" s="11">
        <v>195352.17</v>
      </c>
      <c r="N214" s="11">
        <v>142244.04999999999</v>
      </c>
      <c r="O214" s="11">
        <f>CleanedData[[#This Row],[Total Sales ($)]]-CleanedData[[#This Row],[Total Cost ($)]]</f>
        <v>53108.120000000024</v>
      </c>
      <c r="P214" s="12">
        <f>CleanedData[[#This Row],[Profit ($)]]/CleanedData[[#This Row],[Total Sales ($)]]</f>
        <v>0.27185835714033801</v>
      </c>
      <c r="Q214" s="8" t="s">
        <v>95</v>
      </c>
      <c r="R214" s="8" t="s">
        <v>32</v>
      </c>
      <c r="S214" s="8" t="b">
        <f>_xlfn.SINGLE(CleanedData[[#This Row],[Delivery Status]])="Late"</f>
        <v>1</v>
      </c>
      <c r="T214" s="10">
        <v>7</v>
      </c>
      <c r="U214" s="8" t="s">
        <v>86</v>
      </c>
      <c r="V214" s="10">
        <v>633</v>
      </c>
      <c r="W214" s="10">
        <v>9</v>
      </c>
      <c r="X214" s="12">
        <v>1.30624092888243E-2</v>
      </c>
      <c r="Y214" s="8" t="b">
        <f>CleanedData[[#This Row],[Ship Date]]&lt;CleanedData[[#This Row],[Order Date]]</f>
        <v>1</v>
      </c>
      <c r="Z214" s="10">
        <f>YEAR(CleanedData[[#This Row],[Order Date]])</f>
        <v>2023</v>
      </c>
      <c r="AA214" s="8">
        <f>MONTH(CleanedData[[#This Row],[Order Date]])</f>
        <v>11</v>
      </c>
    </row>
    <row r="215" spans="1:27" x14ac:dyDescent="0.35">
      <c r="A215" s="8" t="s">
        <v>911</v>
      </c>
      <c r="B215" s="9">
        <v>45205</v>
      </c>
      <c r="C215" s="9">
        <v>45172</v>
      </c>
      <c r="D215" s="8" t="s">
        <v>913</v>
      </c>
      <c r="E215" s="8" t="s">
        <v>58</v>
      </c>
      <c r="F215" s="8" t="s">
        <v>122</v>
      </c>
      <c r="G215" s="8" t="s">
        <v>189</v>
      </c>
      <c r="H215" s="8" t="s">
        <v>369</v>
      </c>
      <c r="I215" s="8" t="s">
        <v>4969</v>
      </c>
      <c r="J215" s="10">
        <v>267</v>
      </c>
      <c r="K215" s="11">
        <v>757.17</v>
      </c>
      <c r="L215" s="11">
        <v>1138.99</v>
      </c>
      <c r="M215" s="11">
        <v>304110.33</v>
      </c>
      <c r="N215" s="11">
        <v>202164.39</v>
      </c>
      <c r="O215" s="11">
        <f>CleanedData[[#This Row],[Total Sales ($)]]-CleanedData[[#This Row],[Total Cost ($)]]</f>
        <v>101945.94</v>
      </c>
      <c r="P215" s="12">
        <f>CleanedData[[#This Row],[Profit ($)]]/CleanedData[[#This Row],[Total Sales ($)]]</f>
        <v>0.33522682376491453</v>
      </c>
      <c r="Q215" s="8" t="s">
        <v>31</v>
      </c>
      <c r="R215" s="8" t="s">
        <v>32</v>
      </c>
      <c r="S215" s="8" t="b">
        <f>_xlfn.SINGLE(CleanedData[[#This Row],[Delivery Status]])="Late"</f>
        <v>1</v>
      </c>
      <c r="T215" s="10">
        <v>14</v>
      </c>
      <c r="U215" s="8" t="s">
        <v>43</v>
      </c>
      <c r="V215" s="10">
        <v>3637</v>
      </c>
      <c r="W215" s="10">
        <v>8</v>
      </c>
      <c r="X215" s="12">
        <v>2.9962546816479401E-2</v>
      </c>
      <c r="Y215" s="8" t="b">
        <f>CleanedData[[#This Row],[Ship Date]]&lt;CleanedData[[#This Row],[Order Date]]</f>
        <v>1</v>
      </c>
      <c r="Z215" s="10">
        <f>YEAR(CleanedData[[#This Row],[Order Date]])</f>
        <v>2023</v>
      </c>
      <c r="AA215" s="8">
        <f>MONTH(CleanedData[[#This Row],[Order Date]])</f>
        <v>10</v>
      </c>
    </row>
    <row r="216" spans="1:27" x14ac:dyDescent="0.35">
      <c r="A216" s="8" t="s">
        <v>914</v>
      </c>
      <c r="B216" s="9">
        <v>45566</v>
      </c>
      <c r="C216" s="9">
        <v>45317</v>
      </c>
      <c r="D216" s="8" t="s">
        <v>917</v>
      </c>
      <c r="E216" s="8" t="s">
        <v>100</v>
      </c>
      <c r="F216" s="8" t="s">
        <v>101</v>
      </c>
      <c r="G216" s="8" t="s">
        <v>93</v>
      </c>
      <c r="H216" s="8" t="s">
        <v>302</v>
      </c>
      <c r="I216" s="8" t="s">
        <v>4968</v>
      </c>
      <c r="J216" s="10">
        <v>694</v>
      </c>
      <c r="K216" s="11">
        <v>270.82</v>
      </c>
      <c r="L216" s="11">
        <v>399.84</v>
      </c>
      <c r="M216" s="11">
        <v>277488.96000000002</v>
      </c>
      <c r="N216" s="11">
        <v>187949.08</v>
      </c>
      <c r="O216" s="11">
        <f>CleanedData[[#This Row],[Total Sales ($)]]-CleanedData[[#This Row],[Total Cost ($)]]</f>
        <v>89539.880000000034</v>
      </c>
      <c r="P216" s="12">
        <f>CleanedData[[#This Row],[Profit ($)]]/CleanedData[[#This Row],[Total Sales ($)]]</f>
        <v>0.32267907162865156</v>
      </c>
      <c r="Q216" s="8" t="s">
        <v>42</v>
      </c>
      <c r="R216" s="8" t="s">
        <v>63</v>
      </c>
      <c r="S216" s="8" t="b">
        <f>_xlfn.SINGLE(CleanedData[[#This Row],[Delivery Status]])="Late"</f>
        <v>0</v>
      </c>
      <c r="T216" s="10">
        <v>5</v>
      </c>
      <c r="U216" s="8" t="s">
        <v>86</v>
      </c>
      <c r="V216" s="10">
        <v>3396</v>
      </c>
      <c r="W216" s="10">
        <v>9</v>
      </c>
      <c r="X216" s="12">
        <v>1.29682997118155E-2</v>
      </c>
      <c r="Y216" s="8" t="b">
        <f>CleanedData[[#This Row],[Ship Date]]&lt;CleanedData[[#This Row],[Order Date]]</f>
        <v>1</v>
      </c>
      <c r="Z216" s="10">
        <f>YEAR(CleanedData[[#This Row],[Order Date]])</f>
        <v>2024</v>
      </c>
      <c r="AA216" s="8">
        <f>MONTH(CleanedData[[#This Row],[Order Date]])</f>
        <v>10</v>
      </c>
    </row>
    <row r="217" spans="1:27" x14ac:dyDescent="0.35">
      <c r="A217" s="8" t="s">
        <v>918</v>
      </c>
      <c r="B217" s="9">
        <v>45248</v>
      </c>
      <c r="C217" s="9">
        <v>45017</v>
      </c>
      <c r="D217" s="8" t="s">
        <v>920</v>
      </c>
      <c r="E217" s="8" t="s">
        <v>100</v>
      </c>
      <c r="F217" s="8" t="s">
        <v>330</v>
      </c>
      <c r="G217" s="8" t="s">
        <v>39</v>
      </c>
      <c r="H217" s="8" t="s">
        <v>147</v>
      </c>
      <c r="I217" s="8" t="s">
        <v>4970</v>
      </c>
      <c r="J217" s="10">
        <v>314</v>
      </c>
      <c r="K217" s="11">
        <v>345.35</v>
      </c>
      <c r="L217" s="11">
        <v>526.87</v>
      </c>
      <c r="M217" s="11">
        <v>165437.18</v>
      </c>
      <c r="N217" s="11">
        <v>108439.9</v>
      </c>
      <c r="O217" s="11">
        <f>CleanedData[[#This Row],[Total Sales ($)]]-CleanedData[[#This Row],[Total Cost ($)]]</f>
        <v>56997.279999999999</v>
      </c>
      <c r="P217" s="12">
        <f>CleanedData[[#This Row],[Profit ($)]]/CleanedData[[#This Row],[Total Sales ($)]]</f>
        <v>0.34452521494865906</v>
      </c>
      <c r="Q217" s="8" t="s">
        <v>95</v>
      </c>
      <c r="R217" s="8" t="s">
        <v>63</v>
      </c>
      <c r="S217" s="8" t="b">
        <f>_xlfn.SINGLE(CleanedData[[#This Row],[Delivery Status]])="Late"</f>
        <v>0</v>
      </c>
      <c r="T217" s="10">
        <v>2</v>
      </c>
      <c r="U217" s="8" t="s">
        <v>33</v>
      </c>
      <c r="V217" s="10">
        <v>3074</v>
      </c>
      <c r="W217" s="10">
        <v>8</v>
      </c>
      <c r="X217" s="12">
        <v>2.54777070063694E-2</v>
      </c>
      <c r="Y217" s="8" t="b">
        <f>CleanedData[[#This Row],[Ship Date]]&lt;CleanedData[[#This Row],[Order Date]]</f>
        <v>1</v>
      </c>
      <c r="Z217" s="10">
        <f>YEAR(CleanedData[[#This Row],[Order Date]])</f>
        <v>2023</v>
      </c>
      <c r="AA217" s="8">
        <f>MONTH(CleanedData[[#This Row],[Order Date]])</f>
        <v>11</v>
      </c>
    </row>
    <row r="218" spans="1:27" x14ac:dyDescent="0.35">
      <c r="A218" s="8" t="s">
        <v>921</v>
      </c>
      <c r="B218" s="9">
        <v>45232</v>
      </c>
      <c r="C218" s="9">
        <v>44987</v>
      </c>
      <c r="D218" s="8" t="s">
        <v>922</v>
      </c>
      <c r="E218" s="8" t="s">
        <v>48</v>
      </c>
      <c r="F218" s="8" t="s">
        <v>281</v>
      </c>
      <c r="G218" s="8" t="s">
        <v>39</v>
      </c>
      <c r="H218" s="8" t="s">
        <v>477</v>
      </c>
      <c r="I218" s="8" t="s">
        <v>4970</v>
      </c>
      <c r="J218" s="10">
        <v>200</v>
      </c>
      <c r="K218" s="11">
        <v>454.32</v>
      </c>
      <c r="L218" s="11">
        <v>628.66</v>
      </c>
      <c r="M218" s="11">
        <v>125732</v>
      </c>
      <c r="N218" s="11">
        <v>90864</v>
      </c>
      <c r="O218" s="11">
        <f>CleanedData[[#This Row],[Total Sales ($)]]-CleanedData[[#This Row],[Total Cost ($)]]</f>
        <v>34868</v>
      </c>
      <c r="P218" s="12">
        <f>CleanedData[[#This Row],[Profit ($)]]/CleanedData[[#This Row],[Total Sales ($)]]</f>
        <v>0.27732001399802753</v>
      </c>
      <c r="Q218" s="8" t="s">
        <v>31</v>
      </c>
      <c r="R218" s="8" t="s">
        <v>63</v>
      </c>
      <c r="S218" s="8" t="b">
        <f>_xlfn.SINGLE(CleanedData[[#This Row],[Delivery Status]])="Late"</f>
        <v>0</v>
      </c>
      <c r="T218" s="10">
        <v>3</v>
      </c>
      <c r="U218" s="8" t="s">
        <v>53</v>
      </c>
      <c r="V218" s="10">
        <v>4745</v>
      </c>
      <c r="W218" s="10">
        <v>10</v>
      </c>
      <c r="X218" s="12">
        <v>0.05</v>
      </c>
      <c r="Y218" s="8" t="b">
        <f>CleanedData[[#This Row],[Ship Date]]&lt;CleanedData[[#This Row],[Order Date]]</f>
        <v>1</v>
      </c>
      <c r="Z218" s="10">
        <f>YEAR(CleanedData[[#This Row],[Order Date]])</f>
        <v>2023</v>
      </c>
      <c r="AA218" s="8">
        <f>MONTH(CleanedData[[#This Row],[Order Date]])</f>
        <v>11</v>
      </c>
    </row>
    <row r="219" spans="1:27" x14ac:dyDescent="0.35">
      <c r="A219" s="8" t="s">
        <v>923</v>
      </c>
      <c r="B219" s="9">
        <v>45166</v>
      </c>
      <c r="C219" s="9">
        <v>45132</v>
      </c>
      <c r="D219" s="8" t="s">
        <v>924</v>
      </c>
      <c r="E219" s="8" t="s">
        <v>26</v>
      </c>
      <c r="F219" s="8" t="s">
        <v>27</v>
      </c>
      <c r="G219" s="8" t="s">
        <v>50</v>
      </c>
      <c r="H219" s="8" t="s">
        <v>173</v>
      </c>
      <c r="I219" s="8" t="s">
        <v>4975</v>
      </c>
      <c r="J219" s="10">
        <v>783</v>
      </c>
      <c r="K219" s="11">
        <v>1178.77</v>
      </c>
      <c r="L219" s="11">
        <v>1856.45</v>
      </c>
      <c r="M219" s="11">
        <v>1453600.35</v>
      </c>
      <c r="N219" s="11">
        <v>922976.91</v>
      </c>
      <c r="O219" s="11">
        <f>CleanedData[[#This Row],[Total Sales ($)]]-CleanedData[[#This Row],[Total Cost ($)]]</f>
        <v>530623.44000000006</v>
      </c>
      <c r="P219" s="12">
        <f>CleanedData[[#This Row],[Profit ($)]]/CleanedData[[#This Row],[Total Sales ($)]]</f>
        <v>0.36504080368445152</v>
      </c>
      <c r="Q219" s="8" t="s">
        <v>42</v>
      </c>
      <c r="R219" s="8" t="s">
        <v>32</v>
      </c>
      <c r="S219" s="8" t="b">
        <f>_xlfn.SINGLE(CleanedData[[#This Row],[Delivery Status]])="Late"</f>
        <v>1</v>
      </c>
      <c r="T219" s="10">
        <v>10</v>
      </c>
      <c r="U219" s="8" t="s">
        <v>112</v>
      </c>
      <c r="V219" s="10">
        <v>4809</v>
      </c>
      <c r="W219" s="10">
        <v>28</v>
      </c>
      <c r="X219" s="12">
        <v>3.5759897828863303E-2</v>
      </c>
      <c r="Y219" s="8" t="b">
        <f>CleanedData[[#This Row],[Ship Date]]&lt;CleanedData[[#This Row],[Order Date]]</f>
        <v>1</v>
      </c>
      <c r="Z219" s="10">
        <f>YEAR(CleanedData[[#This Row],[Order Date]])</f>
        <v>2023</v>
      </c>
      <c r="AA219" s="8">
        <f>MONTH(CleanedData[[#This Row],[Order Date]])</f>
        <v>8</v>
      </c>
    </row>
    <row r="220" spans="1:27" x14ac:dyDescent="0.35">
      <c r="A220" s="8" t="s">
        <v>925</v>
      </c>
      <c r="B220" s="9">
        <v>45233</v>
      </c>
      <c r="C220" s="9">
        <v>45149</v>
      </c>
      <c r="D220" s="8" t="s">
        <v>927</v>
      </c>
      <c r="E220" s="8" t="s">
        <v>26</v>
      </c>
      <c r="F220" s="8" t="s">
        <v>77</v>
      </c>
      <c r="G220" s="8" t="s">
        <v>129</v>
      </c>
      <c r="H220" s="8" t="s">
        <v>811</v>
      </c>
      <c r="I220" s="8" t="s">
        <v>4973</v>
      </c>
      <c r="J220" s="10">
        <v>570</v>
      </c>
      <c r="K220" s="11">
        <v>1123.54</v>
      </c>
      <c r="L220" s="11">
        <v>1642.12</v>
      </c>
      <c r="M220" s="11">
        <v>936008.4</v>
      </c>
      <c r="N220" s="11">
        <v>640417.80000000005</v>
      </c>
      <c r="O220" s="11">
        <f>CleanedData[[#This Row],[Total Sales ($)]]-CleanedData[[#This Row],[Total Cost ($)]]</f>
        <v>295590.59999999998</v>
      </c>
      <c r="P220" s="12">
        <f>CleanedData[[#This Row],[Profit ($)]]/CleanedData[[#This Row],[Total Sales ($)]]</f>
        <v>0.31579908898253473</v>
      </c>
      <c r="Q220" s="8" t="s">
        <v>52</v>
      </c>
      <c r="R220" s="8" t="s">
        <v>32</v>
      </c>
      <c r="S220" s="8" t="b">
        <f>_xlfn.SINGLE(CleanedData[[#This Row],[Delivery Status]])="Late"</f>
        <v>1</v>
      </c>
      <c r="T220" s="10">
        <v>15</v>
      </c>
      <c r="U220" s="8" t="s">
        <v>33</v>
      </c>
      <c r="V220" s="10">
        <v>1462</v>
      </c>
      <c r="W220" s="10">
        <v>1</v>
      </c>
      <c r="X220" s="12">
        <v>1.7543859649122001E-3</v>
      </c>
      <c r="Y220" s="8" t="b">
        <f>CleanedData[[#This Row],[Ship Date]]&lt;CleanedData[[#This Row],[Order Date]]</f>
        <v>1</v>
      </c>
      <c r="Z220" s="10">
        <f>YEAR(CleanedData[[#This Row],[Order Date]])</f>
        <v>2023</v>
      </c>
      <c r="AA220" s="8">
        <f>MONTH(CleanedData[[#This Row],[Order Date]])</f>
        <v>11</v>
      </c>
    </row>
    <row r="221" spans="1:27" x14ac:dyDescent="0.35">
      <c r="A221" s="8" t="s">
        <v>928</v>
      </c>
      <c r="B221" s="9">
        <v>45133</v>
      </c>
      <c r="C221" s="9">
        <v>44988</v>
      </c>
      <c r="D221" s="8" t="s">
        <v>930</v>
      </c>
      <c r="E221" s="8" t="s">
        <v>100</v>
      </c>
      <c r="F221" s="8" t="s">
        <v>106</v>
      </c>
      <c r="G221" s="8" t="s">
        <v>60</v>
      </c>
      <c r="H221" s="8" t="s">
        <v>229</v>
      </c>
      <c r="I221" s="8" t="s">
        <v>4974</v>
      </c>
      <c r="J221" s="10">
        <v>365</v>
      </c>
      <c r="K221" s="11">
        <v>370.53</v>
      </c>
      <c r="L221" s="11">
        <v>503.97</v>
      </c>
      <c r="M221" s="11">
        <v>183949.05</v>
      </c>
      <c r="N221" s="11">
        <v>135243.45000000001</v>
      </c>
      <c r="O221" s="11">
        <f>CleanedData[[#This Row],[Total Sales ($)]]-CleanedData[[#This Row],[Total Cost ($)]]</f>
        <v>48705.599999999977</v>
      </c>
      <c r="P221" s="12">
        <f>CleanedData[[#This Row],[Profit ($)]]/CleanedData[[#This Row],[Total Sales ($)]]</f>
        <v>0.26477766533722236</v>
      </c>
      <c r="Q221" s="8" t="s">
        <v>31</v>
      </c>
      <c r="R221" s="8" t="s">
        <v>63</v>
      </c>
      <c r="S221" s="8" t="b">
        <f>_xlfn.SINGLE(CleanedData[[#This Row],[Delivery Status]])="Late"</f>
        <v>0</v>
      </c>
      <c r="T221" s="10">
        <v>3</v>
      </c>
      <c r="U221" s="8" t="s">
        <v>33</v>
      </c>
      <c r="V221" s="10">
        <v>3157</v>
      </c>
      <c r="W221" s="10">
        <v>5</v>
      </c>
      <c r="X221" s="12">
        <v>1.3698630136986301E-2</v>
      </c>
      <c r="Y221" s="8" t="b">
        <f>CleanedData[[#This Row],[Ship Date]]&lt;CleanedData[[#This Row],[Order Date]]</f>
        <v>1</v>
      </c>
      <c r="Z221" s="10">
        <f>YEAR(CleanedData[[#This Row],[Order Date]])</f>
        <v>2023</v>
      </c>
      <c r="AA221" s="8">
        <f>MONTH(CleanedData[[#This Row],[Order Date]])</f>
        <v>7</v>
      </c>
    </row>
    <row r="222" spans="1:27" x14ac:dyDescent="0.35">
      <c r="A222" s="8" t="s">
        <v>931</v>
      </c>
      <c r="B222" s="9">
        <v>45147</v>
      </c>
      <c r="C222" s="9">
        <v>44929</v>
      </c>
      <c r="D222" s="8" t="s">
        <v>933</v>
      </c>
      <c r="E222" s="8" t="s">
        <v>100</v>
      </c>
      <c r="F222" s="8" t="s">
        <v>106</v>
      </c>
      <c r="G222" s="8" t="s">
        <v>189</v>
      </c>
      <c r="H222" s="8" t="s">
        <v>365</v>
      </c>
      <c r="I222" s="8" t="s">
        <v>4977</v>
      </c>
      <c r="J222" s="10">
        <v>755</v>
      </c>
      <c r="K222" s="11">
        <v>551.30999999999995</v>
      </c>
      <c r="L222" s="11">
        <v>643.64</v>
      </c>
      <c r="M222" s="11">
        <v>485948.2</v>
      </c>
      <c r="N222" s="11">
        <v>416239.05</v>
      </c>
      <c r="O222" s="11">
        <f>CleanedData[[#This Row],[Total Sales ($)]]-CleanedData[[#This Row],[Total Cost ($)]]</f>
        <v>69709.150000000023</v>
      </c>
      <c r="P222" s="12">
        <f>CleanedData[[#This Row],[Profit ($)]]/CleanedData[[#This Row],[Total Sales ($)]]</f>
        <v>0.14344975452116093</v>
      </c>
      <c r="Q222" s="8" t="s">
        <v>42</v>
      </c>
      <c r="R222" s="8" t="s">
        <v>63</v>
      </c>
      <c r="S222" s="8" t="b">
        <f>_xlfn.SINGLE(CleanedData[[#This Row],[Delivery Status]])="Late"</f>
        <v>0</v>
      </c>
      <c r="T222" s="10">
        <v>2</v>
      </c>
      <c r="U222" s="8" t="s">
        <v>112</v>
      </c>
      <c r="V222" s="10">
        <v>3440</v>
      </c>
      <c r="W222" s="10"/>
      <c r="X222" s="12"/>
      <c r="Y222" s="8" t="b">
        <f>CleanedData[[#This Row],[Ship Date]]&lt;CleanedData[[#This Row],[Order Date]]</f>
        <v>1</v>
      </c>
      <c r="Z222" s="10">
        <f>YEAR(CleanedData[[#This Row],[Order Date]])</f>
        <v>2023</v>
      </c>
      <c r="AA222" s="8">
        <f>MONTH(CleanedData[[#This Row],[Order Date]])</f>
        <v>8</v>
      </c>
    </row>
    <row r="223" spans="1:27" x14ac:dyDescent="0.35">
      <c r="A223" s="8" t="s">
        <v>934</v>
      </c>
      <c r="B223" s="9">
        <v>45248</v>
      </c>
      <c r="C223" s="9">
        <v>44968</v>
      </c>
      <c r="D223" s="8" t="s">
        <v>935</v>
      </c>
      <c r="E223" s="8" t="s">
        <v>58</v>
      </c>
      <c r="F223" s="8" t="s">
        <v>122</v>
      </c>
      <c r="G223" s="8" t="s">
        <v>50</v>
      </c>
      <c r="H223" s="8" t="s">
        <v>135</v>
      </c>
      <c r="I223" s="8" t="s">
        <v>4975</v>
      </c>
      <c r="J223" s="10">
        <v>133</v>
      </c>
      <c r="K223" s="11">
        <v>780.08</v>
      </c>
      <c r="L223" s="11">
        <v>874.43</v>
      </c>
      <c r="M223" s="11">
        <v>116299.19</v>
      </c>
      <c r="N223" s="11">
        <v>103750.64</v>
      </c>
      <c r="O223" s="11">
        <f>CleanedData[[#This Row],[Total Sales ($)]]-CleanedData[[#This Row],[Total Cost ($)]]</f>
        <v>12548.550000000003</v>
      </c>
      <c r="P223" s="12">
        <f>CleanedData[[#This Row],[Profit ($)]]/CleanedData[[#This Row],[Total Sales ($)]]</f>
        <v>0.10789885982868842</v>
      </c>
      <c r="Q223" s="8" t="s">
        <v>52</v>
      </c>
      <c r="R223" s="8" t="s">
        <v>32</v>
      </c>
      <c r="S223" s="8" t="b">
        <f>_xlfn.SINGLE(CleanedData[[#This Row],[Delivery Status]])="Late"</f>
        <v>1</v>
      </c>
      <c r="T223" s="10">
        <v>6</v>
      </c>
      <c r="U223" s="8" t="s">
        <v>86</v>
      </c>
      <c r="V223" s="10">
        <v>2361</v>
      </c>
      <c r="W223" s="10">
        <v>5</v>
      </c>
      <c r="X223" s="12">
        <v>3.7593984962405999E-2</v>
      </c>
      <c r="Y223" s="8" t="b">
        <f>CleanedData[[#This Row],[Ship Date]]&lt;CleanedData[[#This Row],[Order Date]]</f>
        <v>1</v>
      </c>
      <c r="Z223" s="10">
        <f>YEAR(CleanedData[[#This Row],[Order Date]])</f>
        <v>2023</v>
      </c>
      <c r="AA223" s="8">
        <f>MONTH(CleanedData[[#This Row],[Order Date]])</f>
        <v>11</v>
      </c>
    </row>
    <row r="224" spans="1:27" x14ac:dyDescent="0.35">
      <c r="A224" s="8" t="s">
        <v>936</v>
      </c>
      <c r="B224" s="9">
        <v>45294</v>
      </c>
      <c r="C224" s="9">
        <v>45328</v>
      </c>
      <c r="D224" s="8" t="s">
        <v>939</v>
      </c>
      <c r="E224" s="8" t="s">
        <v>68</v>
      </c>
      <c r="F224" s="8" t="s">
        <v>276</v>
      </c>
      <c r="G224" s="8" t="s">
        <v>39</v>
      </c>
      <c r="H224" s="8" t="s">
        <v>412</v>
      </c>
      <c r="I224" s="8" t="s">
        <v>4972</v>
      </c>
      <c r="J224" s="10">
        <v>483</v>
      </c>
      <c r="K224" s="11">
        <v>942.53</v>
      </c>
      <c r="L224" s="11">
        <v>1158.1500000000001</v>
      </c>
      <c r="M224" s="11">
        <v>559386.44999999995</v>
      </c>
      <c r="N224" s="11">
        <v>455241.99</v>
      </c>
      <c r="O224" s="11">
        <f>CleanedData[[#This Row],[Total Sales ($)]]-CleanedData[[#This Row],[Total Cost ($)]]</f>
        <v>104144.45999999996</v>
      </c>
      <c r="P224" s="12">
        <f>CleanedData[[#This Row],[Profit ($)]]/CleanedData[[#This Row],[Total Sales ($)]]</f>
        <v>0.18617622933126102</v>
      </c>
      <c r="Q224" s="8" t="s">
        <v>95</v>
      </c>
      <c r="R224" s="8" t="s">
        <v>63</v>
      </c>
      <c r="S224" s="8" t="b">
        <f>_xlfn.SINGLE(CleanedData[[#This Row],[Delivery Status]])="Late"</f>
        <v>0</v>
      </c>
      <c r="T224" s="10">
        <v>3</v>
      </c>
      <c r="U224" s="8" t="s">
        <v>158</v>
      </c>
      <c r="V224" s="10">
        <v>1621</v>
      </c>
      <c r="W224" s="10">
        <v>8</v>
      </c>
      <c r="X224" s="12">
        <v>1.6563146997929601E-2</v>
      </c>
      <c r="Y224" s="8" t="b">
        <f>CleanedData[[#This Row],[Ship Date]]&lt;CleanedData[[#This Row],[Order Date]]</f>
        <v>0</v>
      </c>
      <c r="Z224" s="10">
        <f>YEAR(CleanedData[[#This Row],[Order Date]])</f>
        <v>2024</v>
      </c>
      <c r="AA224" s="8">
        <f>MONTH(CleanedData[[#This Row],[Order Date]])</f>
        <v>1</v>
      </c>
    </row>
    <row r="225" spans="1:27" x14ac:dyDescent="0.35">
      <c r="A225" s="8" t="s">
        <v>940</v>
      </c>
      <c r="B225" s="9">
        <v>45272</v>
      </c>
      <c r="C225" s="9">
        <v>45125</v>
      </c>
      <c r="D225" s="8" t="s">
        <v>942</v>
      </c>
      <c r="E225" s="8" t="s">
        <v>48</v>
      </c>
      <c r="F225" s="8" t="s">
        <v>270</v>
      </c>
      <c r="G225" s="8" t="s">
        <v>189</v>
      </c>
      <c r="H225" s="8" t="s">
        <v>190</v>
      </c>
      <c r="I225" s="8" t="s">
        <v>4970</v>
      </c>
      <c r="J225" s="10">
        <v>716</v>
      </c>
      <c r="K225" s="11">
        <v>457.35</v>
      </c>
      <c r="L225" s="11">
        <v>530.51</v>
      </c>
      <c r="M225" s="11">
        <v>379845.16</v>
      </c>
      <c r="N225" s="11">
        <v>327462.59999999998</v>
      </c>
      <c r="O225" s="11">
        <f>CleanedData[[#This Row],[Total Sales ($)]]-CleanedData[[#This Row],[Total Cost ($)]]</f>
        <v>52382.559999999998</v>
      </c>
      <c r="P225" s="12">
        <f>CleanedData[[#This Row],[Profit ($)]]/CleanedData[[#This Row],[Total Sales ($)]]</f>
        <v>0.13790503477785526</v>
      </c>
      <c r="Q225" s="8" t="s">
        <v>95</v>
      </c>
      <c r="R225" s="8" t="s">
        <v>63</v>
      </c>
      <c r="S225" s="8" t="b">
        <f>_xlfn.SINGLE(CleanedData[[#This Row],[Delivery Status]])="Late"</f>
        <v>0</v>
      </c>
      <c r="T225" s="10">
        <v>4</v>
      </c>
      <c r="U225" s="8" t="s">
        <v>86</v>
      </c>
      <c r="V225" s="10">
        <v>4258</v>
      </c>
      <c r="W225" s="10">
        <v>34</v>
      </c>
      <c r="X225" s="12">
        <v>4.7486033519553002E-2</v>
      </c>
      <c r="Y225" s="8" t="b">
        <f>CleanedData[[#This Row],[Ship Date]]&lt;CleanedData[[#This Row],[Order Date]]</f>
        <v>1</v>
      </c>
      <c r="Z225" s="10">
        <f>YEAR(CleanedData[[#This Row],[Order Date]])</f>
        <v>2023</v>
      </c>
      <c r="AA225" s="8">
        <f>MONTH(CleanedData[[#This Row],[Order Date]])</f>
        <v>12</v>
      </c>
    </row>
    <row r="226" spans="1:27" x14ac:dyDescent="0.35">
      <c r="A226" s="8" t="s">
        <v>943</v>
      </c>
      <c r="B226" s="9">
        <v>45100</v>
      </c>
      <c r="C226" s="9">
        <v>45171</v>
      </c>
      <c r="D226" s="8" t="s">
        <v>945</v>
      </c>
      <c r="E226" s="8" t="s">
        <v>48</v>
      </c>
      <c r="F226" s="8" t="s">
        <v>270</v>
      </c>
      <c r="G226" s="8" t="s">
        <v>189</v>
      </c>
      <c r="H226" s="8" t="s">
        <v>369</v>
      </c>
      <c r="I226" s="8" t="s">
        <v>4976</v>
      </c>
      <c r="J226" s="10">
        <v>463</v>
      </c>
      <c r="K226" s="11">
        <v>831.8</v>
      </c>
      <c r="L226" s="11">
        <v>1255.68</v>
      </c>
      <c r="M226" s="11">
        <v>581379.83999999997</v>
      </c>
      <c r="N226" s="11">
        <v>385123.4</v>
      </c>
      <c r="O226" s="11">
        <f>CleanedData[[#This Row],[Total Sales ($)]]-CleanedData[[#This Row],[Total Cost ($)]]</f>
        <v>196256.43999999994</v>
      </c>
      <c r="P226" s="12">
        <f>CleanedData[[#This Row],[Profit ($)]]/CleanedData[[#This Row],[Total Sales ($)]]</f>
        <v>0.33757008154943929</v>
      </c>
      <c r="Q226" s="8" t="s">
        <v>42</v>
      </c>
      <c r="R226" s="8" t="s">
        <v>63</v>
      </c>
      <c r="S226" s="8" t="b">
        <f>_xlfn.SINGLE(CleanedData[[#This Row],[Delivery Status]])="Late"</f>
        <v>0</v>
      </c>
      <c r="T226" s="10">
        <v>3</v>
      </c>
      <c r="U226" s="8" t="s">
        <v>86</v>
      </c>
      <c r="V226" s="10">
        <v>741</v>
      </c>
      <c r="W226" s="10">
        <v>23</v>
      </c>
      <c r="X226" s="12">
        <v>4.9676025917926497E-2</v>
      </c>
      <c r="Y226" s="8" t="b">
        <f>CleanedData[[#This Row],[Ship Date]]&lt;CleanedData[[#This Row],[Order Date]]</f>
        <v>0</v>
      </c>
      <c r="Z226" s="10">
        <f>YEAR(CleanedData[[#This Row],[Order Date]])</f>
        <v>2023</v>
      </c>
      <c r="AA226" s="8">
        <f>MONTH(CleanedData[[#This Row],[Order Date]])</f>
        <v>6</v>
      </c>
    </row>
    <row r="227" spans="1:27" x14ac:dyDescent="0.35">
      <c r="A227" s="8" t="s">
        <v>946</v>
      </c>
      <c r="B227" s="9">
        <v>45142</v>
      </c>
      <c r="C227" s="9">
        <v>44944</v>
      </c>
      <c r="D227" s="8" t="s">
        <v>947</v>
      </c>
      <c r="E227" s="8" t="s">
        <v>48</v>
      </c>
      <c r="F227" s="8" t="s">
        <v>223</v>
      </c>
      <c r="G227" s="8" t="s">
        <v>217</v>
      </c>
      <c r="H227" s="8" t="s">
        <v>335</v>
      </c>
      <c r="I227" s="8" t="s">
        <v>4970</v>
      </c>
      <c r="J227" s="10">
        <v>391</v>
      </c>
      <c r="K227" s="11">
        <v>1022.19</v>
      </c>
      <c r="L227" s="11">
        <v>1181.4000000000001</v>
      </c>
      <c r="M227" s="11">
        <v>461927.4</v>
      </c>
      <c r="N227" s="11">
        <v>399676.29</v>
      </c>
      <c r="O227" s="11">
        <f>CleanedData[[#This Row],[Total Sales ($)]]-CleanedData[[#This Row],[Total Cost ($)]]</f>
        <v>62251.110000000044</v>
      </c>
      <c r="P227" s="12">
        <f>CleanedData[[#This Row],[Profit ($)]]/CleanedData[[#This Row],[Total Sales ($)]]</f>
        <v>0.13476383951244295</v>
      </c>
      <c r="Q227" s="8" t="s">
        <v>52</v>
      </c>
      <c r="R227" s="8" t="s">
        <v>63</v>
      </c>
      <c r="S227" s="8" t="b">
        <f>_xlfn.SINGLE(CleanedData[[#This Row],[Delivery Status]])="Late"</f>
        <v>0</v>
      </c>
      <c r="T227" s="10">
        <v>1</v>
      </c>
      <c r="U227" s="8" t="s">
        <v>53</v>
      </c>
      <c r="V227" s="10">
        <v>564</v>
      </c>
      <c r="W227" s="10"/>
      <c r="X227" s="12"/>
      <c r="Y227" s="8" t="b">
        <f>CleanedData[[#This Row],[Ship Date]]&lt;CleanedData[[#This Row],[Order Date]]</f>
        <v>1</v>
      </c>
      <c r="Z227" s="10">
        <f>YEAR(CleanedData[[#This Row],[Order Date]])</f>
        <v>2023</v>
      </c>
      <c r="AA227" s="8">
        <f>MONTH(CleanedData[[#This Row],[Order Date]])</f>
        <v>8</v>
      </c>
    </row>
    <row r="228" spans="1:27" x14ac:dyDescent="0.35">
      <c r="A228" s="8" t="s">
        <v>948</v>
      </c>
      <c r="B228" s="9">
        <v>45267</v>
      </c>
      <c r="C228" s="9">
        <v>44978</v>
      </c>
      <c r="D228" s="8" t="s">
        <v>951</v>
      </c>
      <c r="E228" s="8" t="s">
        <v>58</v>
      </c>
      <c r="F228" s="8" t="s">
        <v>417</v>
      </c>
      <c r="G228" s="8" t="s">
        <v>78</v>
      </c>
      <c r="H228" s="8" t="s">
        <v>123</v>
      </c>
      <c r="I228" s="8" t="s">
        <v>4967</v>
      </c>
      <c r="J228" s="10">
        <v>647</v>
      </c>
      <c r="K228" s="11">
        <v>214.45</v>
      </c>
      <c r="L228" s="11">
        <v>313.51</v>
      </c>
      <c r="M228" s="11">
        <v>202840.97</v>
      </c>
      <c r="N228" s="11">
        <v>138749.15</v>
      </c>
      <c r="O228" s="11">
        <f>CleanedData[[#This Row],[Total Sales ($)]]-CleanedData[[#This Row],[Total Cost ($)]]</f>
        <v>64091.820000000007</v>
      </c>
      <c r="P228" s="12">
        <f>CleanedData[[#This Row],[Profit ($)]]/CleanedData[[#This Row],[Total Sales ($)]]</f>
        <v>0.31597078243118243</v>
      </c>
      <c r="Q228" s="8" t="s">
        <v>95</v>
      </c>
      <c r="R228" s="8" t="s">
        <v>32</v>
      </c>
      <c r="S228" s="8" t="b">
        <f>_xlfn.SINGLE(CleanedData[[#This Row],[Delivery Status]])="Late"</f>
        <v>1</v>
      </c>
      <c r="T228" s="10">
        <v>6</v>
      </c>
      <c r="U228" s="8" t="s">
        <v>86</v>
      </c>
      <c r="V228" s="10">
        <v>1410</v>
      </c>
      <c r="W228" s="10">
        <v>7</v>
      </c>
      <c r="X228" s="12">
        <v>1.0819165378670699E-2</v>
      </c>
      <c r="Y228" s="8" t="b">
        <f>CleanedData[[#This Row],[Ship Date]]&lt;CleanedData[[#This Row],[Order Date]]</f>
        <v>1</v>
      </c>
      <c r="Z228" s="10">
        <f>YEAR(CleanedData[[#This Row],[Order Date]])</f>
        <v>2023</v>
      </c>
      <c r="AA228" s="8">
        <f>MONTH(CleanedData[[#This Row],[Order Date]])</f>
        <v>12</v>
      </c>
    </row>
    <row r="229" spans="1:27" x14ac:dyDescent="0.35">
      <c r="A229" s="8" t="s">
        <v>952</v>
      </c>
      <c r="B229" s="9">
        <v>45135</v>
      </c>
      <c r="C229" s="9">
        <v>44932</v>
      </c>
      <c r="D229" s="8" t="s">
        <v>955</v>
      </c>
      <c r="E229" s="8" t="s">
        <v>68</v>
      </c>
      <c r="F229" s="8" t="s">
        <v>249</v>
      </c>
      <c r="G229" s="8" t="s">
        <v>50</v>
      </c>
      <c r="H229" s="8" t="s">
        <v>117</v>
      </c>
      <c r="I229" s="8" t="s">
        <v>4969</v>
      </c>
      <c r="J229" s="10">
        <v>369</v>
      </c>
      <c r="K229" s="11">
        <v>124.21</v>
      </c>
      <c r="L229" s="11">
        <v>165.43</v>
      </c>
      <c r="M229" s="11">
        <v>61043.67</v>
      </c>
      <c r="N229" s="11">
        <v>45833.49</v>
      </c>
      <c r="O229" s="11">
        <f>CleanedData[[#This Row],[Total Sales ($)]]-CleanedData[[#This Row],[Total Cost ($)]]</f>
        <v>15210.18</v>
      </c>
      <c r="P229" s="12">
        <f>CleanedData[[#This Row],[Profit ($)]]/CleanedData[[#This Row],[Total Sales ($)]]</f>
        <v>0.24916883273892282</v>
      </c>
      <c r="Q229" s="8" t="s">
        <v>95</v>
      </c>
      <c r="R229" s="8" t="s">
        <v>32</v>
      </c>
      <c r="S229" s="8" t="b">
        <f>_xlfn.SINGLE(CleanedData[[#This Row],[Delivery Status]])="Late"</f>
        <v>1</v>
      </c>
      <c r="T229" s="10">
        <v>-1</v>
      </c>
      <c r="U229" s="8" t="s">
        <v>158</v>
      </c>
      <c r="V229" s="10">
        <v>3477</v>
      </c>
      <c r="W229" s="10">
        <v>13</v>
      </c>
      <c r="X229" s="12">
        <v>3.5230352303522998E-2</v>
      </c>
      <c r="Y229" s="8" t="b">
        <f>CleanedData[[#This Row],[Ship Date]]&lt;CleanedData[[#This Row],[Order Date]]</f>
        <v>1</v>
      </c>
      <c r="Z229" s="10">
        <f>YEAR(CleanedData[[#This Row],[Order Date]])</f>
        <v>2023</v>
      </c>
      <c r="AA229" s="8">
        <f>MONTH(CleanedData[[#This Row],[Order Date]])</f>
        <v>7</v>
      </c>
    </row>
    <row r="230" spans="1:27" x14ac:dyDescent="0.35">
      <c r="A230" s="8" t="s">
        <v>957</v>
      </c>
      <c r="B230" s="9">
        <v>45201</v>
      </c>
      <c r="C230" s="9">
        <v>44933</v>
      </c>
      <c r="D230" s="8" t="s">
        <v>958</v>
      </c>
      <c r="E230" s="8" t="s">
        <v>68</v>
      </c>
      <c r="F230" s="8" t="s">
        <v>276</v>
      </c>
      <c r="G230" s="8" t="s">
        <v>78</v>
      </c>
      <c r="H230" s="8" t="s">
        <v>572</v>
      </c>
      <c r="I230" s="8" t="s">
        <v>4974</v>
      </c>
      <c r="J230" s="10">
        <v>371</v>
      </c>
      <c r="K230" s="11">
        <v>1150.4000000000001</v>
      </c>
      <c r="L230" s="11">
        <v>1572.88</v>
      </c>
      <c r="M230" s="11">
        <v>583538.48</v>
      </c>
      <c r="N230" s="11">
        <v>426798.4</v>
      </c>
      <c r="O230" s="11">
        <f>CleanedData[[#This Row],[Total Sales ($)]]-CleanedData[[#This Row],[Total Cost ($)]]</f>
        <v>156740.07999999996</v>
      </c>
      <c r="P230" s="12">
        <f>CleanedData[[#This Row],[Profit ($)]]/CleanedData[[#This Row],[Total Sales ($)]]</f>
        <v>0.26860281776104972</v>
      </c>
      <c r="Q230" s="8" t="s">
        <v>42</v>
      </c>
      <c r="R230" s="8" t="s">
        <v>32</v>
      </c>
      <c r="S230" s="8" t="b">
        <f>_xlfn.SINGLE(CleanedData[[#This Row],[Delivery Status]])="Late"</f>
        <v>1</v>
      </c>
      <c r="T230" s="10">
        <v>14</v>
      </c>
      <c r="U230" s="8" t="s">
        <v>86</v>
      </c>
      <c r="V230" s="10">
        <v>384</v>
      </c>
      <c r="W230" s="10">
        <v>17</v>
      </c>
      <c r="X230" s="12">
        <v>4.5822102425875998E-2</v>
      </c>
      <c r="Y230" s="8" t="b">
        <f>CleanedData[[#This Row],[Ship Date]]&lt;CleanedData[[#This Row],[Order Date]]</f>
        <v>1</v>
      </c>
      <c r="Z230" s="10">
        <f>YEAR(CleanedData[[#This Row],[Order Date]])</f>
        <v>2023</v>
      </c>
      <c r="AA230" s="8">
        <f>MONTH(CleanedData[[#This Row],[Order Date]])</f>
        <v>10</v>
      </c>
    </row>
    <row r="231" spans="1:27" x14ac:dyDescent="0.35">
      <c r="A231" s="8" t="s">
        <v>960</v>
      </c>
      <c r="B231" s="9">
        <v>45275</v>
      </c>
      <c r="C231" s="9">
        <v>44934</v>
      </c>
      <c r="D231" s="8" t="s">
        <v>961</v>
      </c>
      <c r="E231" s="8" t="s">
        <v>58</v>
      </c>
      <c r="F231" s="8" t="s">
        <v>122</v>
      </c>
      <c r="G231" s="8" t="s">
        <v>39</v>
      </c>
      <c r="H231" s="8" t="s">
        <v>147</v>
      </c>
      <c r="I231" s="8" t="s">
        <v>4971</v>
      </c>
      <c r="J231" s="10">
        <v>371</v>
      </c>
      <c r="K231" s="11">
        <v>28.5</v>
      </c>
      <c r="L231" s="11">
        <v>33.07</v>
      </c>
      <c r="M231" s="11">
        <v>12268.97</v>
      </c>
      <c r="N231" s="11">
        <v>10573.5</v>
      </c>
      <c r="O231" s="11">
        <f>CleanedData[[#This Row],[Total Sales ($)]]-CleanedData[[#This Row],[Total Cost ($)]]</f>
        <v>1695.4699999999993</v>
      </c>
      <c r="P231" s="12">
        <f>CleanedData[[#This Row],[Profit ($)]]/CleanedData[[#This Row],[Total Sales ($)]]</f>
        <v>0.1381917145449047</v>
      </c>
      <c r="Q231" s="8" t="s">
        <v>52</v>
      </c>
      <c r="R231" s="8" t="s">
        <v>32</v>
      </c>
      <c r="S231" s="8" t="b">
        <f>_xlfn.SINGLE(CleanedData[[#This Row],[Delivery Status]])="Late"</f>
        <v>1</v>
      </c>
      <c r="T231" s="10">
        <v>7</v>
      </c>
      <c r="U231" s="8" t="s">
        <v>112</v>
      </c>
      <c r="V231" s="10">
        <v>2620</v>
      </c>
      <c r="W231" s="10">
        <v>7</v>
      </c>
      <c r="X231" s="12">
        <v>1.8867924528301799E-2</v>
      </c>
      <c r="Y231" s="8" t="b">
        <f>CleanedData[[#This Row],[Ship Date]]&lt;CleanedData[[#This Row],[Order Date]]</f>
        <v>1</v>
      </c>
      <c r="Z231" s="10">
        <f>YEAR(CleanedData[[#This Row],[Order Date]])</f>
        <v>2023</v>
      </c>
      <c r="AA231" s="8">
        <f>MONTH(CleanedData[[#This Row],[Order Date]])</f>
        <v>12</v>
      </c>
    </row>
    <row r="232" spans="1:27" x14ac:dyDescent="0.35">
      <c r="A232" s="8" t="s">
        <v>962</v>
      </c>
      <c r="B232" s="9">
        <v>45226</v>
      </c>
      <c r="C232" s="9">
        <v>45133</v>
      </c>
      <c r="D232" s="8" t="s">
        <v>963</v>
      </c>
      <c r="E232" s="8" t="s">
        <v>48</v>
      </c>
      <c r="F232" s="8" t="s">
        <v>49</v>
      </c>
      <c r="G232" s="8" t="s">
        <v>78</v>
      </c>
      <c r="H232" s="8" t="s">
        <v>79</v>
      </c>
      <c r="I232" s="8" t="s">
        <v>4978</v>
      </c>
      <c r="J232" s="10">
        <v>102</v>
      </c>
      <c r="K232" s="11">
        <v>905.28</v>
      </c>
      <c r="L232" s="11">
        <v>1274.6600000000001</v>
      </c>
      <c r="M232" s="11">
        <v>130015.32</v>
      </c>
      <c r="N232" s="11">
        <v>92338.559999999998</v>
      </c>
      <c r="O232" s="11">
        <f>CleanedData[[#This Row],[Total Sales ($)]]-CleanedData[[#This Row],[Total Cost ($)]]</f>
        <v>37676.760000000009</v>
      </c>
      <c r="P232" s="12">
        <f>CleanedData[[#This Row],[Profit ($)]]/CleanedData[[#This Row],[Total Sales ($)]]</f>
        <v>0.28978708047636237</v>
      </c>
      <c r="Q232" s="8" t="s">
        <v>95</v>
      </c>
      <c r="R232" s="8" t="s">
        <v>63</v>
      </c>
      <c r="S232" s="8" t="b">
        <f>_xlfn.SINGLE(CleanedData[[#This Row],[Delivery Status]])="Late"</f>
        <v>0</v>
      </c>
      <c r="T232" s="10">
        <v>5</v>
      </c>
      <c r="U232" s="8" t="s">
        <v>33</v>
      </c>
      <c r="V232" s="10">
        <v>185</v>
      </c>
      <c r="W232" s="10">
        <v>4</v>
      </c>
      <c r="X232" s="12">
        <v>3.9215686274509803E-2</v>
      </c>
      <c r="Y232" s="8" t="b">
        <f>CleanedData[[#This Row],[Ship Date]]&lt;CleanedData[[#This Row],[Order Date]]</f>
        <v>1</v>
      </c>
      <c r="Z232" s="10">
        <f>YEAR(CleanedData[[#This Row],[Order Date]])</f>
        <v>2023</v>
      </c>
      <c r="AA232" s="8">
        <f>MONTH(CleanedData[[#This Row],[Order Date]])</f>
        <v>10</v>
      </c>
    </row>
    <row r="233" spans="1:27" x14ac:dyDescent="0.35">
      <c r="A233" s="8" t="s">
        <v>964</v>
      </c>
      <c r="B233" s="9">
        <v>45244</v>
      </c>
      <c r="C233" s="9">
        <v>45216</v>
      </c>
      <c r="D233" s="8" t="s">
        <v>966</v>
      </c>
      <c r="E233" s="8" t="s">
        <v>100</v>
      </c>
      <c r="F233" s="8" t="s">
        <v>538</v>
      </c>
      <c r="G233" s="8" t="s">
        <v>28</v>
      </c>
      <c r="H233" s="8" t="s">
        <v>29</v>
      </c>
      <c r="I233" s="8" t="s">
        <v>4968</v>
      </c>
      <c r="J233" s="10">
        <v>454</v>
      </c>
      <c r="K233" s="11">
        <v>352.7</v>
      </c>
      <c r="L233" s="11">
        <v>447.9</v>
      </c>
      <c r="M233" s="11">
        <v>203346.6</v>
      </c>
      <c r="N233" s="11">
        <v>160125.79999999999</v>
      </c>
      <c r="O233" s="11">
        <f>CleanedData[[#This Row],[Total Sales ($)]]-CleanedData[[#This Row],[Total Cost ($)]]</f>
        <v>43220.800000000017</v>
      </c>
      <c r="P233" s="12">
        <f>CleanedData[[#This Row],[Profit ($)]]/CleanedData[[#This Row],[Total Sales ($)]]</f>
        <v>0.21254744362580941</v>
      </c>
      <c r="Q233" s="8" t="s">
        <v>31</v>
      </c>
      <c r="R233" s="8" t="s">
        <v>32</v>
      </c>
      <c r="S233" s="8" t="b">
        <f>_xlfn.SINGLE(CleanedData[[#This Row],[Delivery Status]])="Late"</f>
        <v>1</v>
      </c>
      <c r="T233" s="10">
        <v>7</v>
      </c>
      <c r="U233" s="8" t="s">
        <v>112</v>
      </c>
      <c r="V233" s="10">
        <v>3350</v>
      </c>
      <c r="W233" s="10">
        <v>4</v>
      </c>
      <c r="X233" s="12">
        <v>8.8105726872245993E-3</v>
      </c>
      <c r="Y233" s="8" t="b">
        <f>CleanedData[[#This Row],[Ship Date]]&lt;CleanedData[[#This Row],[Order Date]]</f>
        <v>1</v>
      </c>
      <c r="Z233" s="10">
        <f>YEAR(CleanedData[[#This Row],[Order Date]])</f>
        <v>2023</v>
      </c>
      <c r="AA233" s="8">
        <f>MONTH(CleanedData[[#This Row],[Order Date]])</f>
        <v>11</v>
      </c>
    </row>
    <row r="234" spans="1:27" x14ac:dyDescent="0.35">
      <c r="A234" s="8" t="s">
        <v>967</v>
      </c>
      <c r="B234" s="9">
        <v>44933</v>
      </c>
      <c r="C234" s="9">
        <v>44935</v>
      </c>
      <c r="D234" s="8" t="s">
        <v>968</v>
      </c>
      <c r="E234" s="8" t="s">
        <v>48</v>
      </c>
      <c r="F234" s="8" t="s">
        <v>969</v>
      </c>
      <c r="G234" s="8" t="s">
        <v>78</v>
      </c>
      <c r="H234" s="8" t="s">
        <v>79</v>
      </c>
      <c r="I234" s="8" t="s">
        <v>4977</v>
      </c>
      <c r="J234" s="10">
        <v>272</v>
      </c>
      <c r="K234" s="11">
        <v>893.24</v>
      </c>
      <c r="L234" s="11">
        <v>1280.1199999999999</v>
      </c>
      <c r="M234" s="11">
        <v>348192.64</v>
      </c>
      <c r="N234" s="11">
        <v>242961.28</v>
      </c>
      <c r="O234" s="11">
        <f>CleanedData[[#This Row],[Total Sales ($)]]-CleanedData[[#This Row],[Total Cost ($)]]</f>
        <v>105231.36000000002</v>
      </c>
      <c r="P234" s="12">
        <f>CleanedData[[#This Row],[Profit ($)]]/CleanedData[[#This Row],[Total Sales ($)]]</f>
        <v>0.30222166671874517</v>
      </c>
      <c r="Q234" s="8" t="s">
        <v>52</v>
      </c>
      <c r="R234" s="8" t="s">
        <v>63</v>
      </c>
      <c r="S234" s="8" t="b">
        <f>_xlfn.SINGLE(CleanedData[[#This Row],[Delivery Status]])="Late"</f>
        <v>0</v>
      </c>
      <c r="T234" s="10">
        <v>3</v>
      </c>
      <c r="U234" s="8" t="s">
        <v>86</v>
      </c>
      <c r="V234" s="10">
        <v>114</v>
      </c>
      <c r="W234" s="10">
        <v>6</v>
      </c>
      <c r="X234" s="12">
        <v>2.20588235294117E-2</v>
      </c>
      <c r="Y234" s="8" t="b">
        <f>CleanedData[[#This Row],[Ship Date]]&lt;CleanedData[[#This Row],[Order Date]]</f>
        <v>0</v>
      </c>
      <c r="Z234" s="10">
        <f>YEAR(CleanedData[[#This Row],[Order Date]])</f>
        <v>2023</v>
      </c>
      <c r="AA234" s="8">
        <f>MONTH(CleanedData[[#This Row],[Order Date]])</f>
        <v>1</v>
      </c>
    </row>
    <row r="235" spans="1:27" x14ac:dyDescent="0.35">
      <c r="A235" s="8" t="s">
        <v>970</v>
      </c>
      <c r="B235" s="9">
        <v>45133</v>
      </c>
      <c r="C235" s="9">
        <v>45071</v>
      </c>
      <c r="D235" s="8" t="s">
        <v>971</v>
      </c>
      <c r="E235" s="8" t="s">
        <v>68</v>
      </c>
      <c r="F235" s="8" t="s">
        <v>146</v>
      </c>
      <c r="G235" s="8" t="s">
        <v>217</v>
      </c>
      <c r="H235" s="8" t="s">
        <v>340</v>
      </c>
      <c r="I235" s="8" t="s">
        <v>4970</v>
      </c>
      <c r="J235" s="10">
        <v>350</v>
      </c>
      <c r="K235" s="11">
        <v>294.93</v>
      </c>
      <c r="L235" s="11">
        <v>333.04</v>
      </c>
      <c r="M235" s="11">
        <v>116564</v>
      </c>
      <c r="N235" s="11">
        <v>103225.5</v>
      </c>
      <c r="O235" s="11">
        <f>CleanedData[[#This Row],[Total Sales ($)]]-CleanedData[[#This Row],[Total Cost ($)]]</f>
        <v>13338.5</v>
      </c>
      <c r="P235" s="12">
        <f>CleanedData[[#This Row],[Profit ($)]]/CleanedData[[#This Row],[Total Sales ($)]]</f>
        <v>0.11443069901513332</v>
      </c>
      <c r="Q235" s="8" t="s">
        <v>52</v>
      </c>
      <c r="R235" s="8" t="s">
        <v>63</v>
      </c>
      <c r="S235" s="8" t="b">
        <f>_xlfn.SINGLE(CleanedData[[#This Row],[Delivery Status]])="Late"</f>
        <v>0</v>
      </c>
      <c r="T235" s="10">
        <v>2</v>
      </c>
      <c r="U235" s="8" t="s">
        <v>33</v>
      </c>
      <c r="V235" s="10">
        <v>4765</v>
      </c>
      <c r="W235" s="10">
        <v>1</v>
      </c>
      <c r="X235" s="12">
        <v>2.8571428571427999E-3</v>
      </c>
      <c r="Y235" s="8" t="b">
        <f>CleanedData[[#This Row],[Ship Date]]&lt;CleanedData[[#This Row],[Order Date]]</f>
        <v>1</v>
      </c>
      <c r="Z235" s="10">
        <f>YEAR(CleanedData[[#This Row],[Order Date]])</f>
        <v>2023</v>
      </c>
      <c r="AA235" s="8">
        <f>MONTH(CleanedData[[#This Row],[Order Date]])</f>
        <v>7</v>
      </c>
    </row>
    <row r="236" spans="1:27" x14ac:dyDescent="0.35">
      <c r="A236" s="8" t="s">
        <v>972</v>
      </c>
      <c r="B236" s="9">
        <v>45100</v>
      </c>
      <c r="C236" s="9">
        <v>44975</v>
      </c>
      <c r="D236" s="8" t="s">
        <v>974</v>
      </c>
      <c r="E236" s="8" t="s">
        <v>58</v>
      </c>
      <c r="F236" s="8" t="s">
        <v>417</v>
      </c>
      <c r="G236" s="8" t="s">
        <v>129</v>
      </c>
      <c r="H236" s="8" t="s">
        <v>168</v>
      </c>
      <c r="I236" s="8" t="s">
        <v>4971</v>
      </c>
      <c r="J236" s="10">
        <v>705</v>
      </c>
      <c r="K236" s="11">
        <v>570.96</v>
      </c>
      <c r="L236" s="11">
        <v>872.62</v>
      </c>
      <c r="M236" s="11">
        <v>615197.1</v>
      </c>
      <c r="N236" s="11">
        <v>402526.8</v>
      </c>
      <c r="O236" s="11">
        <f>CleanedData[[#This Row],[Total Sales ($)]]-CleanedData[[#This Row],[Total Cost ($)]]</f>
        <v>212670.3</v>
      </c>
      <c r="P236" s="12">
        <f>CleanedData[[#This Row],[Profit ($)]]/CleanedData[[#This Row],[Total Sales ($)]]</f>
        <v>0.34569457495817196</v>
      </c>
      <c r="Q236" s="8" t="s">
        <v>95</v>
      </c>
      <c r="R236" s="8" t="s">
        <v>63</v>
      </c>
      <c r="S236" s="8" t="b">
        <f>_xlfn.SINGLE(CleanedData[[#This Row],[Delivery Status]])="Late"</f>
        <v>0</v>
      </c>
      <c r="T236" s="10">
        <v>3</v>
      </c>
      <c r="U236" s="8" t="s">
        <v>112</v>
      </c>
      <c r="V236" s="10">
        <v>3304</v>
      </c>
      <c r="W236" s="10">
        <v>34</v>
      </c>
      <c r="X236" s="12">
        <v>4.8226950354609902E-2</v>
      </c>
      <c r="Y236" s="8" t="b">
        <f>CleanedData[[#This Row],[Ship Date]]&lt;CleanedData[[#This Row],[Order Date]]</f>
        <v>1</v>
      </c>
      <c r="Z236" s="10">
        <f>YEAR(CleanedData[[#This Row],[Order Date]])</f>
        <v>2023</v>
      </c>
      <c r="AA236" s="8">
        <f>MONTH(CleanedData[[#This Row],[Order Date]])</f>
        <v>6</v>
      </c>
    </row>
    <row r="237" spans="1:27" x14ac:dyDescent="0.35">
      <c r="A237" s="8" t="s">
        <v>975</v>
      </c>
      <c r="B237" s="9">
        <v>45166</v>
      </c>
      <c r="C237" s="9">
        <v>45287</v>
      </c>
      <c r="D237" s="8" t="s">
        <v>976</v>
      </c>
      <c r="E237" s="8" t="s">
        <v>100</v>
      </c>
      <c r="F237" s="8" t="s">
        <v>238</v>
      </c>
      <c r="G237" s="8" t="s">
        <v>217</v>
      </c>
      <c r="H237" s="8" t="s">
        <v>494</v>
      </c>
      <c r="I237" s="8" t="s">
        <v>4979</v>
      </c>
      <c r="J237" s="10">
        <v>334</v>
      </c>
      <c r="K237" s="11">
        <v>609.75</v>
      </c>
      <c r="L237" s="11">
        <v>889.48</v>
      </c>
      <c r="M237" s="11">
        <v>297086.32</v>
      </c>
      <c r="N237" s="11">
        <v>203656.5</v>
      </c>
      <c r="O237" s="11">
        <f>CleanedData[[#This Row],[Total Sales ($)]]-CleanedData[[#This Row],[Total Cost ($)]]</f>
        <v>93429.82</v>
      </c>
      <c r="P237" s="12">
        <f>CleanedData[[#This Row],[Profit ($)]]/CleanedData[[#This Row],[Total Sales ($)]]</f>
        <v>0.31448711606781493</v>
      </c>
      <c r="Q237" s="8" t="s">
        <v>31</v>
      </c>
      <c r="R237" s="8" t="s">
        <v>32</v>
      </c>
      <c r="S237" s="8" t="b">
        <f>_xlfn.SINGLE(CleanedData[[#This Row],[Delivery Status]])="Late"</f>
        <v>1</v>
      </c>
      <c r="T237" s="10">
        <v>11</v>
      </c>
      <c r="U237" s="8" t="s">
        <v>33</v>
      </c>
      <c r="V237" s="10">
        <v>1213</v>
      </c>
      <c r="W237" s="10">
        <v>0</v>
      </c>
      <c r="X237" s="12">
        <v>0</v>
      </c>
      <c r="Y237" s="8" t="b">
        <f>CleanedData[[#This Row],[Ship Date]]&lt;CleanedData[[#This Row],[Order Date]]</f>
        <v>0</v>
      </c>
      <c r="Z237" s="10">
        <f>YEAR(CleanedData[[#This Row],[Order Date]])</f>
        <v>2023</v>
      </c>
      <c r="AA237" s="8">
        <f>MONTH(CleanedData[[#This Row],[Order Date]])</f>
        <v>8</v>
      </c>
    </row>
    <row r="238" spans="1:27" x14ac:dyDescent="0.35">
      <c r="A238" s="8" t="s">
        <v>977</v>
      </c>
      <c r="B238" s="9">
        <v>45100</v>
      </c>
      <c r="C238" s="9">
        <v>44958</v>
      </c>
      <c r="D238" s="8" t="s">
        <v>979</v>
      </c>
      <c r="E238" s="8" t="s">
        <v>26</v>
      </c>
      <c r="F238" s="8" t="s">
        <v>77</v>
      </c>
      <c r="G238" s="8" t="s">
        <v>78</v>
      </c>
      <c r="H238" s="8" t="s">
        <v>628</v>
      </c>
      <c r="I238" s="8" t="s">
        <v>4967</v>
      </c>
      <c r="J238" s="10">
        <v>452</v>
      </c>
      <c r="K238" s="11">
        <v>1096.05</v>
      </c>
      <c r="L238" s="11">
        <v>1369.93</v>
      </c>
      <c r="M238" s="11">
        <v>619208.36</v>
      </c>
      <c r="N238" s="11">
        <v>495414.6</v>
      </c>
      <c r="O238" s="11">
        <f>CleanedData[[#This Row],[Total Sales ($)]]-CleanedData[[#This Row],[Total Cost ($)]]</f>
        <v>123793.76000000001</v>
      </c>
      <c r="P238" s="12">
        <f>CleanedData[[#This Row],[Profit ($)]]/CleanedData[[#This Row],[Total Sales ($)]]</f>
        <v>0.19992262378369699</v>
      </c>
      <c r="Q238" s="8" t="s">
        <v>31</v>
      </c>
      <c r="R238" s="8" t="s">
        <v>32</v>
      </c>
      <c r="S238" s="8" t="b">
        <f>_xlfn.SINGLE(CleanedData[[#This Row],[Delivery Status]])="Late"</f>
        <v>1</v>
      </c>
      <c r="T238" s="10">
        <v>7</v>
      </c>
      <c r="U238" s="8" t="s">
        <v>158</v>
      </c>
      <c r="V238" s="10">
        <v>3211</v>
      </c>
      <c r="W238" s="10">
        <v>1</v>
      </c>
      <c r="X238" s="12">
        <v>2.2123893805309001E-3</v>
      </c>
      <c r="Y238" s="8" t="b">
        <f>CleanedData[[#This Row],[Ship Date]]&lt;CleanedData[[#This Row],[Order Date]]</f>
        <v>1</v>
      </c>
      <c r="Z238" s="10">
        <f>YEAR(CleanedData[[#This Row],[Order Date]])</f>
        <v>2023</v>
      </c>
      <c r="AA238" s="8">
        <f>MONTH(CleanedData[[#This Row],[Order Date]])</f>
        <v>6</v>
      </c>
    </row>
    <row r="239" spans="1:27" x14ac:dyDescent="0.35">
      <c r="A239" s="8" t="s">
        <v>981</v>
      </c>
      <c r="B239" s="9">
        <v>45162</v>
      </c>
      <c r="C239" s="9">
        <v>45236</v>
      </c>
      <c r="D239" s="8" t="s">
        <v>983</v>
      </c>
      <c r="E239" s="8" t="s">
        <v>26</v>
      </c>
      <c r="F239" s="8" t="s">
        <v>27</v>
      </c>
      <c r="G239" s="8" t="s">
        <v>70</v>
      </c>
      <c r="H239" s="8" t="s">
        <v>239</v>
      </c>
      <c r="I239" s="8" t="s">
        <v>4975</v>
      </c>
      <c r="J239" s="10">
        <v>152</v>
      </c>
      <c r="K239" s="11">
        <v>1107.8399999999999</v>
      </c>
      <c r="L239" s="11">
        <v>1307.47</v>
      </c>
      <c r="M239" s="11">
        <v>198735.44</v>
      </c>
      <c r="N239" s="11">
        <v>168391.67999999999</v>
      </c>
      <c r="O239" s="11">
        <f>CleanedData[[#This Row],[Total Sales ($)]]-CleanedData[[#This Row],[Total Cost ($)]]</f>
        <v>30343.760000000009</v>
      </c>
      <c r="P239" s="12">
        <f>CleanedData[[#This Row],[Profit ($)]]/CleanedData[[#This Row],[Total Sales ($)]]</f>
        <v>0.15268419160669083</v>
      </c>
      <c r="Q239" s="8" t="s">
        <v>42</v>
      </c>
      <c r="R239" s="8" t="s">
        <v>32</v>
      </c>
      <c r="S239" s="8" t="b">
        <f>_xlfn.SINGLE(CleanedData[[#This Row],[Delivery Status]])="Late"</f>
        <v>1</v>
      </c>
      <c r="T239" s="10">
        <v>7</v>
      </c>
      <c r="U239" s="8" t="s">
        <v>33</v>
      </c>
      <c r="V239" s="10">
        <v>4759</v>
      </c>
      <c r="W239" s="10">
        <v>7</v>
      </c>
      <c r="X239" s="12">
        <v>4.6052631578947303E-2</v>
      </c>
      <c r="Y239" s="8" t="b">
        <f>CleanedData[[#This Row],[Ship Date]]&lt;CleanedData[[#This Row],[Order Date]]</f>
        <v>0</v>
      </c>
      <c r="Z239" s="10">
        <f>YEAR(CleanedData[[#This Row],[Order Date]])</f>
        <v>2023</v>
      </c>
      <c r="AA239" s="8">
        <f>MONTH(CleanedData[[#This Row],[Order Date]])</f>
        <v>8</v>
      </c>
    </row>
    <row r="240" spans="1:27" x14ac:dyDescent="0.35">
      <c r="A240" s="8" t="s">
        <v>984</v>
      </c>
      <c r="B240" s="9">
        <v>44928</v>
      </c>
      <c r="C240" s="9">
        <v>45001</v>
      </c>
      <c r="D240" s="8" t="s">
        <v>985</v>
      </c>
      <c r="E240" s="8" t="s">
        <v>26</v>
      </c>
      <c r="F240" s="8" t="s">
        <v>92</v>
      </c>
      <c r="G240" s="8" t="s">
        <v>93</v>
      </c>
      <c r="H240" s="8" t="s">
        <v>140</v>
      </c>
      <c r="I240" s="8" t="s">
        <v>4970</v>
      </c>
      <c r="J240" s="10">
        <v>101</v>
      </c>
      <c r="K240" s="11">
        <v>437.77</v>
      </c>
      <c r="L240" s="11">
        <v>573.22</v>
      </c>
      <c r="M240" s="11">
        <v>57895.22</v>
      </c>
      <c r="N240" s="11">
        <v>44214.77</v>
      </c>
      <c r="O240" s="11">
        <f>CleanedData[[#This Row],[Total Sales ($)]]-CleanedData[[#This Row],[Total Cost ($)]]</f>
        <v>13680.450000000004</v>
      </c>
      <c r="P240" s="12">
        <f>CleanedData[[#This Row],[Profit ($)]]/CleanedData[[#This Row],[Total Sales ($)]]</f>
        <v>0.23629670981473089</v>
      </c>
      <c r="Q240" s="8" t="s">
        <v>52</v>
      </c>
      <c r="R240" s="8" t="s">
        <v>63</v>
      </c>
      <c r="S240" s="8" t="b">
        <f>_xlfn.SINGLE(CleanedData[[#This Row],[Delivery Status]])="Late"</f>
        <v>0</v>
      </c>
      <c r="T240" s="10">
        <v>1</v>
      </c>
      <c r="U240" s="8" t="s">
        <v>158</v>
      </c>
      <c r="V240" s="10">
        <v>2924</v>
      </c>
      <c r="W240" s="10"/>
      <c r="X240" s="12"/>
      <c r="Y240" s="8" t="b">
        <f>CleanedData[[#This Row],[Ship Date]]&lt;CleanedData[[#This Row],[Order Date]]</f>
        <v>0</v>
      </c>
      <c r="Z240" s="10">
        <f>YEAR(CleanedData[[#This Row],[Order Date]])</f>
        <v>2023</v>
      </c>
      <c r="AA240" s="8">
        <f>MONTH(CleanedData[[#This Row],[Order Date]])</f>
        <v>1</v>
      </c>
    </row>
    <row r="241" spans="1:27" x14ac:dyDescent="0.35">
      <c r="A241" s="8" t="s">
        <v>986</v>
      </c>
      <c r="B241" s="9">
        <v>45563</v>
      </c>
      <c r="C241" s="9">
        <v>45330</v>
      </c>
      <c r="D241" s="8" t="s">
        <v>989</v>
      </c>
      <c r="E241" s="8" t="s">
        <v>100</v>
      </c>
      <c r="F241" s="8" t="s">
        <v>330</v>
      </c>
      <c r="G241" s="8" t="s">
        <v>50</v>
      </c>
      <c r="H241" s="8" t="s">
        <v>173</v>
      </c>
      <c r="I241" s="8" t="s">
        <v>4967</v>
      </c>
      <c r="J241" s="10">
        <v>444</v>
      </c>
      <c r="K241" s="11">
        <v>117.97</v>
      </c>
      <c r="L241" s="11">
        <v>149.57</v>
      </c>
      <c r="M241" s="11">
        <v>66409.08</v>
      </c>
      <c r="N241" s="11">
        <v>52378.68</v>
      </c>
      <c r="O241" s="11">
        <f>CleanedData[[#This Row],[Total Sales ($)]]-CleanedData[[#This Row],[Total Cost ($)]]</f>
        <v>14030.400000000001</v>
      </c>
      <c r="P241" s="12">
        <f>CleanedData[[#This Row],[Profit ($)]]/CleanedData[[#This Row],[Total Sales ($)]]</f>
        <v>0.21127231396670457</v>
      </c>
      <c r="Q241" s="8" t="s">
        <v>31</v>
      </c>
      <c r="R241" s="8" t="s">
        <v>32</v>
      </c>
      <c r="S241" s="8" t="b">
        <f>_xlfn.SINGLE(CleanedData[[#This Row],[Delivery Status]])="Late"</f>
        <v>1</v>
      </c>
      <c r="T241" s="10">
        <v>8</v>
      </c>
      <c r="U241" s="8" t="s">
        <v>43</v>
      </c>
      <c r="V241" s="10">
        <v>1812</v>
      </c>
      <c r="W241" s="10">
        <v>7</v>
      </c>
      <c r="X241" s="12">
        <v>1.5765765765765698E-2</v>
      </c>
      <c r="Y241" s="8" t="b">
        <f>CleanedData[[#This Row],[Ship Date]]&lt;CleanedData[[#This Row],[Order Date]]</f>
        <v>1</v>
      </c>
      <c r="Z241" s="10">
        <f>YEAR(CleanedData[[#This Row],[Order Date]])</f>
        <v>2024</v>
      </c>
      <c r="AA241" s="8">
        <f>MONTH(CleanedData[[#This Row],[Order Date]])</f>
        <v>9</v>
      </c>
    </row>
    <row r="242" spans="1:27" x14ac:dyDescent="0.35">
      <c r="A242" s="8" t="s">
        <v>991</v>
      </c>
      <c r="B242" s="9">
        <v>45002</v>
      </c>
      <c r="C242" s="9">
        <v>45219</v>
      </c>
      <c r="D242" s="8" t="s">
        <v>993</v>
      </c>
      <c r="E242" s="8" t="s">
        <v>26</v>
      </c>
      <c r="F242" s="8" t="s">
        <v>228</v>
      </c>
      <c r="G242" s="8" t="s">
        <v>50</v>
      </c>
      <c r="H242" s="8" t="s">
        <v>4972</v>
      </c>
      <c r="I242" s="8" t="s">
        <v>4977</v>
      </c>
      <c r="J242" s="10">
        <v>603</v>
      </c>
      <c r="K242" s="11">
        <v>10.99</v>
      </c>
      <c r="L242" s="11">
        <v>13.23</v>
      </c>
      <c r="M242" s="11">
        <v>7977.69</v>
      </c>
      <c r="N242" s="11">
        <v>6626.97</v>
      </c>
      <c r="O242" s="11">
        <f>CleanedData[[#This Row],[Total Sales ($)]]-CleanedData[[#This Row],[Total Cost ($)]]</f>
        <v>1350.7199999999993</v>
      </c>
      <c r="P242" s="12">
        <f>CleanedData[[#This Row],[Profit ($)]]/CleanedData[[#This Row],[Total Sales ($)]]</f>
        <v>0.16931216931216925</v>
      </c>
      <c r="Q242" s="8" t="s">
        <v>31</v>
      </c>
      <c r="R242" s="8" t="s">
        <v>32</v>
      </c>
      <c r="S242" s="8" t="b">
        <f>_xlfn.SINGLE(CleanedData[[#This Row],[Delivery Status]])="Late"</f>
        <v>1</v>
      </c>
      <c r="T242" s="10">
        <v>6</v>
      </c>
      <c r="U242" s="8" t="s">
        <v>43</v>
      </c>
      <c r="V242" s="10">
        <v>794</v>
      </c>
      <c r="W242" s="10">
        <v>7</v>
      </c>
      <c r="X242" s="12">
        <v>1.1608623548922E-2</v>
      </c>
      <c r="Y242" s="8" t="b">
        <f>CleanedData[[#This Row],[Ship Date]]&lt;CleanedData[[#This Row],[Order Date]]</f>
        <v>0</v>
      </c>
      <c r="Z242" s="10">
        <f>YEAR(CleanedData[[#This Row],[Order Date]])</f>
        <v>2023</v>
      </c>
      <c r="AA242" s="8">
        <f>MONTH(CleanedData[[#This Row],[Order Date]])</f>
        <v>3</v>
      </c>
    </row>
    <row r="243" spans="1:27" x14ac:dyDescent="0.35">
      <c r="A243" s="8" t="s">
        <v>994</v>
      </c>
      <c r="B243" s="9">
        <v>45221</v>
      </c>
      <c r="C243" s="9">
        <v>44985</v>
      </c>
      <c r="D243" s="8" t="s">
        <v>995</v>
      </c>
      <c r="E243" s="8" t="s">
        <v>48</v>
      </c>
      <c r="F243" s="8" t="s">
        <v>223</v>
      </c>
      <c r="G243" s="8" t="s">
        <v>60</v>
      </c>
      <c r="H243" s="8" t="s">
        <v>400</v>
      </c>
      <c r="I243" s="8" t="s">
        <v>4968</v>
      </c>
      <c r="J243" s="10">
        <v>591</v>
      </c>
      <c r="K243" s="11">
        <v>20.59</v>
      </c>
      <c r="L243" s="11">
        <v>26.04</v>
      </c>
      <c r="M243" s="11">
        <v>15389.64</v>
      </c>
      <c r="N243" s="11">
        <v>12168.69</v>
      </c>
      <c r="O243" s="11">
        <f>CleanedData[[#This Row],[Total Sales ($)]]-CleanedData[[#This Row],[Total Cost ($)]]</f>
        <v>3220.9499999999989</v>
      </c>
      <c r="P243" s="12">
        <f>CleanedData[[#This Row],[Profit ($)]]/CleanedData[[#This Row],[Total Sales ($)]]</f>
        <v>0.20929339477726569</v>
      </c>
      <c r="Q243" s="8" t="s">
        <v>52</v>
      </c>
      <c r="R243" s="8" t="s">
        <v>32</v>
      </c>
      <c r="S243" s="8" t="b">
        <f>_xlfn.SINGLE(CleanedData[[#This Row],[Delivery Status]])="Late"</f>
        <v>1</v>
      </c>
      <c r="T243" s="10">
        <v>12</v>
      </c>
      <c r="U243" s="8" t="s">
        <v>33</v>
      </c>
      <c r="V243" s="10">
        <v>4070</v>
      </c>
      <c r="W243" s="10">
        <v>14</v>
      </c>
      <c r="X243" s="12">
        <v>2.3688663282571899E-2</v>
      </c>
      <c r="Y243" s="8" t="b">
        <f>CleanedData[[#This Row],[Ship Date]]&lt;CleanedData[[#This Row],[Order Date]]</f>
        <v>1</v>
      </c>
      <c r="Z243" s="10">
        <f>YEAR(CleanedData[[#This Row],[Order Date]])</f>
        <v>2023</v>
      </c>
      <c r="AA243" s="8">
        <f>MONTH(CleanedData[[#This Row],[Order Date]])</f>
        <v>10</v>
      </c>
    </row>
    <row r="244" spans="1:27" x14ac:dyDescent="0.35">
      <c r="A244" s="8" t="s">
        <v>996</v>
      </c>
      <c r="B244" s="9">
        <v>45257</v>
      </c>
      <c r="C244" s="9">
        <v>45071</v>
      </c>
      <c r="D244" s="8" t="s">
        <v>997</v>
      </c>
      <c r="E244" s="8" t="s">
        <v>58</v>
      </c>
      <c r="F244" s="8" t="s">
        <v>59</v>
      </c>
      <c r="G244" s="8" t="s">
        <v>129</v>
      </c>
      <c r="H244" s="8" t="s">
        <v>704</v>
      </c>
      <c r="I244" s="8" t="s">
        <v>4967</v>
      </c>
      <c r="J244" s="10">
        <v>418</v>
      </c>
      <c r="K244" s="11">
        <v>54.04</v>
      </c>
      <c r="L244" s="11">
        <v>65.819999999999993</v>
      </c>
      <c r="M244" s="11">
        <v>27512.76</v>
      </c>
      <c r="N244" s="11">
        <v>22588.720000000001</v>
      </c>
      <c r="O244" s="11">
        <f>CleanedData[[#This Row],[Total Sales ($)]]-CleanedData[[#This Row],[Total Cost ($)]]</f>
        <v>4924.0399999999972</v>
      </c>
      <c r="P244" s="12">
        <f>CleanedData[[#This Row],[Profit ($)]]/CleanedData[[#This Row],[Total Sales ($)]]</f>
        <v>0.17897295654816156</v>
      </c>
      <c r="Q244" s="8" t="s">
        <v>52</v>
      </c>
      <c r="R244" s="8" t="s">
        <v>63</v>
      </c>
      <c r="S244" s="8" t="b">
        <f>_xlfn.SINGLE(CleanedData[[#This Row],[Delivery Status]])="Late"</f>
        <v>0</v>
      </c>
      <c r="T244" s="10">
        <v>2</v>
      </c>
      <c r="U244" s="8" t="s">
        <v>53</v>
      </c>
      <c r="V244" s="10">
        <v>1020</v>
      </c>
      <c r="W244" s="10">
        <v>2</v>
      </c>
      <c r="X244" s="12">
        <v>4.7846889952153004E-3</v>
      </c>
      <c r="Y244" s="8" t="b">
        <f>CleanedData[[#This Row],[Ship Date]]&lt;CleanedData[[#This Row],[Order Date]]</f>
        <v>1</v>
      </c>
      <c r="Z244" s="10">
        <f>YEAR(CleanedData[[#This Row],[Order Date]])</f>
        <v>2023</v>
      </c>
      <c r="AA244" s="8">
        <f>MONTH(CleanedData[[#This Row],[Order Date]])</f>
        <v>11</v>
      </c>
    </row>
    <row r="245" spans="1:27" x14ac:dyDescent="0.35">
      <c r="A245" s="8" t="s">
        <v>998</v>
      </c>
      <c r="B245" s="9">
        <v>45348</v>
      </c>
      <c r="C245" s="9">
        <v>45431</v>
      </c>
      <c r="D245" s="8" t="s">
        <v>1000</v>
      </c>
      <c r="E245" s="8" t="s">
        <v>68</v>
      </c>
      <c r="F245" s="8" t="s">
        <v>276</v>
      </c>
      <c r="G245" s="8" t="s">
        <v>39</v>
      </c>
      <c r="H245" s="8" t="s">
        <v>647</v>
      </c>
      <c r="I245" s="8" t="s">
        <v>4967</v>
      </c>
      <c r="J245" s="10">
        <v>708</v>
      </c>
      <c r="K245" s="11">
        <v>545.63</v>
      </c>
      <c r="L245" s="11">
        <v>887.01</v>
      </c>
      <c r="M245" s="11">
        <v>628003.07999999996</v>
      </c>
      <c r="N245" s="11">
        <v>386306.04</v>
      </c>
      <c r="O245" s="11">
        <f>CleanedData[[#This Row],[Total Sales ($)]]-CleanedData[[#This Row],[Total Cost ($)]]</f>
        <v>241697.03999999998</v>
      </c>
      <c r="P245" s="12">
        <f>CleanedData[[#This Row],[Profit ($)]]/CleanedData[[#This Row],[Total Sales ($)]]</f>
        <v>0.38486601052975727</v>
      </c>
      <c r="Q245" s="8" t="s">
        <v>95</v>
      </c>
      <c r="R245" s="8" t="s">
        <v>32</v>
      </c>
      <c r="S245" s="8" t="b">
        <f>_xlfn.SINGLE(CleanedData[[#This Row],[Delivery Status]])="Late"</f>
        <v>1</v>
      </c>
      <c r="T245" s="10">
        <v>14</v>
      </c>
      <c r="U245" s="8" t="s">
        <v>86</v>
      </c>
      <c r="V245" s="10">
        <v>139</v>
      </c>
      <c r="W245" s="10">
        <v>31</v>
      </c>
      <c r="X245" s="12">
        <v>4.3785310734463199E-2</v>
      </c>
      <c r="Y245" s="8" t="b">
        <f>CleanedData[[#This Row],[Ship Date]]&lt;CleanedData[[#This Row],[Order Date]]</f>
        <v>0</v>
      </c>
      <c r="Z245" s="10">
        <f>YEAR(CleanedData[[#This Row],[Order Date]])</f>
        <v>2024</v>
      </c>
      <c r="AA245" s="8">
        <f>MONTH(CleanedData[[#This Row],[Order Date]])</f>
        <v>2</v>
      </c>
    </row>
    <row r="246" spans="1:27" x14ac:dyDescent="0.35">
      <c r="A246" s="8" t="s">
        <v>1001</v>
      </c>
      <c r="B246" s="9">
        <v>45191</v>
      </c>
      <c r="C246" s="9">
        <v>45121</v>
      </c>
      <c r="D246" s="8" t="s">
        <v>1004</v>
      </c>
      <c r="E246" s="8" t="s">
        <v>100</v>
      </c>
      <c r="F246" s="8" t="s">
        <v>538</v>
      </c>
      <c r="G246" s="8" t="s">
        <v>129</v>
      </c>
      <c r="H246" s="8" t="s">
        <v>704</v>
      </c>
      <c r="I246" s="8" t="s">
        <v>4967</v>
      </c>
      <c r="J246" s="10">
        <v>495</v>
      </c>
      <c r="K246" s="11">
        <v>845.96</v>
      </c>
      <c r="L246" s="11">
        <v>1367.19</v>
      </c>
      <c r="M246" s="11">
        <v>676759.05</v>
      </c>
      <c r="N246" s="11">
        <v>418750.2</v>
      </c>
      <c r="O246" s="11">
        <f>CleanedData[[#This Row],[Total Sales ($)]]-CleanedData[[#This Row],[Total Cost ($)]]</f>
        <v>258008.85000000003</v>
      </c>
      <c r="P246" s="12">
        <f>CleanedData[[#This Row],[Profit ($)]]/CleanedData[[#This Row],[Total Sales ($)]]</f>
        <v>0.38124181715782007</v>
      </c>
      <c r="Q246" s="8" t="s">
        <v>95</v>
      </c>
      <c r="R246" s="8" t="s">
        <v>32</v>
      </c>
      <c r="S246" s="8" t="b">
        <f>_xlfn.SINGLE(CleanedData[[#This Row],[Delivery Status]])="Late"</f>
        <v>1</v>
      </c>
      <c r="T246" s="10">
        <v>11</v>
      </c>
      <c r="U246" s="8" t="s">
        <v>86</v>
      </c>
      <c r="V246" s="10">
        <v>3073</v>
      </c>
      <c r="W246" s="10">
        <v>24</v>
      </c>
      <c r="X246" s="12">
        <v>4.8484848484848402E-2</v>
      </c>
      <c r="Y246" s="8" t="b">
        <f>CleanedData[[#This Row],[Ship Date]]&lt;CleanedData[[#This Row],[Order Date]]</f>
        <v>1</v>
      </c>
      <c r="Z246" s="10">
        <f>YEAR(CleanedData[[#This Row],[Order Date]])</f>
        <v>2023</v>
      </c>
      <c r="AA246" s="8">
        <f>MONTH(CleanedData[[#This Row],[Order Date]])</f>
        <v>9</v>
      </c>
    </row>
    <row r="247" spans="1:27" x14ac:dyDescent="0.35">
      <c r="A247" s="8" t="s">
        <v>1005</v>
      </c>
      <c r="B247" s="9">
        <v>45112</v>
      </c>
      <c r="C247" s="9">
        <v>44938</v>
      </c>
      <c r="D247" s="8" t="s">
        <v>1008</v>
      </c>
      <c r="E247" s="8" t="s">
        <v>68</v>
      </c>
      <c r="F247" s="8" t="s">
        <v>69</v>
      </c>
      <c r="G247" s="8" t="s">
        <v>50</v>
      </c>
      <c r="H247" s="8" t="s">
        <v>135</v>
      </c>
      <c r="I247" s="8" t="s">
        <v>4979</v>
      </c>
      <c r="J247" s="10">
        <v>213</v>
      </c>
      <c r="K247" s="11">
        <v>79.2</v>
      </c>
      <c r="L247" s="11">
        <v>121.47</v>
      </c>
      <c r="M247" s="11">
        <v>25873.11</v>
      </c>
      <c r="N247" s="11">
        <v>16869.599999999999</v>
      </c>
      <c r="O247" s="11">
        <f>CleanedData[[#This Row],[Total Sales ($)]]-CleanedData[[#This Row],[Total Cost ($)]]</f>
        <v>9003.510000000002</v>
      </c>
      <c r="P247" s="12">
        <f>CleanedData[[#This Row],[Profit ($)]]/CleanedData[[#This Row],[Total Sales ($)]]</f>
        <v>0.34798715732279584</v>
      </c>
      <c r="Q247" s="8" t="s">
        <v>31</v>
      </c>
      <c r="R247" s="8" t="s">
        <v>32</v>
      </c>
      <c r="S247" s="8" t="b">
        <f>_xlfn.SINGLE(CleanedData[[#This Row],[Delivery Status]])="Late"</f>
        <v>1</v>
      </c>
      <c r="T247" s="10">
        <v>11</v>
      </c>
      <c r="U247" s="8" t="s">
        <v>86</v>
      </c>
      <c r="V247" s="10">
        <v>2716</v>
      </c>
      <c r="W247" s="10">
        <v>7</v>
      </c>
      <c r="X247" s="12">
        <v>3.2863849765258198E-2</v>
      </c>
      <c r="Y247" s="8" t="b">
        <f>CleanedData[[#This Row],[Ship Date]]&lt;CleanedData[[#This Row],[Order Date]]</f>
        <v>1</v>
      </c>
      <c r="Z247" s="10">
        <f>YEAR(CleanedData[[#This Row],[Order Date]])</f>
        <v>2023</v>
      </c>
      <c r="AA247" s="8">
        <f>MONTH(CleanedData[[#This Row],[Order Date]])</f>
        <v>7</v>
      </c>
    </row>
    <row r="248" spans="1:27" x14ac:dyDescent="0.35">
      <c r="A248" s="8" t="s">
        <v>1009</v>
      </c>
      <c r="B248" s="9">
        <v>45468</v>
      </c>
      <c r="C248" s="9">
        <v>45549</v>
      </c>
      <c r="D248" s="8" t="s">
        <v>1011</v>
      </c>
      <c r="E248" s="8" t="s">
        <v>26</v>
      </c>
      <c r="F248" s="8" t="s">
        <v>253</v>
      </c>
      <c r="G248" s="8" t="s">
        <v>39</v>
      </c>
      <c r="H248" s="8" t="s">
        <v>477</v>
      </c>
      <c r="I248" s="8" t="s">
        <v>4969</v>
      </c>
      <c r="J248" s="10">
        <v>376</v>
      </c>
      <c r="K248" s="11">
        <v>234.39</v>
      </c>
      <c r="L248" s="11">
        <v>350.01</v>
      </c>
      <c r="M248" s="11">
        <v>131603.76</v>
      </c>
      <c r="N248" s="11">
        <v>88130.64</v>
      </c>
      <c r="O248" s="11">
        <f>CleanedData[[#This Row],[Total Sales ($)]]-CleanedData[[#This Row],[Total Cost ($)]]</f>
        <v>43473.12000000001</v>
      </c>
      <c r="P248" s="12">
        <f>CleanedData[[#This Row],[Profit ($)]]/CleanedData[[#This Row],[Total Sales ($)]]</f>
        <v>0.33033341904517016</v>
      </c>
      <c r="Q248" s="8" t="s">
        <v>52</v>
      </c>
      <c r="R248" s="8" t="s">
        <v>32</v>
      </c>
      <c r="S248" s="8" t="b">
        <f>_xlfn.SINGLE(CleanedData[[#This Row],[Delivery Status]])="Late"</f>
        <v>1</v>
      </c>
      <c r="T248" s="10">
        <v>10</v>
      </c>
      <c r="U248" s="8" t="s">
        <v>112</v>
      </c>
      <c r="V248" s="10">
        <v>3014</v>
      </c>
      <c r="W248" s="10">
        <v>4</v>
      </c>
      <c r="X248" s="12">
        <v>1.0638297872340399E-2</v>
      </c>
      <c r="Y248" s="8" t="b">
        <f>CleanedData[[#This Row],[Ship Date]]&lt;CleanedData[[#This Row],[Order Date]]</f>
        <v>0</v>
      </c>
      <c r="Z248" s="10">
        <f>YEAR(CleanedData[[#This Row],[Order Date]])</f>
        <v>2024</v>
      </c>
      <c r="AA248" s="8">
        <f>MONTH(CleanedData[[#This Row],[Order Date]])</f>
        <v>6</v>
      </c>
    </row>
    <row r="249" spans="1:27" x14ac:dyDescent="0.35">
      <c r="A249" s="8" t="s">
        <v>1012</v>
      </c>
      <c r="B249" s="9">
        <v>45274</v>
      </c>
      <c r="C249" s="9">
        <v>45026</v>
      </c>
      <c r="D249" s="8" t="s">
        <v>1013</v>
      </c>
      <c r="E249" s="8" t="s">
        <v>26</v>
      </c>
      <c r="F249" s="8" t="s">
        <v>38</v>
      </c>
      <c r="G249" s="8" t="s">
        <v>189</v>
      </c>
      <c r="H249" s="8" t="s">
        <v>311</v>
      </c>
      <c r="I249" s="8" t="s">
        <v>4969</v>
      </c>
      <c r="J249" s="10">
        <v>110</v>
      </c>
      <c r="K249" s="11">
        <v>139.53</v>
      </c>
      <c r="L249" s="11">
        <v>198.34</v>
      </c>
      <c r="M249" s="11">
        <v>21817.4</v>
      </c>
      <c r="N249" s="11">
        <v>15348.3</v>
      </c>
      <c r="O249" s="11">
        <f>CleanedData[[#This Row],[Total Sales ($)]]-CleanedData[[#This Row],[Total Cost ($)]]</f>
        <v>6469.1000000000022</v>
      </c>
      <c r="P249" s="12">
        <f>CleanedData[[#This Row],[Profit ($)]]/CleanedData[[#This Row],[Total Sales ($)]]</f>
        <v>0.29651104164565906</v>
      </c>
      <c r="Q249" s="8" t="s">
        <v>52</v>
      </c>
      <c r="R249" s="8" t="s">
        <v>32</v>
      </c>
      <c r="S249" s="8" t="b">
        <f>_xlfn.SINGLE(CleanedData[[#This Row],[Delivery Status]])="Late"</f>
        <v>1</v>
      </c>
      <c r="T249" s="10">
        <v>15</v>
      </c>
      <c r="U249" s="8" t="s">
        <v>158</v>
      </c>
      <c r="V249" s="10">
        <v>2323</v>
      </c>
      <c r="W249" s="10">
        <v>2</v>
      </c>
      <c r="X249" s="12">
        <v>1.8181818181818101E-2</v>
      </c>
      <c r="Y249" s="8" t="b">
        <f>CleanedData[[#This Row],[Ship Date]]&lt;CleanedData[[#This Row],[Order Date]]</f>
        <v>1</v>
      </c>
      <c r="Z249" s="10">
        <f>YEAR(CleanedData[[#This Row],[Order Date]])</f>
        <v>2023</v>
      </c>
      <c r="AA249" s="8">
        <f>MONTH(CleanedData[[#This Row],[Order Date]])</f>
        <v>12</v>
      </c>
    </row>
    <row r="250" spans="1:27" x14ac:dyDescent="0.35">
      <c r="A250" s="8" t="s">
        <v>1014</v>
      </c>
      <c r="B250" s="9">
        <v>44979</v>
      </c>
      <c r="C250" s="9">
        <v>45150</v>
      </c>
      <c r="D250" s="8" t="s">
        <v>1016</v>
      </c>
      <c r="E250" s="8" t="s">
        <v>26</v>
      </c>
      <c r="F250" s="8" t="s">
        <v>228</v>
      </c>
      <c r="G250" s="8" t="s">
        <v>70</v>
      </c>
      <c r="H250" s="8" t="s">
        <v>71</v>
      </c>
      <c r="I250" s="8" t="s">
        <v>4975</v>
      </c>
      <c r="J250" s="10">
        <v>320</v>
      </c>
      <c r="K250" s="11">
        <v>451.19</v>
      </c>
      <c r="L250" s="11">
        <v>607.38</v>
      </c>
      <c r="M250" s="11">
        <v>194361.60000000001</v>
      </c>
      <c r="N250" s="11">
        <v>144380.79999999999</v>
      </c>
      <c r="O250" s="11">
        <f>CleanedData[[#This Row],[Total Sales ($)]]-CleanedData[[#This Row],[Total Cost ($)]]</f>
        <v>49980.800000000017</v>
      </c>
      <c r="P250" s="12">
        <f>CleanedData[[#This Row],[Profit ($)]]/CleanedData[[#This Row],[Total Sales ($)]]</f>
        <v>0.25715367644637632</v>
      </c>
      <c r="Q250" s="8" t="s">
        <v>52</v>
      </c>
      <c r="R250" s="8" t="s">
        <v>32</v>
      </c>
      <c r="S250" s="8" t="b">
        <f>_xlfn.SINGLE(CleanedData[[#This Row],[Delivery Status]])="Late"</f>
        <v>1</v>
      </c>
      <c r="T250" s="10">
        <v>15</v>
      </c>
      <c r="U250" s="8" t="s">
        <v>158</v>
      </c>
      <c r="V250" s="10">
        <v>3066</v>
      </c>
      <c r="W250" s="10">
        <v>0</v>
      </c>
      <c r="X250" s="12">
        <v>0</v>
      </c>
      <c r="Y250" s="8" t="b">
        <f>CleanedData[[#This Row],[Ship Date]]&lt;CleanedData[[#This Row],[Order Date]]</f>
        <v>0</v>
      </c>
      <c r="Z250" s="10">
        <f>YEAR(CleanedData[[#This Row],[Order Date]])</f>
        <v>2023</v>
      </c>
      <c r="AA250" s="8">
        <f>MONTH(CleanedData[[#This Row],[Order Date]])</f>
        <v>2</v>
      </c>
    </row>
    <row r="251" spans="1:27" x14ac:dyDescent="0.35">
      <c r="A251" s="8" t="s">
        <v>1017</v>
      </c>
      <c r="B251" s="9">
        <v>45032</v>
      </c>
      <c r="C251" s="9">
        <v>45162</v>
      </c>
      <c r="D251" s="8" t="s">
        <v>1018</v>
      </c>
      <c r="E251" s="8" t="s">
        <v>48</v>
      </c>
      <c r="F251" s="8" t="s">
        <v>270</v>
      </c>
      <c r="G251" s="8" t="s">
        <v>70</v>
      </c>
      <c r="H251" s="8" t="s">
        <v>1019</v>
      </c>
      <c r="I251" s="8" t="s">
        <v>4981</v>
      </c>
      <c r="J251" s="10">
        <v>139</v>
      </c>
      <c r="K251" s="11">
        <v>1149.48</v>
      </c>
      <c r="L251" s="11">
        <v>1586.41</v>
      </c>
      <c r="M251" s="11">
        <v>220510.99</v>
      </c>
      <c r="N251" s="11">
        <v>159777.72</v>
      </c>
      <c r="O251" s="11">
        <f>CleanedData[[#This Row],[Total Sales ($)]]-CleanedData[[#This Row],[Total Cost ($)]]</f>
        <v>60733.26999999999</v>
      </c>
      <c r="P251" s="12">
        <f>CleanedData[[#This Row],[Profit ($)]]/CleanedData[[#This Row],[Total Sales ($)]]</f>
        <v>0.2754206037531281</v>
      </c>
      <c r="Q251" s="8" t="s">
        <v>52</v>
      </c>
      <c r="R251" s="8" t="s">
        <v>63</v>
      </c>
      <c r="S251" s="8" t="b">
        <f>_xlfn.SINGLE(CleanedData[[#This Row],[Delivery Status]])="Late"</f>
        <v>0</v>
      </c>
      <c r="T251" s="10">
        <v>1</v>
      </c>
      <c r="U251" s="8" t="s">
        <v>33</v>
      </c>
      <c r="V251" s="10">
        <v>1987</v>
      </c>
      <c r="W251" s="10">
        <v>6</v>
      </c>
      <c r="X251" s="12">
        <v>4.31654676258992E-2</v>
      </c>
      <c r="Y251" s="8" t="b">
        <f>CleanedData[[#This Row],[Ship Date]]&lt;CleanedData[[#This Row],[Order Date]]</f>
        <v>0</v>
      </c>
      <c r="Z251" s="10">
        <f>YEAR(CleanedData[[#This Row],[Order Date]])</f>
        <v>2023</v>
      </c>
      <c r="AA251" s="8">
        <f>MONTH(CleanedData[[#This Row],[Order Date]])</f>
        <v>4</v>
      </c>
    </row>
    <row r="252" spans="1:27" x14ac:dyDescent="0.35">
      <c r="A252" s="8" t="s">
        <v>1021</v>
      </c>
      <c r="B252" s="9">
        <v>45242</v>
      </c>
      <c r="C252" s="9">
        <v>45256</v>
      </c>
      <c r="D252" s="8" t="s">
        <v>1024</v>
      </c>
      <c r="E252" s="8" t="s">
        <v>58</v>
      </c>
      <c r="F252" s="8" t="s">
        <v>417</v>
      </c>
      <c r="G252" s="8" t="s">
        <v>28</v>
      </c>
      <c r="H252" s="8" t="s">
        <v>714</v>
      </c>
      <c r="I252" s="8" t="s">
        <v>4976</v>
      </c>
      <c r="J252" s="10">
        <v>208</v>
      </c>
      <c r="K252" s="11">
        <v>460.65</v>
      </c>
      <c r="L252" s="11">
        <v>654.21</v>
      </c>
      <c r="M252" s="11">
        <v>136075.68</v>
      </c>
      <c r="N252" s="11">
        <v>95815.2</v>
      </c>
      <c r="O252" s="11">
        <f>CleanedData[[#This Row],[Total Sales ($)]]-CleanedData[[#This Row],[Total Cost ($)]]</f>
        <v>40260.479999999996</v>
      </c>
      <c r="P252" s="12">
        <f>CleanedData[[#This Row],[Profit ($)]]/CleanedData[[#This Row],[Total Sales ($)]]</f>
        <v>0.2958682991699913</v>
      </c>
      <c r="Q252" s="8" t="s">
        <v>42</v>
      </c>
      <c r="R252" s="8" t="s">
        <v>63</v>
      </c>
      <c r="S252" s="8" t="b">
        <f>_xlfn.SINGLE(CleanedData[[#This Row],[Delivery Status]])="Late"</f>
        <v>0</v>
      </c>
      <c r="T252" s="10">
        <v>2</v>
      </c>
      <c r="U252" s="8" t="s">
        <v>112</v>
      </c>
      <c r="V252" s="10">
        <v>4093</v>
      </c>
      <c r="W252" s="10">
        <v>10</v>
      </c>
      <c r="X252" s="12">
        <v>4.8076923076923003E-2</v>
      </c>
      <c r="Y252" s="8" t="b">
        <f>CleanedData[[#This Row],[Ship Date]]&lt;CleanedData[[#This Row],[Order Date]]</f>
        <v>0</v>
      </c>
      <c r="Z252" s="10">
        <f>YEAR(CleanedData[[#This Row],[Order Date]])</f>
        <v>2023</v>
      </c>
      <c r="AA252" s="8">
        <f>MONTH(CleanedData[[#This Row],[Order Date]])</f>
        <v>11</v>
      </c>
    </row>
    <row r="253" spans="1:27" x14ac:dyDescent="0.35">
      <c r="A253" s="8" t="s">
        <v>1026</v>
      </c>
      <c r="B253" s="9">
        <v>45392</v>
      </c>
      <c r="C253" s="9">
        <v>45416</v>
      </c>
      <c r="D253" s="8" t="s">
        <v>1029</v>
      </c>
      <c r="E253" s="8" t="s">
        <v>58</v>
      </c>
      <c r="F253" s="8" t="s">
        <v>116</v>
      </c>
      <c r="G253" s="8" t="s">
        <v>189</v>
      </c>
      <c r="H253" s="8" t="s">
        <v>271</v>
      </c>
      <c r="I253" s="8" t="s">
        <v>4973</v>
      </c>
      <c r="J253" s="10">
        <v>170</v>
      </c>
      <c r="K253" s="11">
        <v>357.7</v>
      </c>
      <c r="L253" s="11">
        <v>458.13</v>
      </c>
      <c r="M253" s="11">
        <v>77882.100000000006</v>
      </c>
      <c r="N253" s="11">
        <v>60809</v>
      </c>
      <c r="O253" s="11">
        <f>CleanedData[[#This Row],[Total Sales ($)]]-CleanedData[[#This Row],[Total Cost ($)]]</f>
        <v>17073.100000000006</v>
      </c>
      <c r="P253" s="12">
        <f>CleanedData[[#This Row],[Profit ($)]]/CleanedData[[#This Row],[Total Sales ($)]]</f>
        <v>0.21921725274485415</v>
      </c>
      <c r="Q253" s="8" t="s">
        <v>52</v>
      </c>
      <c r="R253" s="8" t="s">
        <v>32</v>
      </c>
      <c r="S253" s="8" t="b">
        <f>_xlfn.SINGLE(CleanedData[[#This Row],[Delivery Status]])="Late"</f>
        <v>1</v>
      </c>
      <c r="T253" s="10">
        <v>12</v>
      </c>
      <c r="U253" s="8" t="s">
        <v>158</v>
      </c>
      <c r="V253" s="10">
        <v>3558</v>
      </c>
      <c r="W253" s="10">
        <v>3</v>
      </c>
      <c r="X253" s="12">
        <v>1.7647058823529401E-2</v>
      </c>
      <c r="Y253" s="8" t="b">
        <f>CleanedData[[#This Row],[Ship Date]]&lt;CleanedData[[#This Row],[Order Date]]</f>
        <v>0</v>
      </c>
      <c r="Z253" s="10">
        <f>YEAR(CleanedData[[#This Row],[Order Date]])</f>
        <v>2024</v>
      </c>
      <c r="AA253" s="8">
        <f>MONTH(CleanedData[[#This Row],[Order Date]])</f>
        <v>4</v>
      </c>
    </row>
    <row r="254" spans="1:27" x14ac:dyDescent="0.35">
      <c r="A254" s="8" t="s">
        <v>1031</v>
      </c>
      <c r="B254" s="9">
        <v>45237</v>
      </c>
      <c r="C254" s="9">
        <v>45204</v>
      </c>
      <c r="D254" s="8" t="s">
        <v>1032</v>
      </c>
      <c r="E254" s="8" t="s">
        <v>100</v>
      </c>
      <c r="F254" s="8" t="s">
        <v>538</v>
      </c>
      <c r="G254" s="8" t="s">
        <v>78</v>
      </c>
      <c r="H254" s="8" t="s">
        <v>79</v>
      </c>
      <c r="I254" s="8" t="s">
        <v>4977</v>
      </c>
      <c r="J254" s="10">
        <v>612</v>
      </c>
      <c r="K254" s="11">
        <v>698.88</v>
      </c>
      <c r="L254" s="11">
        <v>1096.24</v>
      </c>
      <c r="M254" s="11">
        <v>670898.88</v>
      </c>
      <c r="N254" s="11">
        <v>427714.56</v>
      </c>
      <c r="O254" s="11">
        <f>CleanedData[[#This Row],[Total Sales ($)]]-CleanedData[[#This Row],[Total Cost ($)]]</f>
        <v>243184.32</v>
      </c>
      <c r="P254" s="12">
        <f>CleanedData[[#This Row],[Profit ($)]]/CleanedData[[#This Row],[Total Sales ($)]]</f>
        <v>0.36247537035685617</v>
      </c>
      <c r="Q254" s="8" t="s">
        <v>95</v>
      </c>
      <c r="R254" s="8" t="s">
        <v>32</v>
      </c>
      <c r="S254" s="8" t="b">
        <f>_xlfn.SINGLE(CleanedData[[#This Row],[Delivery Status]])="Late"</f>
        <v>1</v>
      </c>
      <c r="T254" s="10">
        <v>14</v>
      </c>
      <c r="U254" s="8" t="s">
        <v>112</v>
      </c>
      <c r="V254" s="10">
        <v>864</v>
      </c>
      <c r="W254" s="10">
        <v>8</v>
      </c>
      <c r="X254" s="12">
        <v>1.30718954248366E-2</v>
      </c>
      <c r="Y254" s="8" t="b">
        <f>CleanedData[[#This Row],[Ship Date]]&lt;CleanedData[[#This Row],[Order Date]]</f>
        <v>1</v>
      </c>
      <c r="Z254" s="10">
        <f>YEAR(CleanedData[[#This Row],[Order Date]])</f>
        <v>2023</v>
      </c>
      <c r="AA254" s="8">
        <f>MONTH(CleanedData[[#This Row],[Order Date]])</f>
        <v>11</v>
      </c>
    </row>
    <row r="255" spans="1:27" x14ac:dyDescent="0.35">
      <c r="A255" s="8" t="s">
        <v>1033</v>
      </c>
      <c r="B255" s="9">
        <v>44991</v>
      </c>
      <c r="C255" s="9">
        <v>45235</v>
      </c>
      <c r="D255" s="8" t="s">
        <v>1035</v>
      </c>
      <c r="E255" s="8" t="s">
        <v>26</v>
      </c>
      <c r="F255" s="8" t="s">
        <v>27</v>
      </c>
      <c r="G255" s="8" t="s">
        <v>78</v>
      </c>
      <c r="H255" s="8" t="s">
        <v>79</v>
      </c>
      <c r="I255" s="8" t="s">
        <v>4976</v>
      </c>
      <c r="J255" s="10">
        <v>185</v>
      </c>
      <c r="K255" s="11">
        <v>402.4</v>
      </c>
      <c r="L255" s="11">
        <v>564.79</v>
      </c>
      <c r="M255" s="11">
        <v>104486.15</v>
      </c>
      <c r="N255" s="11">
        <v>74444</v>
      </c>
      <c r="O255" s="11">
        <f>CleanedData[[#This Row],[Total Sales ($)]]-CleanedData[[#This Row],[Total Cost ($)]]</f>
        <v>30042.149999999994</v>
      </c>
      <c r="P255" s="12">
        <f>CleanedData[[#This Row],[Profit ($)]]/CleanedData[[#This Row],[Total Sales ($)]]</f>
        <v>0.28752279608350001</v>
      </c>
      <c r="Q255" s="8" t="s">
        <v>31</v>
      </c>
      <c r="R255" s="8" t="s">
        <v>32</v>
      </c>
      <c r="S255" s="8" t="b">
        <f>_xlfn.SINGLE(CleanedData[[#This Row],[Delivery Status]])="Late"</f>
        <v>1</v>
      </c>
      <c r="T255" s="10">
        <v>9</v>
      </c>
      <c r="U255" s="8" t="s">
        <v>53</v>
      </c>
      <c r="V255" s="10">
        <v>1568</v>
      </c>
      <c r="W255" s="10">
        <v>4</v>
      </c>
      <c r="X255" s="12">
        <v>2.1621621621621599E-2</v>
      </c>
      <c r="Y255" s="8" t="b">
        <f>CleanedData[[#This Row],[Ship Date]]&lt;CleanedData[[#This Row],[Order Date]]</f>
        <v>0</v>
      </c>
      <c r="Z255" s="10">
        <f>YEAR(CleanedData[[#This Row],[Order Date]])</f>
        <v>2023</v>
      </c>
      <c r="AA255" s="8">
        <f>MONTH(CleanedData[[#This Row],[Order Date]])</f>
        <v>3</v>
      </c>
    </row>
    <row r="256" spans="1:27" x14ac:dyDescent="0.35">
      <c r="A256" s="8" t="s">
        <v>1036</v>
      </c>
      <c r="B256" s="9">
        <v>44966</v>
      </c>
      <c r="C256" s="9">
        <v>44962</v>
      </c>
      <c r="D256" s="8" t="s">
        <v>1038</v>
      </c>
      <c r="E256" s="8" t="s">
        <v>26</v>
      </c>
      <c r="F256" s="8" t="s">
        <v>27</v>
      </c>
      <c r="G256" s="8" t="s">
        <v>217</v>
      </c>
      <c r="H256" s="8" t="s">
        <v>524</v>
      </c>
      <c r="I256" s="8" t="s">
        <v>4979</v>
      </c>
      <c r="J256" s="10">
        <v>250</v>
      </c>
      <c r="K256" s="11">
        <v>401.62</v>
      </c>
      <c r="L256" s="11">
        <v>485.97</v>
      </c>
      <c r="M256" s="11">
        <v>121492.5</v>
      </c>
      <c r="N256" s="11">
        <v>100405</v>
      </c>
      <c r="O256" s="11">
        <f>CleanedData[[#This Row],[Total Sales ($)]]-CleanedData[[#This Row],[Total Cost ($)]]</f>
        <v>21087.5</v>
      </c>
      <c r="P256" s="12">
        <f>CleanedData[[#This Row],[Profit ($)]]/CleanedData[[#This Row],[Total Sales ($)]]</f>
        <v>0.1735703850031895</v>
      </c>
      <c r="Q256" s="8" t="s">
        <v>52</v>
      </c>
      <c r="R256" s="8" t="s">
        <v>32</v>
      </c>
      <c r="S256" s="8" t="b">
        <f>_xlfn.SINGLE(CleanedData[[#This Row],[Delivery Status]])="Late"</f>
        <v>1</v>
      </c>
      <c r="T256" s="10">
        <v>6</v>
      </c>
      <c r="U256" s="8" t="s">
        <v>112</v>
      </c>
      <c r="V256" s="10">
        <v>4398</v>
      </c>
      <c r="W256" s="10">
        <v>12</v>
      </c>
      <c r="X256" s="12">
        <v>4.8000000000000001E-2</v>
      </c>
      <c r="Y256" s="8" t="b">
        <f>CleanedData[[#This Row],[Ship Date]]&lt;CleanedData[[#This Row],[Order Date]]</f>
        <v>1</v>
      </c>
      <c r="Z256" s="10">
        <f>YEAR(CleanedData[[#This Row],[Order Date]])</f>
        <v>2023</v>
      </c>
      <c r="AA256" s="8">
        <f>MONTH(CleanedData[[#This Row],[Order Date]])</f>
        <v>2</v>
      </c>
    </row>
    <row r="257" spans="1:27" x14ac:dyDescent="0.35">
      <c r="A257" s="8" t="s">
        <v>1039</v>
      </c>
      <c r="B257" s="9">
        <v>45111</v>
      </c>
      <c r="C257" s="9">
        <v>45130</v>
      </c>
      <c r="D257" s="8" t="s">
        <v>1041</v>
      </c>
      <c r="E257" s="8" t="s">
        <v>26</v>
      </c>
      <c r="F257" s="8" t="s">
        <v>77</v>
      </c>
      <c r="G257" s="8" t="s">
        <v>50</v>
      </c>
      <c r="H257" s="8" t="s">
        <v>117</v>
      </c>
      <c r="I257" s="8" t="s">
        <v>4971</v>
      </c>
      <c r="J257" s="10">
        <v>465</v>
      </c>
      <c r="K257" s="11">
        <v>369.5</v>
      </c>
      <c r="L257" s="11">
        <v>565.77</v>
      </c>
      <c r="M257" s="11">
        <v>263083.05</v>
      </c>
      <c r="N257" s="11">
        <v>171817.5</v>
      </c>
      <c r="O257" s="11">
        <f>CleanedData[[#This Row],[Total Sales ($)]]-CleanedData[[#This Row],[Total Cost ($)]]</f>
        <v>91265.549999999988</v>
      </c>
      <c r="P257" s="12">
        <f>CleanedData[[#This Row],[Profit ($)]]/CleanedData[[#This Row],[Total Sales ($)]]</f>
        <v>0.34690775403432489</v>
      </c>
      <c r="Q257" s="8" t="s">
        <v>31</v>
      </c>
      <c r="R257" s="8" t="s">
        <v>63</v>
      </c>
      <c r="S257" s="8" t="b">
        <f>_xlfn.SINGLE(CleanedData[[#This Row],[Delivery Status]])="Late"</f>
        <v>0</v>
      </c>
      <c r="T257" s="10">
        <v>3</v>
      </c>
      <c r="U257" s="8" t="s">
        <v>33</v>
      </c>
      <c r="V257" s="10">
        <v>2975</v>
      </c>
      <c r="W257" s="10">
        <v>5</v>
      </c>
      <c r="X257" s="12">
        <v>1.0752688172042999E-2</v>
      </c>
      <c r="Y257" s="8" t="b">
        <f>CleanedData[[#This Row],[Ship Date]]&lt;CleanedData[[#This Row],[Order Date]]</f>
        <v>0</v>
      </c>
      <c r="Z257" s="10">
        <f>YEAR(CleanedData[[#This Row],[Order Date]])</f>
        <v>2023</v>
      </c>
      <c r="AA257" s="8">
        <f>MONTH(CleanedData[[#This Row],[Order Date]])</f>
        <v>7</v>
      </c>
    </row>
    <row r="258" spans="1:27" x14ac:dyDescent="0.35">
      <c r="A258" s="8" t="s">
        <v>1042</v>
      </c>
      <c r="B258" s="9">
        <v>45407</v>
      </c>
      <c r="C258" s="9">
        <v>45518</v>
      </c>
      <c r="D258" s="8" t="s">
        <v>1044</v>
      </c>
      <c r="E258" s="8" t="s">
        <v>26</v>
      </c>
      <c r="F258" s="8" t="s">
        <v>77</v>
      </c>
      <c r="G258" s="8" t="s">
        <v>39</v>
      </c>
      <c r="H258" s="8" t="s">
        <v>477</v>
      </c>
      <c r="I258" s="8" t="s">
        <v>4976</v>
      </c>
      <c r="J258" s="10">
        <v>295</v>
      </c>
      <c r="K258" s="11">
        <v>143.68</v>
      </c>
      <c r="L258" s="11">
        <v>196.28</v>
      </c>
      <c r="M258" s="11">
        <v>57902.6</v>
      </c>
      <c r="N258" s="11">
        <v>42385.599999999999</v>
      </c>
      <c r="O258" s="11">
        <f>CleanedData[[#This Row],[Total Sales ($)]]-CleanedData[[#This Row],[Total Cost ($)]]</f>
        <v>15517</v>
      </c>
      <c r="P258" s="12">
        <f>CleanedData[[#This Row],[Profit ($)]]/CleanedData[[#This Row],[Total Sales ($)]]</f>
        <v>0.26798451192174444</v>
      </c>
      <c r="Q258" s="8" t="s">
        <v>31</v>
      </c>
      <c r="R258" s="8" t="s">
        <v>4972</v>
      </c>
      <c r="S258" s="8" t="b">
        <f>_xlfn.SINGLE(CleanedData[[#This Row],[Delivery Status]])="Late"</f>
        <v>0</v>
      </c>
      <c r="T258" s="10">
        <v>7</v>
      </c>
      <c r="U258" s="8" t="s">
        <v>43</v>
      </c>
      <c r="V258" s="10">
        <v>595</v>
      </c>
      <c r="W258" s="10">
        <v>10</v>
      </c>
      <c r="X258" s="12">
        <v>3.38983050847457E-2</v>
      </c>
      <c r="Y258" s="8" t="b">
        <f>CleanedData[[#This Row],[Ship Date]]&lt;CleanedData[[#This Row],[Order Date]]</f>
        <v>0</v>
      </c>
      <c r="Z258" s="10">
        <f>YEAR(CleanedData[[#This Row],[Order Date]])</f>
        <v>2024</v>
      </c>
      <c r="AA258" s="8">
        <f>MONTH(CleanedData[[#This Row],[Order Date]])</f>
        <v>4</v>
      </c>
    </row>
    <row r="259" spans="1:27" x14ac:dyDescent="0.35">
      <c r="A259" s="8" t="s">
        <v>1045</v>
      </c>
      <c r="B259" s="9">
        <v>44990</v>
      </c>
      <c r="C259" s="9">
        <v>45146</v>
      </c>
      <c r="D259" s="8" t="s">
        <v>1047</v>
      </c>
      <c r="E259" s="8" t="s">
        <v>48</v>
      </c>
      <c r="F259" s="8" t="s">
        <v>223</v>
      </c>
      <c r="G259" s="8" t="s">
        <v>217</v>
      </c>
      <c r="H259" s="8" t="s">
        <v>335</v>
      </c>
      <c r="I259" s="8" t="s">
        <v>4968</v>
      </c>
      <c r="J259" s="10">
        <v>435</v>
      </c>
      <c r="K259" s="11">
        <v>911.75</v>
      </c>
      <c r="L259" s="11">
        <v>1025.03</v>
      </c>
      <c r="M259" s="11">
        <v>445888.05</v>
      </c>
      <c r="N259" s="11">
        <v>396611.25</v>
      </c>
      <c r="O259" s="11">
        <f>CleanedData[[#This Row],[Total Sales ($)]]-CleanedData[[#This Row],[Total Cost ($)]]</f>
        <v>49276.799999999988</v>
      </c>
      <c r="P259" s="12">
        <f>CleanedData[[#This Row],[Profit ($)]]/CleanedData[[#This Row],[Total Sales ($)]]</f>
        <v>0.11051383861935746</v>
      </c>
      <c r="Q259" s="8" t="s">
        <v>95</v>
      </c>
      <c r="R259" s="8" t="s">
        <v>63</v>
      </c>
      <c r="S259" s="8" t="b">
        <f>_xlfn.SINGLE(CleanedData[[#This Row],[Delivery Status]])="Late"</f>
        <v>0</v>
      </c>
      <c r="T259" s="10">
        <v>3</v>
      </c>
      <c r="U259" s="8" t="s">
        <v>53</v>
      </c>
      <c r="V259" s="10">
        <v>2278</v>
      </c>
      <c r="W259" s="10">
        <v>17</v>
      </c>
      <c r="X259" s="12">
        <v>3.90804597701149E-2</v>
      </c>
      <c r="Y259" s="8" t="b">
        <f>CleanedData[[#This Row],[Ship Date]]&lt;CleanedData[[#This Row],[Order Date]]</f>
        <v>0</v>
      </c>
      <c r="Z259" s="10">
        <f>YEAR(CleanedData[[#This Row],[Order Date]])</f>
        <v>2023</v>
      </c>
      <c r="AA259" s="8">
        <f>MONTH(CleanedData[[#This Row],[Order Date]])</f>
        <v>3</v>
      </c>
    </row>
    <row r="260" spans="1:27" x14ac:dyDescent="0.35">
      <c r="A260" s="8" t="s">
        <v>1048</v>
      </c>
      <c r="B260" s="9">
        <v>45058</v>
      </c>
      <c r="C260" s="9">
        <v>45066</v>
      </c>
      <c r="D260" s="8" t="s">
        <v>1051</v>
      </c>
      <c r="E260" s="8" t="s">
        <v>58</v>
      </c>
      <c r="F260" s="8" t="s">
        <v>417</v>
      </c>
      <c r="G260" s="8" t="s">
        <v>70</v>
      </c>
      <c r="H260" s="8" t="s">
        <v>446</v>
      </c>
      <c r="I260" s="8" t="s">
        <v>4974</v>
      </c>
      <c r="J260" s="10">
        <v>188</v>
      </c>
      <c r="K260" s="11">
        <v>713.17</v>
      </c>
      <c r="L260" s="11">
        <v>1019.6</v>
      </c>
      <c r="M260" s="11">
        <v>191684.8</v>
      </c>
      <c r="N260" s="11">
        <v>134075.96</v>
      </c>
      <c r="O260" s="11">
        <f>CleanedData[[#This Row],[Total Sales ($)]]-CleanedData[[#This Row],[Total Cost ($)]]</f>
        <v>57608.84</v>
      </c>
      <c r="P260" s="12">
        <f>CleanedData[[#This Row],[Profit ($)]]/CleanedData[[#This Row],[Total Sales ($)]]</f>
        <v>0.30053942722636329</v>
      </c>
      <c r="Q260" s="8" t="s">
        <v>52</v>
      </c>
      <c r="R260" s="8" t="s">
        <v>32</v>
      </c>
      <c r="S260" s="8" t="b">
        <f>_xlfn.SINGLE(CleanedData[[#This Row],[Delivery Status]])="Late"</f>
        <v>1</v>
      </c>
      <c r="T260" s="10">
        <v>11</v>
      </c>
      <c r="U260" s="8" t="s">
        <v>33</v>
      </c>
      <c r="V260" s="10">
        <v>202</v>
      </c>
      <c r="W260" s="10">
        <v>0</v>
      </c>
      <c r="X260" s="12">
        <v>0</v>
      </c>
      <c r="Y260" s="8" t="b">
        <f>CleanedData[[#This Row],[Ship Date]]&lt;CleanedData[[#This Row],[Order Date]]</f>
        <v>0</v>
      </c>
      <c r="Z260" s="10">
        <f>YEAR(CleanedData[[#This Row],[Order Date]])</f>
        <v>2023</v>
      </c>
      <c r="AA260" s="8">
        <f>MONTH(CleanedData[[#This Row],[Order Date]])</f>
        <v>5</v>
      </c>
    </row>
    <row r="261" spans="1:27" x14ac:dyDescent="0.35">
      <c r="A261" s="8" t="s">
        <v>1052</v>
      </c>
      <c r="B261" s="9">
        <v>44930</v>
      </c>
      <c r="C261" s="9">
        <v>44937</v>
      </c>
      <c r="D261" s="8" t="s">
        <v>1054</v>
      </c>
      <c r="E261" s="8" t="s">
        <v>58</v>
      </c>
      <c r="F261" s="8" t="s">
        <v>259</v>
      </c>
      <c r="G261" s="8" t="s">
        <v>129</v>
      </c>
      <c r="H261" s="8" t="s">
        <v>168</v>
      </c>
      <c r="I261" s="8" t="s">
        <v>4978</v>
      </c>
      <c r="J261" s="10">
        <v>477</v>
      </c>
      <c r="K261" s="11">
        <v>714.1</v>
      </c>
      <c r="L261" s="11">
        <v>887.42</v>
      </c>
      <c r="M261" s="11">
        <v>423299.34</v>
      </c>
      <c r="N261" s="11">
        <v>340625.7</v>
      </c>
      <c r="O261" s="11">
        <f>CleanedData[[#This Row],[Total Sales ($)]]-CleanedData[[#This Row],[Total Cost ($)]]</f>
        <v>82673.640000000014</v>
      </c>
      <c r="P261" s="12">
        <f>CleanedData[[#This Row],[Profit ($)]]/CleanedData[[#This Row],[Total Sales ($)]]</f>
        <v>0.19530774605034823</v>
      </c>
      <c r="Q261" s="8" t="s">
        <v>95</v>
      </c>
      <c r="R261" s="8" t="s">
        <v>32</v>
      </c>
      <c r="S261" s="8" t="b">
        <f>_xlfn.SINGLE(CleanedData[[#This Row],[Delivery Status]])="Late"</f>
        <v>1</v>
      </c>
      <c r="T261" s="10">
        <v>9</v>
      </c>
      <c r="U261" s="8" t="s">
        <v>86</v>
      </c>
      <c r="V261" s="10">
        <v>4781</v>
      </c>
      <c r="W261" s="10">
        <v>17</v>
      </c>
      <c r="X261" s="12">
        <v>3.5639412997903498E-2</v>
      </c>
      <c r="Y261" s="8" t="b">
        <f>CleanedData[[#This Row],[Ship Date]]&lt;CleanedData[[#This Row],[Order Date]]</f>
        <v>0</v>
      </c>
      <c r="Z261" s="10">
        <f>YEAR(CleanedData[[#This Row],[Order Date]])</f>
        <v>2023</v>
      </c>
      <c r="AA261" s="8">
        <f>MONTH(CleanedData[[#This Row],[Order Date]])</f>
        <v>1</v>
      </c>
    </row>
    <row r="262" spans="1:27" x14ac:dyDescent="0.35">
      <c r="A262" s="8" t="s">
        <v>1055</v>
      </c>
      <c r="B262" s="9">
        <v>45149</v>
      </c>
      <c r="C262" s="9">
        <v>45117</v>
      </c>
      <c r="D262" s="8" t="s">
        <v>1056</v>
      </c>
      <c r="E262" s="8" t="s">
        <v>100</v>
      </c>
      <c r="F262" s="8" t="s">
        <v>101</v>
      </c>
      <c r="G262" s="8" t="s">
        <v>50</v>
      </c>
      <c r="H262" s="8" t="s">
        <v>51</v>
      </c>
      <c r="I262" s="8" t="s">
        <v>4967</v>
      </c>
      <c r="J262" s="10">
        <v>712</v>
      </c>
      <c r="K262" s="11">
        <v>737.03</v>
      </c>
      <c r="L262" s="11">
        <v>830.63</v>
      </c>
      <c r="M262" s="11">
        <v>591408.56000000006</v>
      </c>
      <c r="N262" s="11">
        <v>524765.36</v>
      </c>
      <c r="O262" s="11">
        <f>CleanedData[[#This Row],[Total Sales ($)]]-CleanedData[[#This Row],[Total Cost ($)]]</f>
        <v>66643.20000000007</v>
      </c>
      <c r="P262" s="12">
        <f>CleanedData[[#This Row],[Profit ($)]]/CleanedData[[#This Row],[Total Sales ($)]]</f>
        <v>0.11268555193046252</v>
      </c>
      <c r="Q262" s="8" t="s">
        <v>95</v>
      </c>
      <c r="R262" s="8" t="s">
        <v>32</v>
      </c>
      <c r="S262" s="8" t="b">
        <f>_xlfn.SINGLE(CleanedData[[#This Row],[Delivery Status]])="Late"</f>
        <v>1</v>
      </c>
      <c r="T262" s="10">
        <v>12</v>
      </c>
      <c r="U262" s="8" t="s">
        <v>86</v>
      </c>
      <c r="V262" s="10">
        <v>135</v>
      </c>
      <c r="W262" s="10">
        <v>32</v>
      </c>
      <c r="X262" s="12">
        <v>4.49438202247191E-2</v>
      </c>
      <c r="Y262" s="8" t="b">
        <f>CleanedData[[#This Row],[Ship Date]]&lt;CleanedData[[#This Row],[Order Date]]</f>
        <v>1</v>
      </c>
      <c r="Z262" s="10">
        <f>YEAR(CleanedData[[#This Row],[Order Date]])</f>
        <v>2023</v>
      </c>
      <c r="AA262" s="8">
        <f>MONTH(CleanedData[[#This Row],[Order Date]])</f>
        <v>8</v>
      </c>
    </row>
    <row r="263" spans="1:27" x14ac:dyDescent="0.35">
      <c r="A263" s="8" t="s">
        <v>1057</v>
      </c>
      <c r="B263" s="9">
        <v>45158</v>
      </c>
      <c r="C263" s="9">
        <v>45195</v>
      </c>
      <c r="D263" s="8" t="s">
        <v>1058</v>
      </c>
      <c r="E263" s="8" t="s">
        <v>100</v>
      </c>
      <c r="F263" s="8" t="s">
        <v>106</v>
      </c>
      <c r="G263" s="8" t="s">
        <v>78</v>
      </c>
      <c r="H263" s="8" t="s">
        <v>840</v>
      </c>
      <c r="I263" s="8" t="s">
        <v>4967</v>
      </c>
      <c r="J263" s="10">
        <v>693</v>
      </c>
      <c r="K263" s="11">
        <v>235.67</v>
      </c>
      <c r="L263" s="11">
        <v>267.26</v>
      </c>
      <c r="M263" s="11">
        <v>185211.18</v>
      </c>
      <c r="N263" s="11">
        <v>163319.31</v>
      </c>
      <c r="O263" s="11">
        <f>CleanedData[[#This Row],[Total Sales ($)]]-CleanedData[[#This Row],[Total Cost ($)]]</f>
        <v>21891.869999999995</v>
      </c>
      <c r="P263" s="12">
        <f>CleanedData[[#This Row],[Profit ($)]]/CleanedData[[#This Row],[Total Sales ($)]]</f>
        <v>0.11819950609892986</v>
      </c>
      <c r="Q263" s="8" t="s">
        <v>42</v>
      </c>
      <c r="R263" s="8" t="s">
        <v>63</v>
      </c>
      <c r="S263" s="8" t="b">
        <f>_xlfn.SINGLE(CleanedData[[#This Row],[Delivery Status]])="Late"</f>
        <v>0</v>
      </c>
      <c r="T263" s="10">
        <v>2</v>
      </c>
      <c r="U263" s="8" t="s">
        <v>33</v>
      </c>
      <c r="V263" s="10">
        <v>1342</v>
      </c>
      <c r="W263" s="10">
        <v>11</v>
      </c>
      <c r="X263" s="12">
        <v>1.5873015873015799E-2</v>
      </c>
      <c r="Y263" s="8" t="b">
        <f>CleanedData[[#This Row],[Ship Date]]&lt;CleanedData[[#This Row],[Order Date]]</f>
        <v>0</v>
      </c>
      <c r="Z263" s="10">
        <f>YEAR(CleanedData[[#This Row],[Order Date]])</f>
        <v>2023</v>
      </c>
      <c r="AA263" s="8">
        <f>MONTH(CleanedData[[#This Row],[Order Date]])</f>
        <v>8</v>
      </c>
    </row>
    <row r="264" spans="1:27" x14ac:dyDescent="0.35">
      <c r="A264" s="8" t="s">
        <v>405</v>
      </c>
      <c r="B264" s="9">
        <v>45055</v>
      </c>
      <c r="C264" s="9">
        <v>45277</v>
      </c>
      <c r="D264" s="8" t="s">
        <v>408</v>
      </c>
      <c r="E264" s="8" t="s">
        <v>48</v>
      </c>
      <c r="F264" s="8" t="s">
        <v>223</v>
      </c>
      <c r="G264" s="8" t="s">
        <v>70</v>
      </c>
      <c r="H264" s="8" t="s">
        <v>446</v>
      </c>
      <c r="I264" s="8" t="s">
        <v>4982</v>
      </c>
      <c r="J264" s="10">
        <v>144</v>
      </c>
      <c r="K264" s="11">
        <v>498.67</v>
      </c>
      <c r="L264" s="11">
        <v>771.66</v>
      </c>
      <c r="M264" s="11">
        <v>111119.03999999999</v>
      </c>
      <c r="N264" s="11">
        <v>71808.479999999996</v>
      </c>
      <c r="O264" s="11">
        <f>CleanedData[[#This Row],[Total Sales ($)]]-CleanedData[[#This Row],[Total Cost ($)]]</f>
        <v>39310.559999999998</v>
      </c>
      <c r="P264" s="12">
        <f>CleanedData[[#This Row],[Profit ($)]]/CleanedData[[#This Row],[Total Sales ($)]]</f>
        <v>0.35376979498742972</v>
      </c>
      <c r="Q264" s="8" t="s">
        <v>95</v>
      </c>
      <c r="R264" s="8" t="s">
        <v>32</v>
      </c>
      <c r="S264" s="8" t="b">
        <f>_xlfn.SINGLE(CleanedData[[#This Row],[Delivery Status]])="Late"</f>
        <v>1</v>
      </c>
      <c r="T264" s="10">
        <v>11</v>
      </c>
      <c r="U264" s="8" t="s">
        <v>33</v>
      </c>
      <c r="V264" s="10">
        <v>3605</v>
      </c>
      <c r="W264" s="10">
        <v>3</v>
      </c>
      <c r="X264" s="12">
        <v>2.0833333333333301E-2</v>
      </c>
      <c r="Y264" s="8" t="b">
        <f>CleanedData[[#This Row],[Ship Date]]&lt;CleanedData[[#This Row],[Order Date]]</f>
        <v>0</v>
      </c>
      <c r="Z264" s="10">
        <f>YEAR(CleanedData[[#This Row],[Order Date]])</f>
        <v>2023</v>
      </c>
      <c r="AA264" s="8">
        <f>MONTH(CleanedData[[#This Row],[Order Date]])</f>
        <v>5</v>
      </c>
    </row>
    <row r="265" spans="1:27" x14ac:dyDescent="0.35">
      <c r="A265" s="8" t="s">
        <v>1060</v>
      </c>
      <c r="B265" s="9">
        <v>45511</v>
      </c>
      <c r="C265" s="9">
        <v>45065</v>
      </c>
      <c r="D265" s="8" t="s">
        <v>1063</v>
      </c>
      <c r="E265" s="8" t="s">
        <v>26</v>
      </c>
      <c r="F265" s="8" t="s">
        <v>92</v>
      </c>
      <c r="G265" s="8" t="s">
        <v>70</v>
      </c>
      <c r="H265" s="8" t="s">
        <v>84</v>
      </c>
      <c r="I265" s="8" t="s">
        <v>4981</v>
      </c>
      <c r="J265" s="10">
        <v>529</v>
      </c>
      <c r="K265" s="11">
        <v>108.51</v>
      </c>
      <c r="L265" s="11">
        <v>156.16</v>
      </c>
      <c r="M265" s="11">
        <v>82608.639999999999</v>
      </c>
      <c r="N265" s="11">
        <v>57401.79</v>
      </c>
      <c r="O265" s="11">
        <f>CleanedData[[#This Row],[Total Sales ($)]]-CleanedData[[#This Row],[Total Cost ($)]]</f>
        <v>25206.85</v>
      </c>
      <c r="P265" s="12">
        <f>CleanedData[[#This Row],[Profit ($)]]/CleanedData[[#This Row],[Total Sales ($)]]</f>
        <v>0.30513575819672129</v>
      </c>
      <c r="Q265" s="8" t="s">
        <v>31</v>
      </c>
      <c r="R265" s="8" t="s">
        <v>63</v>
      </c>
      <c r="S265" s="8" t="b">
        <f>_xlfn.SINGLE(CleanedData[[#This Row],[Delivery Status]])="Late"</f>
        <v>0</v>
      </c>
      <c r="T265" s="10">
        <v>2</v>
      </c>
      <c r="U265" s="8" t="s">
        <v>43</v>
      </c>
      <c r="V265" s="10">
        <v>1907</v>
      </c>
      <c r="W265" s="10">
        <v>22</v>
      </c>
      <c r="X265" s="12">
        <v>4.1587901701323197E-2</v>
      </c>
      <c r="Y265" s="8" t="b">
        <f>CleanedData[[#This Row],[Ship Date]]&lt;CleanedData[[#This Row],[Order Date]]</f>
        <v>1</v>
      </c>
      <c r="Z265" s="10">
        <f>YEAR(CleanedData[[#This Row],[Order Date]])</f>
        <v>2024</v>
      </c>
      <c r="AA265" s="8">
        <f>MONTH(CleanedData[[#This Row],[Order Date]])</f>
        <v>8</v>
      </c>
    </row>
    <row r="266" spans="1:27" x14ac:dyDescent="0.35">
      <c r="A266" s="8" t="s">
        <v>1064</v>
      </c>
      <c r="B266" s="9">
        <v>45337</v>
      </c>
      <c r="C266" s="9">
        <v>45200</v>
      </c>
      <c r="D266" s="8" t="s">
        <v>1067</v>
      </c>
      <c r="E266" s="8" t="s">
        <v>100</v>
      </c>
      <c r="F266" s="8" t="s">
        <v>101</v>
      </c>
      <c r="G266" s="8" t="s">
        <v>129</v>
      </c>
      <c r="H266" s="8" t="s">
        <v>316</v>
      </c>
      <c r="I266" s="8" t="s">
        <v>4974</v>
      </c>
      <c r="J266" s="10">
        <v>678</v>
      </c>
      <c r="K266" s="11">
        <v>815</v>
      </c>
      <c r="L266" s="11">
        <v>1277.71</v>
      </c>
      <c r="M266" s="11">
        <v>866287.38</v>
      </c>
      <c r="N266" s="11">
        <v>552570</v>
      </c>
      <c r="O266" s="11">
        <f>CleanedData[[#This Row],[Total Sales ($)]]-CleanedData[[#This Row],[Total Cost ($)]]</f>
        <v>313717.38</v>
      </c>
      <c r="P266" s="12">
        <f>CleanedData[[#This Row],[Profit ($)]]/CleanedData[[#This Row],[Total Sales ($)]]</f>
        <v>0.36214007873461113</v>
      </c>
      <c r="Q266" s="8" t="s">
        <v>52</v>
      </c>
      <c r="R266" s="8" t="s">
        <v>32</v>
      </c>
      <c r="S266" s="8" t="b">
        <f>_xlfn.SINGLE(CleanedData[[#This Row],[Delivery Status]])="Late"</f>
        <v>1</v>
      </c>
      <c r="T266" s="10">
        <v>13</v>
      </c>
      <c r="U266" s="8" t="s">
        <v>112</v>
      </c>
      <c r="V266" s="10">
        <v>2665</v>
      </c>
      <c r="W266" s="10">
        <v>10</v>
      </c>
      <c r="X266" s="12">
        <v>1.4749262536873101E-2</v>
      </c>
      <c r="Y266" s="8" t="b">
        <f>CleanedData[[#This Row],[Ship Date]]&lt;CleanedData[[#This Row],[Order Date]]</f>
        <v>1</v>
      </c>
      <c r="Z266" s="10">
        <f>YEAR(CleanedData[[#This Row],[Order Date]])</f>
        <v>2024</v>
      </c>
      <c r="AA266" s="8">
        <f>MONTH(CleanedData[[#This Row],[Order Date]])</f>
        <v>2</v>
      </c>
    </row>
    <row r="267" spans="1:27" x14ac:dyDescent="0.35">
      <c r="A267" s="8" t="s">
        <v>1068</v>
      </c>
      <c r="B267" s="9">
        <v>44951</v>
      </c>
      <c r="C267" s="9">
        <v>45108</v>
      </c>
      <c r="D267" s="8" t="s">
        <v>1069</v>
      </c>
      <c r="E267" s="8" t="s">
        <v>100</v>
      </c>
      <c r="F267" s="8" t="s">
        <v>101</v>
      </c>
      <c r="G267" s="8" t="s">
        <v>70</v>
      </c>
      <c r="H267" s="8" t="s">
        <v>384</v>
      </c>
      <c r="I267" s="8" t="s">
        <v>4967</v>
      </c>
      <c r="J267" s="10">
        <v>481</v>
      </c>
      <c r="K267" s="11">
        <v>1105.1600000000001</v>
      </c>
      <c r="L267" s="11">
        <v>1635.69</v>
      </c>
      <c r="M267" s="11">
        <v>786766.89</v>
      </c>
      <c r="N267" s="11">
        <v>531581.96</v>
      </c>
      <c r="O267" s="11">
        <f>CleanedData[[#This Row],[Total Sales ($)]]-CleanedData[[#This Row],[Total Cost ($)]]</f>
        <v>255184.93000000005</v>
      </c>
      <c r="P267" s="12">
        <f>CleanedData[[#This Row],[Profit ($)]]/CleanedData[[#This Row],[Total Sales ($)]]</f>
        <v>0.3243463003380837</v>
      </c>
      <c r="Q267" s="8" t="s">
        <v>31</v>
      </c>
      <c r="R267" s="8" t="s">
        <v>63</v>
      </c>
      <c r="S267" s="8" t="b">
        <f>_xlfn.SINGLE(CleanedData[[#This Row],[Delivery Status]])="Late"</f>
        <v>0</v>
      </c>
      <c r="T267" s="10">
        <v>5</v>
      </c>
      <c r="U267" s="8" t="s">
        <v>86</v>
      </c>
      <c r="V267" s="10">
        <v>2209</v>
      </c>
      <c r="W267" s="10">
        <v>19</v>
      </c>
      <c r="X267" s="12">
        <v>3.9501039501039503E-2</v>
      </c>
      <c r="Y267" s="8" t="b">
        <f>CleanedData[[#This Row],[Ship Date]]&lt;CleanedData[[#This Row],[Order Date]]</f>
        <v>0</v>
      </c>
      <c r="Z267" s="10">
        <f>YEAR(CleanedData[[#This Row],[Order Date]])</f>
        <v>2023</v>
      </c>
      <c r="AA267" s="8">
        <f>MONTH(CleanedData[[#This Row],[Order Date]])</f>
        <v>1</v>
      </c>
    </row>
    <row r="268" spans="1:27" x14ac:dyDescent="0.35">
      <c r="A268" s="8" t="s">
        <v>1070</v>
      </c>
      <c r="B268" s="9">
        <v>45170</v>
      </c>
      <c r="C268" s="9">
        <v>44966</v>
      </c>
      <c r="D268" s="8" t="s">
        <v>1071</v>
      </c>
      <c r="E268" s="8" t="s">
        <v>26</v>
      </c>
      <c r="F268" s="8" t="s">
        <v>77</v>
      </c>
      <c r="G268" s="8" t="s">
        <v>28</v>
      </c>
      <c r="H268" s="8" t="s">
        <v>29</v>
      </c>
      <c r="I268" s="8" t="s">
        <v>4977</v>
      </c>
      <c r="J268" s="10">
        <v>191</v>
      </c>
      <c r="K268" s="11">
        <v>647.52</v>
      </c>
      <c r="L268" s="11">
        <v>1042.4100000000001</v>
      </c>
      <c r="M268" s="11">
        <v>199100.31</v>
      </c>
      <c r="N268" s="11">
        <v>123676.32</v>
      </c>
      <c r="O268" s="11">
        <f>CleanedData[[#This Row],[Total Sales ($)]]-CleanedData[[#This Row],[Total Cost ($)]]</f>
        <v>75423.989999999991</v>
      </c>
      <c r="P268" s="12">
        <f>CleanedData[[#This Row],[Profit ($)]]/CleanedData[[#This Row],[Total Sales ($)]]</f>
        <v>0.37882407114283245</v>
      </c>
      <c r="Q268" s="8" t="s">
        <v>52</v>
      </c>
      <c r="R268" s="8" t="s">
        <v>32</v>
      </c>
      <c r="S268" s="8" t="b">
        <f>_xlfn.SINGLE(CleanedData[[#This Row],[Delivery Status]])="Late"</f>
        <v>1</v>
      </c>
      <c r="T268" s="10">
        <v>8</v>
      </c>
      <c r="U268" s="8" t="s">
        <v>43</v>
      </c>
      <c r="V268" s="10">
        <v>40</v>
      </c>
      <c r="W268" s="10">
        <v>9</v>
      </c>
      <c r="X268" s="12">
        <v>4.7120418848167499E-2</v>
      </c>
      <c r="Y268" s="8" t="b">
        <f>CleanedData[[#This Row],[Ship Date]]&lt;CleanedData[[#This Row],[Order Date]]</f>
        <v>1</v>
      </c>
      <c r="Z268" s="10">
        <f>YEAR(CleanedData[[#This Row],[Order Date]])</f>
        <v>2023</v>
      </c>
      <c r="AA268" s="8">
        <f>MONTH(CleanedData[[#This Row],[Order Date]])</f>
        <v>9</v>
      </c>
    </row>
    <row r="269" spans="1:27" x14ac:dyDescent="0.35">
      <c r="A269" s="8" t="s">
        <v>1072</v>
      </c>
      <c r="B269" s="9">
        <v>45315</v>
      </c>
      <c r="C269" s="9">
        <v>45447</v>
      </c>
      <c r="D269" s="8" t="s">
        <v>1075</v>
      </c>
      <c r="E269" s="8" t="s">
        <v>26</v>
      </c>
      <c r="F269" s="8" t="s">
        <v>38</v>
      </c>
      <c r="G269" s="8" t="s">
        <v>93</v>
      </c>
      <c r="H269" s="8" t="s">
        <v>184</v>
      </c>
      <c r="I269" s="8" t="s">
        <v>4976</v>
      </c>
      <c r="J269" s="10">
        <v>517</v>
      </c>
      <c r="K269" s="11">
        <v>660.57</v>
      </c>
      <c r="L269" s="11">
        <v>854.46</v>
      </c>
      <c r="M269" s="11">
        <v>441755.82</v>
      </c>
      <c r="N269" s="11">
        <v>341514.69</v>
      </c>
      <c r="O269" s="11">
        <f>CleanedData[[#This Row],[Total Sales ($)]]-CleanedData[[#This Row],[Total Cost ($)]]</f>
        <v>100241.13</v>
      </c>
      <c r="P269" s="12">
        <f>CleanedData[[#This Row],[Profit ($)]]/CleanedData[[#This Row],[Total Sales ($)]]</f>
        <v>0.22691524471596097</v>
      </c>
      <c r="Q269" s="8" t="s">
        <v>31</v>
      </c>
      <c r="R269" s="8" t="s">
        <v>32</v>
      </c>
      <c r="S269" s="8" t="b">
        <f>_xlfn.SINGLE(CleanedData[[#This Row],[Delivery Status]])="Late"</f>
        <v>1</v>
      </c>
      <c r="T269" s="10">
        <v>12</v>
      </c>
      <c r="U269" s="8" t="s">
        <v>86</v>
      </c>
      <c r="V269" s="10">
        <v>2282</v>
      </c>
      <c r="W269" s="10">
        <v>14</v>
      </c>
      <c r="X269" s="12">
        <v>2.7079303675048301E-2</v>
      </c>
      <c r="Y269" s="8" t="b">
        <f>CleanedData[[#This Row],[Ship Date]]&lt;CleanedData[[#This Row],[Order Date]]</f>
        <v>0</v>
      </c>
      <c r="Z269" s="10">
        <f>YEAR(CleanedData[[#This Row],[Order Date]])</f>
        <v>2024</v>
      </c>
      <c r="AA269" s="8">
        <f>MONTH(CleanedData[[#This Row],[Order Date]])</f>
        <v>1</v>
      </c>
    </row>
    <row r="270" spans="1:27" x14ac:dyDescent="0.35">
      <c r="A270" s="8" t="s">
        <v>1076</v>
      </c>
      <c r="B270" s="9">
        <v>45090</v>
      </c>
      <c r="C270" s="9">
        <v>45073</v>
      </c>
      <c r="D270" s="8" t="s">
        <v>1078</v>
      </c>
      <c r="E270" s="8" t="s">
        <v>48</v>
      </c>
      <c r="F270" s="8" t="s">
        <v>183</v>
      </c>
      <c r="G270" s="8" t="s">
        <v>93</v>
      </c>
      <c r="H270" s="8" t="s">
        <v>302</v>
      </c>
      <c r="I270" s="8" t="s">
        <v>4973</v>
      </c>
      <c r="J270" s="10">
        <v>687</v>
      </c>
      <c r="K270" s="11">
        <v>589.71</v>
      </c>
      <c r="L270" s="11">
        <v>805.95</v>
      </c>
      <c r="M270" s="11">
        <v>553687.65</v>
      </c>
      <c r="N270" s="11">
        <v>405130.77</v>
      </c>
      <c r="O270" s="11">
        <f>CleanedData[[#This Row],[Total Sales ($)]]-CleanedData[[#This Row],[Total Cost ($)]]</f>
        <v>148556.88</v>
      </c>
      <c r="P270" s="12">
        <f>CleanedData[[#This Row],[Profit ($)]]/CleanedData[[#This Row],[Total Sales ($)]]</f>
        <v>0.26830448538991253</v>
      </c>
      <c r="Q270" s="8" t="s">
        <v>95</v>
      </c>
      <c r="R270" s="8" t="s">
        <v>32</v>
      </c>
      <c r="S270" s="8" t="b">
        <f>_xlfn.SINGLE(CleanedData[[#This Row],[Delivery Status]])="Late"</f>
        <v>1</v>
      </c>
      <c r="T270" s="10">
        <v>15</v>
      </c>
      <c r="U270" s="8" t="s">
        <v>53</v>
      </c>
      <c r="V270" s="10">
        <v>3059</v>
      </c>
      <c r="W270" s="10">
        <v>32</v>
      </c>
      <c r="X270" s="12">
        <v>4.6579330422125101E-2</v>
      </c>
      <c r="Y270" s="8" t="b">
        <f>CleanedData[[#This Row],[Ship Date]]&lt;CleanedData[[#This Row],[Order Date]]</f>
        <v>1</v>
      </c>
      <c r="Z270" s="10">
        <f>YEAR(CleanedData[[#This Row],[Order Date]])</f>
        <v>2023</v>
      </c>
      <c r="AA270" s="8">
        <f>MONTH(CleanedData[[#This Row],[Order Date]])</f>
        <v>6</v>
      </c>
    </row>
    <row r="271" spans="1:27" x14ac:dyDescent="0.35">
      <c r="A271" s="8" t="s">
        <v>1079</v>
      </c>
      <c r="B271" s="9">
        <v>45054</v>
      </c>
      <c r="C271" s="9">
        <v>45112</v>
      </c>
      <c r="D271" s="8" t="s">
        <v>1081</v>
      </c>
      <c r="E271" s="8" t="s">
        <v>48</v>
      </c>
      <c r="F271" s="8" t="s">
        <v>753</v>
      </c>
      <c r="G271" s="8" t="s">
        <v>78</v>
      </c>
      <c r="H271" s="8" t="s">
        <v>840</v>
      </c>
      <c r="I271" s="8" t="s">
        <v>4972</v>
      </c>
      <c r="J271" s="10">
        <v>789</v>
      </c>
      <c r="K271" s="11">
        <v>72.75</v>
      </c>
      <c r="L271" s="11">
        <v>90.3</v>
      </c>
      <c r="M271" s="11">
        <v>71246.7</v>
      </c>
      <c r="N271" s="11">
        <v>57399.75</v>
      </c>
      <c r="O271" s="11">
        <f>CleanedData[[#This Row],[Total Sales ($)]]-CleanedData[[#This Row],[Total Cost ($)]]</f>
        <v>13846.949999999997</v>
      </c>
      <c r="P271" s="12">
        <f>CleanedData[[#This Row],[Profit ($)]]/CleanedData[[#This Row],[Total Sales ($)]]</f>
        <v>0.19435215946843851</v>
      </c>
      <c r="Q271" s="8" t="s">
        <v>52</v>
      </c>
      <c r="R271" s="8" t="s">
        <v>63</v>
      </c>
      <c r="S271" s="8" t="b">
        <f>_xlfn.SINGLE(CleanedData[[#This Row],[Delivery Status]])="Late"</f>
        <v>0</v>
      </c>
      <c r="T271" s="10">
        <v>2</v>
      </c>
      <c r="U271" s="8" t="s">
        <v>43</v>
      </c>
      <c r="V271" s="10">
        <v>299</v>
      </c>
      <c r="W271" s="10">
        <v>19</v>
      </c>
      <c r="X271" s="12">
        <v>2.4081115335868101E-2</v>
      </c>
      <c r="Y271" s="8" t="b">
        <f>CleanedData[[#This Row],[Ship Date]]&lt;CleanedData[[#This Row],[Order Date]]</f>
        <v>0</v>
      </c>
      <c r="Z271" s="10">
        <f>YEAR(CleanedData[[#This Row],[Order Date]])</f>
        <v>2023</v>
      </c>
      <c r="AA271" s="8">
        <f>MONTH(CleanedData[[#This Row],[Order Date]])</f>
        <v>5</v>
      </c>
    </row>
    <row r="272" spans="1:27" x14ac:dyDescent="0.35">
      <c r="A272" s="8" t="s">
        <v>1082</v>
      </c>
      <c r="B272" s="9">
        <v>45074</v>
      </c>
      <c r="C272" s="9">
        <v>45183</v>
      </c>
      <c r="D272" s="8" t="s">
        <v>1083</v>
      </c>
      <c r="E272" s="8" t="s">
        <v>26</v>
      </c>
      <c r="F272" s="8" t="s">
        <v>92</v>
      </c>
      <c r="G272" s="8" t="s">
        <v>60</v>
      </c>
      <c r="H272" s="8" t="s">
        <v>780</v>
      </c>
      <c r="I272" s="8" t="s">
        <v>4968</v>
      </c>
      <c r="J272" s="10">
        <v>679</v>
      </c>
      <c r="K272" s="11">
        <v>208.74</v>
      </c>
      <c r="L272" s="11">
        <v>342.6</v>
      </c>
      <c r="M272" s="11">
        <v>232625.4</v>
      </c>
      <c r="N272" s="11">
        <v>141734.46</v>
      </c>
      <c r="O272" s="11">
        <f>CleanedData[[#This Row],[Total Sales ($)]]-CleanedData[[#This Row],[Total Cost ($)]]</f>
        <v>90890.94</v>
      </c>
      <c r="P272" s="12">
        <f>CleanedData[[#This Row],[Profit ($)]]/CleanedData[[#This Row],[Total Sales ($)]]</f>
        <v>0.39071803852889669</v>
      </c>
      <c r="Q272" s="8" t="s">
        <v>95</v>
      </c>
      <c r="R272" s="8" t="s">
        <v>63</v>
      </c>
      <c r="S272" s="8" t="b">
        <f>_xlfn.SINGLE(CleanedData[[#This Row],[Delivery Status]])="Late"</f>
        <v>0</v>
      </c>
      <c r="T272" s="10">
        <v>4</v>
      </c>
      <c r="U272" s="8" t="s">
        <v>112</v>
      </c>
      <c r="V272" s="10">
        <v>1411</v>
      </c>
      <c r="W272" s="10">
        <v>21</v>
      </c>
      <c r="X272" s="12">
        <v>3.0927835051546299E-2</v>
      </c>
      <c r="Y272" s="8" t="b">
        <f>CleanedData[[#This Row],[Ship Date]]&lt;CleanedData[[#This Row],[Order Date]]</f>
        <v>0</v>
      </c>
      <c r="Z272" s="10">
        <f>YEAR(CleanedData[[#This Row],[Order Date]])</f>
        <v>2023</v>
      </c>
      <c r="AA272" s="8">
        <f>MONTH(CleanedData[[#This Row],[Order Date]])</f>
        <v>5</v>
      </c>
    </row>
    <row r="273" spans="1:27" x14ac:dyDescent="0.35">
      <c r="A273" s="8" t="s">
        <v>1084</v>
      </c>
      <c r="B273" s="9">
        <v>45191</v>
      </c>
      <c r="C273" s="9">
        <v>45000</v>
      </c>
      <c r="D273" s="8" t="s">
        <v>1085</v>
      </c>
      <c r="E273" s="8" t="s">
        <v>26</v>
      </c>
      <c r="F273" s="8" t="s">
        <v>228</v>
      </c>
      <c r="G273" s="8" t="s">
        <v>28</v>
      </c>
      <c r="H273" s="8" t="s">
        <v>714</v>
      </c>
      <c r="I273" s="8" t="s">
        <v>4983</v>
      </c>
      <c r="J273" s="10">
        <v>153</v>
      </c>
      <c r="K273" s="11">
        <v>165.63</v>
      </c>
      <c r="L273" s="11">
        <v>210.63</v>
      </c>
      <c r="M273" s="11">
        <v>32226.39</v>
      </c>
      <c r="N273" s="11">
        <v>25341.39</v>
      </c>
      <c r="O273" s="11">
        <f>CleanedData[[#This Row],[Total Sales ($)]]-CleanedData[[#This Row],[Total Cost ($)]]</f>
        <v>6885</v>
      </c>
      <c r="P273" s="12">
        <f>CleanedData[[#This Row],[Profit ($)]]/CleanedData[[#This Row],[Total Sales ($)]]</f>
        <v>0.21364477994587666</v>
      </c>
      <c r="Q273" s="8" t="s">
        <v>42</v>
      </c>
      <c r="R273" s="8" t="s">
        <v>32</v>
      </c>
      <c r="S273" s="8" t="b">
        <f>_xlfn.SINGLE(CleanedData[[#This Row],[Delivery Status]])="Late"</f>
        <v>1</v>
      </c>
      <c r="T273" s="10">
        <v>8</v>
      </c>
      <c r="U273" s="8" t="s">
        <v>158</v>
      </c>
      <c r="V273" s="10">
        <v>3136</v>
      </c>
      <c r="W273" s="10">
        <v>4</v>
      </c>
      <c r="X273" s="12">
        <v>2.61437908496732E-2</v>
      </c>
      <c r="Y273" s="8" t="b">
        <f>CleanedData[[#This Row],[Ship Date]]&lt;CleanedData[[#This Row],[Order Date]]</f>
        <v>1</v>
      </c>
      <c r="Z273" s="10">
        <f>YEAR(CleanedData[[#This Row],[Order Date]])</f>
        <v>2023</v>
      </c>
      <c r="AA273" s="8">
        <f>MONTH(CleanedData[[#This Row],[Order Date]])</f>
        <v>9</v>
      </c>
    </row>
    <row r="274" spans="1:27" x14ac:dyDescent="0.35">
      <c r="A274" s="8" t="s">
        <v>1087</v>
      </c>
      <c r="B274" s="9">
        <v>45208</v>
      </c>
      <c r="C274" s="9">
        <v>44975</v>
      </c>
      <c r="D274" s="8" t="s">
        <v>1088</v>
      </c>
      <c r="E274" s="8" t="s">
        <v>68</v>
      </c>
      <c r="F274" s="8" t="s">
        <v>276</v>
      </c>
      <c r="G274" s="8" t="s">
        <v>70</v>
      </c>
      <c r="H274" s="8" t="s">
        <v>239</v>
      </c>
      <c r="I274" s="8" t="s">
        <v>4978</v>
      </c>
      <c r="J274" s="10">
        <v>630</v>
      </c>
      <c r="K274" s="11">
        <v>826.71</v>
      </c>
      <c r="L274" s="11">
        <v>1297.8900000000001</v>
      </c>
      <c r="M274" s="11">
        <v>817670.7</v>
      </c>
      <c r="N274" s="11">
        <v>520827.3</v>
      </c>
      <c r="O274" s="11">
        <f>CleanedData[[#This Row],[Total Sales ($)]]-CleanedData[[#This Row],[Total Cost ($)]]</f>
        <v>296843.39999999997</v>
      </c>
      <c r="P274" s="12">
        <f>CleanedData[[#This Row],[Profit ($)]]/CleanedData[[#This Row],[Total Sales ($)]]</f>
        <v>0.36303538820701292</v>
      </c>
      <c r="Q274" s="8" t="s">
        <v>31</v>
      </c>
      <c r="R274" s="8" t="s">
        <v>32</v>
      </c>
      <c r="S274" s="8" t="b">
        <f>_xlfn.SINGLE(CleanedData[[#This Row],[Delivery Status]])="Late"</f>
        <v>1</v>
      </c>
      <c r="T274" s="10">
        <v>8</v>
      </c>
      <c r="U274" s="8" t="s">
        <v>86</v>
      </c>
      <c r="V274" s="10">
        <v>21</v>
      </c>
      <c r="W274" s="10">
        <v>0</v>
      </c>
      <c r="X274" s="12">
        <v>0</v>
      </c>
      <c r="Y274" s="8" t="b">
        <f>CleanedData[[#This Row],[Ship Date]]&lt;CleanedData[[#This Row],[Order Date]]</f>
        <v>1</v>
      </c>
      <c r="Z274" s="10">
        <f>YEAR(CleanedData[[#This Row],[Order Date]])</f>
        <v>2023</v>
      </c>
      <c r="AA274" s="8">
        <f>MONTH(CleanedData[[#This Row],[Order Date]])</f>
        <v>10</v>
      </c>
    </row>
    <row r="275" spans="1:27" x14ac:dyDescent="0.35">
      <c r="A275" s="8" t="s">
        <v>1089</v>
      </c>
      <c r="B275" s="9">
        <v>45121</v>
      </c>
      <c r="C275" s="9">
        <v>45273</v>
      </c>
      <c r="D275" s="8" t="s">
        <v>1091</v>
      </c>
      <c r="E275" s="8" t="s">
        <v>68</v>
      </c>
      <c r="F275" s="8" t="s">
        <v>249</v>
      </c>
      <c r="G275" s="8" t="s">
        <v>50</v>
      </c>
      <c r="H275" s="8" t="s">
        <v>282</v>
      </c>
      <c r="I275" s="8" t="s">
        <v>4968</v>
      </c>
      <c r="J275" s="10">
        <v>640</v>
      </c>
      <c r="K275" s="11">
        <v>208.55</v>
      </c>
      <c r="L275" s="11">
        <v>334.83</v>
      </c>
      <c r="M275" s="11">
        <v>214291.20000000001</v>
      </c>
      <c r="N275" s="11">
        <v>133472</v>
      </c>
      <c r="O275" s="11">
        <f>CleanedData[[#This Row],[Total Sales ($)]]-CleanedData[[#This Row],[Total Cost ($)]]</f>
        <v>80819.200000000012</v>
      </c>
      <c r="P275" s="12">
        <f>CleanedData[[#This Row],[Profit ($)]]/CleanedData[[#This Row],[Total Sales ($)]]</f>
        <v>0.37714661171340685</v>
      </c>
      <c r="Q275" s="8" t="s">
        <v>42</v>
      </c>
      <c r="R275" s="8" t="s">
        <v>32</v>
      </c>
      <c r="S275" s="8" t="b">
        <f>_xlfn.SINGLE(CleanedData[[#This Row],[Delivery Status]])="Late"</f>
        <v>1</v>
      </c>
      <c r="T275" s="10">
        <v>14</v>
      </c>
      <c r="U275" s="8" t="s">
        <v>86</v>
      </c>
      <c r="V275" s="10">
        <v>1977</v>
      </c>
      <c r="W275" s="10">
        <v>10</v>
      </c>
      <c r="X275" s="12">
        <v>1.5625E-2</v>
      </c>
      <c r="Y275" s="8" t="b">
        <f>CleanedData[[#This Row],[Ship Date]]&lt;CleanedData[[#This Row],[Order Date]]</f>
        <v>0</v>
      </c>
      <c r="Z275" s="10">
        <f>YEAR(CleanedData[[#This Row],[Order Date]])</f>
        <v>2023</v>
      </c>
      <c r="AA275" s="8">
        <f>MONTH(CleanedData[[#This Row],[Order Date]])</f>
        <v>7</v>
      </c>
    </row>
    <row r="276" spans="1:27" x14ac:dyDescent="0.35">
      <c r="A276" s="8" t="s">
        <v>1092</v>
      </c>
      <c r="B276" s="9">
        <v>45284</v>
      </c>
      <c r="C276" s="9">
        <v>45023</v>
      </c>
      <c r="D276" s="8" t="s">
        <v>1094</v>
      </c>
      <c r="E276" s="8" t="s">
        <v>26</v>
      </c>
      <c r="F276" s="8" t="s">
        <v>38</v>
      </c>
      <c r="G276" s="8" t="s">
        <v>70</v>
      </c>
      <c r="H276" s="8" t="s">
        <v>1019</v>
      </c>
      <c r="I276" s="8" t="s">
        <v>4978</v>
      </c>
      <c r="J276" s="10">
        <v>91</v>
      </c>
      <c r="K276" s="11">
        <v>244.89</v>
      </c>
      <c r="L276" s="11">
        <v>380.53</v>
      </c>
      <c r="M276" s="11">
        <v>34628.230000000003</v>
      </c>
      <c r="N276" s="11">
        <v>22284.99</v>
      </c>
      <c r="O276" s="11">
        <f>CleanedData[[#This Row],[Total Sales ($)]]-CleanedData[[#This Row],[Total Cost ($)]]</f>
        <v>12343.240000000002</v>
      </c>
      <c r="P276" s="12">
        <f>CleanedData[[#This Row],[Profit ($)]]/CleanedData[[#This Row],[Total Sales ($)]]</f>
        <v>0.35645021417496653</v>
      </c>
      <c r="Q276" s="8" t="s">
        <v>95</v>
      </c>
      <c r="R276" s="8" t="s">
        <v>32</v>
      </c>
      <c r="S276" s="8" t="b">
        <f>_xlfn.SINGLE(CleanedData[[#This Row],[Delivery Status]])="Late"</f>
        <v>1</v>
      </c>
      <c r="T276" s="10">
        <v>11</v>
      </c>
      <c r="U276" s="8" t="s">
        <v>33</v>
      </c>
      <c r="V276" s="10">
        <v>4395</v>
      </c>
      <c r="W276" s="10">
        <v>2</v>
      </c>
      <c r="X276" s="12">
        <v>2.19780219780219E-2</v>
      </c>
      <c r="Y276" s="8" t="b">
        <f>CleanedData[[#This Row],[Ship Date]]&lt;CleanedData[[#This Row],[Order Date]]</f>
        <v>1</v>
      </c>
      <c r="Z276" s="10">
        <f>YEAR(CleanedData[[#This Row],[Order Date]])</f>
        <v>2023</v>
      </c>
      <c r="AA276" s="8">
        <f>MONTH(CleanedData[[#This Row],[Order Date]])</f>
        <v>12</v>
      </c>
    </row>
    <row r="277" spans="1:27" x14ac:dyDescent="0.35">
      <c r="A277" s="8" t="s">
        <v>1095</v>
      </c>
      <c r="B277" s="9">
        <v>45490</v>
      </c>
      <c r="C277" s="9">
        <v>45344</v>
      </c>
      <c r="D277" s="8" t="s">
        <v>1098</v>
      </c>
      <c r="E277" s="8" t="s">
        <v>100</v>
      </c>
      <c r="F277" s="8" t="s">
        <v>451</v>
      </c>
      <c r="G277" s="8" t="s">
        <v>39</v>
      </c>
      <c r="H277" s="8" t="s">
        <v>354</v>
      </c>
      <c r="I277" s="8" t="s">
        <v>4969</v>
      </c>
      <c r="J277" s="10">
        <v>720</v>
      </c>
      <c r="K277" s="11">
        <v>845.89</v>
      </c>
      <c r="L277" s="11">
        <v>1277.1400000000001</v>
      </c>
      <c r="M277" s="11">
        <v>919540.8</v>
      </c>
      <c r="N277" s="11">
        <v>609040.80000000005</v>
      </c>
      <c r="O277" s="11">
        <f>CleanedData[[#This Row],[Total Sales ($)]]-CleanedData[[#This Row],[Total Cost ($)]]</f>
        <v>310500</v>
      </c>
      <c r="P277" s="12">
        <f>CleanedData[[#This Row],[Profit ($)]]/CleanedData[[#This Row],[Total Sales ($)]]</f>
        <v>0.33766854064550478</v>
      </c>
      <c r="Q277" s="8" t="s">
        <v>31</v>
      </c>
      <c r="R277" s="8" t="s">
        <v>63</v>
      </c>
      <c r="S277" s="8" t="b">
        <f>_xlfn.SINGLE(CleanedData[[#This Row],[Delivery Status]])="Late"</f>
        <v>0</v>
      </c>
      <c r="T277" s="10">
        <v>1</v>
      </c>
      <c r="U277" s="8" t="s">
        <v>33</v>
      </c>
      <c r="V277" s="10">
        <v>1538</v>
      </c>
      <c r="W277" s="10">
        <v>30</v>
      </c>
      <c r="X277" s="12">
        <v>4.1666666666666602E-2</v>
      </c>
      <c r="Y277" s="8" t="b">
        <f>CleanedData[[#This Row],[Ship Date]]&lt;CleanedData[[#This Row],[Order Date]]</f>
        <v>1</v>
      </c>
      <c r="Z277" s="10">
        <f>YEAR(CleanedData[[#This Row],[Order Date]])</f>
        <v>2024</v>
      </c>
      <c r="AA277" s="8">
        <f>MONTH(CleanedData[[#This Row],[Order Date]])</f>
        <v>7</v>
      </c>
    </row>
    <row r="278" spans="1:27" x14ac:dyDescent="0.35">
      <c r="A278" s="8" t="s">
        <v>1099</v>
      </c>
      <c r="B278" s="9">
        <v>45419</v>
      </c>
      <c r="C278" s="9">
        <v>45471</v>
      </c>
      <c r="D278" s="8" t="s">
        <v>1101</v>
      </c>
      <c r="E278" s="8" t="s">
        <v>100</v>
      </c>
      <c r="F278" s="8" t="s">
        <v>238</v>
      </c>
      <c r="G278" s="8" t="s">
        <v>60</v>
      </c>
      <c r="H278" s="8" t="s">
        <v>265</v>
      </c>
      <c r="I278" s="8" t="s">
        <v>4968</v>
      </c>
      <c r="J278" s="10">
        <v>321</v>
      </c>
      <c r="K278" s="11">
        <v>344.49</v>
      </c>
      <c r="L278" s="11">
        <v>422.2</v>
      </c>
      <c r="M278" s="11">
        <v>135526.20000000001</v>
      </c>
      <c r="N278" s="11">
        <v>110581.29</v>
      </c>
      <c r="O278" s="11">
        <f>CleanedData[[#This Row],[Total Sales ($)]]-CleanedData[[#This Row],[Total Cost ($)]]</f>
        <v>24944.910000000018</v>
      </c>
      <c r="P278" s="12">
        <f>CleanedData[[#This Row],[Profit ($)]]/CleanedData[[#This Row],[Total Sales ($)]]</f>
        <v>0.18405968735196601</v>
      </c>
      <c r="Q278" s="8" t="s">
        <v>52</v>
      </c>
      <c r="R278" s="8" t="s">
        <v>63</v>
      </c>
      <c r="S278" s="8" t="b">
        <f>_xlfn.SINGLE(CleanedData[[#This Row],[Delivery Status]])="Late"</f>
        <v>0</v>
      </c>
      <c r="T278" s="10">
        <v>3</v>
      </c>
      <c r="U278" s="8" t="s">
        <v>53</v>
      </c>
      <c r="V278" s="10">
        <v>3393</v>
      </c>
      <c r="W278" s="10">
        <v>2</v>
      </c>
      <c r="X278" s="12">
        <v>6.2305295950154998E-3</v>
      </c>
      <c r="Y278" s="8" t="b">
        <f>CleanedData[[#This Row],[Ship Date]]&lt;CleanedData[[#This Row],[Order Date]]</f>
        <v>0</v>
      </c>
      <c r="Z278" s="10">
        <f>YEAR(CleanedData[[#This Row],[Order Date]])</f>
        <v>2024</v>
      </c>
      <c r="AA278" s="8">
        <f>MONTH(CleanedData[[#This Row],[Order Date]])</f>
        <v>5</v>
      </c>
    </row>
    <row r="279" spans="1:27" x14ac:dyDescent="0.35">
      <c r="A279" s="8" t="s">
        <v>1102</v>
      </c>
      <c r="B279" s="9">
        <v>45542</v>
      </c>
      <c r="C279" s="9">
        <v>45586</v>
      </c>
      <c r="D279" s="8" t="s">
        <v>1105</v>
      </c>
      <c r="E279" s="8" t="s">
        <v>48</v>
      </c>
      <c r="F279" s="8" t="s">
        <v>281</v>
      </c>
      <c r="G279" s="8" t="s">
        <v>217</v>
      </c>
      <c r="H279" s="8" t="s">
        <v>494</v>
      </c>
      <c r="I279" s="8" t="s">
        <v>4976</v>
      </c>
      <c r="J279" s="10">
        <v>649</v>
      </c>
      <c r="K279" s="11">
        <v>147.97999999999999</v>
      </c>
      <c r="L279" s="11">
        <v>166.86</v>
      </c>
      <c r="M279" s="11">
        <v>108292.14</v>
      </c>
      <c r="N279" s="11">
        <v>96039.02</v>
      </c>
      <c r="O279" s="11">
        <f>CleanedData[[#This Row],[Total Sales ($)]]-CleanedData[[#This Row],[Total Cost ($)]]</f>
        <v>12253.119999999995</v>
      </c>
      <c r="P279" s="12">
        <f>CleanedData[[#This Row],[Profit ($)]]/CleanedData[[#This Row],[Total Sales ($)]]</f>
        <v>0.11314874745295453</v>
      </c>
      <c r="Q279" s="8" t="s">
        <v>95</v>
      </c>
      <c r="R279" s="8" t="s">
        <v>63</v>
      </c>
      <c r="S279" s="8" t="b">
        <f>_xlfn.SINGLE(CleanedData[[#This Row],[Delivery Status]])="Late"</f>
        <v>0</v>
      </c>
      <c r="T279" s="10">
        <v>2</v>
      </c>
      <c r="U279" s="8" t="s">
        <v>33</v>
      </c>
      <c r="V279" s="10">
        <v>2821</v>
      </c>
      <c r="W279" s="10">
        <v>32</v>
      </c>
      <c r="X279" s="12">
        <v>4.9306625577811999E-2</v>
      </c>
      <c r="Y279" s="8" t="b">
        <f>CleanedData[[#This Row],[Ship Date]]&lt;CleanedData[[#This Row],[Order Date]]</f>
        <v>0</v>
      </c>
      <c r="Z279" s="10">
        <f>YEAR(CleanedData[[#This Row],[Order Date]])</f>
        <v>2024</v>
      </c>
      <c r="AA279" s="8">
        <f>MONTH(CleanedData[[#This Row],[Order Date]])</f>
        <v>9</v>
      </c>
    </row>
    <row r="280" spans="1:27" x14ac:dyDescent="0.35">
      <c r="A280" s="8" t="s">
        <v>1106</v>
      </c>
      <c r="B280" s="9">
        <v>44946</v>
      </c>
      <c r="C280" s="9">
        <v>45222</v>
      </c>
      <c r="D280" s="8" t="s">
        <v>1108</v>
      </c>
      <c r="E280" s="8" t="s">
        <v>4972</v>
      </c>
      <c r="F280" s="8" t="s">
        <v>49</v>
      </c>
      <c r="G280" s="8" t="s">
        <v>78</v>
      </c>
      <c r="H280" s="8" t="s">
        <v>840</v>
      </c>
      <c r="I280" s="8" t="s">
        <v>4979</v>
      </c>
      <c r="J280" s="10">
        <v>0</v>
      </c>
      <c r="K280" s="11">
        <v>1131.3499999999999</v>
      </c>
      <c r="L280" s="11">
        <v>1856.75</v>
      </c>
      <c r="M280" s="11">
        <v>1156755.25</v>
      </c>
      <c r="N280" s="11">
        <v>704831.05</v>
      </c>
      <c r="O280" s="11">
        <f>CleanedData[[#This Row],[Total Sales ($)]]-CleanedData[[#This Row],[Total Cost ($)]]</f>
        <v>451924.19999999995</v>
      </c>
      <c r="P280" s="12">
        <f>CleanedData[[#This Row],[Profit ($)]]/CleanedData[[#This Row],[Total Sales ($)]]</f>
        <v>0.39068264440554729</v>
      </c>
      <c r="Q280" s="8" t="s">
        <v>42</v>
      </c>
      <c r="R280" s="8" t="s">
        <v>63</v>
      </c>
      <c r="S280" s="8" t="b">
        <f>_xlfn.SINGLE(CleanedData[[#This Row],[Delivery Status]])="Late"</f>
        <v>0</v>
      </c>
      <c r="T280" s="10">
        <v>2</v>
      </c>
      <c r="U280" s="8" t="s">
        <v>43</v>
      </c>
      <c r="V280" s="10">
        <v>2357</v>
      </c>
      <c r="W280" s="10">
        <v>21</v>
      </c>
      <c r="X280" s="12"/>
      <c r="Y280" s="8" t="b">
        <f>CleanedData[[#This Row],[Ship Date]]&lt;CleanedData[[#This Row],[Order Date]]</f>
        <v>0</v>
      </c>
      <c r="Z280" s="10">
        <f>YEAR(CleanedData[[#This Row],[Order Date]])</f>
        <v>2023</v>
      </c>
      <c r="AA280" s="8">
        <f>MONTH(CleanedData[[#This Row],[Order Date]])</f>
        <v>1</v>
      </c>
    </row>
    <row r="281" spans="1:27" x14ac:dyDescent="0.35">
      <c r="A281" s="8" t="s">
        <v>1109</v>
      </c>
      <c r="B281" s="9">
        <v>45618</v>
      </c>
      <c r="C281" s="9">
        <v>45484</v>
      </c>
      <c r="D281" s="8" t="s">
        <v>1112</v>
      </c>
      <c r="E281" s="8" t="s">
        <v>58</v>
      </c>
      <c r="F281" s="8" t="s">
        <v>59</v>
      </c>
      <c r="G281" s="8" t="s">
        <v>217</v>
      </c>
      <c r="H281" s="8" t="s">
        <v>340</v>
      </c>
      <c r="I281" s="8" t="s">
        <v>4976</v>
      </c>
      <c r="J281" s="10">
        <v>246</v>
      </c>
      <c r="K281" s="11">
        <v>439.38</v>
      </c>
      <c r="L281" s="11">
        <v>680.8</v>
      </c>
      <c r="M281" s="11">
        <v>167476.79999999999</v>
      </c>
      <c r="N281" s="11">
        <v>108087.48</v>
      </c>
      <c r="O281" s="11">
        <f>CleanedData[[#This Row],[Total Sales ($)]]-CleanedData[[#This Row],[Total Cost ($)]]</f>
        <v>59389.319999999992</v>
      </c>
      <c r="P281" s="12">
        <f>CleanedData[[#This Row],[Profit ($)]]/CleanedData[[#This Row],[Total Sales ($)]]</f>
        <v>0.35461222091656874</v>
      </c>
      <c r="Q281" s="8" t="s">
        <v>95</v>
      </c>
      <c r="R281" s="8" t="s">
        <v>32</v>
      </c>
      <c r="S281" s="8" t="b">
        <f>_xlfn.SINGLE(CleanedData[[#This Row],[Delivery Status]])="Late"</f>
        <v>1</v>
      </c>
      <c r="T281" s="10">
        <v>15</v>
      </c>
      <c r="U281" s="8" t="s">
        <v>86</v>
      </c>
      <c r="V281" s="10">
        <v>311</v>
      </c>
      <c r="W281" s="10">
        <v>11</v>
      </c>
      <c r="X281" s="12">
        <v>4.4715447154471497E-2</v>
      </c>
      <c r="Y281" s="8" t="b">
        <f>CleanedData[[#This Row],[Ship Date]]&lt;CleanedData[[#This Row],[Order Date]]</f>
        <v>1</v>
      </c>
      <c r="Z281" s="10">
        <f>YEAR(CleanedData[[#This Row],[Order Date]])</f>
        <v>2024</v>
      </c>
      <c r="AA281" s="8">
        <f>MONTH(CleanedData[[#This Row],[Order Date]])</f>
        <v>11</v>
      </c>
    </row>
    <row r="282" spans="1:27" x14ac:dyDescent="0.35">
      <c r="A282" s="8" t="s">
        <v>1113</v>
      </c>
      <c r="B282" s="9">
        <v>45129</v>
      </c>
      <c r="C282" s="9">
        <v>44986</v>
      </c>
      <c r="D282" s="8" t="s">
        <v>1116</v>
      </c>
      <c r="E282" s="8" t="s">
        <v>26</v>
      </c>
      <c r="F282" s="8" t="s">
        <v>38</v>
      </c>
      <c r="G282" s="8" t="s">
        <v>78</v>
      </c>
      <c r="H282" s="8" t="s">
        <v>572</v>
      </c>
      <c r="I282" s="8" t="s">
        <v>4968</v>
      </c>
      <c r="J282" s="10">
        <v>597</v>
      </c>
      <c r="K282" s="11">
        <v>671.95</v>
      </c>
      <c r="L282" s="11">
        <v>908.95</v>
      </c>
      <c r="M282" s="11">
        <v>542643.15</v>
      </c>
      <c r="N282" s="11">
        <v>401154.15</v>
      </c>
      <c r="O282" s="11">
        <f>CleanedData[[#This Row],[Total Sales ($)]]-CleanedData[[#This Row],[Total Cost ($)]]</f>
        <v>141489</v>
      </c>
      <c r="P282" s="12">
        <f>CleanedData[[#This Row],[Profit ($)]]/CleanedData[[#This Row],[Total Sales ($)]]</f>
        <v>0.26074041476428844</v>
      </c>
      <c r="Q282" s="8" t="s">
        <v>42</v>
      </c>
      <c r="R282" s="8" t="s">
        <v>63</v>
      </c>
      <c r="S282" s="8" t="b">
        <f>_xlfn.SINGLE(CleanedData[[#This Row],[Delivery Status]])="Late"</f>
        <v>0</v>
      </c>
      <c r="T282" s="10">
        <v>2</v>
      </c>
      <c r="U282" s="8" t="s">
        <v>158</v>
      </c>
      <c r="V282" s="10">
        <v>3001</v>
      </c>
      <c r="W282" s="10">
        <v>25</v>
      </c>
      <c r="X282" s="12">
        <v>4.1876046901172498E-2</v>
      </c>
      <c r="Y282" s="8" t="b">
        <f>CleanedData[[#This Row],[Ship Date]]&lt;CleanedData[[#This Row],[Order Date]]</f>
        <v>1</v>
      </c>
      <c r="Z282" s="10">
        <f>YEAR(CleanedData[[#This Row],[Order Date]])</f>
        <v>2023</v>
      </c>
      <c r="AA282" s="8">
        <f>MONTH(CleanedData[[#This Row],[Order Date]])</f>
        <v>7</v>
      </c>
    </row>
    <row r="283" spans="1:27" x14ac:dyDescent="0.35">
      <c r="A283" s="8" t="s">
        <v>1118</v>
      </c>
      <c r="B283" s="9">
        <v>45152</v>
      </c>
      <c r="C283" s="9">
        <v>45179</v>
      </c>
      <c r="D283" s="8" t="s">
        <v>1120</v>
      </c>
      <c r="E283" s="8" t="s">
        <v>100</v>
      </c>
      <c r="F283" s="8" t="s">
        <v>101</v>
      </c>
      <c r="G283" s="8" t="s">
        <v>70</v>
      </c>
      <c r="H283" s="8" t="s">
        <v>71</v>
      </c>
      <c r="I283" s="8" t="s">
        <v>4979</v>
      </c>
      <c r="J283" s="10">
        <v>510</v>
      </c>
      <c r="K283" s="11">
        <v>113.89</v>
      </c>
      <c r="L283" s="11">
        <v>145.69999999999999</v>
      </c>
      <c r="M283" s="11">
        <v>74307</v>
      </c>
      <c r="N283" s="11">
        <v>58083.9</v>
      </c>
      <c r="O283" s="11">
        <f>CleanedData[[#This Row],[Total Sales ($)]]-CleanedData[[#This Row],[Total Cost ($)]]</f>
        <v>16223.099999999999</v>
      </c>
      <c r="P283" s="12">
        <f>CleanedData[[#This Row],[Profit ($)]]/CleanedData[[#This Row],[Total Sales ($)]]</f>
        <v>0.21832532601235413</v>
      </c>
      <c r="Q283" s="8" t="s">
        <v>31</v>
      </c>
      <c r="R283" s="8" t="s">
        <v>32</v>
      </c>
      <c r="S283" s="8" t="b">
        <f>_xlfn.SINGLE(CleanedData[[#This Row],[Delivery Status]])="Late"</f>
        <v>1</v>
      </c>
      <c r="T283" s="10">
        <v>12</v>
      </c>
      <c r="U283" s="8" t="s">
        <v>86</v>
      </c>
      <c r="V283" s="10">
        <v>2796</v>
      </c>
      <c r="W283" s="10">
        <v>13</v>
      </c>
      <c r="X283" s="12">
        <v>2.5490196078431299E-2</v>
      </c>
      <c r="Y283" s="8" t="b">
        <f>CleanedData[[#This Row],[Ship Date]]&lt;CleanedData[[#This Row],[Order Date]]</f>
        <v>0</v>
      </c>
      <c r="Z283" s="10">
        <f>YEAR(CleanedData[[#This Row],[Order Date]])</f>
        <v>2023</v>
      </c>
      <c r="AA283" s="8">
        <f>MONTH(CleanedData[[#This Row],[Order Date]])</f>
        <v>8</v>
      </c>
    </row>
    <row r="284" spans="1:27" x14ac:dyDescent="0.35">
      <c r="A284" s="8" t="s">
        <v>1121</v>
      </c>
      <c r="B284" s="9">
        <v>45363</v>
      </c>
      <c r="C284" s="9">
        <v>45634</v>
      </c>
      <c r="D284" s="8" t="s">
        <v>1123</v>
      </c>
      <c r="E284" s="8" t="s">
        <v>100</v>
      </c>
      <c r="F284" s="8" t="s">
        <v>238</v>
      </c>
      <c r="G284" s="8" t="s">
        <v>217</v>
      </c>
      <c r="H284" s="8" t="s">
        <v>524</v>
      </c>
      <c r="I284" s="8" t="s">
        <v>4967</v>
      </c>
      <c r="J284" s="10">
        <v>699</v>
      </c>
      <c r="K284" s="11">
        <v>138.94</v>
      </c>
      <c r="L284" s="11">
        <v>164.87</v>
      </c>
      <c r="M284" s="11">
        <v>115244.13</v>
      </c>
      <c r="N284" s="11">
        <v>97119.06</v>
      </c>
      <c r="O284" s="11">
        <f>CleanedData[[#This Row],[Total Sales ($)]]-CleanedData[[#This Row],[Total Cost ($)]]</f>
        <v>18125.070000000007</v>
      </c>
      <c r="P284" s="12">
        <f>CleanedData[[#This Row],[Profit ($)]]/CleanedData[[#This Row],[Total Sales ($)]]</f>
        <v>0.15727542912597811</v>
      </c>
      <c r="Q284" s="8" t="s">
        <v>31</v>
      </c>
      <c r="R284" s="8" t="s">
        <v>63</v>
      </c>
      <c r="S284" s="8" t="b">
        <f>_xlfn.SINGLE(CleanedData[[#This Row],[Delivery Status]])="Late"</f>
        <v>0</v>
      </c>
      <c r="T284" s="10">
        <v>3</v>
      </c>
      <c r="U284" s="8" t="s">
        <v>112</v>
      </c>
      <c r="V284" s="10">
        <v>708</v>
      </c>
      <c r="W284" s="10">
        <v>2</v>
      </c>
      <c r="X284" s="12">
        <v>2.8612303290413998E-3</v>
      </c>
      <c r="Y284" s="8" t="b">
        <f>CleanedData[[#This Row],[Ship Date]]&lt;CleanedData[[#This Row],[Order Date]]</f>
        <v>0</v>
      </c>
      <c r="Z284" s="10">
        <f>YEAR(CleanedData[[#This Row],[Order Date]])</f>
        <v>2024</v>
      </c>
      <c r="AA284" s="8">
        <f>MONTH(CleanedData[[#This Row],[Order Date]])</f>
        <v>3</v>
      </c>
    </row>
    <row r="285" spans="1:27" x14ac:dyDescent="0.35">
      <c r="A285" s="8" t="s">
        <v>1124</v>
      </c>
      <c r="B285" s="9">
        <v>45037</v>
      </c>
      <c r="C285" s="9">
        <v>44937</v>
      </c>
      <c r="D285" s="8" t="s">
        <v>1126</v>
      </c>
      <c r="E285" s="8" t="s">
        <v>58</v>
      </c>
      <c r="F285" s="8" t="s">
        <v>122</v>
      </c>
      <c r="G285" s="8" t="s">
        <v>50</v>
      </c>
      <c r="H285" s="8" t="s">
        <v>117</v>
      </c>
      <c r="I285" s="8" t="s">
        <v>4975</v>
      </c>
      <c r="J285" s="10">
        <v>629</v>
      </c>
      <c r="K285" s="11">
        <v>741.75</v>
      </c>
      <c r="L285" s="11">
        <v>1081.31</v>
      </c>
      <c r="M285" s="11">
        <v>680143.99</v>
      </c>
      <c r="N285" s="11">
        <v>466560.75</v>
      </c>
      <c r="O285" s="11">
        <f>CleanedData[[#This Row],[Total Sales ($)]]-CleanedData[[#This Row],[Total Cost ($)]]</f>
        <v>213583.24</v>
      </c>
      <c r="P285" s="12">
        <f>CleanedData[[#This Row],[Profit ($)]]/CleanedData[[#This Row],[Total Sales ($)]]</f>
        <v>0.31402650488759004</v>
      </c>
      <c r="Q285" s="8" t="s">
        <v>42</v>
      </c>
      <c r="R285" s="8" t="s">
        <v>32</v>
      </c>
      <c r="S285" s="8" t="b">
        <f>_xlfn.SINGLE(CleanedData[[#This Row],[Delivery Status]])="Late"</f>
        <v>1</v>
      </c>
      <c r="T285" s="10">
        <v>6</v>
      </c>
      <c r="U285" s="8" t="s">
        <v>112</v>
      </c>
      <c r="V285" s="10">
        <v>2050</v>
      </c>
      <c r="W285" s="10">
        <v>30</v>
      </c>
      <c r="X285" s="12">
        <v>4.7694753577106501E-2</v>
      </c>
      <c r="Y285" s="8" t="b">
        <f>CleanedData[[#This Row],[Ship Date]]&lt;CleanedData[[#This Row],[Order Date]]</f>
        <v>1</v>
      </c>
      <c r="Z285" s="10">
        <f>YEAR(CleanedData[[#This Row],[Order Date]])</f>
        <v>2023</v>
      </c>
      <c r="AA285" s="8">
        <f>MONTH(CleanedData[[#This Row],[Order Date]])</f>
        <v>4</v>
      </c>
    </row>
    <row r="286" spans="1:27" x14ac:dyDescent="0.35">
      <c r="A286" s="8" t="s">
        <v>1127</v>
      </c>
      <c r="B286" s="9">
        <v>45060</v>
      </c>
      <c r="C286" s="9">
        <v>45114</v>
      </c>
      <c r="D286" s="8" t="s">
        <v>1128</v>
      </c>
      <c r="E286" s="8" t="s">
        <v>100</v>
      </c>
      <c r="F286" s="8" t="s">
        <v>106</v>
      </c>
      <c r="G286" s="8" t="s">
        <v>39</v>
      </c>
      <c r="H286" s="8" t="s">
        <v>412</v>
      </c>
      <c r="I286" s="8" t="s">
        <v>4979</v>
      </c>
      <c r="J286" s="10">
        <v>231</v>
      </c>
      <c r="K286" s="11">
        <v>995.15</v>
      </c>
      <c r="L286" s="11">
        <v>1339.29</v>
      </c>
      <c r="M286" s="11">
        <v>309375.99</v>
      </c>
      <c r="N286" s="11">
        <v>229879.65</v>
      </c>
      <c r="O286" s="11">
        <f>CleanedData[[#This Row],[Total Sales ($)]]-CleanedData[[#This Row],[Total Cost ($)]]</f>
        <v>79496.34</v>
      </c>
      <c r="P286" s="12">
        <f>CleanedData[[#This Row],[Profit ($)]]/CleanedData[[#This Row],[Total Sales ($)]]</f>
        <v>0.25695704440412459</v>
      </c>
      <c r="Q286" s="8" t="s">
        <v>42</v>
      </c>
      <c r="R286" s="8" t="s">
        <v>63</v>
      </c>
      <c r="S286" s="8" t="b">
        <f>_xlfn.SINGLE(CleanedData[[#This Row],[Delivery Status]])="Late"</f>
        <v>0</v>
      </c>
      <c r="T286" s="10">
        <v>2</v>
      </c>
      <c r="U286" s="8" t="s">
        <v>158</v>
      </c>
      <c r="V286" s="10">
        <v>837</v>
      </c>
      <c r="W286" s="10">
        <v>11</v>
      </c>
      <c r="X286" s="12">
        <v>4.7619047619047603E-2</v>
      </c>
      <c r="Y286" s="8" t="b">
        <f>CleanedData[[#This Row],[Ship Date]]&lt;CleanedData[[#This Row],[Order Date]]</f>
        <v>0</v>
      </c>
      <c r="Z286" s="10">
        <f>YEAR(CleanedData[[#This Row],[Order Date]])</f>
        <v>2023</v>
      </c>
      <c r="AA286" s="8">
        <f>MONTH(CleanedData[[#This Row],[Order Date]])</f>
        <v>5</v>
      </c>
    </row>
    <row r="287" spans="1:27" x14ac:dyDescent="0.35">
      <c r="A287" s="8" t="s">
        <v>1129</v>
      </c>
      <c r="B287" s="9">
        <v>45040</v>
      </c>
      <c r="C287" s="9">
        <v>45190</v>
      </c>
      <c r="D287" s="8" t="s">
        <v>1131</v>
      </c>
      <c r="E287" s="8" t="s">
        <v>26</v>
      </c>
      <c r="F287" s="8" t="s">
        <v>92</v>
      </c>
      <c r="G287" s="8" t="s">
        <v>129</v>
      </c>
      <c r="H287" s="8" t="s">
        <v>704</v>
      </c>
      <c r="I287" s="8" t="s">
        <v>4976</v>
      </c>
      <c r="J287" s="10">
        <v>476</v>
      </c>
      <c r="K287" s="11">
        <v>864.15</v>
      </c>
      <c r="L287" s="11">
        <v>1097.57</v>
      </c>
      <c r="M287" s="11">
        <v>522443.32</v>
      </c>
      <c r="N287" s="11">
        <v>411335.4</v>
      </c>
      <c r="O287" s="11">
        <f>CleanedData[[#This Row],[Total Sales ($)]]-CleanedData[[#This Row],[Total Cost ($)]]</f>
        <v>111107.91999999998</v>
      </c>
      <c r="P287" s="12">
        <f>CleanedData[[#This Row],[Profit ($)]]/CleanedData[[#This Row],[Total Sales ($)]]</f>
        <v>0.21266980693714294</v>
      </c>
      <c r="Q287" s="8" t="s">
        <v>31</v>
      </c>
      <c r="R287" s="8" t="s">
        <v>32</v>
      </c>
      <c r="S287" s="8" t="b">
        <f>_xlfn.SINGLE(CleanedData[[#This Row],[Delivery Status]])="Late"</f>
        <v>1</v>
      </c>
      <c r="T287" s="10">
        <v>7</v>
      </c>
      <c r="U287" s="8" t="s">
        <v>53</v>
      </c>
      <c r="V287" s="10">
        <v>1537</v>
      </c>
      <c r="W287" s="10">
        <v>13</v>
      </c>
      <c r="X287" s="12">
        <v>2.7310924369747899E-2</v>
      </c>
      <c r="Y287" s="8" t="b">
        <f>CleanedData[[#This Row],[Ship Date]]&lt;CleanedData[[#This Row],[Order Date]]</f>
        <v>0</v>
      </c>
      <c r="Z287" s="10">
        <f>YEAR(CleanedData[[#This Row],[Order Date]])</f>
        <v>2023</v>
      </c>
      <c r="AA287" s="8">
        <f>MONTH(CleanedData[[#This Row],[Order Date]])</f>
        <v>4</v>
      </c>
    </row>
    <row r="288" spans="1:27" x14ac:dyDescent="0.35">
      <c r="A288" s="8" t="s">
        <v>1132</v>
      </c>
      <c r="B288" s="9">
        <v>45194</v>
      </c>
      <c r="C288" s="9">
        <v>45055</v>
      </c>
      <c r="D288" s="8" t="s">
        <v>1134</v>
      </c>
      <c r="E288" s="8" t="s">
        <v>26</v>
      </c>
      <c r="F288" s="8" t="s">
        <v>27</v>
      </c>
      <c r="G288" s="8" t="s">
        <v>50</v>
      </c>
      <c r="H288" s="8" t="s">
        <v>107</v>
      </c>
      <c r="I288" s="8" t="s">
        <v>4967</v>
      </c>
      <c r="J288" s="10">
        <v>331</v>
      </c>
      <c r="K288" s="11">
        <v>463.46</v>
      </c>
      <c r="L288" s="11">
        <v>667.26</v>
      </c>
      <c r="M288" s="11">
        <v>220863.06</v>
      </c>
      <c r="N288" s="11">
        <v>153405.26</v>
      </c>
      <c r="O288" s="11">
        <f>CleanedData[[#This Row],[Total Sales ($)]]-CleanedData[[#This Row],[Total Cost ($)]]</f>
        <v>67457.799999999988</v>
      </c>
      <c r="P288" s="12">
        <f>CleanedData[[#This Row],[Profit ($)]]/CleanedData[[#This Row],[Total Sales ($)]]</f>
        <v>0.30542816892965258</v>
      </c>
      <c r="Q288" s="8" t="s">
        <v>31</v>
      </c>
      <c r="R288" s="8" t="s">
        <v>32</v>
      </c>
      <c r="S288" s="8" t="b">
        <f>_xlfn.SINGLE(CleanedData[[#This Row],[Delivery Status]])="Late"</f>
        <v>1</v>
      </c>
      <c r="T288" s="10">
        <v>7</v>
      </c>
      <c r="U288" s="8" t="s">
        <v>158</v>
      </c>
      <c r="V288" s="10">
        <v>1013</v>
      </c>
      <c r="W288" s="10">
        <v>15</v>
      </c>
      <c r="X288" s="12">
        <v>4.5317220543806602E-2</v>
      </c>
      <c r="Y288" s="8" t="b">
        <f>CleanedData[[#This Row],[Ship Date]]&lt;CleanedData[[#This Row],[Order Date]]</f>
        <v>1</v>
      </c>
      <c r="Z288" s="10">
        <f>YEAR(CleanedData[[#This Row],[Order Date]])</f>
        <v>2023</v>
      </c>
      <c r="AA288" s="8">
        <f>MONTH(CleanedData[[#This Row],[Order Date]])</f>
        <v>9</v>
      </c>
    </row>
    <row r="289" spans="1:27" x14ac:dyDescent="0.35">
      <c r="A289" s="8" t="s">
        <v>1135</v>
      </c>
      <c r="B289" s="9">
        <v>44947</v>
      </c>
      <c r="C289" s="9">
        <v>45068</v>
      </c>
      <c r="D289" s="8" t="s">
        <v>1136</v>
      </c>
      <c r="E289" s="8" t="s">
        <v>58</v>
      </c>
      <c r="F289" s="8" t="s">
        <v>259</v>
      </c>
      <c r="G289" s="8" t="s">
        <v>50</v>
      </c>
      <c r="H289" s="8" t="s">
        <v>51</v>
      </c>
      <c r="I289" s="8" t="s">
        <v>4968</v>
      </c>
      <c r="J289" s="10">
        <v>562</v>
      </c>
      <c r="K289" s="11">
        <v>47.51</v>
      </c>
      <c r="L289" s="11">
        <v>59.04</v>
      </c>
      <c r="M289" s="11">
        <v>33180.480000000003</v>
      </c>
      <c r="N289" s="11">
        <v>26700.62</v>
      </c>
      <c r="O289" s="11">
        <f>CleanedData[[#This Row],[Total Sales ($)]]-CleanedData[[#This Row],[Total Cost ($)]]</f>
        <v>6479.8600000000042</v>
      </c>
      <c r="P289" s="12">
        <f>CleanedData[[#This Row],[Profit ($)]]/CleanedData[[#This Row],[Total Sales ($)]]</f>
        <v>0.19529132791327924</v>
      </c>
      <c r="Q289" s="8" t="s">
        <v>52</v>
      </c>
      <c r="R289" s="8" t="s">
        <v>32</v>
      </c>
      <c r="S289" s="8" t="b">
        <f>_xlfn.SINGLE(CleanedData[[#This Row],[Delivery Status]])="Late"</f>
        <v>1</v>
      </c>
      <c r="T289" s="10">
        <v>12</v>
      </c>
      <c r="U289" s="8" t="s">
        <v>86</v>
      </c>
      <c r="V289" s="10">
        <v>816</v>
      </c>
      <c r="W289" s="10">
        <v>3</v>
      </c>
      <c r="X289" s="12">
        <v>5.3380782918148999E-3</v>
      </c>
      <c r="Y289" s="8" t="b">
        <f>CleanedData[[#This Row],[Ship Date]]&lt;CleanedData[[#This Row],[Order Date]]</f>
        <v>0</v>
      </c>
      <c r="Z289" s="10">
        <f>YEAR(CleanedData[[#This Row],[Order Date]])</f>
        <v>2023</v>
      </c>
      <c r="AA289" s="8">
        <f>MONTH(CleanedData[[#This Row],[Order Date]])</f>
        <v>1</v>
      </c>
    </row>
    <row r="290" spans="1:27" x14ac:dyDescent="0.35">
      <c r="A290" s="8" t="s">
        <v>1137</v>
      </c>
      <c r="B290" s="9">
        <v>45617</v>
      </c>
      <c r="C290" s="9">
        <v>45622</v>
      </c>
      <c r="D290" s="8" t="s">
        <v>469</v>
      </c>
      <c r="E290" s="8" t="s">
        <v>100</v>
      </c>
      <c r="F290" s="8" t="s">
        <v>330</v>
      </c>
      <c r="G290" s="8" t="s">
        <v>60</v>
      </c>
      <c r="H290" s="8" t="s">
        <v>400</v>
      </c>
      <c r="I290" s="8" t="s">
        <v>4979</v>
      </c>
      <c r="J290" s="10">
        <v>113</v>
      </c>
      <c r="K290" s="11">
        <v>551.27</v>
      </c>
      <c r="L290" s="11">
        <v>784.92</v>
      </c>
      <c r="M290" s="11">
        <v>88695.96</v>
      </c>
      <c r="N290" s="11">
        <v>62293.51</v>
      </c>
      <c r="O290" s="11">
        <f>CleanedData[[#This Row],[Total Sales ($)]]-CleanedData[[#This Row],[Total Cost ($)]]</f>
        <v>26402.450000000004</v>
      </c>
      <c r="P290" s="12">
        <f>CleanedData[[#This Row],[Profit ($)]]/CleanedData[[#This Row],[Total Sales ($)]]</f>
        <v>0.2976736482698874</v>
      </c>
      <c r="Q290" s="8" t="s">
        <v>42</v>
      </c>
      <c r="R290" s="8" t="s">
        <v>32</v>
      </c>
      <c r="S290" s="8" t="b">
        <f>_xlfn.SINGLE(CleanedData[[#This Row],[Delivery Status]])="Late"</f>
        <v>1</v>
      </c>
      <c r="T290" s="10">
        <v>7</v>
      </c>
      <c r="U290" s="8" t="s">
        <v>53</v>
      </c>
      <c r="V290" s="10">
        <v>1015</v>
      </c>
      <c r="W290" s="10">
        <v>5</v>
      </c>
      <c r="X290" s="12">
        <v>4.4247787610619399E-2</v>
      </c>
      <c r="Y290" s="8" t="b">
        <f>CleanedData[[#This Row],[Ship Date]]&lt;CleanedData[[#This Row],[Order Date]]</f>
        <v>0</v>
      </c>
      <c r="Z290" s="10">
        <f>YEAR(CleanedData[[#This Row],[Order Date]])</f>
        <v>2024</v>
      </c>
      <c r="AA290" s="8">
        <f>MONTH(CleanedData[[#This Row],[Order Date]])</f>
        <v>11</v>
      </c>
    </row>
    <row r="291" spans="1:27" x14ac:dyDescent="0.35">
      <c r="A291" s="8" t="s">
        <v>1139</v>
      </c>
      <c r="B291" s="9">
        <v>45330</v>
      </c>
      <c r="C291" s="9">
        <v>45495</v>
      </c>
      <c r="D291" s="8" t="s">
        <v>1141</v>
      </c>
      <c r="E291" s="8" t="s">
        <v>26</v>
      </c>
      <c r="F291" s="8" t="s">
        <v>27</v>
      </c>
      <c r="G291" s="8" t="s">
        <v>28</v>
      </c>
      <c r="H291" s="8" t="s">
        <v>29</v>
      </c>
      <c r="I291" s="8" t="s">
        <v>4977</v>
      </c>
      <c r="J291" s="10">
        <v>78</v>
      </c>
      <c r="K291" s="11">
        <v>1016.23</v>
      </c>
      <c r="L291" s="11">
        <v>1265.8900000000001</v>
      </c>
      <c r="M291" s="11">
        <v>98739.42</v>
      </c>
      <c r="N291" s="11">
        <v>79265.94</v>
      </c>
      <c r="O291" s="11">
        <f>CleanedData[[#This Row],[Total Sales ($)]]-CleanedData[[#This Row],[Total Cost ($)]]</f>
        <v>19473.479999999996</v>
      </c>
      <c r="P291" s="12">
        <f>CleanedData[[#This Row],[Profit ($)]]/CleanedData[[#This Row],[Total Sales ($)]]</f>
        <v>0.19722092756874607</v>
      </c>
      <c r="Q291" s="8" t="s">
        <v>95</v>
      </c>
      <c r="R291" s="8" t="s">
        <v>32</v>
      </c>
      <c r="S291" s="8" t="b">
        <f>_xlfn.SINGLE(CleanedData[[#This Row],[Delivery Status]])="Late"</f>
        <v>1</v>
      </c>
      <c r="T291" s="10">
        <v>15</v>
      </c>
      <c r="U291" s="8" t="s">
        <v>158</v>
      </c>
      <c r="V291" s="10">
        <v>4086</v>
      </c>
      <c r="W291" s="10">
        <v>1</v>
      </c>
      <c r="X291" s="12">
        <v>1.2820512820512799E-2</v>
      </c>
      <c r="Y291" s="8" t="b">
        <f>CleanedData[[#This Row],[Ship Date]]&lt;CleanedData[[#This Row],[Order Date]]</f>
        <v>0</v>
      </c>
      <c r="Z291" s="10">
        <f>YEAR(CleanedData[[#This Row],[Order Date]])</f>
        <v>2024</v>
      </c>
      <c r="AA291" s="8">
        <f>MONTH(CleanedData[[#This Row],[Order Date]])</f>
        <v>2</v>
      </c>
    </row>
    <row r="292" spans="1:27" x14ac:dyDescent="0.35">
      <c r="A292" s="8" t="s">
        <v>1142</v>
      </c>
      <c r="B292" s="9">
        <v>45098</v>
      </c>
      <c r="C292" s="9">
        <v>45247</v>
      </c>
      <c r="D292" s="8" t="s">
        <v>1144</v>
      </c>
      <c r="E292" s="8" t="s">
        <v>68</v>
      </c>
      <c r="F292" s="8" t="s">
        <v>146</v>
      </c>
      <c r="G292" s="8" t="s">
        <v>78</v>
      </c>
      <c r="H292" s="8" t="s">
        <v>481</v>
      </c>
      <c r="I292" s="8" t="s">
        <v>4972</v>
      </c>
      <c r="J292" s="10">
        <v>393</v>
      </c>
      <c r="K292" s="11">
        <v>869.85</v>
      </c>
      <c r="L292" s="11">
        <v>1295.21</v>
      </c>
      <c r="M292" s="11">
        <v>509017.53</v>
      </c>
      <c r="N292" s="11">
        <v>341851.05</v>
      </c>
      <c r="O292" s="11">
        <f>CleanedData[[#This Row],[Total Sales ($)]]-CleanedData[[#This Row],[Total Cost ($)]]</f>
        <v>167166.48000000004</v>
      </c>
      <c r="P292" s="12">
        <f>CleanedData[[#This Row],[Profit ($)]]/CleanedData[[#This Row],[Total Sales ($)]]</f>
        <v>0.32841006477714046</v>
      </c>
      <c r="Q292" s="8" t="s">
        <v>31</v>
      </c>
      <c r="R292" s="8" t="s">
        <v>32</v>
      </c>
      <c r="S292" s="8" t="b">
        <f>_xlfn.SINGLE(CleanedData[[#This Row],[Delivery Status]])="Late"</f>
        <v>1</v>
      </c>
      <c r="T292" s="10">
        <v>15</v>
      </c>
      <c r="U292" s="8" t="s">
        <v>86</v>
      </c>
      <c r="V292" s="10">
        <v>1052</v>
      </c>
      <c r="W292" s="10">
        <v>15</v>
      </c>
      <c r="X292" s="12">
        <v>3.8167938931297697E-2</v>
      </c>
      <c r="Y292" s="8" t="b">
        <f>CleanedData[[#This Row],[Ship Date]]&lt;CleanedData[[#This Row],[Order Date]]</f>
        <v>0</v>
      </c>
      <c r="Z292" s="10">
        <f>YEAR(CleanedData[[#This Row],[Order Date]])</f>
        <v>2023</v>
      </c>
      <c r="AA292" s="8">
        <f>MONTH(CleanedData[[#This Row],[Order Date]])</f>
        <v>6</v>
      </c>
    </row>
    <row r="293" spans="1:27" x14ac:dyDescent="0.35">
      <c r="A293" s="8" t="s">
        <v>1145</v>
      </c>
      <c r="B293" s="9">
        <v>45095</v>
      </c>
      <c r="C293" s="9">
        <v>45111</v>
      </c>
      <c r="D293" s="8" t="s">
        <v>1147</v>
      </c>
      <c r="E293" s="8" t="s">
        <v>58</v>
      </c>
      <c r="F293" s="8" t="s">
        <v>59</v>
      </c>
      <c r="G293" s="8" t="s">
        <v>217</v>
      </c>
      <c r="H293" s="8" t="s">
        <v>218</v>
      </c>
      <c r="I293" s="8" t="s">
        <v>4975</v>
      </c>
      <c r="J293" s="10">
        <v>786</v>
      </c>
      <c r="K293" s="11">
        <v>893.56</v>
      </c>
      <c r="L293" s="11">
        <v>1011.9</v>
      </c>
      <c r="M293" s="11">
        <v>795353.4</v>
      </c>
      <c r="N293" s="11">
        <v>702338.16</v>
      </c>
      <c r="O293" s="11">
        <f>CleanedData[[#This Row],[Total Sales ($)]]-CleanedData[[#This Row],[Total Cost ($)]]</f>
        <v>93015.239999999991</v>
      </c>
      <c r="P293" s="12">
        <f>CleanedData[[#This Row],[Profit ($)]]/CleanedData[[#This Row],[Total Sales ($)]]</f>
        <v>0.11694831505089434</v>
      </c>
      <c r="Q293" s="8" t="s">
        <v>31</v>
      </c>
      <c r="R293" s="8" t="s">
        <v>32</v>
      </c>
      <c r="S293" s="8" t="b">
        <f>_xlfn.SINGLE(CleanedData[[#This Row],[Delivery Status]])="Late"</f>
        <v>1</v>
      </c>
      <c r="T293" s="10">
        <v>11</v>
      </c>
      <c r="U293" s="8" t="s">
        <v>112</v>
      </c>
      <c r="V293" s="10">
        <v>1145</v>
      </c>
      <c r="W293" s="10">
        <v>7</v>
      </c>
      <c r="X293" s="12">
        <v>8.9058524173026999E-3</v>
      </c>
      <c r="Y293" s="8" t="b">
        <f>CleanedData[[#This Row],[Ship Date]]&lt;CleanedData[[#This Row],[Order Date]]</f>
        <v>0</v>
      </c>
      <c r="Z293" s="10">
        <f>YEAR(CleanedData[[#This Row],[Order Date]])</f>
        <v>2023</v>
      </c>
      <c r="AA293" s="8">
        <f>MONTH(CleanedData[[#This Row],[Order Date]])</f>
        <v>6</v>
      </c>
    </row>
    <row r="294" spans="1:27" x14ac:dyDescent="0.35">
      <c r="A294" s="8" t="s">
        <v>1148</v>
      </c>
      <c r="B294" s="9">
        <v>45111</v>
      </c>
      <c r="C294" s="9">
        <v>45202</v>
      </c>
      <c r="D294" s="8" t="s">
        <v>1150</v>
      </c>
      <c r="E294" s="8" t="s">
        <v>68</v>
      </c>
      <c r="F294" s="8" t="s">
        <v>146</v>
      </c>
      <c r="G294" s="8" t="s">
        <v>129</v>
      </c>
      <c r="H294" s="8" t="s">
        <v>316</v>
      </c>
      <c r="I294" s="8" t="s">
        <v>4969</v>
      </c>
      <c r="J294" s="10">
        <v>299</v>
      </c>
      <c r="K294" s="11">
        <v>782.16</v>
      </c>
      <c r="L294" s="11">
        <v>1115.76</v>
      </c>
      <c r="M294" s="11">
        <v>333612.24</v>
      </c>
      <c r="N294" s="11">
        <v>233865.84</v>
      </c>
      <c r="O294" s="11">
        <f>CleanedData[[#This Row],[Total Sales ($)]]-CleanedData[[#This Row],[Total Cost ($)]]</f>
        <v>99746.4</v>
      </c>
      <c r="P294" s="12">
        <f>CleanedData[[#This Row],[Profit ($)]]/CleanedData[[#This Row],[Total Sales ($)]]</f>
        <v>0.29898902989890297</v>
      </c>
      <c r="Q294" s="8" t="s">
        <v>31</v>
      </c>
      <c r="R294" s="8" t="s">
        <v>32</v>
      </c>
      <c r="S294" s="8" t="b">
        <f>_xlfn.SINGLE(CleanedData[[#This Row],[Delivery Status]])="Late"</f>
        <v>1</v>
      </c>
      <c r="T294" s="10">
        <v>6</v>
      </c>
      <c r="U294" s="8" t="s">
        <v>33</v>
      </c>
      <c r="V294" s="10">
        <v>511</v>
      </c>
      <c r="W294" s="10">
        <v>3</v>
      </c>
      <c r="X294" s="12">
        <v>1.00334448160535E-2</v>
      </c>
      <c r="Y294" s="8" t="b">
        <f>CleanedData[[#This Row],[Ship Date]]&lt;CleanedData[[#This Row],[Order Date]]</f>
        <v>0</v>
      </c>
      <c r="Z294" s="10">
        <f>YEAR(CleanedData[[#This Row],[Order Date]])</f>
        <v>2023</v>
      </c>
      <c r="AA294" s="8">
        <f>MONTH(CleanedData[[#This Row],[Order Date]])</f>
        <v>7</v>
      </c>
    </row>
    <row r="295" spans="1:27" x14ac:dyDescent="0.35">
      <c r="A295" s="8" t="s">
        <v>1151</v>
      </c>
      <c r="B295" s="9">
        <v>45215</v>
      </c>
      <c r="C295" s="9">
        <v>45184</v>
      </c>
      <c r="D295" s="8" t="s">
        <v>1153</v>
      </c>
      <c r="E295" s="8" t="s">
        <v>26</v>
      </c>
      <c r="F295" s="8" t="s">
        <v>92</v>
      </c>
      <c r="G295" s="8" t="s">
        <v>189</v>
      </c>
      <c r="H295" s="8" t="s">
        <v>437</v>
      </c>
      <c r="I295" s="8" t="s">
        <v>4975</v>
      </c>
      <c r="J295" s="10">
        <v>177</v>
      </c>
      <c r="K295" s="11"/>
      <c r="L295" s="11">
        <v>1211.8399999999999</v>
      </c>
      <c r="M295" s="11">
        <v>214495.68</v>
      </c>
      <c r="N295" s="11">
        <v>155400.69</v>
      </c>
      <c r="O295" s="11">
        <f>CleanedData[[#This Row],[Total Sales ($)]]-CleanedData[[#This Row],[Total Cost ($)]]</f>
        <v>59094.989999999991</v>
      </c>
      <c r="P295" s="12">
        <f>CleanedData[[#This Row],[Profit ($)]]/CleanedData[[#This Row],[Total Sales ($)]]</f>
        <v>0.27550666754687086</v>
      </c>
      <c r="Q295" s="8" t="s">
        <v>95</v>
      </c>
      <c r="R295" s="8" t="s">
        <v>63</v>
      </c>
      <c r="S295" s="8" t="b">
        <f>_xlfn.SINGLE(CleanedData[[#This Row],[Delivery Status]])="Late"</f>
        <v>0</v>
      </c>
      <c r="T295" s="10">
        <v>5</v>
      </c>
      <c r="U295" s="8" t="s">
        <v>86</v>
      </c>
      <c r="V295" s="10">
        <v>552</v>
      </c>
      <c r="W295" s="10">
        <v>4</v>
      </c>
      <c r="X295" s="12">
        <v>2.2598870056497099E-2</v>
      </c>
      <c r="Y295" s="8" t="b">
        <f>CleanedData[[#This Row],[Ship Date]]&lt;CleanedData[[#This Row],[Order Date]]</f>
        <v>1</v>
      </c>
      <c r="Z295" s="10">
        <f>YEAR(CleanedData[[#This Row],[Order Date]])</f>
        <v>2023</v>
      </c>
      <c r="AA295" s="8">
        <f>MONTH(CleanedData[[#This Row],[Order Date]])</f>
        <v>10</v>
      </c>
    </row>
    <row r="296" spans="1:27" x14ac:dyDescent="0.35">
      <c r="A296" s="8" t="s">
        <v>1154</v>
      </c>
      <c r="B296" s="9">
        <v>44977</v>
      </c>
      <c r="C296" s="9">
        <v>45202</v>
      </c>
      <c r="D296" s="8" t="s">
        <v>1155</v>
      </c>
      <c r="E296" s="8" t="s">
        <v>68</v>
      </c>
      <c r="F296" s="8" t="s">
        <v>69</v>
      </c>
      <c r="G296" s="8" t="s">
        <v>50</v>
      </c>
      <c r="H296" s="8" t="s">
        <v>107</v>
      </c>
      <c r="I296" s="8" t="s">
        <v>4970</v>
      </c>
      <c r="J296" s="10">
        <v>457</v>
      </c>
      <c r="K296" s="11">
        <v>304.64999999999998</v>
      </c>
      <c r="L296" s="11">
        <v>342.69</v>
      </c>
      <c r="M296" s="11">
        <v>156609.32999999999</v>
      </c>
      <c r="N296" s="11">
        <v>139225.04999999999</v>
      </c>
      <c r="O296" s="11">
        <f>CleanedData[[#This Row],[Total Sales ($)]]-CleanedData[[#This Row],[Total Cost ($)]]</f>
        <v>17384.28</v>
      </c>
      <c r="P296" s="12">
        <f>CleanedData[[#This Row],[Profit ($)]]/CleanedData[[#This Row],[Total Sales ($)]]</f>
        <v>0.11100411450582159</v>
      </c>
      <c r="Q296" s="8" t="s">
        <v>31</v>
      </c>
      <c r="R296" s="8" t="s">
        <v>32</v>
      </c>
      <c r="S296" s="8" t="b">
        <f>_xlfn.SINGLE(CleanedData[[#This Row],[Delivery Status]])="Late"</f>
        <v>1</v>
      </c>
      <c r="T296" s="10">
        <v>10</v>
      </c>
      <c r="U296" s="8" t="s">
        <v>86</v>
      </c>
      <c r="V296" s="10">
        <v>2501.41</v>
      </c>
      <c r="W296" s="10">
        <v>10</v>
      </c>
      <c r="X296" s="12">
        <v>2.18818380743982E-2</v>
      </c>
      <c r="Y296" s="8" t="b">
        <f>CleanedData[[#This Row],[Ship Date]]&lt;CleanedData[[#This Row],[Order Date]]</f>
        <v>0</v>
      </c>
      <c r="Z296" s="10">
        <f>YEAR(CleanedData[[#This Row],[Order Date]])</f>
        <v>2023</v>
      </c>
      <c r="AA296" s="8">
        <f>MONTH(CleanedData[[#This Row],[Order Date]])</f>
        <v>2</v>
      </c>
    </row>
    <row r="297" spans="1:27" x14ac:dyDescent="0.35">
      <c r="A297" s="8" t="s">
        <v>1156</v>
      </c>
      <c r="B297" s="9">
        <v>45095</v>
      </c>
      <c r="C297" s="9">
        <v>45072</v>
      </c>
      <c r="D297" s="8" t="s">
        <v>1158</v>
      </c>
      <c r="E297" s="8" t="s">
        <v>48</v>
      </c>
      <c r="F297" s="8" t="s">
        <v>281</v>
      </c>
      <c r="G297" s="8" t="s">
        <v>60</v>
      </c>
      <c r="H297" s="8" t="s">
        <v>834</v>
      </c>
      <c r="I297" s="8" t="s">
        <v>4975</v>
      </c>
      <c r="J297" s="10">
        <v>565</v>
      </c>
      <c r="K297" s="11">
        <v>812.14</v>
      </c>
      <c r="L297" s="11">
        <v>1262.75</v>
      </c>
      <c r="M297" s="11">
        <v>713453.75</v>
      </c>
      <c r="N297" s="11">
        <v>458859.1</v>
      </c>
      <c r="O297" s="11">
        <f>CleanedData[[#This Row],[Total Sales ($)]]-CleanedData[[#This Row],[Total Cost ($)]]</f>
        <v>254594.65000000002</v>
      </c>
      <c r="P297" s="12">
        <f>CleanedData[[#This Row],[Profit ($)]]/CleanedData[[#This Row],[Total Sales ($)]]</f>
        <v>0.35684814888140964</v>
      </c>
      <c r="Q297" s="8" t="s">
        <v>42</v>
      </c>
      <c r="R297" s="8" t="s">
        <v>63</v>
      </c>
      <c r="S297" s="8" t="b">
        <f>_xlfn.SINGLE(CleanedData[[#This Row],[Delivery Status]])="Late"</f>
        <v>0</v>
      </c>
      <c r="T297" s="10">
        <v>5</v>
      </c>
      <c r="U297" s="8" t="s">
        <v>112</v>
      </c>
      <c r="V297" s="10">
        <v>2298</v>
      </c>
      <c r="W297" s="10">
        <v>27</v>
      </c>
      <c r="X297" s="12">
        <v>4.7787610619468998E-2</v>
      </c>
      <c r="Y297" s="8" t="b">
        <f>CleanedData[[#This Row],[Ship Date]]&lt;CleanedData[[#This Row],[Order Date]]</f>
        <v>1</v>
      </c>
      <c r="Z297" s="10">
        <f>YEAR(CleanedData[[#This Row],[Order Date]])</f>
        <v>2023</v>
      </c>
      <c r="AA297" s="8">
        <f>MONTH(CleanedData[[#This Row],[Order Date]])</f>
        <v>6</v>
      </c>
    </row>
    <row r="298" spans="1:27" x14ac:dyDescent="0.35">
      <c r="A298" s="8" t="s">
        <v>1159</v>
      </c>
      <c r="B298" s="9">
        <v>44967</v>
      </c>
      <c r="C298" s="9">
        <v>45170</v>
      </c>
      <c r="D298" s="8" t="s">
        <v>1161</v>
      </c>
      <c r="E298" s="8" t="s">
        <v>100</v>
      </c>
      <c r="F298" s="8" t="s">
        <v>106</v>
      </c>
      <c r="G298" s="8" t="s">
        <v>50</v>
      </c>
      <c r="H298" s="8" t="s">
        <v>135</v>
      </c>
      <c r="I298" s="8" t="s">
        <v>4973</v>
      </c>
      <c r="J298" s="10">
        <v>180</v>
      </c>
      <c r="K298" s="11">
        <v>956.98</v>
      </c>
      <c r="L298" s="11">
        <v>1261.93</v>
      </c>
      <c r="M298" s="11">
        <v>227147.4</v>
      </c>
      <c r="N298" s="11">
        <v>172256.4</v>
      </c>
      <c r="O298" s="11">
        <f>CleanedData[[#This Row],[Total Sales ($)]]-CleanedData[[#This Row],[Total Cost ($)]]</f>
        <v>54891</v>
      </c>
      <c r="P298" s="12">
        <f>CleanedData[[#This Row],[Profit ($)]]/CleanedData[[#This Row],[Total Sales ($)]]</f>
        <v>0.24165365749288789</v>
      </c>
      <c r="Q298" s="8" t="s">
        <v>31</v>
      </c>
      <c r="R298" s="8" t="s">
        <v>63</v>
      </c>
      <c r="S298" s="8" t="b">
        <f>_xlfn.SINGLE(CleanedData[[#This Row],[Delivery Status]])="Late"</f>
        <v>0</v>
      </c>
      <c r="T298" s="10">
        <v>2</v>
      </c>
      <c r="U298" s="8" t="s">
        <v>112</v>
      </c>
      <c r="V298" s="10">
        <v>4290</v>
      </c>
      <c r="W298" s="10">
        <v>3</v>
      </c>
      <c r="X298" s="12">
        <v>1.6666666666666601E-2</v>
      </c>
      <c r="Y298" s="8" t="b">
        <f>CleanedData[[#This Row],[Ship Date]]&lt;CleanedData[[#This Row],[Order Date]]</f>
        <v>0</v>
      </c>
      <c r="Z298" s="10">
        <f>YEAR(CleanedData[[#This Row],[Order Date]])</f>
        <v>2023</v>
      </c>
      <c r="AA298" s="8">
        <f>MONTH(CleanedData[[#This Row],[Order Date]])</f>
        <v>2</v>
      </c>
    </row>
    <row r="299" spans="1:27" x14ac:dyDescent="0.35">
      <c r="A299" s="8" t="s">
        <v>1162</v>
      </c>
      <c r="B299" s="9">
        <v>45139</v>
      </c>
      <c r="C299" s="9">
        <v>44980</v>
      </c>
      <c r="D299" s="8" t="s">
        <v>4972</v>
      </c>
      <c r="E299" s="8" t="s">
        <v>26</v>
      </c>
      <c r="F299" s="8" t="s">
        <v>228</v>
      </c>
      <c r="G299" s="8" t="s">
        <v>78</v>
      </c>
      <c r="H299" s="8" t="s">
        <v>123</v>
      </c>
      <c r="I299" s="8" t="s">
        <v>4968</v>
      </c>
      <c r="J299" s="10">
        <v>328</v>
      </c>
      <c r="K299" s="11">
        <v>678.18</v>
      </c>
      <c r="L299" s="11">
        <v>915.36</v>
      </c>
      <c r="M299" s="11">
        <v>300238.08000000002</v>
      </c>
      <c r="N299" s="11">
        <v>222443.04</v>
      </c>
      <c r="O299" s="11">
        <f>CleanedData[[#This Row],[Total Sales ($)]]-CleanedData[[#This Row],[Total Cost ($)]]</f>
        <v>77795.040000000008</v>
      </c>
      <c r="P299" s="12">
        <f>CleanedData[[#This Row],[Profit ($)]]/CleanedData[[#This Row],[Total Sales ($)]]</f>
        <v>0.25911116937598322</v>
      </c>
      <c r="Q299" s="8" t="s">
        <v>95</v>
      </c>
      <c r="R299" s="8" t="s">
        <v>32</v>
      </c>
      <c r="S299" s="8" t="b">
        <f>_xlfn.SINGLE(CleanedData[[#This Row],[Delivery Status]])="Late"</f>
        <v>1</v>
      </c>
      <c r="T299" s="10">
        <v>9</v>
      </c>
      <c r="U299" s="8" t="s">
        <v>86</v>
      </c>
      <c r="V299" s="10">
        <v>1784</v>
      </c>
      <c r="W299" s="10">
        <v>3</v>
      </c>
      <c r="X299" s="12">
        <v>9.1463414634146006E-3</v>
      </c>
      <c r="Y299" s="8" t="b">
        <f>CleanedData[[#This Row],[Ship Date]]&lt;CleanedData[[#This Row],[Order Date]]</f>
        <v>1</v>
      </c>
      <c r="Z299" s="10">
        <f>YEAR(CleanedData[[#This Row],[Order Date]])</f>
        <v>2023</v>
      </c>
      <c r="AA299" s="8">
        <f>MONTH(CleanedData[[#This Row],[Order Date]])</f>
        <v>8</v>
      </c>
    </row>
    <row r="300" spans="1:27" x14ac:dyDescent="0.35">
      <c r="A300" s="8" t="s">
        <v>1163</v>
      </c>
      <c r="B300" s="9">
        <v>45420</v>
      </c>
      <c r="C300" s="9">
        <v>45352</v>
      </c>
      <c r="D300" s="8" t="s">
        <v>1166</v>
      </c>
      <c r="E300" s="8" t="s">
        <v>58</v>
      </c>
      <c r="F300" s="8" t="s">
        <v>417</v>
      </c>
      <c r="G300" s="8" t="s">
        <v>129</v>
      </c>
      <c r="H300" s="8" t="s">
        <v>520</v>
      </c>
      <c r="I300" s="8" t="s">
        <v>1167</v>
      </c>
      <c r="J300" s="10">
        <v>460</v>
      </c>
      <c r="K300" s="11">
        <v>870.34</v>
      </c>
      <c r="L300" s="11">
        <v>998.5</v>
      </c>
      <c r="M300" s="11">
        <v>459310</v>
      </c>
      <c r="N300" s="11">
        <v>400356.4</v>
      </c>
      <c r="O300" s="11">
        <f>CleanedData[[#This Row],[Total Sales ($)]]-CleanedData[[#This Row],[Total Cost ($)]]</f>
        <v>58953.599999999977</v>
      </c>
      <c r="P300" s="12">
        <f>CleanedData[[#This Row],[Profit ($)]]/CleanedData[[#This Row],[Total Sales ($)]]</f>
        <v>0.12835252879318973</v>
      </c>
      <c r="Q300" s="8" t="s">
        <v>52</v>
      </c>
      <c r="R300" s="8" t="s">
        <v>63</v>
      </c>
      <c r="S300" s="8" t="b">
        <f>_xlfn.SINGLE(CleanedData[[#This Row],[Delivery Status]])="Late"</f>
        <v>0</v>
      </c>
      <c r="T300" s="10">
        <v>3</v>
      </c>
      <c r="U300" s="8" t="s">
        <v>43</v>
      </c>
      <c r="V300" s="10">
        <v>4240</v>
      </c>
      <c r="W300" s="10">
        <v>20</v>
      </c>
      <c r="X300" s="12">
        <v>4.3478260869565202E-2</v>
      </c>
      <c r="Y300" s="8" t="b">
        <f>CleanedData[[#This Row],[Ship Date]]&lt;CleanedData[[#This Row],[Order Date]]</f>
        <v>1</v>
      </c>
      <c r="Z300" s="10">
        <f>YEAR(CleanedData[[#This Row],[Order Date]])</f>
        <v>2024</v>
      </c>
      <c r="AA300" s="8">
        <f>MONTH(CleanedData[[#This Row],[Order Date]])</f>
        <v>5</v>
      </c>
    </row>
    <row r="301" spans="1:27" x14ac:dyDescent="0.35">
      <c r="A301" s="8" t="s">
        <v>1168</v>
      </c>
      <c r="B301" s="9">
        <v>45563</v>
      </c>
      <c r="C301" s="9">
        <v>45644</v>
      </c>
      <c r="D301" s="8" t="s">
        <v>1170</v>
      </c>
      <c r="E301" s="8" t="s">
        <v>100</v>
      </c>
      <c r="F301" s="8" t="s">
        <v>330</v>
      </c>
      <c r="G301" s="8" t="s">
        <v>70</v>
      </c>
      <c r="H301" s="8" t="s">
        <v>84</v>
      </c>
      <c r="I301" s="8" t="s">
        <v>4976</v>
      </c>
      <c r="J301" s="10">
        <v>746</v>
      </c>
      <c r="K301" s="11">
        <v>462.77</v>
      </c>
      <c r="L301" s="11">
        <v>539.16</v>
      </c>
      <c r="M301" s="11">
        <v>402213.36</v>
      </c>
      <c r="N301" s="11">
        <v>345226.42</v>
      </c>
      <c r="O301" s="11">
        <f>CleanedData[[#This Row],[Total Sales ($)]]-CleanedData[[#This Row],[Total Cost ($)]]</f>
        <v>56986.94</v>
      </c>
      <c r="P301" s="12">
        <f>CleanedData[[#This Row],[Profit ($)]]/CleanedData[[#This Row],[Total Sales ($)]]</f>
        <v>0.14168335929965131</v>
      </c>
      <c r="Q301" s="8" t="s">
        <v>31</v>
      </c>
      <c r="R301" s="8" t="s">
        <v>63</v>
      </c>
      <c r="S301" s="8" t="b">
        <f>_xlfn.SINGLE(CleanedData[[#This Row],[Delivery Status]])="Late"</f>
        <v>0</v>
      </c>
      <c r="T301" s="10">
        <v>3</v>
      </c>
      <c r="U301" s="8" t="s">
        <v>158</v>
      </c>
      <c r="V301" s="10">
        <v>648</v>
      </c>
      <c r="W301" s="10">
        <v>1</v>
      </c>
      <c r="X301" s="12">
        <v>1.3404825737264999E-3</v>
      </c>
      <c r="Y301" s="8" t="b">
        <f>CleanedData[[#This Row],[Ship Date]]&lt;CleanedData[[#This Row],[Order Date]]</f>
        <v>0</v>
      </c>
      <c r="Z301" s="10">
        <f>YEAR(CleanedData[[#This Row],[Order Date]])</f>
        <v>2024</v>
      </c>
      <c r="AA301" s="8">
        <f>MONTH(CleanedData[[#This Row],[Order Date]])</f>
        <v>9</v>
      </c>
    </row>
    <row r="302" spans="1:27" x14ac:dyDescent="0.35">
      <c r="A302" s="8" t="s">
        <v>1171</v>
      </c>
      <c r="B302" s="9">
        <v>44958</v>
      </c>
      <c r="C302" s="9">
        <v>45120</v>
      </c>
      <c r="D302" s="8" t="s">
        <v>583</v>
      </c>
      <c r="E302" s="8" t="s">
        <v>68</v>
      </c>
      <c r="F302" s="8" t="s">
        <v>146</v>
      </c>
      <c r="G302" s="8" t="s">
        <v>217</v>
      </c>
      <c r="H302" s="8" t="s">
        <v>494</v>
      </c>
      <c r="I302" s="8" t="s">
        <v>4976</v>
      </c>
      <c r="J302" s="10">
        <v>466</v>
      </c>
      <c r="K302" s="11">
        <v>682.75</v>
      </c>
      <c r="L302" s="11">
        <v>1118.21</v>
      </c>
      <c r="M302" s="11">
        <v>521085.86</v>
      </c>
      <c r="N302" s="11">
        <v>318161.5</v>
      </c>
      <c r="O302" s="11">
        <f>CleanedData[[#This Row],[Total Sales ($)]]-CleanedData[[#This Row],[Total Cost ($)]]</f>
        <v>202924.36</v>
      </c>
      <c r="P302" s="12">
        <f>CleanedData[[#This Row],[Profit ($)]]/CleanedData[[#This Row],[Total Sales ($)]]</f>
        <v>0.38942595755716725</v>
      </c>
      <c r="Q302" s="8" t="s">
        <v>31</v>
      </c>
      <c r="R302" s="8" t="s">
        <v>32</v>
      </c>
      <c r="S302" s="8" t="b">
        <f>_xlfn.SINGLE(CleanedData[[#This Row],[Delivery Status]])="Late"</f>
        <v>1</v>
      </c>
      <c r="T302" s="10">
        <v>10</v>
      </c>
      <c r="U302" s="8" t="s">
        <v>53</v>
      </c>
      <c r="V302" s="10">
        <v>353</v>
      </c>
      <c r="W302" s="10">
        <v>15</v>
      </c>
      <c r="X302" s="12">
        <v>3.2188841201716702E-2</v>
      </c>
      <c r="Y302" s="8" t="b">
        <f>CleanedData[[#This Row],[Ship Date]]&lt;CleanedData[[#This Row],[Order Date]]</f>
        <v>0</v>
      </c>
      <c r="Z302" s="10">
        <f>YEAR(CleanedData[[#This Row],[Order Date]])</f>
        <v>2023</v>
      </c>
      <c r="AA302" s="8">
        <f>MONTH(CleanedData[[#This Row],[Order Date]])</f>
        <v>2</v>
      </c>
    </row>
    <row r="303" spans="1:27" x14ac:dyDescent="0.35">
      <c r="A303" s="8" t="s">
        <v>1173</v>
      </c>
      <c r="B303" s="9">
        <v>45011</v>
      </c>
      <c r="C303" s="9">
        <v>45084</v>
      </c>
      <c r="D303" s="8" t="s">
        <v>1175</v>
      </c>
      <c r="E303" s="8" t="s">
        <v>100</v>
      </c>
      <c r="F303" s="8" t="s">
        <v>538</v>
      </c>
      <c r="G303" s="8" t="s">
        <v>78</v>
      </c>
      <c r="H303" s="8" t="s">
        <v>79</v>
      </c>
      <c r="I303" s="8" t="s">
        <v>4974</v>
      </c>
      <c r="J303" s="10">
        <v>560</v>
      </c>
      <c r="K303" s="11">
        <v>315.89999999999998</v>
      </c>
      <c r="L303" s="11">
        <v>401.94</v>
      </c>
      <c r="M303" s="11">
        <v>225086.4</v>
      </c>
      <c r="N303" s="11">
        <v>176904</v>
      </c>
      <c r="O303" s="11">
        <f>CleanedData[[#This Row],[Total Sales ($)]]-CleanedData[[#This Row],[Total Cost ($)]]</f>
        <v>48182.399999999994</v>
      </c>
      <c r="P303" s="12">
        <f>CleanedData[[#This Row],[Profit ($)]]/CleanedData[[#This Row],[Total Sales ($)]]</f>
        <v>0.21406180026869681</v>
      </c>
      <c r="Q303" s="8" t="s">
        <v>42</v>
      </c>
      <c r="R303" s="8" t="s">
        <v>32</v>
      </c>
      <c r="S303" s="8" t="b">
        <f>_xlfn.SINGLE(CleanedData[[#This Row],[Delivery Status]])="Late"</f>
        <v>1</v>
      </c>
      <c r="T303" s="10">
        <v>14</v>
      </c>
      <c r="U303" s="8" t="s">
        <v>53</v>
      </c>
      <c r="V303" s="10">
        <v>2772</v>
      </c>
      <c r="W303" s="10">
        <v>24</v>
      </c>
      <c r="X303" s="12">
        <v>4.2857142857142802E-2</v>
      </c>
      <c r="Y303" s="8" t="b">
        <f>CleanedData[[#This Row],[Ship Date]]&lt;CleanedData[[#This Row],[Order Date]]</f>
        <v>0</v>
      </c>
      <c r="Z303" s="10">
        <f>YEAR(CleanedData[[#This Row],[Order Date]])</f>
        <v>2023</v>
      </c>
      <c r="AA303" s="8">
        <f>MONTH(CleanedData[[#This Row],[Order Date]])</f>
        <v>3</v>
      </c>
    </row>
    <row r="304" spans="1:27" x14ac:dyDescent="0.35">
      <c r="A304" s="8" t="s">
        <v>1176</v>
      </c>
      <c r="B304" s="9">
        <v>45476</v>
      </c>
      <c r="C304" s="9">
        <v>45397</v>
      </c>
      <c r="D304" s="8" t="s">
        <v>1178</v>
      </c>
      <c r="E304" s="8" t="s">
        <v>26</v>
      </c>
      <c r="F304" s="8" t="s">
        <v>27</v>
      </c>
      <c r="G304" s="8" t="s">
        <v>78</v>
      </c>
      <c r="H304" s="8" t="s">
        <v>178</v>
      </c>
      <c r="I304" s="8" t="s">
        <v>4973</v>
      </c>
      <c r="J304" s="10">
        <v>115</v>
      </c>
      <c r="K304" s="11">
        <v>241.93</v>
      </c>
      <c r="L304" s="11">
        <v>376.39</v>
      </c>
      <c r="M304" s="11">
        <v>43284.85</v>
      </c>
      <c r="N304" s="11">
        <v>27821.95</v>
      </c>
      <c r="O304" s="11">
        <f>CleanedData[[#This Row],[Total Sales ($)]]-CleanedData[[#This Row],[Total Cost ($)]]</f>
        <v>15462.899999999998</v>
      </c>
      <c r="P304" s="12">
        <f>CleanedData[[#This Row],[Profit ($)]]/CleanedData[[#This Row],[Total Sales ($)]]</f>
        <v>0.35723584579824114</v>
      </c>
      <c r="Q304" s="8" t="s">
        <v>95</v>
      </c>
      <c r="R304" s="8" t="s">
        <v>32</v>
      </c>
      <c r="S304" s="8" t="b">
        <f>_xlfn.SINGLE(CleanedData[[#This Row],[Delivery Status]])="Late"</f>
        <v>1</v>
      </c>
      <c r="T304" s="10">
        <v>13</v>
      </c>
      <c r="U304" s="8" t="s">
        <v>43</v>
      </c>
      <c r="V304" s="10">
        <v>3021</v>
      </c>
      <c r="W304" s="10">
        <v>1</v>
      </c>
      <c r="X304" s="12">
        <v>8.6956521739130002E-3</v>
      </c>
      <c r="Y304" s="8" t="b">
        <f>CleanedData[[#This Row],[Ship Date]]&lt;CleanedData[[#This Row],[Order Date]]</f>
        <v>1</v>
      </c>
      <c r="Z304" s="10">
        <f>YEAR(CleanedData[[#This Row],[Order Date]])</f>
        <v>2024</v>
      </c>
      <c r="AA304" s="8">
        <f>MONTH(CleanedData[[#This Row],[Order Date]])</f>
        <v>7</v>
      </c>
    </row>
    <row r="305" spans="1:27" x14ac:dyDescent="0.35">
      <c r="A305" s="8" t="s">
        <v>1179</v>
      </c>
      <c r="B305" s="9">
        <v>45368</v>
      </c>
      <c r="C305" s="9">
        <v>45618</v>
      </c>
      <c r="D305" s="8" t="s">
        <v>1181</v>
      </c>
      <c r="E305" s="8" t="s">
        <v>68</v>
      </c>
      <c r="F305" s="8" t="s">
        <v>146</v>
      </c>
      <c r="G305" s="8" t="s">
        <v>28</v>
      </c>
      <c r="H305" s="8" t="s">
        <v>254</v>
      </c>
      <c r="I305" s="8" t="s">
        <v>4973</v>
      </c>
      <c r="J305" s="10">
        <v>705</v>
      </c>
      <c r="K305" s="11">
        <v>934.45</v>
      </c>
      <c r="L305" s="11">
        <v>1276.29</v>
      </c>
      <c r="M305" s="11">
        <v>899784.45</v>
      </c>
      <c r="N305" s="11">
        <v>658787.25</v>
      </c>
      <c r="O305" s="11">
        <f>CleanedData[[#This Row],[Total Sales ($)]]-CleanedData[[#This Row],[Total Cost ($)]]</f>
        <v>240997.19999999995</v>
      </c>
      <c r="P305" s="12">
        <f>CleanedData[[#This Row],[Profit ($)]]/CleanedData[[#This Row],[Total Sales ($)]]</f>
        <v>0.26783881406263466</v>
      </c>
      <c r="Q305" s="8" t="s">
        <v>31</v>
      </c>
      <c r="R305" s="8" t="s">
        <v>32</v>
      </c>
      <c r="S305" s="8" t="b">
        <f>_xlfn.SINGLE(CleanedData[[#This Row],[Delivery Status]])="Late"</f>
        <v>1</v>
      </c>
      <c r="T305" s="10">
        <v>15</v>
      </c>
      <c r="U305" s="8" t="s">
        <v>53</v>
      </c>
      <c r="V305" s="10">
        <v>961</v>
      </c>
      <c r="W305" s="10">
        <v>11</v>
      </c>
      <c r="X305" s="12">
        <v>1.56028368794326E-2</v>
      </c>
      <c r="Y305" s="8" t="b">
        <f>CleanedData[[#This Row],[Ship Date]]&lt;CleanedData[[#This Row],[Order Date]]</f>
        <v>0</v>
      </c>
      <c r="Z305" s="10">
        <f>YEAR(CleanedData[[#This Row],[Order Date]])</f>
        <v>2024</v>
      </c>
      <c r="AA305" s="8">
        <f>MONTH(CleanedData[[#This Row],[Order Date]])</f>
        <v>3</v>
      </c>
    </row>
    <row r="306" spans="1:27" x14ac:dyDescent="0.35">
      <c r="A306" s="8" t="s">
        <v>1182</v>
      </c>
      <c r="B306" s="9">
        <v>45577</v>
      </c>
      <c r="C306" s="9">
        <v>45314</v>
      </c>
      <c r="D306" s="8" t="s">
        <v>1184</v>
      </c>
      <c r="E306" s="8" t="s">
        <v>58</v>
      </c>
      <c r="F306" s="8" t="s">
        <v>116</v>
      </c>
      <c r="G306" s="8" t="s">
        <v>70</v>
      </c>
      <c r="H306" s="8" t="s">
        <v>84</v>
      </c>
      <c r="I306" s="8" t="s">
        <v>4979</v>
      </c>
      <c r="J306" s="10">
        <v>220</v>
      </c>
      <c r="K306" s="11">
        <v>877.68</v>
      </c>
      <c r="L306" s="11">
        <v>1111.8</v>
      </c>
      <c r="M306" s="11">
        <v>244596</v>
      </c>
      <c r="N306" s="11">
        <v>193089.6</v>
      </c>
      <c r="O306" s="11">
        <f>CleanedData[[#This Row],[Total Sales ($)]]-CleanedData[[#This Row],[Total Cost ($)]]</f>
        <v>51506.399999999994</v>
      </c>
      <c r="P306" s="12">
        <f>CleanedData[[#This Row],[Profit ($)]]/CleanedData[[#This Row],[Total Sales ($)]]</f>
        <v>0.21057744198596867</v>
      </c>
      <c r="Q306" s="8" t="s">
        <v>42</v>
      </c>
      <c r="R306" s="8" t="s">
        <v>63</v>
      </c>
      <c r="S306" s="8" t="b">
        <f>_xlfn.SINGLE(CleanedData[[#This Row],[Delivery Status]])="Late"</f>
        <v>0</v>
      </c>
      <c r="T306" s="10">
        <v>1</v>
      </c>
      <c r="U306" s="8" t="s">
        <v>53</v>
      </c>
      <c r="V306" s="10">
        <v>304</v>
      </c>
      <c r="W306" s="10">
        <v>5</v>
      </c>
      <c r="X306" s="12">
        <v>2.27272727272727E-2</v>
      </c>
      <c r="Y306" s="8" t="b">
        <f>CleanedData[[#This Row],[Ship Date]]&lt;CleanedData[[#This Row],[Order Date]]</f>
        <v>1</v>
      </c>
      <c r="Z306" s="10">
        <f>YEAR(CleanedData[[#This Row],[Order Date]])</f>
        <v>2024</v>
      </c>
      <c r="AA306" s="8">
        <f>MONTH(CleanedData[[#This Row],[Order Date]])</f>
        <v>10</v>
      </c>
    </row>
    <row r="307" spans="1:27" x14ac:dyDescent="0.35">
      <c r="A307" s="8" t="s">
        <v>1185</v>
      </c>
      <c r="B307" s="9">
        <v>45029</v>
      </c>
      <c r="C307" s="9">
        <v>45256</v>
      </c>
      <c r="D307" s="8" t="s">
        <v>1187</v>
      </c>
      <c r="E307" s="8" t="s">
        <v>48</v>
      </c>
      <c r="F307" s="8" t="s">
        <v>281</v>
      </c>
      <c r="G307" s="8" t="s">
        <v>189</v>
      </c>
      <c r="H307" s="8" t="s">
        <v>311</v>
      </c>
      <c r="I307" s="8" t="s">
        <v>4981</v>
      </c>
      <c r="J307" s="10">
        <v>148</v>
      </c>
      <c r="K307" s="11">
        <v>177.11</v>
      </c>
      <c r="L307" s="11">
        <v>203.55</v>
      </c>
      <c r="M307" s="11">
        <v>30125.4</v>
      </c>
      <c r="N307" s="11">
        <v>26212.28</v>
      </c>
      <c r="O307" s="11">
        <f>CleanedData[[#This Row],[Total Sales ($)]]-CleanedData[[#This Row],[Total Cost ($)]]</f>
        <v>3913.1200000000026</v>
      </c>
      <c r="P307" s="12">
        <f>CleanedData[[#This Row],[Profit ($)]]/CleanedData[[#This Row],[Total Sales ($)]]</f>
        <v>0.12989437484647515</v>
      </c>
      <c r="Q307" s="8" t="s">
        <v>42</v>
      </c>
      <c r="R307" s="8" t="s">
        <v>32</v>
      </c>
      <c r="S307" s="8" t="b">
        <f>_xlfn.SINGLE(CleanedData[[#This Row],[Delivery Status]])="Late"</f>
        <v>1</v>
      </c>
      <c r="T307" s="10">
        <v>13</v>
      </c>
      <c r="U307" s="8" t="s">
        <v>33</v>
      </c>
      <c r="V307" s="10">
        <v>2501.41</v>
      </c>
      <c r="W307" s="10">
        <v>4</v>
      </c>
      <c r="X307" s="12">
        <v>2.7027027027027001E-2</v>
      </c>
      <c r="Y307" s="8" t="b">
        <f>CleanedData[[#This Row],[Ship Date]]&lt;CleanedData[[#This Row],[Order Date]]</f>
        <v>0</v>
      </c>
      <c r="Z307" s="10">
        <f>YEAR(CleanedData[[#This Row],[Order Date]])</f>
        <v>2023</v>
      </c>
      <c r="AA307" s="8">
        <f>MONTH(CleanedData[[#This Row],[Order Date]])</f>
        <v>4</v>
      </c>
    </row>
    <row r="308" spans="1:27" x14ac:dyDescent="0.35">
      <c r="A308" s="8" t="s">
        <v>1188</v>
      </c>
      <c r="B308" s="9">
        <v>45213</v>
      </c>
      <c r="C308" s="9">
        <v>45099</v>
      </c>
      <c r="D308" s="8" t="s">
        <v>1190</v>
      </c>
      <c r="E308" s="8" t="s">
        <v>26</v>
      </c>
      <c r="F308" s="8" t="s">
        <v>92</v>
      </c>
      <c r="G308" s="8" t="s">
        <v>78</v>
      </c>
      <c r="H308" s="8" t="s">
        <v>628</v>
      </c>
      <c r="I308" s="8" t="s">
        <v>4978</v>
      </c>
      <c r="J308" s="10">
        <v>78</v>
      </c>
      <c r="K308" s="11">
        <v>676.71</v>
      </c>
      <c r="L308" s="11">
        <v>824.78</v>
      </c>
      <c r="M308" s="11">
        <v>64332.84</v>
      </c>
      <c r="N308" s="11">
        <v>52783.38</v>
      </c>
      <c r="O308" s="11">
        <f>CleanedData[[#This Row],[Total Sales ($)]]-CleanedData[[#This Row],[Total Cost ($)]]</f>
        <v>11549.46</v>
      </c>
      <c r="P308" s="12">
        <f>CleanedData[[#This Row],[Profit ($)]]/CleanedData[[#This Row],[Total Sales ($)]]</f>
        <v>0.17952666165522926</v>
      </c>
      <c r="Q308" s="8" t="s">
        <v>52</v>
      </c>
      <c r="R308" s="8" t="s">
        <v>32</v>
      </c>
      <c r="S308" s="8" t="b">
        <f>_xlfn.SINGLE(CleanedData[[#This Row],[Delivery Status]])="Late"</f>
        <v>1</v>
      </c>
      <c r="T308" s="10">
        <v>12</v>
      </c>
      <c r="U308" s="8" t="s">
        <v>43</v>
      </c>
      <c r="V308" s="10">
        <v>4670</v>
      </c>
      <c r="W308" s="10">
        <v>2</v>
      </c>
      <c r="X308" s="12">
        <v>2.5641025641025599E-2</v>
      </c>
      <c r="Y308" s="8" t="b">
        <f>CleanedData[[#This Row],[Ship Date]]&lt;CleanedData[[#This Row],[Order Date]]</f>
        <v>1</v>
      </c>
      <c r="Z308" s="10">
        <f>YEAR(CleanedData[[#This Row],[Order Date]])</f>
        <v>2023</v>
      </c>
      <c r="AA308" s="8">
        <f>MONTH(CleanedData[[#This Row],[Order Date]])</f>
        <v>10</v>
      </c>
    </row>
    <row r="309" spans="1:27" x14ac:dyDescent="0.35">
      <c r="A309" s="8" t="s">
        <v>1191</v>
      </c>
      <c r="B309" s="9">
        <v>45096</v>
      </c>
      <c r="C309" s="9">
        <v>45226</v>
      </c>
      <c r="D309" s="8" t="s">
        <v>1193</v>
      </c>
      <c r="E309" s="8" t="s">
        <v>58</v>
      </c>
      <c r="F309" s="8" t="s">
        <v>122</v>
      </c>
      <c r="G309" s="8" t="s">
        <v>70</v>
      </c>
      <c r="H309" s="8" t="s">
        <v>384</v>
      </c>
      <c r="I309" s="8" t="s">
        <v>4978</v>
      </c>
      <c r="J309" s="10">
        <v>304</v>
      </c>
      <c r="K309" s="11">
        <v>925.14</v>
      </c>
      <c r="L309" s="11">
        <v>1334.28</v>
      </c>
      <c r="M309" s="11">
        <v>405621.12</v>
      </c>
      <c r="N309" s="11">
        <v>281242.56</v>
      </c>
      <c r="O309" s="11">
        <f>CleanedData[[#This Row],[Total Sales ($)]]-CleanedData[[#This Row],[Total Cost ($)]]</f>
        <v>124378.56</v>
      </c>
      <c r="P309" s="12">
        <f>CleanedData[[#This Row],[Profit ($)]]/CleanedData[[#This Row],[Total Sales ($)]]</f>
        <v>0.30663728752585662</v>
      </c>
      <c r="Q309" s="8" t="s">
        <v>31</v>
      </c>
      <c r="R309" s="8" t="s">
        <v>32</v>
      </c>
      <c r="S309" s="8" t="b">
        <f>_xlfn.SINGLE(CleanedData[[#This Row],[Delivery Status]])="Late"</f>
        <v>1</v>
      </c>
      <c r="T309" s="10">
        <v>15</v>
      </c>
      <c r="U309" s="8" t="s">
        <v>43</v>
      </c>
      <c r="V309" s="10">
        <v>2087</v>
      </c>
      <c r="W309" s="10">
        <v>12</v>
      </c>
      <c r="X309" s="12">
        <v>3.94736842105263E-2</v>
      </c>
      <c r="Y309" s="8" t="b">
        <f>CleanedData[[#This Row],[Ship Date]]&lt;CleanedData[[#This Row],[Order Date]]</f>
        <v>0</v>
      </c>
      <c r="Z309" s="10">
        <f>YEAR(CleanedData[[#This Row],[Order Date]])</f>
        <v>2023</v>
      </c>
      <c r="AA309" s="8">
        <f>MONTH(CleanedData[[#This Row],[Order Date]])</f>
        <v>6</v>
      </c>
    </row>
    <row r="310" spans="1:27" x14ac:dyDescent="0.35">
      <c r="A310" s="8" t="s">
        <v>1194</v>
      </c>
      <c r="B310" s="9">
        <v>45395</v>
      </c>
      <c r="C310" s="9">
        <v>45652</v>
      </c>
      <c r="D310" s="8" t="s">
        <v>1196</v>
      </c>
      <c r="E310" s="8" t="s">
        <v>26</v>
      </c>
      <c r="F310" s="8" t="s">
        <v>92</v>
      </c>
      <c r="G310" s="8" t="s">
        <v>28</v>
      </c>
      <c r="H310" s="8" t="s">
        <v>29</v>
      </c>
      <c r="I310" s="8" t="s">
        <v>4977</v>
      </c>
      <c r="J310" s="10">
        <v>409</v>
      </c>
      <c r="K310" s="11">
        <v>968.45</v>
      </c>
      <c r="L310" s="11">
        <v>1433.87</v>
      </c>
      <c r="M310" s="11">
        <v>586452.82999999996</v>
      </c>
      <c r="N310" s="11">
        <v>396096.05</v>
      </c>
      <c r="O310" s="11">
        <f>CleanedData[[#This Row],[Total Sales ($)]]-CleanedData[[#This Row],[Total Cost ($)]]</f>
        <v>190356.77999999997</v>
      </c>
      <c r="P310" s="12">
        <f>CleanedData[[#This Row],[Profit ($)]]/CleanedData[[#This Row],[Total Sales ($)]]</f>
        <v>0.32459009533639727</v>
      </c>
      <c r="Q310" s="8" t="s">
        <v>95</v>
      </c>
      <c r="R310" s="8" t="s">
        <v>63</v>
      </c>
      <c r="S310" s="8" t="b">
        <f>_xlfn.SINGLE(CleanedData[[#This Row],[Delivery Status]])="Late"</f>
        <v>0</v>
      </c>
      <c r="T310" s="10">
        <v>5</v>
      </c>
      <c r="U310" s="8" t="s">
        <v>43</v>
      </c>
      <c r="V310" s="10">
        <v>2961</v>
      </c>
      <c r="W310" s="10">
        <v>13</v>
      </c>
      <c r="X310" s="12">
        <v>3.1784841075794601E-2</v>
      </c>
      <c r="Y310" s="8" t="b">
        <f>CleanedData[[#This Row],[Ship Date]]&lt;CleanedData[[#This Row],[Order Date]]</f>
        <v>0</v>
      </c>
      <c r="Z310" s="10">
        <f>YEAR(CleanedData[[#This Row],[Order Date]])</f>
        <v>2024</v>
      </c>
      <c r="AA310" s="8">
        <f>MONTH(CleanedData[[#This Row],[Order Date]])</f>
        <v>4</v>
      </c>
    </row>
    <row r="311" spans="1:27" x14ac:dyDescent="0.35">
      <c r="A311" s="8" t="s">
        <v>1197</v>
      </c>
      <c r="B311" s="9">
        <v>45119</v>
      </c>
      <c r="C311" s="9">
        <v>45056</v>
      </c>
      <c r="D311" s="8" t="s">
        <v>1199</v>
      </c>
      <c r="E311" s="8" t="s">
        <v>26</v>
      </c>
      <c r="F311" s="8" t="s">
        <v>77</v>
      </c>
      <c r="G311" s="8" t="s">
        <v>50</v>
      </c>
      <c r="H311" s="8" t="s">
        <v>734</v>
      </c>
      <c r="I311" s="8" t="s">
        <v>4973</v>
      </c>
      <c r="J311" s="10">
        <v>43</v>
      </c>
      <c r="K311" s="11">
        <v>794.22</v>
      </c>
      <c r="L311" s="11">
        <v>1183.3</v>
      </c>
      <c r="M311" s="11">
        <v>50881.9</v>
      </c>
      <c r="N311" s="11">
        <v>34151.46</v>
      </c>
      <c r="O311" s="11">
        <f>CleanedData[[#This Row],[Total Sales ($)]]-CleanedData[[#This Row],[Total Cost ($)]]</f>
        <v>16730.440000000002</v>
      </c>
      <c r="P311" s="12">
        <f>CleanedData[[#This Row],[Profit ($)]]/CleanedData[[#This Row],[Total Sales ($)]]</f>
        <v>0.32880926223273899</v>
      </c>
      <c r="Q311" s="8" t="s">
        <v>95</v>
      </c>
      <c r="R311" s="8" t="s">
        <v>32</v>
      </c>
      <c r="S311" s="8" t="b">
        <f>_xlfn.SINGLE(CleanedData[[#This Row],[Delivery Status]])="Late"</f>
        <v>1</v>
      </c>
      <c r="T311" s="10">
        <v>7</v>
      </c>
      <c r="U311" s="8" t="s">
        <v>112</v>
      </c>
      <c r="V311" s="10">
        <v>1965</v>
      </c>
      <c r="W311" s="10">
        <v>2</v>
      </c>
      <c r="X311" s="12">
        <v>4.6511627906976702E-2</v>
      </c>
      <c r="Y311" s="8" t="b">
        <f>CleanedData[[#This Row],[Ship Date]]&lt;CleanedData[[#This Row],[Order Date]]</f>
        <v>1</v>
      </c>
      <c r="Z311" s="10">
        <f>YEAR(CleanedData[[#This Row],[Order Date]])</f>
        <v>2023</v>
      </c>
      <c r="AA311" s="8">
        <f>MONTH(CleanedData[[#This Row],[Order Date]])</f>
        <v>7</v>
      </c>
    </row>
    <row r="312" spans="1:27" x14ac:dyDescent="0.35">
      <c r="A312" s="8" t="s">
        <v>1200</v>
      </c>
      <c r="B312" s="9">
        <v>45185</v>
      </c>
      <c r="C312" s="9">
        <v>45258</v>
      </c>
      <c r="D312" s="8" t="s">
        <v>1202</v>
      </c>
      <c r="E312" s="8" t="s">
        <v>26</v>
      </c>
      <c r="F312" s="8" t="s">
        <v>27</v>
      </c>
      <c r="G312" s="8" t="s">
        <v>28</v>
      </c>
      <c r="H312" s="8" t="s">
        <v>111</v>
      </c>
      <c r="I312" s="8" t="s">
        <v>4968</v>
      </c>
      <c r="J312" s="10">
        <v>234</v>
      </c>
      <c r="K312" s="11">
        <v>255.25</v>
      </c>
      <c r="L312" s="11">
        <v>406.75</v>
      </c>
      <c r="M312" s="11">
        <v>95179.5</v>
      </c>
      <c r="N312" s="11">
        <v>59728.5</v>
      </c>
      <c r="O312" s="11">
        <f>CleanedData[[#This Row],[Total Sales ($)]]-CleanedData[[#This Row],[Total Cost ($)]]</f>
        <v>35451</v>
      </c>
      <c r="P312" s="12">
        <f>CleanedData[[#This Row],[Profit ($)]]/CleanedData[[#This Row],[Total Sales ($)]]</f>
        <v>0.37246465888137675</v>
      </c>
      <c r="Q312" s="8" t="s">
        <v>42</v>
      </c>
      <c r="R312" s="8" t="s">
        <v>32</v>
      </c>
      <c r="S312" s="8" t="b">
        <f>_xlfn.SINGLE(CleanedData[[#This Row],[Delivery Status]])="Late"</f>
        <v>1</v>
      </c>
      <c r="T312" s="10">
        <v>13</v>
      </c>
      <c r="U312" s="8" t="s">
        <v>112</v>
      </c>
      <c r="V312" s="10">
        <v>1476</v>
      </c>
      <c r="W312" s="10">
        <v>11</v>
      </c>
      <c r="X312" s="12">
        <v>4.7008547008547001E-2</v>
      </c>
      <c r="Y312" s="8" t="b">
        <f>CleanedData[[#This Row],[Ship Date]]&lt;CleanedData[[#This Row],[Order Date]]</f>
        <v>0</v>
      </c>
      <c r="Z312" s="10">
        <f>YEAR(CleanedData[[#This Row],[Order Date]])</f>
        <v>2023</v>
      </c>
      <c r="AA312" s="8">
        <f>MONTH(CleanedData[[#This Row],[Order Date]])</f>
        <v>9</v>
      </c>
    </row>
    <row r="313" spans="1:27" x14ac:dyDescent="0.35">
      <c r="A313" s="8" t="s">
        <v>1203</v>
      </c>
      <c r="B313" s="9">
        <v>45129</v>
      </c>
      <c r="C313" s="9">
        <v>45095</v>
      </c>
      <c r="D313" s="8" t="s">
        <v>1204</v>
      </c>
      <c r="E313" s="8" t="s">
        <v>48</v>
      </c>
      <c r="F313" s="8" t="s">
        <v>183</v>
      </c>
      <c r="G313" s="8" t="s">
        <v>50</v>
      </c>
      <c r="H313" s="8" t="s">
        <v>282</v>
      </c>
      <c r="I313" s="8" t="s">
        <v>4970</v>
      </c>
      <c r="J313" s="10">
        <v>15</v>
      </c>
      <c r="K313" s="11">
        <v>676.65</v>
      </c>
      <c r="L313" s="11">
        <v>822.25</v>
      </c>
      <c r="M313" s="11">
        <v>12333.75</v>
      </c>
      <c r="N313" s="11">
        <v>10149.75</v>
      </c>
      <c r="O313" s="11">
        <f>CleanedData[[#This Row],[Total Sales ($)]]-CleanedData[[#This Row],[Total Cost ($)]]</f>
        <v>2184</v>
      </c>
      <c r="P313" s="12">
        <f>CleanedData[[#This Row],[Profit ($)]]/CleanedData[[#This Row],[Total Sales ($)]]</f>
        <v>0.17707509881422925</v>
      </c>
      <c r="Q313" s="8" t="s">
        <v>42</v>
      </c>
      <c r="R313" s="8" t="s">
        <v>32</v>
      </c>
      <c r="S313" s="8" t="b">
        <f>_xlfn.SINGLE(CleanedData[[#This Row],[Delivery Status]])="Late"</f>
        <v>1</v>
      </c>
      <c r="T313" s="10">
        <v>14</v>
      </c>
      <c r="U313" s="8" t="s">
        <v>43</v>
      </c>
      <c r="V313" s="10">
        <v>252</v>
      </c>
      <c r="W313" s="10">
        <v>0</v>
      </c>
      <c r="X313" s="12">
        <v>0</v>
      </c>
      <c r="Y313" s="8" t="b">
        <f>CleanedData[[#This Row],[Ship Date]]&lt;CleanedData[[#This Row],[Order Date]]</f>
        <v>1</v>
      </c>
      <c r="Z313" s="10">
        <f>YEAR(CleanedData[[#This Row],[Order Date]])</f>
        <v>2023</v>
      </c>
      <c r="AA313" s="8">
        <f>MONTH(CleanedData[[#This Row],[Order Date]])</f>
        <v>7</v>
      </c>
    </row>
    <row r="314" spans="1:27" x14ac:dyDescent="0.35">
      <c r="A314" s="8" t="s">
        <v>1205</v>
      </c>
      <c r="B314" s="9">
        <v>45156</v>
      </c>
      <c r="C314" s="9">
        <v>45278</v>
      </c>
      <c r="D314" s="8" t="s">
        <v>1207</v>
      </c>
      <c r="E314" s="8" t="s">
        <v>100</v>
      </c>
      <c r="F314" s="8" t="s">
        <v>106</v>
      </c>
      <c r="G314" s="8" t="s">
        <v>28</v>
      </c>
      <c r="H314" s="8" t="s">
        <v>674</v>
      </c>
      <c r="I314" s="8" t="s">
        <v>4968</v>
      </c>
      <c r="J314" s="10">
        <v>778</v>
      </c>
      <c r="K314" s="11">
        <v>121.7</v>
      </c>
      <c r="L314" s="11">
        <v>170.18</v>
      </c>
      <c r="M314" s="11">
        <v>132400.04</v>
      </c>
      <c r="N314" s="11">
        <v>94682.6</v>
      </c>
      <c r="O314" s="11">
        <f>CleanedData[[#This Row],[Total Sales ($)]]-CleanedData[[#This Row],[Total Cost ($)]]</f>
        <v>37717.440000000002</v>
      </c>
      <c r="P314" s="12">
        <f>CleanedData[[#This Row],[Profit ($)]]/CleanedData[[#This Row],[Total Sales ($)]]</f>
        <v>0.28487483840639322</v>
      </c>
      <c r="Q314" s="8" t="s">
        <v>42</v>
      </c>
      <c r="R314" s="8" t="s">
        <v>32</v>
      </c>
      <c r="S314" s="8" t="b">
        <f>_xlfn.SINGLE(CleanedData[[#This Row],[Delivery Status]])="Late"</f>
        <v>1</v>
      </c>
      <c r="T314" s="10">
        <v>10</v>
      </c>
      <c r="U314" s="8" t="s">
        <v>86</v>
      </c>
      <c r="V314" s="10">
        <v>4372</v>
      </c>
      <c r="W314" s="10">
        <v>26</v>
      </c>
      <c r="X314" s="12">
        <v>3.3419023136246701E-2</v>
      </c>
      <c r="Y314" s="8" t="b">
        <f>CleanedData[[#This Row],[Ship Date]]&lt;CleanedData[[#This Row],[Order Date]]</f>
        <v>0</v>
      </c>
      <c r="Z314" s="10">
        <f>YEAR(CleanedData[[#This Row],[Order Date]])</f>
        <v>2023</v>
      </c>
      <c r="AA314" s="8">
        <f>MONTH(CleanedData[[#This Row],[Order Date]])</f>
        <v>8</v>
      </c>
    </row>
    <row r="315" spans="1:27" x14ac:dyDescent="0.35">
      <c r="A315" s="8" t="s">
        <v>1208</v>
      </c>
      <c r="B315" s="9">
        <v>45465</v>
      </c>
      <c r="C315" s="9">
        <v>45559</v>
      </c>
      <c r="D315" s="8" t="s">
        <v>1211</v>
      </c>
      <c r="E315" s="8" t="s">
        <v>58</v>
      </c>
      <c r="F315" s="8" t="s">
        <v>259</v>
      </c>
      <c r="G315" s="8" t="s">
        <v>39</v>
      </c>
      <c r="H315" s="8" t="s">
        <v>354</v>
      </c>
      <c r="I315" s="8" t="s">
        <v>4968</v>
      </c>
      <c r="J315" s="10">
        <v>191</v>
      </c>
      <c r="K315" s="11">
        <v>246.16</v>
      </c>
      <c r="L315" s="11">
        <v>313.77999999999997</v>
      </c>
      <c r="M315" s="11">
        <v>59931.98</v>
      </c>
      <c r="N315" s="11">
        <v>47016.56</v>
      </c>
      <c r="O315" s="11">
        <f>CleanedData[[#This Row],[Total Sales ($)]]-CleanedData[[#This Row],[Total Cost ($)]]</f>
        <v>12915.420000000006</v>
      </c>
      <c r="P315" s="12">
        <f>CleanedData[[#This Row],[Profit ($)]]/CleanedData[[#This Row],[Total Sales ($)]]</f>
        <v>0.21550130664796999</v>
      </c>
      <c r="Q315" s="8" t="s">
        <v>31</v>
      </c>
      <c r="R315" s="8" t="s">
        <v>63</v>
      </c>
      <c r="S315" s="8" t="b">
        <f>_xlfn.SINGLE(CleanedData[[#This Row],[Delivery Status]])="Late"</f>
        <v>0</v>
      </c>
      <c r="T315" s="10">
        <v>2</v>
      </c>
      <c r="U315" s="8" t="s">
        <v>53</v>
      </c>
      <c r="V315" s="10">
        <v>2499</v>
      </c>
      <c r="W315" s="10">
        <v>7</v>
      </c>
      <c r="X315" s="12">
        <v>3.6649214659685798E-2</v>
      </c>
      <c r="Y315" s="8" t="b">
        <f>CleanedData[[#This Row],[Ship Date]]&lt;CleanedData[[#This Row],[Order Date]]</f>
        <v>0</v>
      </c>
      <c r="Z315" s="10">
        <f>YEAR(CleanedData[[#This Row],[Order Date]])</f>
        <v>2024</v>
      </c>
      <c r="AA315" s="8">
        <f>MONTH(CleanedData[[#This Row],[Order Date]])</f>
        <v>6</v>
      </c>
    </row>
    <row r="316" spans="1:27" x14ac:dyDescent="0.35">
      <c r="A316" s="8" t="s">
        <v>1212</v>
      </c>
      <c r="B316" s="9">
        <v>45238</v>
      </c>
      <c r="C316" s="9">
        <v>45097</v>
      </c>
      <c r="D316" s="8" t="s">
        <v>1214</v>
      </c>
      <c r="E316" s="8" t="s">
        <v>100</v>
      </c>
      <c r="F316" s="8" t="s">
        <v>330</v>
      </c>
      <c r="G316" s="8" t="s">
        <v>93</v>
      </c>
      <c r="H316" s="8" t="s">
        <v>321</v>
      </c>
      <c r="I316" s="8" t="s">
        <v>4977</v>
      </c>
      <c r="J316" s="10">
        <v>291</v>
      </c>
      <c r="K316" s="11">
        <v>872.92</v>
      </c>
      <c r="L316" s="11">
        <v>1339.91</v>
      </c>
      <c r="M316" s="11">
        <v>389913.81</v>
      </c>
      <c r="N316" s="11">
        <v>254019.72</v>
      </c>
      <c r="O316" s="11">
        <f>CleanedData[[#This Row],[Total Sales ($)]]-CleanedData[[#This Row],[Total Cost ($)]]</f>
        <v>135894.09</v>
      </c>
      <c r="P316" s="12">
        <f>CleanedData[[#This Row],[Profit ($)]]/CleanedData[[#This Row],[Total Sales ($)]]</f>
        <v>0.34852340828861639</v>
      </c>
      <c r="Q316" s="8" t="s">
        <v>52</v>
      </c>
      <c r="R316" s="8" t="s">
        <v>32</v>
      </c>
      <c r="S316" s="8" t="b">
        <f>_xlfn.SINGLE(CleanedData[[#This Row],[Delivery Status]])="Late"</f>
        <v>1</v>
      </c>
      <c r="T316" s="10">
        <v>15</v>
      </c>
      <c r="U316" s="8" t="s">
        <v>33</v>
      </c>
      <c r="V316" s="10">
        <v>825</v>
      </c>
      <c r="W316" s="10">
        <v>6</v>
      </c>
      <c r="X316" s="12">
        <v>2.06185567010309E-2</v>
      </c>
      <c r="Y316" s="8" t="b">
        <f>CleanedData[[#This Row],[Ship Date]]&lt;CleanedData[[#This Row],[Order Date]]</f>
        <v>1</v>
      </c>
      <c r="Z316" s="10">
        <f>YEAR(CleanedData[[#This Row],[Order Date]])</f>
        <v>2023</v>
      </c>
      <c r="AA316" s="8">
        <f>MONTH(CleanedData[[#This Row],[Order Date]])</f>
        <v>11</v>
      </c>
    </row>
    <row r="317" spans="1:27" x14ac:dyDescent="0.35">
      <c r="A317" s="8" t="s">
        <v>1215</v>
      </c>
      <c r="B317" s="9">
        <v>45087</v>
      </c>
      <c r="C317" s="9">
        <v>45154</v>
      </c>
      <c r="D317" s="8" t="s">
        <v>1218</v>
      </c>
      <c r="E317" s="8" t="s">
        <v>68</v>
      </c>
      <c r="F317" s="8" t="s">
        <v>249</v>
      </c>
      <c r="G317" s="8" t="s">
        <v>50</v>
      </c>
      <c r="H317" s="8" t="s">
        <v>107</v>
      </c>
      <c r="I317" s="8" t="s">
        <v>4971</v>
      </c>
      <c r="J317" s="10">
        <v>285</v>
      </c>
      <c r="K317" s="11">
        <v>569.48</v>
      </c>
      <c r="L317" s="11">
        <v>823.94</v>
      </c>
      <c r="M317" s="11">
        <v>234822.9</v>
      </c>
      <c r="N317" s="11">
        <v>162301.79999999999</v>
      </c>
      <c r="O317" s="11">
        <f>CleanedData[[#This Row],[Total Sales ($)]]-CleanedData[[#This Row],[Total Cost ($)]]</f>
        <v>72521.100000000006</v>
      </c>
      <c r="P317" s="12">
        <f>CleanedData[[#This Row],[Profit ($)]]/CleanedData[[#This Row],[Total Sales ($)]]</f>
        <v>0.3088331674636503</v>
      </c>
      <c r="Q317" s="8" t="s">
        <v>42</v>
      </c>
      <c r="R317" s="8" t="s">
        <v>32</v>
      </c>
      <c r="S317" s="8" t="b">
        <f>_xlfn.SINGLE(CleanedData[[#This Row],[Delivery Status]])="Late"</f>
        <v>1</v>
      </c>
      <c r="T317" s="10">
        <v>13</v>
      </c>
      <c r="U317" s="8" t="s">
        <v>112</v>
      </c>
      <c r="V317" s="10">
        <v>1577</v>
      </c>
      <c r="W317" s="10">
        <v>13</v>
      </c>
      <c r="X317" s="12">
        <v>4.5614035087719301E-2</v>
      </c>
      <c r="Y317" s="8" t="b">
        <f>CleanedData[[#This Row],[Ship Date]]&lt;CleanedData[[#This Row],[Order Date]]</f>
        <v>0</v>
      </c>
      <c r="Z317" s="10">
        <f>YEAR(CleanedData[[#This Row],[Order Date]])</f>
        <v>2023</v>
      </c>
      <c r="AA317" s="8">
        <f>MONTH(CleanedData[[#This Row],[Order Date]])</f>
        <v>6</v>
      </c>
    </row>
    <row r="318" spans="1:27" x14ac:dyDescent="0.35">
      <c r="A318" s="8" t="s">
        <v>1219</v>
      </c>
      <c r="B318" s="9">
        <v>45210</v>
      </c>
      <c r="C318" s="9">
        <v>45247</v>
      </c>
      <c r="D318" s="8" t="s">
        <v>4972</v>
      </c>
      <c r="E318" s="8" t="s">
        <v>26</v>
      </c>
      <c r="F318" s="8" t="s">
        <v>38</v>
      </c>
      <c r="G318" s="8" t="s">
        <v>78</v>
      </c>
      <c r="H318" s="8" t="s">
        <v>481</v>
      </c>
      <c r="I318" s="8" t="s">
        <v>4977</v>
      </c>
      <c r="J318" s="10">
        <v>21</v>
      </c>
      <c r="K318" s="11">
        <v>687.52</v>
      </c>
      <c r="L318" s="11">
        <v>1134.3599999999999</v>
      </c>
      <c r="M318" s="11">
        <v>23821.56</v>
      </c>
      <c r="N318" s="11">
        <v>14437.92</v>
      </c>
      <c r="O318" s="11">
        <f>CleanedData[[#This Row],[Total Sales ($)]]-CleanedData[[#This Row],[Total Cost ($)]]</f>
        <v>9383.6400000000012</v>
      </c>
      <c r="P318" s="12">
        <f>CleanedData[[#This Row],[Profit ($)]]/CleanedData[[#This Row],[Total Sales ($)]]</f>
        <v>0.39391374872174623</v>
      </c>
      <c r="Q318" s="8" t="s">
        <v>31</v>
      </c>
      <c r="R318" s="8" t="s">
        <v>32</v>
      </c>
      <c r="S318" s="8" t="b">
        <f>_xlfn.SINGLE(CleanedData[[#This Row],[Delivery Status]])="Late"</f>
        <v>1</v>
      </c>
      <c r="T318" s="10">
        <v>15</v>
      </c>
      <c r="U318" s="8" t="s">
        <v>86</v>
      </c>
      <c r="V318" s="10">
        <v>3370</v>
      </c>
      <c r="W318" s="10">
        <v>0</v>
      </c>
      <c r="X318" s="12">
        <v>0</v>
      </c>
      <c r="Y318" s="8" t="b">
        <f>CleanedData[[#This Row],[Ship Date]]&lt;CleanedData[[#This Row],[Order Date]]</f>
        <v>0</v>
      </c>
      <c r="Z318" s="10">
        <f>YEAR(CleanedData[[#This Row],[Order Date]])</f>
        <v>2023</v>
      </c>
      <c r="AA318" s="8">
        <f>MONTH(CleanedData[[#This Row],[Order Date]])</f>
        <v>10</v>
      </c>
    </row>
    <row r="319" spans="1:27" x14ac:dyDescent="0.35">
      <c r="A319" s="8" t="s">
        <v>1221</v>
      </c>
      <c r="B319" s="9">
        <v>45379</v>
      </c>
      <c r="C319" s="9">
        <v>45469</v>
      </c>
      <c r="D319" s="8" t="s">
        <v>1224</v>
      </c>
      <c r="E319" s="8" t="s">
        <v>100</v>
      </c>
      <c r="F319" s="8" t="s">
        <v>101</v>
      </c>
      <c r="G319" s="8" t="s">
        <v>93</v>
      </c>
      <c r="H319" s="8" t="s">
        <v>485</v>
      </c>
      <c r="I319" s="8" t="s">
        <v>4967</v>
      </c>
      <c r="J319" s="10">
        <v>259</v>
      </c>
      <c r="K319" s="11">
        <v>1148.49</v>
      </c>
      <c r="L319" s="11">
        <v>1784.17</v>
      </c>
      <c r="M319" s="11">
        <v>462100.03</v>
      </c>
      <c r="N319" s="11">
        <v>297458.90999999997</v>
      </c>
      <c r="O319" s="11">
        <f>CleanedData[[#This Row],[Total Sales ($)]]-CleanedData[[#This Row],[Total Cost ($)]]</f>
        <v>164641.12000000005</v>
      </c>
      <c r="P319" s="12">
        <f>CleanedData[[#This Row],[Profit ($)]]/CleanedData[[#This Row],[Total Sales ($)]]</f>
        <v>0.35628891865685453</v>
      </c>
      <c r="Q319" s="8" t="s">
        <v>31</v>
      </c>
      <c r="R319" s="8" t="s">
        <v>63</v>
      </c>
      <c r="S319" s="8" t="b">
        <f>_xlfn.SINGLE(CleanedData[[#This Row],[Delivery Status]])="Late"</f>
        <v>0</v>
      </c>
      <c r="T319" s="10">
        <v>5</v>
      </c>
      <c r="U319" s="8" t="s">
        <v>86</v>
      </c>
      <c r="V319" s="10">
        <v>3386</v>
      </c>
      <c r="W319" s="10">
        <v>10</v>
      </c>
      <c r="X319" s="12">
        <v>3.8610038610038602E-2</v>
      </c>
      <c r="Y319" s="8" t="b">
        <f>CleanedData[[#This Row],[Ship Date]]&lt;CleanedData[[#This Row],[Order Date]]</f>
        <v>0</v>
      </c>
      <c r="Z319" s="10">
        <f>YEAR(CleanedData[[#This Row],[Order Date]])</f>
        <v>2024</v>
      </c>
      <c r="AA319" s="8">
        <f>MONTH(CleanedData[[#This Row],[Order Date]])</f>
        <v>3</v>
      </c>
    </row>
    <row r="320" spans="1:27" x14ac:dyDescent="0.35">
      <c r="A320" s="8" t="s">
        <v>1225</v>
      </c>
      <c r="B320" s="9">
        <v>45071</v>
      </c>
      <c r="C320" s="9">
        <v>45057</v>
      </c>
      <c r="D320" s="8" t="s">
        <v>1227</v>
      </c>
      <c r="E320" s="8" t="s">
        <v>100</v>
      </c>
      <c r="F320" s="8" t="s">
        <v>330</v>
      </c>
      <c r="G320" s="8" t="s">
        <v>28</v>
      </c>
      <c r="H320" s="8" t="s">
        <v>507</v>
      </c>
      <c r="I320" s="8" t="s">
        <v>4973</v>
      </c>
      <c r="J320" s="10">
        <v>686</v>
      </c>
      <c r="K320" s="11">
        <v>1181.31</v>
      </c>
      <c r="L320" s="11">
        <v>1543.07</v>
      </c>
      <c r="M320" s="11">
        <v>1058546.02</v>
      </c>
      <c r="N320" s="11">
        <v>810378.66</v>
      </c>
      <c r="O320" s="11">
        <f>CleanedData[[#This Row],[Total Sales ($)]]-CleanedData[[#This Row],[Total Cost ($)]]</f>
        <v>248167.36</v>
      </c>
      <c r="P320" s="12">
        <f>CleanedData[[#This Row],[Profit ($)]]/CleanedData[[#This Row],[Total Sales ($)]]</f>
        <v>0.2344417297983889</v>
      </c>
      <c r="Q320" s="8" t="s">
        <v>31</v>
      </c>
      <c r="R320" s="8" t="s">
        <v>32</v>
      </c>
      <c r="S320" s="8" t="b">
        <f>_xlfn.SINGLE(CleanedData[[#This Row],[Delivery Status]])="Late"</f>
        <v>1</v>
      </c>
      <c r="T320" s="10">
        <v>10</v>
      </c>
      <c r="U320" s="8" t="s">
        <v>33</v>
      </c>
      <c r="V320" s="10">
        <v>2078</v>
      </c>
      <c r="W320" s="10">
        <v>8</v>
      </c>
      <c r="X320" s="12">
        <v>1.1661807580174899E-2</v>
      </c>
      <c r="Y320" s="8" t="b">
        <f>CleanedData[[#This Row],[Ship Date]]&lt;CleanedData[[#This Row],[Order Date]]</f>
        <v>1</v>
      </c>
      <c r="Z320" s="10">
        <f>YEAR(CleanedData[[#This Row],[Order Date]])</f>
        <v>2023</v>
      </c>
      <c r="AA320" s="8">
        <f>MONTH(CleanedData[[#This Row],[Order Date]])</f>
        <v>5</v>
      </c>
    </row>
    <row r="321" spans="1:27" x14ac:dyDescent="0.35">
      <c r="A321" s="8" t="s">
        <v>1228</v>
      </c>
      <c r="B321" s="9">
        <v>45270</v>
      </c>
      <c r="C321" s="9">
        <v>45052</v>
      </c>
      <c r="D321" s="8" t="s">
        <v>1229</v>
      </c>
      <c r="E321" s="8" t="s">
        <v>100</v>
      </c>
      <c r="F321" s="8" t="s">
        <v>330</v>
      </c>
      <c r="G321" s="8" t="s">
        <v>217</v>
      </c>
      <c r="H321" s="8" t="s">
        <v>725</v>
      </c>
      <c r="I321" s="8" t="s">
        <v>4973</v>
      </c>
      <c r="J321" s="10">
        <v>227</v>
      </c>
      <c r="K321" s="11">
        <v>373.28</v>
      </c>
      <c r="L321" s="11">
        <v>433.87</v>
      </c>
      <c r="M321" s="11">
        <v>98488.49</v>
      </c>
      <c r="N321" s="11">
        <v>84734.56</v>
      </c>
      <c r="O321" s="11">
        <f>CleanedData[[#This Row],[Total Sales ($)]]-CleanedData[[#This Row],[Total Cost ($)]]</f>
        <v>13753.930000000008</v>
      </c>
      <c r="P321" s="12">
        <f>CleanedData[[#This Row],[Profit ($)]]/CleanedData[[#This Row],[Total Sales ($)]]</f>
        <v>0.13965012561366316</v>
      </c>
      <c r="Q321" s="8" t="s">
        <v>95</v>
      </c>
      <c r="R321" s="8" t="s">
        <v>32</v>
      </c>
      <c r="S321" s="8" t="b">
        <f>_xlfn.SINGLE(CleanedData[[#This Row],[Delivery Status]])="Late"</f>
        <v>1</v>
      </c>
      <c r="T321" s="10">
        <v>7</v>
      </c>
      <c r="U321" s="8" t="s">
        <v>33</v>
      </c>
      <c r="V321" s="10">
        <v>2466</v>
      </c>
      <c r="W321" s="10">
        <v>10</v>
      </c>
      <c r="X321" s="12">
        <v>4.4052863436123302E-2</v>
      </c>
      <c r="Y321" s="8" t="b">
        <f>CleanedData[[#This Row],[Ship Date]]&lt;CleanedData[[#This Row],[Order Date]]</f>
        <v>1</v>
      </c>
      <c r="Z321" s="10">
        <f>YEAR(CleanedData[[#This Row],[Order Date]])</f>
        <v>2023</v>
      </c>
      <c r="AA321" s="8">
        <f>MONTH(CleanedData[[#This Row],[Order Date]])</f>
        <v>12</v>
      </c>
    </row>
    <row r="322" spans="1:27" x14ac:dyDescent="0.35">
      <c r="A322" s="8" t="s">
        <v>266</v>
      </c>
      <c r="B322" s="9">
        <v>45313</v>
      </c>
      <c r="C322" s="9">
        <v>45511</v>
      </c>
      <c r="D322" s="8" t="s">
        <v>269</v>
      </c>
      <c r="E322" s="8" t="s">
        <v>48</v>
      </c>
      <c r="F322" s="8" t="s">
        <v>270</v>
      </c>
      <c r="G322" s="8" t="s">
        <v>189</v>
      </c>
      <c r="H322" s="8" t="s">
        <v>271</v>
      </c>
      <c r="I322" s="8" t="s">
        <v>4984</v>
      </c>
      <c r="J322" s="10">
        <v>708</v>
      </c>
      <c r="K322" s="11">
        <v>623.86</v>
      </c>
      <c r="L322" s="11">
        <v>896.1</v>
      </c>
      <c r="M322" s="11">
        <v>634438.80000000005</v>
      </c>
      <c r="N322" s="11">
        <v>441692.88</v>
      </c>
      <c r="O322" s="11">
        <f>CleanedData[[#This Row],[Total Sales ($)]]-CleanedData[[#This Row],[Total Cost ($)]]</f>
        <v>192745.92000000004</v>
      </c>
      <c r="P322" s="12">
        <f>CleanedData[[#This Row],[Profit ($)]]/CleanedData[[#This Row],[Total Sales ($)]]</f>
        <v>0.30380537886396614</v>
      </c>
      <c r="Q322" s="8" t="s">
        <v>42</v>
      </c>
      <c r="R322" s="8" t="s">
        <v>32</v>
      </c>
      <c r="S322" s="8" t="b">
        <f>_xlfn.SINGLE(CleanedData[[#This Row],[Delivery Status]])="Late"</f>
        <v>1</v>
      </c>
      <c r="T322" s="10">
        <v>9</v>
      </c>
      <c r="U322" s="8" t="s">
        <v>86</v>
      </c>
      <c r="V322" s="10">
        <v>3800</v>
      </c>
      <c r="W322" s="10">
        <v>6</v>
      </c>
      <c r="X322" s="12">
        <v>8.4745762711864007E-3</v>
      </c>
      <c r="Y322" s="8" t="b">
        <f>CleanedData[[#This Row],[Ship Date]]&lt;CleanedData[[#This Row],[Order Date]]</f>
        <v>0</v>
      </c>
      <c r="Z322" s="10">
        <f>YEAR(CleanedData[[#This Row],[Order Date]])</f>
        <v>2024</v>
      </c>
      <c r="AA322" s="8">
        <f>MONTH(CleanedData[[#This Row],[Order Date]])</f>
        <v>1</v>
      </c>
    </row>
    <row r="323" spans="1:27" x14ac:dyDescent="0.35">
      <c r="A323" s="8" t="s">
        <v>1231</v>
      </c>
      <c r="B323" s="9">
        <v>44997</v>
      </c>
      <c r="C323" s="9">
        <v>45131</v>
      </c>
      <c r="D323" s="8" t="s">
        <v>1234</v>
      </c>
      <c r="E323" s="8" t="s">
        <v>68</v>
      </c>
      <c r="F323" s="8" t="s">
        <v>69</v>
      </c>
      <c r="G323" s="8" t="s">
        <v>78</v>
      </c>
      <c r="H323" s="8" t="s">
        <v>178</v>
      </c>
      <c r="I323" s="8" t="s">
        <v>4976</v>
      </c>
      <c r="J323" s="10">
        <v>183</v>
      </c>
      <c r="K323" s="11">
        <v>414.43</v>
      </c>
      <c r="L323" s="11">
        <v>544.42999999999995</v>
      </c>
      <c r="M323" s="11">
        <v>99630.69</v>
      </c>
      <c r="N323" s="11">
        <v>75840.69</v>
      </c>
      <c r="O323" s="11">
        <f>CleanedData[[#This Row],[Total Sales ($)]]-CleanedData[[#This Row],[Total Cost ($)]]</f>
        <v>23790</v>
      </c>
      <c r="P323" s="12">
        <f>CleanedData[[#This Row],[Profit ($)]]/CleanedData[[#This Row],[Total Sales ($)]]</f>
        <v>0.2387818452326286</v>
      </c>
      <c r="Q323" s="8" t="s">
        <v>42</v>
      </c>
      <c r="R323" s="8" t="s">
        <v>63</v>
      </c>
      <c r="S323" s="8" t="b">
        <f>_xlfn.SINGLE(CleanedData[[#This Row],[Delivery Status]])="Late"</f>
        <v>0</v>
      </c>
      <c r="T323" s="10">
        <v>3</v>
      </c>
      <c r="U323" s="8" t="s">
        <v>86</v>
      </c>
      <c r="V323" s="10">
        <v>1373</v>
      </c>
      <c r="W323" s="10">
        <v>1</v>
      </c>
      <c r="X323" s="12">
        <v>5.4644808743169E-3</v>
      </c>
      <c r="Y323" s="8" t="b">
        <f>CleanedData[[#This Row],[Ship Date]]&lt;CleanedData[[#This Row],[Order Date]]</f>
        <v>0</v>
      </c>
      <c r="Z323" s="10">
        <f>YEAR(CleanedData[[#This Row],[Order Date]])</f>
        <v>2023</v>
      </c>
      <c r="AA323" s="8">
        <f>MONTH(CleanedData[[#This Row],[Order Date]])</f>
        <v>3</v>
      </c>
    </row>
    <row r="324" spans="1:27" x14ac:dyDescent="0.35">
      <c r="A324" s="8" t="s">
        <v>1235</v>
      </c>
      <c r="B324" s="9">
        <v>45377</v>
      </c>
      <c r="C324" s="9">
        <v>45614</v>
      </c>
      <c r="D324" s="8" t="s">
        <v>1238</v>
      </c>
      <c r="E324" s="8" t="s">
        <v>26</v>
      </c>
      <c r="F324" s="8" t="s">
        <v>38</v>
      </c>
      <c r="G324" s="8" t="s">
        <v>129</v>
      </c>
      <c r="H324" s="8" t="s">
        <v>168</v>
      </c>
      <c r="I324" s="8" t="s">
        <v>4973</v>
      </c>
      <c r="J324" s="10">
        <v>371</v>
      </c>
      <c r="K324" s="11">
        <v>822.71</v>
      </c>
      <c r="L324" s="11">
        <v>1070.5999999999999</v>
      </c>
      <c r="M324" s="11">
        <v>397192.6</v>
      </c>
      <c r="N324" s="11">
        <v>305225.40999999997</v>
      </c>
      <c r="O324" s="11">
        <f>CleanedData[[#This Row],[Total Sales ($)]]-CleanedData[[#This Row],[Total Cost ($)]]</f>
        <v>91967.19</v>
      </c>
      <c r="P324" s="12">
        <f>CleanedData[[#This Row],[Profit ($)]]/CleanedData[[#This Row],[Total Sales ($)]]</f>
        <v>0.231543059966374</v>
      </c>
      <c r="Q324" s="8" t="s">
        <v>42</v>
      </c>
      <c r="R324" s="8" t="s">
        <v>32</v>
      </c>
      <c r="S324" s="8" t="b">
        <f>_xlfn.SINGLE(CleanedData[[#This Row],[Delivery Status]])="Late"</f>
        <v>1</v>
      </c>
      <c r="T324" s="10">
        <v>12</v>
      </c>
      <c r="U324" s="8" t="s">
        <v>86</v>
      </c>
      <c r="V324" s="10">
        <v>819</v>
      </c>
      <c r="W324" s="10">
        <v>1</v>
      </c>
      <c r="X324" s="12">
        <v>2.6954177897574E-3</v>
      </c>
      <c r="Y324" s="8" t="b">
        <f>CleanedData[[#This Row],[Ship Date]]&lt;CleanedData[[#This Row],[Order Date]]</f>
        <v>0</v>
      </c>
      <c r="Z324" s="10">
        <f>YEAR(CleanedData[[#This Row],[Order Date]])</f>
        <v>2024</v>
      </c>
      <c r="AA324" s="8">
        <f>MONTH(CleanedData[[#This Row],[Order Date]])</f>
        <v>3</v>
      </c>
    </row>
    <row r="325" spans="1:27" x14ac:dyDescent="0.35">
      <c r="A325" s="8" t="s">
        <v>1239</v>
      </c>
      <c r="B325" s="9">
        <v>45364</v>
      </c>
      <c r="C325" s="9">
        <v>45429</v>
      </c>
      <c r="D325" s="8" t="s">
        <v>1241</v>
      </c>
      <c r="E325" s="8" t="s">
        <v>100</v>
      </c>
      <c r="F325" s="8" t="s">
        <v>238</v>
      </c>
      <c r="G325" s="8" t="s">
        <v>129</v>
      </c>
      <c r="H325" s="8" t="s">
        <v>811</v>
      </c>
      <c r="I325" s="8" t="s">
        <v>4968</v>
      </c>
      <c r="J325" s="10">
        <v>685</v>
      </c>
      <c r="K325" s="11">
        <v>1116.4100000000001</v>
      </c>
      <c r="L325" s="11">
        <v>1818.99</v>
      </c>
      <c r="M325" s="11">
        <v>1246008.1499999999</v>
      </c>
      <c r="N325" s="11">
        <v>764740.85</v>
      </c>
      <c r="O325" s="11">
        <f>CleanedData[[#This Row],[Total Sales ($)]]-CleanedData[[#This Row],[Total Cost ($)]]</f>
        <v>481267.29999999993</v>
      </c>
      <c r="P325" s="12">
        <f>CleanedData[[#This Row],[Profit ($)]]/CleanedData[[#This Row],[Total Sales ($)]]</f>
        <v>0.38624731306934063</v>
      </c>
      <c r="Q325" s="8" t="s">
        <v>31</v>
      </c>
      <c r="R325" s="8" t="s">
        <v>32</v>
      </c>
      <c r="S325" s="8" t="b">
        <f>_xlfn.SINGLE(CleanedData[[#This Row],[Delivery Status]])="Late"</f>
        <v>1</v>
      </c>
      <c r="T325" s="10">
        <v>9</v>
      </c>
      <c r="U325" s="8" t="s">
        <v>33</v>
      </c>
      <c r="V325" s="10">
        <v>2270</v>
      </c>
      <c r="W325" s="10">
        <v>4</v>
      </c>
      <c r="X325" s="12">
        <v>5.8394160583941004E-3</v>
      </c>
      <c r="Y325" s="8" t="b">
        <f>CleanedData[[#This Row],[Ship Date]]&lt;CleanedData[[#This Row],[Order Date]]</f>
        <v>0</v>
      </c>
      <c r="Z325" s="10">
        <f>YEAR(CleanedData[[#This Row],[Order Date]])</f>
        <v>2024</v>
      </c>
      <c r="AA325" s="8">
        <f>MONTH(CleanedData[[#This Row],[Order Date]])</f>
        <v>3</v>
      </c>
    </row>
    <row r="326" spans="1:27" x14ac:dyDescent="0.35">
      <c r="A326" s="8" t="s">
        <v>1243</v>
      </c>
      <c r="B326" s="9">
        <v>45191</v>
      </c>
      <c r="C326" s="9">
        <v>45258</v>
      </c>
      <c r="D326" s="8" t="s">
        <v>1244</v>
      </c>
      <c r="E326" s="8" t="s">
        <v>4972</v>
      </c>
      <c r="F326" s="8" t="s">
        <v>183</v>
      </c>
      <c r="G326" s="8" t="s">
        <v>129</v>
      </c>
      <c r="H326" s="8" t="s">
        <v>811</v>
      </c>
      <c r="I326" s="8" t="s">
        <v>4967</v>
      </c>
      <c r="J326" s="10">
        <v>115</v>
      </c>
      <c r="K326" s="11">
        <v>289.08</v>
      </c>
      <c r="L326" s="11">
        <v>426.98</v>
      </c>
      <c r="M326" s="11">
        <v>49102.7</v>
      </c>
      <c r="N326" s="11">
        <v>33244.199999999997</v>
      </c>
      <c r="O326" s="11">
        <f>CleanedData[[#This Row],[Total Sales ($)]]-CleanedData[[#This Row],[Total Cost ($)]]</f>
        <v>15858.5</v>
      </c>
      <c r="P326" s="12">
        <f>CleanedData[[#This Row],[Profit ($)]]/CleanedData[[#This Row],[Total Sales ($)]]</f>
        <v>0.32296594688275798</v>
      </c>
      <c r="Q326" s="8" t="s">
        <v>95</v>
      </c>
      <c r="R326" s="8" t="s">
        <v>32</v>
      </c>
      <c r="S326" s="8" t="b">
        <f>_xlfn.SINGLE(CleanedData[[#This Row],[Delivery Status]])="Late"</f>
        <v>1</v>
      </c>
      <c r="T326" s="10">
        <v>7</v>
      </c>
      <c r="U326" s="8" t="s">
        <v>43</v>
      </c>
      <c r="V326" s="10">
        <v>2668</v>
      </c>
      <c r="W326" s="10">
        <v>5</v>
      </c>
      <c r="X326" s="12">
        <v>4.3478260869565202E-2</v>
      </c>
      <c r="Y326" s="8" t="b">
        <f>CleanedData[[#This Row],[Ship Date]]&lt;CleanedData[[#This Row],[Order Date]]</f>
        <v>0</v>
      </c>
      <c r="Z326" s="10">
        <f>YEAR(CleanedData[[#This Row],[Order Date]])</f>
        <v>2023</v>
      </c>
      <c r="AA326" s="8">
        <f>MONTH(CleanedData[[#This Row],[Order Date]])</f>
        <v>9</v>
      </c>
    </row>
    <row r="327" spans="1:27" x14ac:dyDescent="0.35">
      <c r="A327" s="8" t="s">
        <v>1245</v>
      </c>
      <c r="B327" s="9">
        <v>45237</v>
      </c>
      <c r="C327" s="9">
        <v>44999</v>
      </c>
      <c r="D327" s="8" t="s">
        <v>1247</v>
      </c>
      <c r="E327" s="8" t="s">
        <v>68</v>
      </c>
      <c r="F327" s="8" t="s">
        <v>146</v>
      </c>
      <c r="G327" s="8" t="s">
        <v>60</v>
      </c>
      <c r="H327" s="8" t="s">
        <v>229</v>
      </c>
      <c r="I327" s="8" t="s">
        <v>4979</v>
      </c>
      <c r="J327" s="10">
        <v>540</v>
      </c>
      <c r="K327" s="11">
        <v>750.1</v>
      </c>
      <c r="L327" s="11">
        <v>1016.27</v>
      </c>
      <c r="M327" s="11">
        <v>548785.80000000005</v>
      </c>
      <c r="N327" s="11">
        <v>405054</v>
      </c>
      <c r="O327" s="11">
        <f>CleanedData[[#This Row],[Total Sales ($)]]-CleanedData[[#This Row],[Total Cost ($)]]</f>
        <v>143731.80000000005</v>
      </c>
      <c r="P327" s="12">
        <f>CleanedData[[#This Row],[Profit ($)]]/CleanedData[[#This Row],[Total Sales ($)]]</f>
        <v>0.26190874472335113</v>
      </c>
      <c r="Q327" s="8" t="s">
        <v>42</v>
      </c>
      <c r="R327" s="8" t="s">
        <v>32</v>
      </c>
      <c r="S327" s="8" t="b">
        <f>_xlfn.SINGLE(CleanedData[[#This Row],[Delivery Status]])="Late"</f>
        <v>1</v>
      </c>
      <c r="T327" s="10">
        <v>9</v>
      </c>
      <c r="U327" s="8" t="s">
        <v>33</v>
      </c>
      <c r="V327" s="10">
        <v>536</v>
      </c>
      <c r="W327" s="10">
        <v>7</v>
      </c>
      <c r="X327" s="12">
        <v>1.29629629629629E-2</v>
      </c>
      <c r="Y327" s="8" t="b">
        <f>CleanedData[[#This Row],[Ship Date]]&lt;CleanedData[[#This Row],[Order Date]]</f>
        <v>1</v>
      </c>
      <c r="Z327" s="10">
        <f>YEAR(CleanedData[[#This Row],[Order Date]])</f>
        <v>2023</v>
      </c>
      <c r="AA327" s="8">
        <f>MONTH(CleanedData[[#This Row],[Order Date]])</f>
        <v>11</v>
      </c>
    </row>
    <row r="328" spans="1:27" x14ac:dyDescent="0.35">
      <c r="A328" s="8" t="s">
        <v>1248</v>
      </c>
      <c r="B328" s="9">
        <v>45224</v>
      </c>
      <c r="C328" s="9">
        <v>45146</v>
      </c>
      <c r="D328" s="8" t="s">
        <v>1250</v>
      </c>
      <c r="E328" s="8" t="s">
        <v>26</v>
      </c>
      <c r="F328" s="8" t="s">
        <v>38</v>
      </c>
      <c r="G328" s="8" t="s">
        <v>60</v>
      </c>
      <c r="H328" s="8" t="s">
        <v>61</v>
      </c>
      <c r="I328" s="8" t="s">
        <v>4970</v>
      </c>
      <c r="J328" s="10">
        <v>218</v>
      </c>
      <c r="K328" s="11">
        <v>308.5</v>
      </c>
      <c r="L328" s="11">
        <v>445.95</v>
      </c>
      <c r="M328" s="11">
        <v>97217.1</v>
      </c>
      <c r="N328" s="11">
        <v>67253</v>
      </c>
      <c r="O328" s="11">
        <f>CleanedData[[#This Row],[Total Sales ($)]]-CleanedData[[#This Row],[Total Cost ($)]]</f>
        <v>29964.100000000006</v>
      </c>
      <c r="P328" s="12">
        <f>CleanedData[[#This Row],[Profit ($)]]/CleanedData[[#This Row],[Total Sales ($)]]</f>
        <v>0.30821841013566548</v>
      </c>
      <c r="Q328" s="8" t="s">
        <v>42</v>
      </c>
      <c r="R328" s="8" t="s">
        <v>32</v>
      </c>
      <c r="S328" s="8" t="b">
        <f>_xlfn.SINGLE(CleanedData[[#This Row],[Delivery Status]])="Late"</f>
        <v>1</v>
      </c>
      <c r="T328" s="10">
        <v>12</v>
      </c>
      <c r="U328" s="8" t="s">
        <v>112</v>
      </c>
      <c r="V328" s="10">
        <v>1081</v>
      </c>
      <c r="W328" s="10">
        <v>9</v>
      </c>
      <c r="X328" s="12">
        <v>4.1284403669724697E-2</v>
      </c>
      <c r="Y328" s="8" t="b">
        <f>CleanedData[[#This Row],[Ship Date]]&lt;CleanedData[[#This Row],[Order Date]]</f>
        <v>1</v>
      </c>
      <c r="Z328" s="10">
        <f>YEAR(CleanedData[[#This Row],[Order Date]])</f>
        <v>2023</v>
      </c>
      <c r="AA328" s="8">
        <f>MONTH(CleanedData[[#This Row],[Order Date]])</f>
        <v>10</v>
      </c>
    </row>
    <row r="329" spans="1:27" x14ac:dyDescent="0.35">
      <c r="A329" s="8" t="s">
        <v>1251</v>
      </c>
      <c r="B329" s="9">
        <v>45197</v>
      </c>
      <c r="C329" s="9">
        <v>44940</v>
      </c>
      <c r="D329" s="8" t="s">
        <v>1254</v>
      </c>
      <c r="E329" s="8" t="s">
        <v>26</v>
      </c>
      <c r="F329" s="8" t="s">
        <v>77</v>
      </c>
      <c r="G329" s="8" t="s">
        <v>50</v>
      </c>
      <c r="H329" s="8" t="s">
        <v>117</v>
      </c>
      <c r="I329" s="8" t="s">
        <v>4976</v>
      </c>
      <c r="J329" s="10">
        <v>38</v>
      </c>
      <c r="K329" s="11">
        <v>456.72</v>
      </c>
      <c r="L329" s="11">
        <v>729.74</v>
      </c>
      <c r="M329" s="11">
        <v>27730.12</v>
      </c>
      <c r="N329" s="11">
        <v>17355.36</v>
      </c>
      <c r="O329" s="11">
        <f>CleanedData[[#This Row],[Total Sales ($)]]-CleanedData[[#This Row],[Total Cost ($)]]</f>
        <v>10374.759999999998</v>
      </c>
      <c r="P329" s="12">
        <f>CleanedData[[#This Row],[Profit ($)]]/CleanedData[[#This Row],[Total Sales ($)]]</f>
        <v>0.37413325293940303</v>
      </c>
      <c r="Q329" s="8" t="s">
        <v>95</v>
      </c>
      <c r="R329" s="8" t="s">
        <v>63</v>
      </c>
      <c r="S329" s="8" t="b">
        <f>_xlfn.SINGLE(CleanedData[[#This Row],[Delivery Status]])="Late"</f>
        <v>0</v>
      </c>
      <c r="T329" s="10">
        <v>3</v>
      </c>
      <c r="U329" s="8" t="s">
        <v>158</v>
      </c>
      <c r="V329" s="10">
        <v>3504</v>
      </c>
      <c r="W329" s="10">
        <v>0</v>
      </c>
      <c r="X329" s="12">
        <v>0</v>
      </c>
      <c r="Y329" s="8" t="b">
        <f>CleanedData[[#This Row],[Ship Date]]&lt;CleanedData[[#This Row],[Order Date]]</f>
        <v>1</v>
      </c>
      <c r="Z329" s="10">
        <f>YEAR(CleanedData[[#This Row],[Order Date]])</f>
        <v>2023</v>
      </c>
      <c r="AA329" s="8">
        <f>MONTH(CleanedData[[#This Row],[Order Date]])</f>
        <v>9</v>
      </c>
    </row>
    <row r="330" spans="1:27" x14ac:dyDescent="0.35">
      <c r="A330" s="8" t="s">
        <v>1255</v>
      </c>
      <c r="B330" s="9">
        <v>45623</v>
      </c>
      <c r="C330" s="9">
        <v>45628</v>
      </c>
      <c r="D330" s="8" t="s">
        <v>1256</v>
      </c>
      <c r="E330" s="8" t="s">
        <v>58</v>
      </c>
      <c r="F330" s="8" t="s">
        <v>417</v>
      </c>
      <c r="G330" s="8" t="s">
        <v>217</v>
      </c>
      <c r="H330" s="8" t="s">
        <v>340</v>
      </c>
      <c r="I330" s="8" t="s">
        <v>4975</v>
      </c>
      <c r="J330" s="10">
        <v>793</v>
      </c>
      <c r="K330" s="11">
        <v>695.15</v>
      </c>
      <c r="L330" s="11">
        <v>863.86</v>
      </c>
      <c r="M330" s="11">
        <v>685040.98</v>
      </c>
      <c r="N330" s="11">
        <v>551253.94999999995</v>
      </c>
      <c r="O330" s="11">
        <f>CleanedData[[#This Row],[Total Sales ($)]]-CleanedData[[#This Row],[Total Cost ($)]]</f>
        <v>133787.03000000003</v>
      </c>
      <c r="P330" s="12">
        <f>CleanedData[[#This Row],[Profit ($)]]/CleanedData[[#This Row],[Total Sales ($)]]</f>
        <v>0.19529784918852597</v>
      </c>
      <c r="Q330" s="8" t="s">
        <v>95</v>
      </c>
      <c r="R330" s="8" t="s">
        <v>32</v>
      </c>
      <c r="S330" s="8" t="b">
        <f>_xlfn.SINGLE(CleanedData[[#This Row],[Delivery Status]])="Late"</f>
        <v>1</v>
      </c>
      <c r="T330" s="10">
        <v>11</v>
      </c>
      <c r="U330" s="8" t="s">
        <v>86</v>
      </c>
      <c r="V330" s="10">
        <v>2418</v>
      </c>
      <c r="W330" s="10">
        <v>20</v>
      </c>
      <c r="X330" s="12">
        <v>2.52206809583858E-2</v>
      </c>
      <c r="Y330" s="8" t="b">
        <f>CleanedData[[#This Row],[Ship Date]]&lt;CleanedData[[#This Row],[Order Date]]</f>
        <v>0</v>
      </c>
      <c r="Z330" s="10">
        <f>YEAR(CleanedData[[#This Row],[Order Date]])</f>
        <v>2024</v>
      </c>
      <c r="AA330" s="8">
        <f>MONTH(CleanedData[[#This Row],[Order Date]])</f>
        <v>11</v>
      </c>
    </row>
    <row r="331" spans="1:27" x14ac:dyDescent="0.35">
      <c r="A331" s="8" t="s">
        <v>1257</v>
      </c>
      <c r="B331" s="9">
        <v>45000</v>
      </c>
      <c r="C331" s="9">
        <v>45068</v>
      </c>
      <c r="D331" s="8" t="s">
        <v>1258</v>
      </c>
      <c r="E331" s="8" t="s">
        <v>26</v>
      </c>
      <c r="F331" s="8" t="s">
        <v>38</v>
      </c>
      <c r="G331" s="8" t="s">
        <v>189</v>
      </c>
      <c r="H331" s="8" t="s">
        <v>561</v>
      </c>
      <c r="I331" s="8" t="s">
        <v>4975</v>
      </c>
      <c r="J331" s="10">
        <v>562</v>
      </c>
      <c r="K331" s="11">
        <v>655.12</v>
      </c>
      <c r="L331" s="11">
        <v>863.12</v>
      </c>
      <c r="M331" s="11">
        <v>485073.44</v>
      </c>
      <c r="N331" s="11">
        <v>368177.44</v>
      </c>
      <c r="O331" s="11">
        <f>CleanedData[[#This Row],[Total Sales ($)]]-CleanedData[[#This Row],[Total Cost ($)]]</f>
        <v>116896</v>
      </c>
      <c r="P331" s="12">
        <f>CleanedData[[#This Row],[Profit ($)]]/CleanedData[[#This Row],[Total Sales ($)]]</f>
        <v>0.24098618963759386</v>
      </c>
      <c r="Q331" s="8" t="s">
        <v>52</v>
      </c>
      <c r="R331" s="8" t="s">
        <v>63</v>
      </c>
      <c r="S331" s="8" t="b">
        <f>_xlfn.SINGLE(CleanedData[[#This Row],[Delivery Status]])="Late"</f>
        <v>0</v>
      </c>
      <c r="T331" s="10">
        <v>5</v>
      </c>
      <c r="U331" s="8" t="s">
        <v>158</v>
      </c>
      <c r="V331" s="10">
        <v>1669</v>
      </c>
      <c r="W331" s="10">
        <v>24</v>
      </c>
      <c r="X331" s="12">
        <v>4.2704626334519498E-2</v>
      </c>
      <c r="Y331" s="8" t="b">
        <f>CleanedData[[#This Row],[Ship Date]]&lt;CleanedData[[#This Row],[Order Date]]</f>
        <v>0</v>
      </c>
      <c r="Z331" s="10">
        <f>YEAR(CleanedData[[#This Row],[Order Date]])</f>
        <v>2023</v>
      </c>
      <c r="AA331" s="8">
        <f>MONTH(CleanedData[[#This Row],[Order Date]])</f>
        <v>3</v>
      </c>
    </row>
    <row r="332" spans="1:27" x14ac:dyDescent="0.35">
      <c r="A332" s="8" t="s">
        <v>1259</v>
      </c>
      <c r="B332" s="9">
        <v>45413</v>
      </c>
      <c r="C332" s="9">
        <v>45569</v>
      </c>
      <c r="D332" s="8" t="s">
        <v>1262</v>
      </c>
      <c r="E332" s="8" t="s">
        <v>26</v>
      </c>
      <c r="F332" s="8" t="s">
        <v>77</v>
      </c>
      <c r="G332" s="8" t="s">
        <v>217</v>
      </c>
      <c r="H332" s="8" t="s">
        <v>494</v>
      </c>
      <c r="I332" s="8" t="s">
        <v>4978</v>
      </c>
      <c r="J332" s="10">
        <v>99</v>
      </c>
      <c r="K332" s="11">
        <v>603.62</v>
      </c>
      <c r="L332" s="11">
        <v>849.52</v>
      </c>
      <c r="M332" s="11">
        <v>84102.48</v>
      </c>
      <c r="N332" s="11">
        <v>59758.38</v>
      </c>
      <c r="O332" s="11">
        <f>CleanedData[[#This Row],[Total Sales ($)]]-CleanedData[[#This Row],[Total Cost ($)]]</f>
        <v>24344.1</v>
      </c>
      <c r="P332" s="12">
        <f>CleanedData[[#This Row],[Profit ($)]]/CleanedData[[#This Row],[Total Sales ($)]]</f>
        <v>0.28945757604294187</v>
      </c>
      <c r="Q332" s="8" t="s">
        <v>95</v>
      </c>
      <c r="R332" s="8" t="s">
        <v>32</v>
      </c>
      <c r="S332" s="8" t="b">
        <f>_xlfn.SINGLE(CleanedData[[#This Row],[Delivery Status]])="Late"</f>
        <v>1</v>
      </c>
      <c r="T332" s="10">
        <v>12</v>
      </c>
      <c r="U332" s="8" t="s">
        <v>112</v>
      </c>
      <c r="V332" s="10">
        <v>4065</v>
      </c>
      <c r="W332" s="10">
        <v>3</v>
      </c>
      <c r="X332" s="12">
        <v>3.03030303030303E-2</v>
      </c>
      <c r="Y332" s="8" t="b">
        <f>CleanedData[[#This Row],[Ship Date]]&lt;CleanedData[[#This Row],[Order Date]]</f>
        <v>0</v>
      </c>
      <c r="Z332" s="10">
        <f>YEAR(CleanedData[[#This Row],[Order Date]])</f>
        <v>2024</v>
      </c>
      <c r="AA332" s="8">
        <f>MONTH(CleanedData[[#This Row],[Order Date]])</f>
        <v>5</v>
      </c>
    </row>
    <row r="333" spans="1:27" x14ac:dyDescent="0.35">
      <c r="A333" s="8" t="s">
        <v>1263</v>
      </c>
      <c r="B333" s="9">
        <v>45189</v>
      </c>
      <c r="C333" s="9">
        <v>45144</v>
      </c>
      <c r="D333" s="8" t="s">
        <v>1266</v>
      </c>
      <c r="E333" s="8" t="s">
        <v>26</v>
      </c>
      <c r="F333" s="8" t="s">
        <v>4972</v>
      </c>
      <c r="G333" s="8" t="s">
        <v>50</v>
      </c>
      <c r="H333" s="8" t="s">
        <v>51</v>
      </c>
      <c r="I333" s="8" t="s">
        <v>4969</v>
      </c>
      <c r="J333" s="10">
        <v>523</v>
      </c>
      <c r="K333" s="11">
        <v>328.49</v>
      </c>
      <c r="L333" s="11">
        <v>527.36</v>
      </c>
      <c r="M333" s="11">
        <v>275809.28000000003</v>
      </c>
      <c r="N333" s="11">
        <v>171800.27</v>
      </c>
      <c r="O333" s="11">
        <f>CleanedData[[#This Row],[Total Sales ($)]]-CleanedData[[#This Row],[Total Cost ($)]]</f>
        <v>104009.01000000004</v>
      </c>
      <c r="P333" s="12">
        <f>CleanedData[[#This Row],[Profit ($)]]/CleanedData[[#This Row],[Total Sales ($)]]</f>
        <v>0.37710482402912632</v>
      </c>
      <c r="Q333" s="8" t="s">
        <v>95</v>
      </c>
      <c r="R333" s="8" t="s">
        <v>32</v>
      </c>
      <c r="S333" s="8" t="b">
        <f>_xlfn.SINGLE(CleanedData[[#This Row],[Delivery Status]])="Late"</f>
        <v>1</v>
      </c>
      <c r="T333" s="10">
        <v>11</v>
      </c>
      <c r="U333" s="8" t="s">
        <v>112</v>
      </c>
      <c r="V333" s="10">
        <v>4277</v>
      </c>
      <c r="W333" s="10">
        <v>14</v>
      </c>
      <c r="X333" s="12">
        <v>2.6768642447418702E-2</v>
      </c>
      <c r="Y333" s="8" t="b">
        <f>CleanedData[[#This Row],[Ship Date]]&lt;CleanedData[[#This Row],[Order Date]]</f>
        <v>1</v>
      </c>
      <c r="Z333" s="10">
        <f>YEAR(CleanedData[[#This Row],[Order Date]])</f>
        <v>2023</v>
      </c>
      <c r="AA333" s="8">
        <f>MONTH(CleanedData[[#This Row],[Order Date]])</f>
        <v>9</v>
      </c>
    </row>
    <row r="334" spans="1:27" x14ac:dyDescent="0.35">
      <c r="A334" s="8" t="s">
        <v>1267</v>
      </c>
      <c r="B334" s="9">
        <v>45402</v>
      </c>
      <c r="C334" s="9">
        <v>45527</v>
      </c>
      <c r="D334" s="8" t="s">
        <v>1270</v>
      </c>
      <c r="E334" s="8" t="s">
        <v>58</v>
      </c>
      <c r="F334" s="8" t="s">
        <v>122</v>
      </c>
      <c r="G334" s="8" t="s">
        <v>129</v>
      </c>
      <c r="H334" s="8" t="s">
        <v>316</v>
      </c>
      <c r="I334" s="8" t="s">
        <v>4978</v>
      </c>
      <c r="J334" s="10">
        <v>341</v>
      </c>
      <c r="K334" s="11">
        <v>1043.46</v>
      </c>
      <c r="L334" s="11">
        <v>1525.48</v>
      </c>
      <c r="M334" s="11">
        <v>520188.68</v>
      </c>
      <c r="N334" s="11">
        <v>355819.86</v>
      </c>
      <c r="O334" s="11">
        <f>CleanedData[[#This Row],[Total Sales ($)]]-CleanedData[[#This Row],[Total Cost ($)]]</f>
        <v>164368.82</v>
      </c>
      <c r="P334" s="12">
        <f>CleanedData[[#This Row],[Profit ($)]]/CleanedData[[#This Row],[Total Sales ($)]]</f>
        <v>0.3159792327660802</v>
      </c>
      <c r="Q334" s="8" t="s">
        <v>31</v>
      </c>
      <c r="R334" s="8" t="s">
        <v>32</v>
      </c>
      <c r="S334" s="8" t="b">
        <f>_xlfn.SINGLE(CleanedData[[#This Row],[Delivery Status]])="Late"</f>
        <v>1</v>
      </c>
      <c r="T334" s="10">
        <v>7</v>
      </c>
      <c r="U334" s="8" t="s">
        <v>86</v>
      </c>
      <c r="V334" s="10">
        <v>2796</v>
      </c>
      <c r="W334" s="10">
        <v>5</v>
      </c>
      <c r="X334" s="12">
        <v>1.4662756598240401E-2</v>
      </c>
      <c r="Y334" s="8" t="b">
        <f>CleanedData[[#This Row],[Ship Date]]&lt;CleanedData[[#This Row],[Order Date]]</f>
        <v>0</v>
      </c>
      <c r="Z334" s="10">
        <f>YEAR(CleanedData[[#This Row],[Order Date]])</f>
        <v>2024</v>
      </c>
      <c r="AA334" s="8">
        <f>MONTH(CleanedData[[#This Row],[Order Date]])</f>
        <v>4</v>
      </c>
    </row>
    <row r="335" spans="1:27" x14ac:dyDescent="0.35">
      <c r="A335" s="8" t="s">
        <v>1271</v>
      </c>
      <c r="B335" s="9">
        <v>45271</v>
      </c>
      <c r="C335" s="9">
        <v>45231</v>
      </c>
      <c r="D335" s="8" t="s">
        <v>1272</v>
      </c>
      <c r="E335" s="8" t="s">
        <v>58</v>
      </c>
      <c r="F335" s="8" t="s">
        <v>417</v>
      </c>
      <c r="G335" s="8" t="s">
        <v>129</v>
      </c>
      <c r="H335" s="8" t="s">
        <v>316</v>
      </c>
      <c r="I335" s="8" t="s">
        <v>4975</v>
      </c>
      <c r="J335" s="10">
        <v>586</v>
      </c>
      <c r="K335" s="11">
        <v>164.4</v>
      </c>
      <c r="L335" s="11">
        <v>264.19</v>
      </c>
      <c r="M335" s="11">
        <v>154815.34</v>
      </c>
      <c r="N335" s="11">
        <v>96338.4</v>
      </c>
      <c r="O335" s="11">
        <f>CleanedData[[#This Row],[Total Sales ($)]]-CleanedData[[#This Row],[Total Cost ($)]]</f>
        <v>58476.94</v>
      </c>
      <c r="P335" s="12">
        <f>CleanedData[[#This Row],[Profit ($)]]/CleanedData[[#This Row],[Total Sales ($)]]</f>
        <v>0.37772057988568836</v>
      </c>
      <c r="Q335" s="8" t="s">
        <v>31</v>
      </c>
      <c r="R335" s="8" t="s">
        <v>63</v>
      </c>
      <c r="S335" s="8" t="b">
        <f>_xlfn.SINGLE(CleanedData[[#This Row],[Delivery Status]])="Late"</f>
        <v>0</v>
      </c>
      <c r="T335" s="10">
        <v>5</v>
      </c>
      <c r="U335" s="8" t="s">
        <v>43</v>
      </c>
      <c r="V335" s="10">
        <v>2261</v>
      </c>
      <c r="W335" s="10">
        <v>23</v>
      </c>
      <c r="X335" s="12">
        <v>3.9249146757679099E-2</v>
      </c>
      <c r="Y335" s="8" t="b">
        <f>CleanedData[[#This Row],[Ship Date]]&lt;CleanedData[[#This Row],[Order Date]]</f>
        <v>1</v>
      </c>
      <c r="Z335" s="10">
        <f>YEAR(CleanedData[[#This Row],[Order Date]])</f>
        <v>2023</v>
      </c>
      <c r="AA335" s="8">
        <f>MONTH(CleanedData[[#This Row],[Order Date]])</f>
        <v>12</v>
      </c>
    </row>
    <row r="336" spans="1:27" x14ac:dyDescent="0.35">
      <c r="A336" s="8" t="s">
        <v>1273</v>
      </c>
      <c r="B336" s="9">
        <v>45231</v>
      </c>
      <c r="C336" s="9">
        <v>44963</v>
      </c>
      <c r="D336" s="8" t="s">
        <v>1274</v>
      </c>
      <c r="E336" s="8" t="s">
        <v>58</v>
      </c>
      <c r="F336" s="8" t="s">
        <v>59</v>
      </c>
      <c r="G336" s="8" t="s">
        <v>60</v>
      </c>
      <c r="H336" s="8" t="s">
        <v>229</v>
      </c>
      <c r="I336" s="8" t="s">
        <v>4976</v>
      </c>
      <c r="J336" s="10">
        <v>390</v>
      </c>
      <c r="K336" s="11">
        <v>370.7</v>
      </c>
      <c r="L336" s="11">
        <v>604.34</v>
      </c>
      <c r="M336" s="11">
        <v>235692.6</v>
      </c>
      <c r="N336" s="11">
        <v>144573</v>
      </c>
      <c r="O336" s="11">
        <f>CleanedData[[#This Row],[Total Sales ($)]]-CleanedData[[#This Row],[Total Cost ($)]]</f>
        <v>91119.6</v>
      </c>
      <c r="P336" s="12">
        <f>CleanedData[[#This Row],[Profit ($)]]/CleanedData[[#This Row],[Total Sales ($)]]</f>
        <v>0.38660356752821262</v>
      </c>
      <c r="Q336" s="8" t="s">
        <v>95</v>
      </c>
      <c r="R336" s="8" t="s">
        <v>32</v>
      </c>
      <c r="S336" s="8" t="b">
        <f>_xlfn.SINGLE(CleanedData[[#This Row],[Delivery Status]])="Late"</f>
        <v>1</v>
      </c>
      <c r="T336" s="10">
        <v>9</v>
      </c>
      <c r="U336" s="8" t="s">
        <v>43</v>
      </c>
      <c r="V336" s="10">
        <v>2810</v>
      </c>
      <c r="W336" s="10">
        <v>11</v>
      </c>
      <c r="X336" s="12">
        <v>2.8205128205128199E-2</v>
      </c>
      <c r="Y336" s="8" t="b">
        <f>CleanedData[[#This Row],[Ship Date]]&lt;CleanedData[[#This Row],[Order Date]]</f>
        <v>1</v>
      </c>
      <c r="Z336" s="10">
        <f>YEAR(CleanedData[[#This Row],[Order Date]])</f>
        <v>2023</v>
      </c>
      <c r="AA336" s="8">
        <f>MONTH(CleanedData[[#This Row],[Order Date]])</f>
        <v>11</v>
      </c>
    </row>
    <row r="337" spans="1:27" x14ac:dyDescent="0.35">
      <c r="A337" s="8" t="s">
        <v>1275</v>
      </c>
      <c r="B337" s="9">
        <v>45271</v>
      </c>
      <c r="C337" s="9">
        <v>45201</v>
      </c>
      <c r="D337" s="8" t="s">
        <v>1277</v>
      </c>
      <c r="E337" s="8" t="s">
        <v>48</v>
      </c>
      <c r="F337" s="8" t="s">
        <v>281</v>
      </c>
      <c r="G337" s="8" t="s">
        <v>189</v>
      </c>
      <c r="H337" s="8" t="s">
        <v>561</v>
      </c>
      <c r="I337" s="8" t="s">
        <v>4975</v>
      </c>
      <c r="J337" s="10">
        <v>118</v>
      </c>
      <c r="K337" s="11">
        <v>332.47</v>
      </c>
      <c r="L337" s="11">
        <v>466.69</v>
      </c>
      <c r="M337" s="11">
        <v>55069.42</v>
      </c>
      <c r="N337" s="11">
        <v>39231.46</v>
      </c>
      <c r="O337" s="11">
        <f>CleanedData[[#This Row],[Total Sales ($)]]-CleanedData[[#This Row],[Total Cost ($)]]</f>
        <v>15837.96</v>
      </c>
      <c r="P337" s="12">
        <f>CleanedData[[#This Row],[Profit ($)]]/CleanedData[[#This Row],[Total Sales ($)]]</f>
        <v>0.28759990571899974</v>
      </c>
      <c r="Q337" s="8" t="s">
        <v>31</v>
      </c>
      <c r="R337" s="8" t="s">
        <v>63</v>
      </c>
      <c r="S337" s="8" t="b">
        <f>_xlfn.SINGLE(CleanedData[[#This Row],[Delivery Status]])="Late"</f>
        <v>0</v>
      </c>
      <c r="T337" s="10">
        <v>2</v>
      </c>
      <c r="U337" s="8" t="s">
        <v>158</v>
      </c>
      <c r="V337" s="10">
        <v>4905</v>
      </c>
      <c r="W337" s="10">
        <v>1</v>
      </c>
      <c r="X337" s="12">
        <v>8.4745762711864007E-3</v>
      </c>
      <c r="Y337" s="8" t="b">
        <f>CleanedData[[#This Row],[Ship Date]]&lt;CleanedData[[#This Row],[Order Date]]</f>
        <v>1</v>
      </c>
      <c r="Z337" s="10">
        <f>YEAR(CleanedData[[#This Row],[Order Date]])</f>
        <v>2023</v>
      </c>
      <c r="AA337" s="8">
        <f>MONTH(CleanedData[[#This Row],[Order Date]])</f>
        <v>12</v>
      </c>
    </row>
    <row r="338" spans="1:27" x14ac:dyDescent="0.35">
      <c r="A338" s="8" t="s">
        <v>1278</v>
      </c>
      <c r="B338" s="9">
        <v>45063</v>
      </c>
      <c r="C338" s="9">
        <v>45043</v>
      </c>
      <c r="D338" s="8" t="s">
        <v>1279</v>
      </c>
      <c r="E338" s="8" t="s">
        <v>58</v>
      </c>
      <c r="F338" s="8" t="s">
        <v>259</v>
      </c>
      <c r="G338" s="8" t="s">
        <v>60</v>
      </c>
      <c r="H338" s="8" t="s">
        <v>164</v>
      </c>
      <c r="I338" s="8" t="s">
        <v>4979</v>
      </c>
      <c r="J338" s="10">
        <v>436</v>
      </c>
      <c r="K338" s="11">
        <v>1136.82</v>
      </c>
      <c r="L338" s="11"/>
      <c r="M338" s="11">
        <v>600071.16</v>
      </c>
      <c r="N338" s="11">
        <v>495653.52</v>
      </c>
      <c r="O338" s="11">
        <f>CleanedData[[#This Row],[Total Sales ($)]]-CleanedData[[#This Row],[Total Cost ($)]]</f>
        <v>104417.64000000001</v>
      </c>
      <c r="P338" s="12">
        <f>CleanedData[[#This Row],[Profit ($)]]/CleanedData[[#This Row],[Total Sales ($)]]</f>
        <v>0.17400876256076031</v>
      </c>
      <c r="Q338" s="8" t="s">
        <v>31</v>
      </c>
      <c r="R338" s="8" t="s">
        <v>63</v>
      </c>
      <c r="S338" s="8" t="b">
        <f>_xlfn.SINGLE(CleanedData[[#This Row],[Delivery Status]])="Late"</f>
        <v>0</v>
      </c>
      <c r="T338" s="10">
        <v>4</v>
      </c>
      <c r="U338" s="8" t="s">
        <v>53</v>
      </c>
      <c r="V338" s="10">
        <v>2424</v>
      </c>
      <c r="W338" s="10">
        <v>5</v>
      </c>
      <c r="X338" s="12">
        <v>1.14678899082568E-2</v>
      </c>
      <c r="Y338" s="8" t="b">
        <f>CleanedData[[#This Row],[Ship Date]]&lt;CleanedData[[#This Row],[Order Date]]</f>
        <v>1</v>
      </c>
      <c r="Z338" s="10">
        <f>YEAR(CleanedData[[#This Row],[Order Date]])</f>
        <v>2023</v>
      </c>
      <c r="AA338" s="8">
        <f>MONTH(CleanedData[[#This Row],[Order Date]])</f>
        <v>5</v>
      </c>
    </row>
    <row r="339" spans="1:27" x14ac:dyDescent="0.35">
      <c r="A339" s="8" t="s">
        <v>1280</v>
      </c>
      <c r="B339" s="9">
        <v>45038</v>
      </c>
      <c r="C339" s="9">
        <v>44951</v>
      </c>
      <c r="D339" s="8" t="s">
        <v>1281</v>
      </c>
      <c r="E339" s="8" t="s">
        <v>26</v>
      </c>
      <c r="F339" s="8" t="s">
        <v>77</v>
      </c>
      <c r="G339" s="8" t="s">
        <v>60</v>
      </c>
      <c r="H339" s="8" t="s">
        <v>229</v>
      </c>
      <c r="I339" s="8" t="s">
        <v>4973</v>
      </c>
      <c r="J339" s="10">
        <v>668</v>
      </c>
      <c r="K339" s="11">
        <v>292.93</v>
      </c>
      <c r="L339" s="11">
        <v>363.99</v>
      </c>
      <c r="M339" s="11">
        <v>243145.32</v>
      </c>
      <c r="N339" s="11">
        <v>195677.24</v>
      </c>
      <c r="O339" s="11">
        <f>CleanedData[[#This Row],[Total Sales ($)]]-CleanedData[[#This Row],[Total Cost ($)]]</f>
        <v>47468.080000000016</v>
      </c>
      <c r="P339" s="12">
        <f>CleanedData[[#This Row],[Profit ($)]]/CleanedData[[#This Row],[Total Sales ($)]]</f>
        <v>0.19522514354789972</v>
      </c>
      <c r="Q339" s="8" t="s">
        <v>95</v>
      </c>
      <c r="R339" s="8" t="s">
        <v>63</v>
      </c>
      <c r="S339" s="8" t="b">
        <f>_xlfn.SINGLE(CleanedData[[#This Row],[Delivery Status]])="Late"</f>
        <v>0</v>
      </c>
      <c r="T339" s="10">
        <v>4</v>
      </c>
      <c r="U339" s="8" t="s">
        <v>86</v>
      </c>
      <c r="V339" s="10">
        <v>2614</v>
      </c>
      <c r="W339" s="10">
        <v>25</v>
      </c>
      <c r="X339" s="12">
        <v>3.7425149700598799E-2</v>
      </c>
      <c r="Y339" s="8" t="b">
        <f>CleanedData[[#This Row],[Ship Date]]&lt;CleanedData[[#This Row],[Order Date]]</f>
        <v>1</v>
      </c>
      <c r="Z339" s="10">
        <f>YEAR(CleanedData[[#This Row],[Order Date]])</f>
        <v>2023</v>
      </c>
      <c r="AA339" s="8">
        <f>MONTH(CleanedData[[#This Row],[Order Date]])</f>
        <v>4</v>
      </c>
    </row>
    <row r="340" spans="1:27" x14ac:dyDescent="0.35">
      <c r="A340" s="8" t="s">
        <v>1282</v>
      </c>
      <c r="B340" s="9">
        <v>45213</v>
      </c>
      <c r="C340" s="9">
        <v>45057</v>
      </c>
      <c r="D340" s="8" t="s">
        <v>974</v>
      </c>
      <c r="E340" s="8" t="s">
        <v>48</v>
      </c>
      <c r="F340" s="8" t="s">
        <v>223</v>
      </c>
      <c r="G340" s="8" t="s">
        <v>70</v>
      </c>
      <c r="H340" s="8" t="s">
        <v>446</v>
      </c>
      <c r="I340" s="8" t="s">
        <v>4975</v>
      </c>
      <c r="J340" s="10">
        <v>134</v>
      </c>
      <c r="K340" s="11">
        <v>270.13</v>
      </c>
      <c r="L340" s="11">
        <v>415.72</v>
      </c>
      <c r="M340" s="11">
        <v>55706.48</v>
      </c>
      <c r="N340" s="11">
        <v>36197.42</v>
      </c>
      <c r="O340" s="11">
        <f>CleanedData[[#This Row],[Total Sales ($)]]-CleanedData[[#This Row],[Total Cost ($)]]</f>
        <v>19509.060000000005</v>
      </c>
      <c r="P340" s="12">
        <f>CleanedData[[#This Row],[Profit ($)]]/CleanedData[[#This Row],[Total Sales ($)]]</f>
        <v>0.35021168093909372</v>
      </c>
      <c r="Q340" s="8" t="s">
        <v>95</v>
      </c>
      <c r="R340" s="8" t="s">
        <v>63</v>
      </c>
      <c r="S340" s="8" t="b">
        <f>_xlfn.SINGLE(CleanedData[[#This Row],[Delivery Status]])="Late"</f>
        <v>0</v>
      </c>
      <c r="T340" s="10">
        <v>4</v>
      </c>
      <c r="U340" s="8" t="s">
        <v>43</v>
      </c>
      <c r="V340" s="10">
        <v>4025</v>
      </c>
      <c r="W340" s="10">
        <v>4</v>
      </c>
      <c r="X340" s="12">
        <v>2.9850746268656699E-2</v>
      </c>
      <c r="Y340" s="8" t="b">
        <f>CleanedData[[#This Row],[Ship Date]]&lt;CleanedData[[#This Row],[Order Date]]</f>
        <v>1</v>
      </c>
      <c r="Z340" s="10">
        <f>YEAR(CleanedData[[#This Row],[Order Date]])</f>
        <v>2023</v>
      </c>
      <c r="AA340" s="8">
        <f>MONTH(CleanedData[[#This Row],[Order Date]])</f>
        <v>10</v>
      </c>
    </row>
    <row r="341" spans="1:27" x14ac:dyDescent="0.35">
      <c r="A341" s="8" t="s">
        <v>1283</v>
      </c>
      <c r="B341" s="9">
        <v>45308</v>
      </c>
      <c r="C341" s="9">
        <v>45481</v>
      </c>
      <c r="D341" s="8" t="s">
        <v>1286</v>
      </c>
      <c r="E341" s="8" t="s">
        <v>26</v>
      </c>
      <c r="F341" s="8" t="s">
        <v>92</v>
      </c>
      <c r="G341" s="8" t="s">
        <v>50</v>
      </c>
      <c r="H341" s="8" t="s">
        <v>135</v>
      </c>
      <c r="I341" s="8" t="s">
        <v>4979</v>
      </c>
      <c r="J341" s="10">
        <v>402</v>
      </c>
      <c r="K341" s="11">
        <v>88.41</v>
      </c>
      <c r="L341" s="11">
        <v>133.83000000000001</v>
      </c>
      <c r="M341" s="11">
        <v>53799.66</v>
      </c>
      <c r="N341" s="11">
        <v>35540.82</v>
      </c>
      <c r="O341" s="11">
        <f>CleanedData[[#This Row],[Total Sales ($)]]-CleanedData[[#This Row],[Total Cost ($)]]</f>
        <v>18258.840000000004</v>
      </c>
      <c r="P341" s="12">
        <f>CleanedData[[#This Row],[Profit ($)]]/CleanedData[[#This Row],[Total Sales ($)]]</f>
        <v>0.33938578793992386</v>
      </c>
      <c r="Q341" s="8" t="s">
        <v>95</v>
      </c>
      <c r="R341" s="8" t="s">
        <v>63</v>
      </c>
      <c r="S341" s="8" t="b">
        <f>_xlfn.SINGLE(CleanedData[[#This Row],[Delivery Status]])="Late"</f>
        <v>0</v>
      </c>
      <c r="T341" s="10">
        <v>4</v>
      </c>
      <c r="U341" s="8" t="s">
        <v>43</v>
      </c>
      <c r="V341" s="10">
        <v>2997</v>
      </c>
      <c r="W341" s="10">
        <v>17</v>
      </c>
      <c r="X341" s="12">
        <v>4.2288557213930301E-2</v>
      </c>
      <c r="Y341" s="8" t="b">
        <f>CleanedData[[#This Row],[Ship Date]]&lt;CleanedData[[#This Row],[Order Date]]</f>
        <v>0</v>
      </c>
      <c r="Z341" s="10">
        <f>YEAR(CleanedData[[#This Row],[Order Date]])</f>
        <v>2024</v>
      </c>
      <c r="AA341" s="8">
        <f>MONTH(CleanedData[[#This Row],[Order Date]])</f>
        <v>1</v>
      </c>
    </row>
    <row r="342" spans="1:27" x14ac:dyDescent="0.35">
      <c r="A342" s="8" t="s">
        <v>1287</v>
      </c>
      <c r="B342" s="9">
        <v>45396</v>
      </c>
      <c r="C342" s="9">
        <v>45646</v>
      </c>
      <c r="D342" s="8" t="s">
        <v>1289</v>
      </c>
      <c r="E342" s="8" t="s">
        <v>48</v>
      </c>
      <c r="F342" s="8" t="s">
        <v>270</v>
      </c>
      <c r="G342" s="8" t="s">
        <v>93</v>
      </c>
      <c r="H342" s="8" t="s">
        <v>643</v>
      </c>
      <c r="I342" s="8" t="s">
        <v>4973</v>
      </c>
      <c r="J342" s="10">
        <v>259</v>
      </c>
      <c r="K342" s="11">
        <v>162.49</v>
      </c>
      <c r="L342" s="11">
        <v>189.44</v>
      </c>
      <c r="M342" s="11">
        <v>49064.959999999999</v>
      </c>
      <c r="N342" s="11">
        <v>42084.91</v>
      </c>
      <c r="O342" s="11">
        <f>CleanedData[[#This Row],[Total Sales ($)]]-CleanedData[[#This Row],[Total Cost ($)]]</f>
        <v>6980.0499999999956</v>
      </c>
      <c r="P342" s="12">
        <f>CleanedData[[#This Row],[Profit ($)]]/CleanedData[[#This Row],[Total Sales ($)]]</f>
        <v>0.14226140202702695</v>
      </c>
      <c r="Q342" s="8" t="s">
        <v>52</v>
      </c>
      <c r="R342" s="8" t="s">
        <v>32</v>
      </c>
      <c r="S342" s="8" t="b">
        <f>_xlfn.SINGLE(CleanedData[[#This Row],[Delivery Status]])="Late"</f>
        <v>1</v>
      </c>
      <c r="T342" s="10">
        <v>9</v>
      </c>
      <c r="U342" s="8" t="s">
        <v>53</v>
      </c>
      <c r="V342" s="10">
        <v>4412</v>
      </c>
      <c r="W342" s="10">
        <v>1</v>
      </c>
      <c r="X342" s="12">
        <v>3.8610038610037999E-3</v>
      </c>
      <c r="Y342" s="8" t="b">
        <f>CleanedData[[#This Row],[Ship Date]]&lt;CleanedData[[#This Row],[Order Date]]</f>
        <v>0</v>
      </c>
      <c r="Z342" s="10">
        <f>YEAR(CleanedData[[#This Row],[Order Date]])</f>
        <v>2024</v>
      </c>
      <c r="AA342" s="8">
        <f>MONTH(CleanedData[[#This Row],[Order Date]])</f>
        <v>4</v>
      </c>
    </row>
    <row r="343" spans="1:27" x14ac:dyDescent="0.35">
      <c r="A343" s="8" t="s">
        <v>1290</v>
      </c>
      <c r="B343" s="9">
        <v>44981</v>
      </c>
      <c r="C343" s="9">
        <v>45153</v>
      </c>
      <c r="D343" s="8" t="s">
        <v>1292</v>
      </c>
      <c r="E343" s="8" t="s">
        <v>48</v>
      </c>
      <c r="F343" s="8" t="s">
        <v>183</v>
      </c>
      <c r="G343" s="8" t="s">
        <v>78</v>
      </c>
      <c r="H343" s="8" t="s">
        <v>123</v>
      </c>
      <c r="I343" s="8" t="s">
        <v>4969</v>
      </c>
      <c r="J343" s="10">
        <v>603</v>
      </c>
      <c r="K343" s="11">
        <v>813.32</v>
      </c>
      <c r="L343" s="11">
        <v>1250.73</v>
      </c>
      <c r="M343" s="11">
        <v>754190.19</v>
      </c>
      <c r="N343" s="11">
        <v>490431.96</v>
      </c>
      <c r="O343" s="11">
        <f>CleanedData[[#This Row],[Total Sales ($)]]-CleanedData[[#This Row],[Total Cost ($)]]</f>
        <v>263758.22999999992</v>
      </c>
      <c r="P343" s="12">
        <f>CleanedData[[#This Row],[Profit ($)]]/CleanedData[[#This Row],[Total Sales ($)]]</f>
        <v>0.34972376132338706</v>
      </c>
      <c r="Q343" s="8" t="s">
        <v>52</v>
      </c>
      <c r="R343" s="8" t="s">
        <v>32</v>
      </c>
      <c r="S343" s="8" t="b">
        <f>_xlfn.SINGLE(CleanedData[[#This Row],[Delivery Status]])="Late"</f>
        <v>1</v>
      </c>
      <c r="T343" s="10">
        <v>15</v>
      </c>
      <c r="U343" s="8" t="s">
        <v>112</v>
      </c>
      <c r="V343" s="10">
        <v>3512</v>
      </c>
      <c r="W343" s="10">
        <v>6</v>
      </c>
      <c r="X343" s="12">
        <v>9.9502487562189001E-3</v>
      </c>
      <c r="Y343" s="8" t="b">
        <f>CleanedData[[#This Row],[Ship Date]]&lt;CleanedData[[#This Row],[Order Date]]</f>
        <v>0</v>
      </c>
      <c r="Z343" s="10">
        <f>YEAR(CleanedData[[#This Row],[Order Date]])</f>
        <v>2023</v>
      </c>
      <c r="AA343" s="8">
        <f>MONTH(CleanedData[[#This Row],[Order Date]])</f>
        <v>2</v>
      </c>
    </row>
    <row r="344" spans="1:27" x14ac:dyDescent="0.35">
      <c r="A344" s="8" t="s">
        <v>1293</v>
      </c>
      <c r="B344" s="9">
        <v>45065</v>
      </c>
      <c r="C344" s="9">
        <v>45017</v>
      </c>
      <c r="D344" s="8" t="s">
        <v>1296</v>
      </c>
      <c r="E344" s="8" t="s">
        <v>48</v>
      </c>
      <c r="F344" s="8" t="s">
        <v>183</v>
      </c>
      <c r="G344" s="8" t="s">
        <v>28</v>
      </c>
      <c r="H344" s="8" t="s">
        <v>254</v>
      </c>
      <c r="I344" s="8" t="s">
        <v>4973</v>
      </c>
      <c r="J344" s="10">
        <v>64</v>
      </c>
      <c r="K344" s="11">
        <v>1005.84</v>
      </c>
      <c r="L344" s="11">
        <v>1315.9</v>
      </c>
      <c r="M344" s="11">
        <v>84217.600000000006</v>
      </c>
      <c r="N344" s="11">
        <v>64373.760000000002</v>
      </c>
      <c r="O344" s="11">
        <f>CleanedData[[#This Row],[Total Sales ($)]]-CleanedData[[#This Row],[Total Cost ($)]]</f>
        <v>19843.840000000004</v>
      </c>
      <c r="P344" s="12">
        <f>CleanedData[[#This Row],[Profit ($)]]/CleanedData[[#This Row],[Total Sales ($)]]</f>
        <v>0.23562580743217573</v>
      </c>
      <c r="Q344" s="8" t="s">
        <v>42</v>
      </c>
      <c r="R344" s="8" t="s">
        <v>32</v>
      </c>
      <c r="S344" s="8" t="b">
        <f>_xlfn.SINGLE(CleanedData[[#This Row],[Delivery Status]])="Late"</f>
        <v>1</v>
      </c>
      <c r="T344" s="10">
        <v>12</v>
      </c>
      <c r="U344" s="8" t="s">
        <v>43</v>
      </c>
      <c r="V344" s="10">
        <v>3580</v>
      </c>
      <c r="W344" s="10">
        <v>0</v>
      </c>
      <c r="X344" s="12">
        <v>0</v>
      </c>
      <c r="Y344" s="8" t="b">
        <f>CleanedData[[#This Row],[Ship Date]]&lt;CleanedData[[#This Row],[Order Date]]</f>
        <v>1</v>
      </c>
      <c r="Z344" s="10">
        <f>YEAR(CleanedData[[#This Row],[Order Date]])</f>
        <v>2023</v>
      </c>
      <c r="AA344" s="8">
        <f>MONTH(CleanedData[[#This Row],[Order Date]])</f>
        <v>5</v>
      </c>
    </row>
    <row r="345" spans="1:27" x14ac:dyDescent="0.35">
      <c r="A345" s="8" t="s">
        <v>1297</v>
      </c>
      <c r="B345" s="9">
        <v>45280</v>
      </c>
      <c r="C345" s="9">
        <v>44969</v>
      </c>
      <c r="D345" s="8" t="s">
        <v>1300</v>
      </c>
      <c r="E345" s="8" t="s">
        <v>58</v>
      </c>
      <c r="F345" s="8" t="s">
        <v>122</v>
      </c>
      <c r="G345" s="8" t="s">
        <v>28</v>
      </c>
      <c r="H345" s="8" t="s">
        <v>212</v>
      </c>
      <c r="I345" s="8" t="s">
        <v>4974</v>
      </c>
      <c r="J345" s="10">
        <v>331</v>
      </c>
      <c r="K345" s="11">
        <v>698.5</v>
      </c>
      <c r="L345" s="11">
        <v>1117.44</v>
      </c>
      <c r="M345" s="11">
        <v>369872.64000000001</v>
      </c>
      <c r="N345" s="11">
        <v>231203.5</v>
      </c>
      <c r="O345" s="11">
        <f>CleanedData[[#This Row],[Total Sales ($)]]-CleanedData[[#This Row],[Total Cost ($)]]</f>
        <v>138669.14000000001</v>
      </c>
      <c r="P345" s="12">
        <f>CleanedData[[#This Row],[Profit ($)]]/CleanedData[[#This Row],[Total Sales ($)]]</f>
        <v>0.37491050973654066</v>
      </c>
      <c r="Q345" s="8" t="s">
        <v>95</v>
      </c>
      <c r="R345" s="8" t="s">
        <v>32</v>
      </c>
      <c r="S345" s="8" t="b">
        <f>_xlfn.SINGLE(CleanedData[[#This Row],[Delivery Status]])="Late"</f>
        <v>1</v>
      </c>
      <c r="T345" s="10">
        <v>13</v>
      </c>
      <c r="U345" s="8" t="s">
        <v>33</v>
      </c>
      <c r="V345" s="10">
        <v>949</v>
      </c>
      <c r="W345" s="10">
        <v>13</v>
      </c>
      <c r="X345" s="12">
        <v>3.9274924471299003E-2</v>
      </c>
      <c r="Y345" s="8" t="b">
        <f>CleanedData[[#This Row],[Ship Date]]&lt;CleanedData[[#This Row],[Order Date]]</f>
        <v>1</v>
      </c>
      <c r="Z345" s="10">
        <f>YEAR(CleanedData[[#This Row],[Order Date]])</f>
        <v>2023</v>
      </c>
      <c r="AA345" s="8">
        <f>MONTH(CleanedData[[#This Row],[Order Date]])</f>
        <v>12</v>
      </c>
    </row>
    <row r="346" spans="1:27" x14ac:dyDescent="0.35">
      <c r="A346" s="8" t="s">
        <v>1301</v>
      </c>
      <c r="B346" s="9">
        <v>44966</v>
      </c>
      <c r="C346" s="9">
        <v>45087</v>
      </c>
      <c r="D346" s="8" t="s">
        <v>1302</v>
      </c>
      <c r="E346" s="8" t="s">
        <v>100</v>
      </c>
      <c r="F346" s="8" t="s">
        <v>330</v>
      </c>
      <c r="G346" s="8" t="s">
        <v>28</v>
      </c>
      <c r="H346" s="8" t="s">
        <v>254</v>
      </c>
      <c r="I346" s="8" t="s">
        <v>4976</v>
      </c>
      <c r="J346" s="10">
        <v>133</v>
      </c>
      <c r="K346" s="11">
        <v>960.75</v>
      </c>
      <c r="L346" s="11">
        <v>1572.31</v>
      </c>
      <c r="M346" s="11">
        <v>209117.23</v>
      </c>
      <c r="N346" s="11">
        <v>127779.75</v>
      </c>
      <c r="O346" s="11">
        <f>CleanedData[[#This Row],[Total Sales ($)]]-CleanedData[[#This Row],[Total Cost ($)]]</f>
        <v>81337.48000000001</v>
      </c>
      <c r="P346" s="12">
        <f>CleanedData[[#This Row],[Profit ($)]]/CleanedData[[#This Row],[Total Sales ($)]]</f>
        <v>0.38895637628711899</v>
      </c>
      <c r="Q346" s="8" t="s">
        <v>95</v>
      </c>
      <c r="R346" s="8" t="s">
        <v>63</v>
      </c>
      <c r="S346" s="8" t="b">
        <f>_xlfn.SINGLE(CleanedData[[#This Row],[Delivery Status]])="Late"</f>
        <v>0</v>
      </c>
      <c r="T346" s="10">
        <v>1</v>
      </c>
      <c r="U346" s="8" t="s">
        <v>158</v>
      </c>
      <c r="V346" s="10">
        <v>4980</v>
      </c>
      <c r="W346" s="10">
        <v>4</v>
      </c>
      <c r="X346" s="12">
        <v>3.00751879699248E-2</v>
      </c>
      <c r="Y346" s="8" t="b">
        <f>CleanedData[[#This Row],[Ship Date]]&lt;CleanedData[[#This Row],[Order Date]]</f>
        <v>0</v>
      </c>
      <c r="Z346" s="10">
        <f>YEAR(CleanedData[[#This Row],[Order Date]])</f>
        <v>2023</v>
      </c>
      <c r="AA346" s="8">
        <f>MONTH(CleanedData[[#This Row],[Order Date]])</f>
        <v>2</v>
      </c>
    </row>
    <row r="347" spans="1:27" x14ac:dyDescent="0.35">
      <c r="A347" s="8" t="s">
        <v>1303</v>
      </c>
      <c r="B347" s="9">
        <v>45456</v>
      </c>
      <c r="C347" s="9">
        <v>45476</v>
      </c>
      <c r="D347" s="8" t="s">
        <v>1305</v>
      </c>
      <c r="E347" s="8" t="s">
        <v>68</v>
      </c>
      <c r="F347" s="8" t="s">
        <v>69</v>
      </c>
      <c r="G347" s="8" t="s">
        <v>93</v>
      </c>
      <c r="H347" s="8" t="s">
        <v>485</v>
      </c>
      <c r="I347" s="8" t="s">
        <v>4978</v>
      </c>
      <c r="J347" s="10">
        <v>655</v>
      </c>
      <c r="K347" s="11">
        <v>124.42</v>
      </c>
      <c r="L347" s="11">
        <v>198.06</v>
      </c>
      <c r="M347" s="11">
        <v>129729.3</v>
      </c>
      <c r="N347" s="11">
        <v>81495.100000000006</v>
      </c>
      <c r="O347" s="11">
        <f>CleanedData[[#This Row],[Total Sales ($)]]-CleanedData[[#This Row],[Total Cost ($)]]</f>
        <v>48234.2</v>
      </c>
      <c r="P347" s="12">
        <f>CleanedData[[#This Row],[Profit ($)]]/CleanedData[[#This Row],[Total Sales ($)]]</f>
        <v>0.37180652327577501</v>
      </c>
      <c r="Q347" s="8" t="s">
        <v>42</v>
      </c>
      <c r="R347" s="8" t="s">
        <v>32</v>
      </c>
      <c r="S347" s="8" t="b">
        <f>_xlfn.SINGLE(CleanedData[[#This Row],[Delivery Status]])="Late"</f>
        <v>1</v>
      </c>
      <c r="T347" s="10">
        <v>15</v>
      </c>
      <c r="U347" s="8" t="s">
        <v>158</v>
      </c>
      <c r="V347" s="10">
        <v>2899</v>
      </c>
      <c r="W347" s="10">
        <v>16</v>
      </c>
      <c r="X347" s="12">
        <v>2.4427480916030499E-2</v>
      </c>
      <c r="Y347" s="8" t="b">
        <f>CleanedData[[#This Row],[Ship Date]]&lt;CleanedData[[#This Row],[Order Date]]</f>
        <v>0</v>
      </c>
      <c r="Z347" s="10">
        <f>YEAR(CleanedData[[#This Row],[Order Date]])</f>
        <v>2024</v>
      </c>
      <c r="AA347" s="8">
        <f>MONTH(CleanedData[[#This Row],[Order Date]])</f>
        <v>6</v>
      </c>
    </row>
    <row r="348" spans="1:27" x14ac:dyDescent="0.35">
      <c r="A348" s="8" t="s">
        <v>1306</v>
      </c>
      <c r="B348" s="9">
        <v>45193</v>
      </c>
      <c r="C348" s="9">
        <v>45034</v>
      </c>
      <c r="D348" s="8" t="s">
        <v>1308</v>
      </c>
      <c r="E348" s="8" t="s">
        <v>48</v>
      </c>
      <c r="F348" s="8" t="s">
        <v>183</v>
      </c>
      <c r="G348" s="8" t="s">
        <v>60</v>
      </c>
      <c r="H348" s="8" t="s">
        <v>539</v>
      </c>
      <c r="I348" s="8" t="s">
        <v>4978</v>
      </c>
      <c r="J348" s="10">
        <v>702</v>
      </c>
      <c r="K348" s="11">
        <v>244.9</v>
      </c>
      <c r="L348" s="11">
        <v>388.52</v>
      </c>
      <c r="M348" s="11">
        <v>272741.03999999998</v>
      </c>
      <c r="N348" s="11">
        <v>171919.8</v>
      </c>
      <c r="O348" s="11">
        <f>CleanedData[[#This Row],[Total Sales ($)]]-CleanedData[[#This Row],[Total Cost ($)]]</f>
        <v>100821.23999999999</v>
      </c>
      <c r="P348" s="12">
        <f>CleanedData[[#This Row],[Profit ($)]]/CleanedData[[#This Row],[Total Sales ($)]]</f>
        <v>0.36965921960259446</v>
      </c>
      <c r="Q348" s="8" t="s">
        <v>31</v>
      </c>
      <c r="R348" s="8" t="s">
        <v>63</v>
      </c>
      <c r="S348" s="8" t="b">
        <f>_xlfn.SINGLE(CleanedData[[#This Row],[Delivery Status]])="Late"</f>
        <v>0</v>
      </c>
      <c r="T348" s="10">
        <v>3</v>
      </c>
      <c r="U348" s="8" t="s">
        <v>86</v>
      </c>
      <c r="V348" s="10">
        <v>2501.41</v>
      </c>
      <c r="W348" s="10">
        <v>33</v>
      </c>
      <c r="X348" s="12">
        <v>4.7008547008547001E-2</v>
      </c>
      <c r="Y348" s="8" t="b">
        <f>CleanedData[[#This Row],[Ship Date]]&lt;CleanedData[[#This Row],[Order Date]]</f>
        <v>1</v>
      </c>
      <c r="Z348" s="10">
        <f>YEAR(CleanedData[[#This Row],[Order Date]])</f>
        <v>2023</v>
      </c>
      <c r="AA348" s="8">
        <f>MONTH(CleanedData[[#This Row],[Order Date]])</f>
        <v>9</v>
      </c>
    </row>
    <row r="349" spans="1:27" x14ac:dyDescent="0.35">
      <c r="A349" s="8" t="s">
        <v>1310</v>
      </c>
      <c r="B349" s="9">
        <v>45620</v>
      </c>
      <c r="C349" s="9">
        <v>45587</v>
      </c>
      <c r="D349" s="8" t="s">
        <v>1313</v>
      </c>
      <c r="E349" s="8" t="s">
        <v>4972</v>
      </c>
      <c r="F349" s="8" t="s">
        <v>106</v>
      </c>
      <c r="G349" s="8" t="s">
        <v>70</v>
      </c>
      <c r="H349" s="8" t="s">
        <v>84</v>
      </c>
      <c r="I349" s="8" t="s">
        <v>1167</v>
      </c>
      <c r="J349" s="10">
        <v>315</v>
      </c>
      <c r="K349" s="11">
        <v>259.41000000000003</v>
      </c>
      <c r="L349" s="11">
        <v>370.35</v>
      </c>
      <c r="M349" s="11">
        <v>116660.25</v>
      </c>
      <c r="N349" s="11">
        <v>81714.149999999994</v>
      </c>
      <c r="O349" s="11">
        <f>CleanedData[[#This Row],[Total Sales ($)]]-CleanedData[[#This Row],[Total Cost ($)]]</f>
        <v>34946.100000000006</v>
      </c>
      <c r="P349" s="12">
        <f>CleanedData[[#This Row],[Profit ($)]]/CleanedData[[#This Row],[Total Sales ($)]]</f>
        <v>0.29955447549615233</v>
      </c>
      <c r="Q349" s="8" t="s">
        <v>95</v>
      </c>
      <c r="R349" s="8" t="s">
        <v>32</v>
      </c>
      <c r="S349" s="8" t="b">
        <f>_xlfn.SINGLE(CleanedData[[#This Row],[Delivery Status]])="Late"</f>
        <v>1</v>
      </c>
      <c r="T349" s="10">
        <v>12</v>
      </c>
      <c r="U349" s="8" t="s">
        <v>158</v>
      </c>
      <c r="V349" s="10">
        <v>4635</v>
      </c>
      <c r="W349" s="10">
        <v>13</v>
      </c>
      <c r="X349" s="12">
        <v>4.12698412698412E-2</v>
      </c>
      <c r="Y349" s="8" t="b">
        <f>CleanedData[[#This Row],[Ship Date]]&lt;CleanedData[[#This Row],[Order Date]]</f>
        <v>1</v>
      </c>
      <c r="Z349" s="10">
        <f>YEAR(CleanedData[[#This Row],[Order Date]])</f>
        <v>2024</v>
      </c>
      <c r="AA349" s="8">
        <f>MONTH(CleanedData[[#This Row],[Order Date]])</f>
        <v>11</v>
      </c>
    </row>
    <row r="350" spans="1:27" x14ac:dyDescent="0.35">
      <c r="A350" s="8" t="s">
        <v>1314</v>
      </c>
      <c r="B350" s="9">
        <v>45078</v>
      </c>
      <c r="C350" s="9">
        <v>45049</v>
      </c>
      <c r="D350" s="8" t="s">
        <v>1315</v>
      </c>
      <c r="E350" s="8" t="s">
        <v>48</v>
      </c>
      <c r="F350" s="8" t="s">
        <v>183</v>
      </c>
      <c r="G350" s="8" t="s">
        <v>28</v>
      </c>
      <c r="H350" s="8" t="s">
        <v>111</v>
      </c>
      <c r="I350" s="8" t="s">
        <v>4973</v>
      </c>
      <c r="J350" s="10">
        <v>222</v>
      </c>
      <c r="K350" s="11">
        <v>849.56</v>
      </c>
      <c r="L350" s="11">
        <v>1398.58</v>
      </c>
      <c r="M350" s="11">
        <v>310484.76</v>
      </c>
      <c r="N350" s="11">
        <v>188602.32</v>
      </c>
      <c r="O350" s="11">
        <f>CleanedData[[#This Row],[Total Sales ($)]]-CleanedData[[#This Row],[Total Cost ($)]]</f>
        <v>121882.44</v>
      </c>
      <c r="P350" s="12">
        <f>CleanedData[[#This Row],[Profit ($)]]/CleanedData[[#This Row],[Total Sales ($)]]</f>
        <v>0.39255530609618328</v>
      </c>
      <c r="Q350" s="8" t="s">
        <v>42</v>
      </c>
      <c r="R350" s="8" t="s">
        <v>63</v>
      </c>
      <c r="S350" s="8" t="b">
        <f>_xlfn.SINGLE(CleanedData[[#This Row],[Delivery Status]])="Late"</f>
        <v>0</v>
      </c>
      <c r="T350" s="10">
        <v>2</v>
      </c>
      <c r="U350" s="8" t="s">
        <v>43</v>
      </c>
      <c r="V350" s="10">
        <v>3246</v>
      </c>
      <c r="W350" s="10">
        <v>10</v>
      </c>
      <c r="X350" s="12">
        <v>4.5045045045045001E-2</v>
      </c>
      <c r="Y350" s="8" t="b">
        <f>CleanedData[[#This Row],[Ship Date]]&lt;CleanedData[[#This Row],[Order Date]]</f>
        <v>1</v>
      </c>
      <c r="Z350" s="10">
        <f>YEAR(CleanedData[[#This Row],[Order Date]])</f>
        <v>2023</v>
      </c>
      <c r="AA350" s="8">
        <f>MONTH(CleanedData[[#This Row],[Order Date]])</f>
        <v>6</v>
      </c>
    </row>
    <row r="351" spans="1:27" x14ac:dyDescent="0.35">
      <c r="A351" s="8" t="s">
        <v>1316</v>
      </c>
      <c r="B351" s="9">
        <v>45246</v>
      </c>
      <c r="C351" s="9">
        <v>45255</v>
      </c>
      <c r="D351" s="8" t="s">
        <v>1317</v>
      </c>
      <c r="E351" s="8" t="s">
        <v>48</v>
      </c>
      <c r="F351" s="8" t="s">
        <v>183</v>
      </c>
      <c r="G351" s="8" t="s">
        <v>39</v>
      </c>
      <c r="H351" s="8" t="s">
        <v>647</v>
      </c>
      <c r="I351" s="8" t="s">
        <v>4977</v>
      </c>
      <c r="J351" s="10">
        <v>382</v>
      </c>
      <c r="K351" s="11">
        <v>164.35</v>
      </c>
      <c r="L351" s="11">
        <v>240.93</v>
      </c>
      <c r="M351" s="11">
        <v>92035.26</v>
      </c>
      <c r="N351" s="11">
        <v>62781.7</v>
      </c>
      <c r="O351" s="11">
        <f>CleanedData[[#This Row],[Total Sales ($)]]-CleanedData[[#This Row],[Total Cost ($)]]</f>
        <v>29253.559999999998</v>
      </c>
      <c r="P351" s="12">
        <f>CleanedData[[#This Row],[Profit ($)]]/CleanedData[[#This Row],[Total Sales ($)]]</f>
        <v>0.31785165815797117</v>
      </c>
      <c r="Q351" s="8" t="s">
        <v>52</v>
      </c>
      <c r="R351" s="8" t="s">
        <v>63</v>
      </c>
      <c r="S351" s="8" t="b">
        <f>_xlfn.SINGLE(CleanedData[[#This Row],[Delivery Status]])="Late"</f>
        <v>0</v>
      </c>
      <c r="T351" s="10">
        <v>8</v>
      </c>
      <c r="U351" s="8" t="s">
        <v>33</v>
      </c>
      <c r="V351" s="10">
        <v>126</v>
      </c>
      <c r="W351" s="10">
        <v>11</v>
      </c>
      <c r="X351" s="12">
        <v>2.87958115183246E-2</v>
      </c>
      <c r="Y351" s="8" t="b">
        <f>CleanedData[[#This Row],[Ship Date]]&lt;CleanedData[[#This Row],[Order Date]]</f>
        <v>0</v>
      </c>
      <c r="Z351" s="10">
        <f>YEAR(CleanedData[[#This Row],[Order Date]])</f>
        <v>2023</v>
      </c>
      <c r="AA351" s="8">
        <f>MONTH(CleanedData[[#This Row],[Order Date]])</f>
        <v>11</v>
      </c>
    </row>
    <row r="352" spans="1:27" x14ac:dyDescent="0.35">
      <c r="A352" s="8" t="s">
        <v>1318</v>
      </c>
      <c r="B352" s="9">
        <v>45143</v>
      </c>
      <c r="C352" s="9">
        <v>45246</v>
      </c>
      <c r="D352" s="8" t="s">
        <v>1320</v>
      </c>
      <c r="E352" s="8" t="s">
        <v>26</v>
      </c>
      <c r="F352" s="8" t="s">
        <v>38</v>
      </c>
      <c r="G352" s="8" t="s">
        <v>50</v>
      </c>
      <c r="H352" s="8" t="s">
        <v>117</v>
      </c>
      <c r="I352" s="8" t="s">
        <v>4969</v>
      </c>
      <c r="J352" s="10">
        <v>275</v>
      </c>
      <c r="K352" s="11">
        <v>1135.42</v>
      </c>
      <c r="L352" s="11">
        <v>1453.85</v>
      </c>
      <c r="M352" s="11">
        <v>399808.75</v>
      </c>
      <c r="N352" s="11">
        <v>312240.5</v>
      </c>
      <c r="O352" s="11">
        <f>CleanedData[[#This Row],[Total Sales ($)]]-CleanedData[[#This Row],[Total Cost ($)]]</f>
        <v>87568.25</v>
      </c>
      <c r="P352" s="12">
        <f>CleanedData[[#This Row],[Profit ($)]]/CleanedData[[#This Row],[Total Sales ($)]]</f>
        <v>0.21902534649379235</v>
      </c>
      <c r="Q352" s="8" t="s">
        <v>42</v>
      </c>
      <c r="R352" s="8" t="s">
        <v>63</v>
      </c>
      <c r="S352" s="8" t="b">
        <f>_xlfn.SINGLE(CleanedData[[#This Row],[Delivery Status]])="Late"</f>
        <v>0</v>
      </c>
      <c r="T352" s="10">
        <v>1</v>
      </c>
      <c r="U352" s="8" t="s">
        <v>86</v>
      </c>
      <c r="V352" s="10">
        <v>4569</v>
      </c>
      <c r="W352" s="10">
        <v>4</v>
      </c>
      <c r="X352" s="12">
        <v>1.45454545454545E-2</v>
      </c>
      <c r="Y352" s="8" t="b">
        <f>CleanedData[[#This Row],[Ship Date]]&lt;CleanedData[[#This Row],[Order Date]]</f>
        <v>0</v>
      </c>
      <c r="Z352" s="10">
        <f>YEAR(CleanedData[[#This Row],[Order Date]])</f>
        <v>2023</v>
      </c>
      <c r="AA352" s="8">
        <f>MONTH(CleanedData[[#This Row],[Order Date]])</f>
        <v>8</v>
      </c>
    </row>
    <row r="353" spans="1:27" x14ac:dyDescent="0.35">
      <c r="A353" s="8" t="s">
        <v>1321</v>
      </c>
      <c r="B353" s="9">
        <v>45265</v>
      </c>
      <c r="C353" s="9">
        <v>45025</v>
      </c>
      <c r="D353" s="8" t="s">
        <v>1323</v>
      </c>
      <c r="E353" s="8" t="s">
        <v>26</v>
      </c>
      <c r="F353" s="8" t="s">
        <v>228</v>
      </c>
      <c r="G353" s="8" t="s">
        <v>50</v>
      </c>
      <c r="H353" s="8" t="s">
        <v>51</v>
      </c>
      <c r="I353" s="8" t="s">
        <v>4968</v>
      </c>
      <c r="J353" s="10">
        <v>697</v>
      </c>
      <c r="K353" s="11">
        <v>1058.22</v>
      </c>
      <c r="L353" s="11">
        <v>1376.62</v>
      </c>
      <c r="M353" s="11">
        <v>959504.14</v>
      </c>
      <c r="N353" s="11">
        <v>737579.34</v>
      </c>
      <c r="O353" s="11">
        <f>CleanedData[[#This Row],[Total Sales ($)]]-CleanedData[[#This Row],[Total Cost ($)]]</f>
        <v>221924.80000000005</v>
      </c>
      <c r="P353" s="12">
        <f>CleanedData[[#This Row],[Profit ($)]]/CleanedData[[#This Row],[Total Sales ($)]]</f>
        <v>0.23129113335561016</v>
      </c>
      <c r="Q353" s="8" t="s">
        <v>42</v>
      </c>
      <c r="R353" s="8" t="s">
        <v>32</v>
      </c>
      <c r="S353" s="8" t="b">
        <f>_xlfn.SINGLE(CleanedData[[#This Row],[Delivery Status]])="Late"</f>
        <v>1</v>
      </c>
      <c r="T353" s="10">
        <v>10</v>
      </c>
      <c r="U353" s="8" t="s">
        <v>33</v>
      </c>
      <c r="V353" s="10">
        <v>2501.41</v>
      </c>
      <c r="W353" s="10">
        <v>2</v>
      </c>
      <c r="X353" s="12">
        <v>2.8694404591103999E-3</v>
      </c>
      <c r="Y353" s="8" t="b">
        <f>CleanedData[[#This Row],[Ship Date]]&lt;CleanedData[[#This Row],[Order Date]]</f>
        <v>1</v>
      </c>
      <c r="Z353" s="10">
        <f>YEAR(CleanedData[[#This Row],[Order Date]])</f>
        <v>2023</v>
      </c>
      <c r="AA353" s="8">
        <f>MONTH(CleanedData[[#This Row],[Order Date]])</f>
        <v>12</v>
      </c>
    </row>
    <row r="354" spans="1:27" x14ac:dyDescent="0.35">
      <c r="A354" s="8" t="s">
        <v>1324</v>
      </c>
      <c r="B354" s="9">
        <v>44929</v>
      </c>
      <c r="C354" s="9">
        <v>45127</v>
      </c>
      <c r="D354" s="8" t="s">
        <v>1326</v>
      </c>
      <c r="E354" s="8" t="s">
        <v>26</v>
      </c>
      <c r="F354" s="8" t="s">
        <v>92</v>
      </c>
      <c r="G354" s="8" t="s">
        <v>28</v>
      </c>
      <c r="H354" s="8" t="s">
        <v>111</v>
      </c>
      <c r="I354" s="8" t="s">
        <v>4976</v>
      </c>
      <c r="J354" s="10">
        <v>795</v>
      </c>
      <c r="K354" s="11">
        <v>757.31</v>
      </c>
      <c r="L354" s="11">
        <v>1062.19</v>
      </c>
      <c r="M354" s="11">
        <v>844441.05</v>
      </c>
      <c r="N354" s="11">
        <v>602061.44999999995</v>
      </c>
      <c r="O354" s="11">
        <f>CleanedData[[#This Row],[Total Sales ($)]]-CleanedData[[#This Row],[Total Cost ($)]]</f>
        <v>242379.60000000009</v>
      </c>
      <c r="P354" s="12">
        <f>CleanedData[[#This Row],[Profit ($)]]/CleanedData[[#This Row],[Total Sales ($)]]</f>
        <v>0.28702962746777894</v>
      </c>
      <c r="Q354" s="8" t="s">
        <v>31</v>
      </c>
      <c r="R354" s="8" t="s">
        <v>63</v>
      </c>
      <c r="S354" s="8" t="b">
        <f>_xlfn.SINGLE(CleanedData[[#This Row],[Delivery Status]])="Late"</f>
        <v>0</v>
      </c>
      <c r="T354" s="10">
        <v>1</v>
      </c>
      <c r="U354" s="8" t="s">
        <v>53</v>
      </c>
      <c r="V354" s="10">
        <v>1449</v>
      </c>
      <c r="W354" s="10">
        <v>27</v>
      </c>
      <c r="X354" s="12">
        <v>3.3962264150943298E-2</v>
      </c>
      <c r="Y354" s="8" t="b">
        <f>CleanedData[[#This Row],[Ship Date]]&lt;CleanedData[[#This Row],[Order Date]]</f>
        <v>0</v>
      </c>
      <c r="Z354" s="10">
        <f>YEAR(CleanedData[[#This Row],[Order Date]])</f>
        <v>2023</v>
      </c>
      <c r="AA354" s="8">
        <f>MONTH(CleanedData[[#This Row],[Order Date]])</f>
        <v>1</v>
      </c>
    </row>
    <row r="355" spans="1:27" x14ac:dyDescent="0.35">
      <c r="A355" s="8" t="s">
        <v>1327</v>
      </c>
      <c r="B355" s="9">
        <v>45213</v>
      </c>
      <c r="C355" s="9">
        <v>45207</v>
      </c>
      <c r="D355" s="8" t="s">
        <v>1329</v>
      </c>
      <c r="E355" s="8" t="s">
        <v>26</v>
      </c>
      <c r="F355" s="8" t="s">
        <v>38</v>
      </c>
      <c r="G355" s="8" t="s">
        <v>78</v>
      </c>
      <c r="H355" s="8" t="s">
        <v>79</v>
      </c>
      <c r="I355" s="8" t="s">
        <v>4975</v>
      </c>
      <c r="J355" s="10">
        <v>613</v>
      </c>
      <c r="K355" s="11">
        <v>421.27</v>
      </c>
      <c r="L355" s="11">
        <v>630.4</v>
      </c>
      <c r="M355" s="11">
        <v>386435.2</v>
      </c>
      <c r="N355" s="11">
        <v>258238.51</v>
      </c>
      <c r="O355" s="11">
        <f>CleanedData[[#This Row],[Total Sales ($)]]-CleanedData[[#This Row],[Total Cost ($)]]</f>
        <v>128196.69</v>
      </c>
      <c r="P355" s="12">
        <f>CleanedData[[#This Row],[Profit ($)]]/CleanedData[[#This Row],[Total Sales ($)]]</f>
        <v>0.33174175126903555</v>
      </c>
      <c r="Q355" s="8" t="s">
        <v>31</v>
      </c>
      <c r="R355" s="8" t="s">
        <v>63</v>
      </c>
      <c r="S355" s="8" t="b">
        <f>_xlfn.SINGLE(CleanedData[[#This Row],[Delivery Status]])="Late"</f>
        <v>0</v>
      </c>
      <c r="T355" s="10">
        <v>5</v>
      </c>
      <c r="U355" s="8" t="s">
        <v>53</v>
      </c>
      <c r="V355" s="10">
        <v>2227</v>
      </c>
      <c r="W355" s="10">
        <v>25</v>
      </c>
      <c r="X355" s="12">
        <v>4.07830342577487E-2</v>
      </c>
      <c r="Y355" s="8" t="b">
        <f>CleanedData[[#This Row],[Ship Date]]&lt;CleanedData[[#This Row],[Order Date]]</f>
        <v>1</v>
      </c>
      <c r="Z355" s="10">
        <f>YEAR(CleanedData[[#This Row],[Order Date]])</f>
        <v>2023</v>
      </c>
      <c r="AA355" s="8">
        <f>MONTH(CleanedData[[#This Row],[Order Date]])</f>
        <v>10</v>
      </c>
    </row>
    <row r="356" spans="1:27" x14ac:dyDescent="0.35">
      <c r="A356" s="8" t="s">
        <v>1330</v>
      </c>
      <c r="B356" s="9">
        <v>45131</v>
      </c>
      <c r="C356" s="9">
        <v>45222</v>
      </c>
      <c r="D356" s="8" t="s">
        <v>1331</v>
      </c>
      <c r="E356" s="8" t="s">
        <v>68</v>
      </c>
      <c r="F356" s="8" t="s">
        <v>276</v>
      </c>
      <c r="G356" s="8" t="s">
        <v>78</v>
      </c>
      <c r="H356" s="8" t="s">
        <v>178</v>
      </c>
      <c r="I356" s="8" t="s">
        <v>4977</v>
      </c>
      <c r="J356" s="10">
        <v>407</v>
      </c>
      <c r="K356" s="11">
        <v>1093.1199999999999</v>
      </c>
      <c r="L356" s="11">
        <v>1594.21</v>
      </c>
      <c r="M356" s="11">
        <v>648843.47</v>
      </c>
      <c r="N356" s="11">
        <v>444899.84000000003</v>
      </c>
      <c r="O356" s="11">
        <f>CleanedData[[#This Row],[Total Sales ($)]]-CleanedData[[#This Row],[Total Cost ($)]]</f>
        <v>203943.62999999995</v>
      </c>
      <c r="P356" s="12">
        <f>CleanedData[[#This Row],[Profit ($)]]/CleanedData[[#This Row],[Total Sales ($)]]</f>
        <v>0.31431869076219565</v>
      </c>
      <c r="Q356" s="8" t="s">
        <v>95</v>
      </c>
      <c r="R356" s="8" t="s">
        <v>63</v>
      </c>
      <c r="S356" s="8" t="b">
        <f>_xlfn.SINGLE(CleanedData[[#This Row],[Delivery Status]])="Late"</f>
        <v>0</v>
      </c>
      <c r="T356" s="10">
        <v>4</v>
      </c>
      <c r="U356" s="8" t="s">
        <v>158</v>
      </c>
      <c r="V356" s="10">
        <v>4697</v>
      </c>
      <c r="W356" s="10">
        <v>12</v>
      </c>
      <c r="X356" s="12">
        <v>2.9484029484029398E-2</v>
      </c>
      <c r="Y356" s="8" t="b">
        <f>CleanedData[[#This Row],[Ship Date]]&lt;CleanedData[[#This Row],[Order Date]]</f>
        <v>0</v>
      </c>
      <c r="Z356" s="10">
        <f>YEAR(CleanedData[[#This Row],[Order Date]])</f>
        <v>2023</v>
      </c>
      <c r="AA356" s="8">
        <f>MONTH(CleanedData[[#This Row],[Order Date]])</f>
        <v>7</v>
      </c>
    </row>
    <row r="357" spans="1:27" x14ac:dyDescent="0.35">
      <c r="A357" s="8" t="s">
        <v>1332</v>
      </c>
      <c r="B357" s="9">
        <v>45043</v>
      </c>
      <c r="C357" s="9">
        <v>45099</v>
      </c>
      <c r="D357" s="8" t="s">
        <v>1334</v>
      </c>
      <c r="E357" s="8" t="s">
        <v>58</v>
      </c>
      <c r="F357" s="8" t="s">
        <v>417</v>
      </c>
      <c r="G357" s="8" t="s">
        <v>60</v>
      </c>
      <c r="H357" s="8" t="s">
        <v>61</v>
      </c>
      <c r="I357" s="8" t="s">
        <v>1335</v>
      </c>
      <c r="J357" s="10">
        <v>423</v>
      </c>
      <c r="K357" s="11">
        <v>231.48</v>
      </c>
      <c r="L357" s="11">
        <v>301.88</v>
      </c>
      <c r="M357" s="11">
        <v>127695.24</v>
      </c>
      <c r="N357" s="11">
        <v>97916.04</v>
      </c>
      <c r="O357" s="11">
        <f>CleanedData[[#This Row],[Total Sales ($)]]-CleanedData[[#This Row],[Total Cost ($)]]</f>
        <v>29779.200000000012</v>
      </c>
      <c r="P357" s="12">
        <f>CleanedData[[#This Row],[Profit ($)]]/CleanedData[[#This Row],[Total Sales ($)]]</f>
        <v>0.23320524711806023</v>
      </c>
      <c r="Q357" s="8" t="s">
        <v>95</v>
      </c>
      <c r="R357" s="8" t="s">
        <v>32</v>
      </c>
      <c r="S357" s="8" t="b">
        <f>_xlfn.SINGLE(CleanedData[[#This Row],[Delivery Status]])="Late"</f>
        <v>1</v>
      </c>
      <c r="T357" s="10">
        <v>12</v>
      </c>
      <c r="U357" s="8" t="s">
        <v>53</v>
      </c>
      <c r="V357" s="10">
        <v>4877</v>
      </c>
      <c r="W357" s="10">
        <v>1</v>
      </c>
      <c r="X357" s="12">
        <v>2.3640661938534001E-3</v>
      </c>
      <c r="Y357" s="8" t="b">
        <f>CleanedData[[#This Row],[Ship Date]]&lt;CleanedData[[#This Row],[Order Date]]</f>
        <v>0</v>
      </c>
      <c r="Z357" s="10">
        <f>YEAR(CleanedData[[#This Row],[Order Date]])</f>
        <v>2023</v>
      </c>
      <c r="AA357" s="8">
        <f>MONTH(CleanedData[[#This Row],[Order Date]])</f>
        <v>4</v>
      </c>
    </row>
    <row r="358" spans="1:27" x14ac:dyDescent="0.35">
      <c r="A358" s="8" t="s">
        <v>1336</v>
      </c>
      <c r="B358" s="9">
        <v>45360</v>
      </c>
      <c r="C358" s="9">
        <v>45447</v>
      </c>
      <c r="D358" s="8" t="s">
        <v>1337</v>
      </c>
      <c r="E358" s="8" t="s">
        <v>100</v>
      </c>
      <c r="F358" s="8" t="s">
        <v>238</v>
      </c>
      <c r="G358" s="8" t="s">
        <v>39</v>
      </c>
      <c r="H358" s="8" t="s">
        <v>40</v>
      </c>
      <c r="I358" s="8" t="s">
        <v>4976</v>
      </c>
      <c r="J358" s="10">
        <v>570</v>
      </c>
      <c r="K358" s="11">
        <v>747.43</v>
      </c>
      <c r="L358" s="11">
        <v>848.96</v>
      </c>
      <c r="M358" s="11">
        <v>483907.2</v>
      </c>
      <c r="N358" s="11">
        <v>426035.1</v>
      </c>
      <c r="O358" s="11">
        <f>CleanedData[[#This Row],[Total Sales ($)]]-CleanedData[[#This Row],[Total Cost ($)]]</f>
        <v>57872.100000000035</v>
      </c>
      <c r="P358" s="12">
        <f>CleanedData[[#This Row],[Profit ($)]]/CleanedData[[#This Row],[Total Sales ($)]]</f>
        <v>0.11959338484734271</v>
      </c>
      <c r="Q358" s="8" t="s">
        <v>95</v>
      </c>
      <c r="R358" s="8" t="s">
        <v>63</v>
      </c>
      <c r="S358" s="8" t="b">
        <f>_xlfn.SINGLE(CleanedData[[#This Row],[Delivery Status]])="Late"</f>
        <v>0</v>
      </c>
      <c r="T358" s="10">
        <v>2</v>
      </c>
      <c r="U358" s="8" t="s">
        <v>86</v>
      </c>
      <c r="V358" s="10">
        <v>841</v>
      </c>
      <c r="W358" s="10">
        <v>13</v>
      </c>
      <c r="X358" s="12">
        <v>2.2807017543859599E-2</v>
      </c>
      <c r="Y358" s="8" t="b">
        <f>CleanedData[[#This Row],[Ship Date]]&lt;CleanedData[[#This Row],[Order Date]]</f>
        <v>0</v>
      </c>
      <c r="Z358" s="10">
        <f>YEAR(CleanedData[[#This Row],[Order Date]])</f>
        <v>2024</v>
      </c>
      <c r="AA358" s="8">
        <f>MONTH(CleanedData[[#This Row],[Order Date]])</f>
        <v>3</v>
      </c>
    </row>
    <row r="359" spans="1:27" x14ac:dyDescent="0.35">
      <c r="A359" s="8" t="s">
        <v>1338</v>
      </c>
      <c r="B359" s="9">
        <v>45110</v>
      </c>
      <c r="C359" s="9">
        <v>44995</v>
      </c>
      <c r="D359" s="8" t="s">
        <v>1339</v>
      </c>
      <c r="E359" s="8" t="s">
        <v>58</v>
      </c>
      <c r="F359" s="8" t="s">
        <v>417</v>
      </c>
      <c r="G359" s="8" t="s">
        <v>39</v>
      </c>
      <c r="H359" s="8" t="s">
        <v>527</v>
      </c>
      <c r="I359" s="8" t="s">
        <v>4977</v>
      </c>
      <c r="J359" s="10">
        <v>458</v>
      </c>
      <c r="K359" s="11">
        <v>427.03</v>
      </c>
      <c r="L359" s="11">
        <v>571.44000000000005</v>
      </c>
      <c r="M359" s="11">
        <v>261719.52</v>
      </c>
      <c r="N359" s="11">
        <v>195579.74</v>
      </c>
      <c r="O359" s="11">
        <f>CleanedData[[#This Row],[Total Sales ($)]]-CleanedData[[#This Row],[Total Cost ($)]]</f>
        <v>66139.78</v>
      </c>
      <c r="P359" s="12">
        <f>CleanedData[[#This Row],[Profit ($)]]/CleanedData[[#This Row],[Total Sales ($)]]</f>
        <v>0.25271244575108498</v>
      </c>
      <c r="Q359" s="8" t="s">
        <v>95</v>
      </c>
      <c r="R359" s="8" t="s">
        <v>63</v>
      </c>
      <c r="S359" s="8" t="b">
        <f>_xlfn.SINGLE(CleanedData[[#This Row],[Delivery Status]])="Late"</f>
        <v>0</v>
      </c>
      <c r="T359" s="10">
        <v>4</v>
      </c>
      <c r="U359" s="8" t="s">
        <v>112</v>
      </c>
      <c r="V359" s="10">
        <v>3526</v>
      </c>
      <c r="W359" s="10">
        <v>20</v>
      </c>
      <c r="X359" s="12">
        <v>4.36681222707423E-2</v>
      </c>
      <c r="Y359" s="8" t="b">
        <f>CleanedData[[#This Row],[Ship Date]]&lt;CleanedData[[#This Row],[Order Date]]</f>
        <v>1</v>
      </c>
      <c r="Z359" s="10">
        <f>YEAR(CleanedData[[#This Row],[Order Date]])</f>
        <v>2023</v>
      </c>
      <c r="AA359" s="8">
        <f>MONTH(CleanedData[[#This Row],[Order Date]])</f>
        <v>7</v>
      </c>
    </row>
    <row r="360" spans="1:27" x14ac:dyDescent="0.35">
      <c r="A360" s="8" t="s">
        <v>1340</v>
      </c>
      <c r="B360" s="9">
        <v>45145</v>
      </c>
      <c r="C360" s="9">
        <v>44951</v>
      </c>
      <c r="D360" s="8" t="s">
        <v>1342</v>
      </c>
      <c r="E360" s="8" t="s">
        <v>68</v>
      </c>
      <c r="F360" s="8" t="s">
        <v>146</v>
      </c>
      <c r="G360" s="8" t="s">
        <v>217</v>
      </c>
      <c r="H360" s="8" t="s">
        <v>494</v>
      </c>
      <c r="I360" s="8" t="s">
        <v>4979</v>
      </c>
      <c r="J360" s="10">
        <v>396</v>
      </c>
      <c r="K360" s="11">
        <v>131.13999999999999</v>
      </c>
      <c r="L360" s="11">
        <v>164.32</v>
      </c>
      <c r="M360" s="11">
        <v>65070.720000000001</v>
      </c>
      <c r="N360" s="11">
        <v>51931.44</v>
      </c>
      <c r="O360" s="11">
        <f>CleanedData[[#This Row],[Total Sales ($)]]-CleanedData[[#This Row],[Total Cost ($)]]</f>
        <v>13139.279999999999</v>
      </c>
      <c r="P360" s="12">
        <f>CleanedData[[#This Row],[Profit ($)]]/CleanedData[[#This Row],[Total Sales ($)]]</f>
        <v>0.2019230769230769</v>
      </c>
      <c r="Q360" s="8" t="s">
        <v>52</v>
      </c>
      <c r="R360" s="8" t="s">
        <v>32</v>
      </c>
      <c r="S360" s="8" t="b">
        <f>_xlfn.SINGLE(CleanedData[[#This Row],[Delivery Status]])="Late"</f>
        <v>1</v>
      </c>
      <c r="T360" s="10">
        <v>6</v>
      </c>
      <c r="U360" s="8" t="s">
        <v>112</v>
      </c>
      <c r="V360" s="10">
        <v>973</v>
      </c>
      <c r="W360" s="10"/>
      <c r="X360" s="12"/>
      <c r="Y360" s="8" t="b">
        <f>CleanedData[[#This Row],[Ship Date]]&lt;CleanedData[[#This Row],[Order Date]]</f>
        <v>1</v>
      </c>
      <c r="Z360" s="10">
        <f>YEAR(CleanedData[[#This Row],[Order Date]])</f>
        <v>2023</v>
      </c>
      <c r="AA360" s="8">
        <f>MONTH(CleanedData[[#This Row],[Order Date]])</f>
        <v>8</v>
      </c>
    </row>
    <row r="361" spans="1:27" x14ac:dyDescent="0.35">
      <c r="A361" s="8" t="s">
        <v>1343</v>
      </c>
      <c r="B361" s="9">
        <v>45153</v>
      </c>
      <c r="C361" s="9">
        <v>44939</v>
      </c>
      <c r="D361" s="8" t="s">
        <v>1345</v>
      </c>
      <c r="E361" s="8" t="s">
        <v>68</v>
      </c>
      <c r="F361" s="8" t="s">
        <v>249</v>
      </c>
      <c r="G361" s="8" t="s">
        <v>60</v>
      </c>
      <c r="H361" s="8" t="s">
        <v>539</v>
      </c>
      <c r="I361" s="8" t="s">
        <v>4971</v>
      </c>
      <c r="J361" s="10">
        <v>258</v>
      </c>
      <c r="K361" s="11">
        <v>53.7</v>
      </c>
      <c r="L361" s="11">
        <v>62.72</v>
      </c>
      <c r="M361" s="11">
        <v>16181.76</v>
      </c>
      <c r="N361" s="11">
        <v>13854.6</v>
      </c>
      <c r="O361" s="11">
        <f>CleanedData[[#This Row],[Total Sales ($)]]-CleanedData[[#This Row],[Total Cost ($)]]</f>
        <v>2327.16</v>
      </c>
      <c r="P361" s="12">
        <f>CleanedData[[#This Row],[Profit ($)]]/CleanedData[[#This Row],[Total Sales ($)]]</f>
        <v>0.14381377551020408</v>
      </c>
      <c r="Q361" s="8" t="s">
        <v>95</v>
      </c>
      <c r="R361" s="8" t="s">
        <v>32</v>
      </c>
      <c r="S361" s="8" t="b">
        <f>_xlfn.SINGLE(CleanedData[[#This Row],[Delivery Status]])="Late"</f>
        <v>1</v>
      </c>
      <c r="T361" s="10">
        <v>8</v>
      </c>
      <c r="U361" s="8" t="s">
        <v>112</v>
      </c>
      <c r="V361" s="10">
        <v>2951</v>
      </c>
      <c r="W361" s="10">
        <v>10</v>
      </c>
      <c r="X361" s="12">
        <v>3.8759689922480599E-2</v>
      </c>
      <c r="Y361" s="8" t="b">
        <f>CleanedData[[#This Row],[Ship Date]]&lt;CleanedData[[#This Row],[Order Date]]</f>
        <v>1</v>
      </c>
      <c r="Z361" s="10">
        <f>YEAR(CleanedData[[#This Row],[Order Date]])</f>
        <v>2023</v>
      </c>
      <c r="AA361" s="8">
        <f>MONTH(CleanedData[[#This Row],[Order Date]])</f>
        <v>8</v>
      </c>
    </row>
    <row r="362" spans="1:27" x14ac:dyDescent="0.35">
      <c r="A362" s="8" t="s">
        <v>1346</v>
      </c>
      <c r="B362" s="9">
        <v>45606</v>
      </c>
      <c r="C362" s="9">
        <v>45553</v>
      </c>
      <c r="D362" s="8" t="s">
        <v>1349</v>
      </c>
      <c r="E362" s="8" t="s">
        <v>100</v>
      </c>
      <c r="F362" s="8" t="s">
        <v>101</v>
      </c>
      <c r="G362" s="8" t="s">
        <v>70</v>
      </c>
      <c r="H362" s="8" t="s">
        <v>84</v>
      </c>
      <c r="I362" s="8" t="s">
        <v>4973</v>
      </c>
      <c r="J362" s="10">
        <v>713</v>
      </c>
      <c r="K362" s="11">
        <v>575.16999999999996</v>
      </c>
      <c r="L362" s="11">
        <v>896.11</v>
      </c>
      <c r="M362" s="11">
        <v>638926.43000000005</v>
      </c>
      <c r="N362" s="11">
        <v>410096.21</v>
      </c>
      <c r="O362" s="11">
        <f>CleanedData[[#This Row],[Total Sales ($)]]-CleanedData[[#This Row],[Total Cost ($)]]</f>
        <v>228830.22000000003</v>
      </c>
      <c r="P362" s="12">
        <f>CleanedData[[#This Row],[Profit ($)]]/CleanedData[[#This Row],[Total Sales ($)]]</f>
        <v>0.35814799522380064</v>
      </c>
      <c r="Q362" s="8" t="s">
        <v>95</v>
      </c>
      <c r="R362" s="8" t="s">
        <v>32</v>
      </c>
      <c r="S362" s="8" t="b">
        <f>_xlfn.SINGLE(CleanedData[[#This Row],[Delivery Status]])="Late"</f>
        <v>1</v>
      </c>
      <c r="T362" s="10">
        <v>15</v>
      </c>
      <c r="U362" s="8" t="s">
        <v>53</v>
      </c>
      <c r="V362" s="10">
        <v>4262</v>
      </c>
      <c r="W362" s="10">
        <v>15</v>
      </c>
      <c r="X362" s="12">
        <v>2.1037868162692801E-2</v>
      </c>
      <c r="Y362" s="8" t="b">
        <f>CleanedData[[#This Row],[Ship Date]]&lt;CleanedData[[#This Row],[Order Date]]</f>
        <v>1</v>
      </c>
      <c r="Z362" s="10">
        <f>YEAR(CleanedData[[#This Row],[Order Date]])</f>
        <v>2024</v>
      </c>
      <c r="AA362" s="8">
        <f>MONTH(CleanedData[[#This Row],[Order Date]])</f>
        <v>11</v>
      </c>
    </row>
    <row r="363" spans="1:27" x14ac:dyDescent="0.35">
      <c r="A363" s="8" t="s">
        <v>1350</v>
      </c>
      <c r="B363" s="9">
        <v>44990</v>
      </c>
      <c r="C363" s="9">
        <v>45103</v>
      </c>
      <c r="D363" s="8" t="s">
        <v>1351</v>
      </c>
      <c r="E363" s="8" t="s">
        <v>58</v>
      </c>
      <c r="F363" s="8" t="s">
        <v>116</v>
      </c>
      <c r="G363" s="8" t="s">
        <v>78</v>
      </c>
      <c r="H363" s="8" t="s">
        <v>178</v>
      </c>
      <c r="I363" s="8" t="s">
        <v>4979</v>
      </c>
      <c r="J363" s="10">
        <v>42</v>
      </c>
      <c r="K363" s="11">
        <v>1074.0899999999999</v>
      </c>
      <c r="L363" s="11">
        <v>1228.8</v>
      </c>
      <c r="M363" s="11">
        <v>51609.599999999999</v>
      </c>
      <c r="N363" s="11">
        <v>45111.78</v>
      </c>
      <c r="O363" s="11">
        <f>CleanedData[[#This Row],[Total Sales ($)]]-CleanedData[[#This Row],[Total Cost ($)]]</f>
        <v>6497.82</v>
      </c>
      <c r="P363" s="12">
        <f>CleanedData[[#This Row],[Profit ($)]]/CleanedData[[#This Row],[Total Sales ($)]]</f>
        <v>0.12590332031250001</v>
      </c>
      <c r="Q363" s="8" t="s">
        <v>95</v>
      </c>
      <c r="R363" s="8" t="s">
        <v>32</v>
      </c>
      <c r="S363" s="8" t="b">
        <f>_xlfn.SINGLE(CleanedData[[#This Row],[Delivery Status]])="Late"</f>
        <v>1</v>
      </c>
      <c r="T363" s="10">
        <v>11</v>
      </c>
      <c r="U363" s="8" t="s">
        <v>43</v>
      </c>
      <c r="V363" s="10">
        <v>4266</v>
      </c>
      <c r="W363" s="10">
        <v>0</v>
      </c>
      <c r="X363" s="12">
        <v>0</v>
      </c>
      <c r="Y363" s="8" t="b">
        <f>CleanedData[[#This Row],[Ship Date]]&lt;CleanedData[[#This Row],[Order Date]]</f>
        <v>0</v>
      </c>
      <c r="Z363" s="10">
        <f>YEAR(CleanedData[[#This Row],[Order Date]])</f>
        <v>2023</v>
      </c>
      <c r="AA363" s="8">
        <f>MONTH(CleanedData[[#This Row],[Order Date]])</f>
        <v>3</v>
      </c>
    </row>
    <row r="364" spans="1:27" x14ac:dyDescent="0.35">
      <c r="A364" s="8" t="s">
        <v>1352</v>
      </c>
      <c r="B364" s="9">
        <v>45108</v>
      </c>
      <c r="C364" s="9">
        <v>45041</v>
      </c>
      <c r="D364" s="8" t="s">
        <v>1354</v>
      </c>
      <c r="E364" s="8" t="s">
        <v>100</v>
      </c>
      <c r="F364" s="8" t="s">
        <v>238</v>
      </c>
      <c r="G364" s="8" t="s">
        <v>78</v>
      </c>
      <c r="H364" s="8" t="s">
        <v>425</v>
      </c>
      <c r="I364" s="8" t="s">
        <v>4974</v>
      </c>
      <c r="J364" s="10">
        <v>509</v>
      </c>
      <c r="K364" s="11">
        <v>1012.46</v>
      </c>
      <c r="L364" s="11">
        <v>1524.1</v>
      </c>
      <c r="M364" s="11">
        <v>775766.9</v>
      </c>
      <c r="N364" s="11">
        <v>515342.14</v>
      </c>
      <c r="O364" s="11">
        <f>CleanedData[[#This Row],[Total Sales ($)]]-CleanedData[[#This Row],[Total Cost ($)]]</f>
        <v>260424.76</v>
      </c>
      <c r="P364" s="12">
        <f>CleanedData[[#This Row],[Profit ($)]]/CleanedData[[#This Row],[Total Sales ($)]]</f>
        <v>0.33569975723377732</v>
      </c>
      <c r="Q364" s="8" t="s">
        <v>52</v>
      </c>
      <c r="R364" s="8" t="s">
        <v>32</v>
      </c>
      <c r="S364" s="8" t="b">
        <f>_xlfn.SINGLE(CleanedData[[#This Row],[Delivery Status]])="Late"</f>
        <v>1</v>
      </c>
      <c r="T364" s="10">
        <v>8</v>
      </c>
      <c r="U364" s="8" t="s">
        <v>112</v>
      </c>
      <c r="V364" s="10">
        <v>1437</v>
      </c>
      <c r="W364" s="10">
        <v>22</v>
      </c>
      <c r="X364" s="12">
        <v>4.3222003929273001E-2</v>
      </c>
      <c r="Y364" s="8" t="b">
        <f>CleanedData[[#This Row],[Ship Date]]&lt;CleanedData[[#This Row],[Order Date]]</f>
        <v>1</v>
      </c>
      <c r="Z364" s="10">
        <f>YEAR(CleanedData[[#This Row],[Order Date]])</f>
        <v>2023</v>
      </c>
      <c r="AA364" s="8">
        <f>MONTH(CleanedData[[#This Row],[Order Date]])</f>
        <v>7</v>
      </c>
    </row>
    <row r="365" spans="1:27" x14ac:dyDescent="0.35">
      <c r="A365" s="8" t="s">
        <v>1355</v>
      </c>
      <c r="B365" s="9">
        <v>45599</v>
      </c>
      <c r="C365" s="9">
        <v>44944</v>
      </c>
      <c r="D365" s="8" t="s">
        <v>1358</v>
      </c>
      <c r="E365" s="8" t="s">
        <v>58</v>
      </c>
      <c r="F365" s="8" t="s">
        <v>417</v>
      </c>
      <c r="G365" s="8" t="s">
        <v>39</v>
      </c>
      <c r="H365" s="8" t="s">
        <v>412</v>
      </c>
      <c r="I365" s="8" t="s">
        <v>4967</v>
      </c>
      <c r="J365" s="10">
        <v>249</v>
      </c>
      <c r="K365" s="11">
        <v>839.95</v>
      </c>
      <c r="L365" s="11">
        <v>1130.74</v>
      </c>
      <c r="M365" s="11">
        <v>281554.26</v>
      </c>
      <c r="N365" s="11">
        <v>209147.55</v>
      </c>
      <c r="O365" s="11">
        <f>CleanedData[[#This Row],[Total Sales ($)]]-CleanedData[[#This Row],[Total Cost ($)]]</f>
        <v>72406.710000000021</v>
      </c>
      <c r="P365" s="12">
        <f>CleanedData[[#This Row],[Profit ($)]]/CleanedData[[#This Row],[Total Sales ($)]]</f>
        <v>0.25716787236676875</v>
      </c>
      <c r="Q365" s="8" t="s">
        <v>52</v>
      </c>
      <c r="R365" s="8" t="s">
        <v>32</v>
      </c>
      <c r="S365" s="8" t="b">
        <f>_xlfn.SINGLE(CleanedData[[#This Row],[Delivery Status]])="Late"</f>
        <v>1</v>
      </c>
      <c r="T365" s="10">
        <v>15</v>
      </c>
      <c r="U365" s="8" t="s">
        <v>158</v>
      </c>
      <c r="V365" s="10">
        <v>2809</v>
      </c>
      <c r="W365" s="10">
        <v>3</v>
      </c>
      <c r="X365" s="12">
        <v>1.20481927710843E-2</v>
      </c>
      <c r="Y365" s="8" t="b">
        <f>CleanedData[[#This Row],[Ship Date]]&lt;CleanedData[[#This Row],[Order Date]]</f>
        <v>1</v>
      </c>
      <c r="Z365" s="10">
        <f>YEAR(CleanedData[[#This Row],[Order Date]])</f>
        <v>2024</v>
      </c>
      <c r="AA365" s="8">
        <f>MONTH(CleanedData[[#This Row],[Order Date]])</f>
        <v>11</v>
      </c>
    </row>
    <row r="366" spans="1:27" x14ac:dyDescent="0.35">
      <c r="A366" s="8" t="s">
        <v>1359</v>
      </c>
      <c r="B366" s="9">
        <v>45024</v>
      </c>
      <c r="C366" s="9">
        <v>45058</v>
      </c>
      <c r="D366" s="8" t="s">
        <v>1361</v>
      </c>
      <c r="E366" s="8" t="s">
        <v>58</v>
      </c>
      <c r="F366" s="8" t="s">
        <v>122</v>
      </c>
      <c r="G366" s="8" t="s">
        <v>189</v>
      </c>
      <c r="H366" s="8" t="s">
        <v>311</v>
      </c>
      <c r="I366" s="8" t="s">
        <v>4968</v>
      </c>
      <c r="J366" s="10">
        <v>416</v>
      </c>
      <c r="K366" s="11">
        <v>1009.92</v>
      </c>
      <c r="L366" s="11">
        <v>1217.6500000000001</v>
      </c>
      <c r="M366" s="11">
        <v>506542.4</v>
      </c>
      <c r="N366" s="11">
        <v>420126.71999999997</v>
      </c>
      <c r="O366" s="11">
        <f>CleanedData[[#This Row],[Total Sales ($)]]-CleanedData[[#This Row],[Total Cost ($)]]</f>
        <v>86415.680000000051</v>
      </c>
      <c r="P366" s="12">
        <f>CleanedData[[#This Row],[Profit ($)]]/CleanedData[[#This Row],[Total Sales ($)]]</f>
        <v>0.17059910483308022</v>
      </c>
      <c r="Q366" s="8" t="s">
        <v>31</v>
      </c>
      <c r="R366" s="8" t="s">
        <v>63</v>
      </c>
      <c r="S366" s="8" t="b">
        <f>_xlfn.SINGLE(CleanedData[[#This Row],[Delivery Status]])="Late"</f>
        <v>0</v>
      </c>
      <c r="T366" s="10">
        <v>3</v>
      </c>
      <c r="U366" s="8" t="s">
        <v>86</v>
      </c>
      <c r="V366" s="10">
        <v>2996</v>
      </c>
      <c r="W366" s="10">
        <v>6</v>
      </c>
      <c r="X366" s="12">
        <v>1.44230769230769E-2</v>
      </c>
      <c r="Y366" s="8" t="b">
        <f>CleanedData[[#This Row],[Ship Date]]&lt;CleanedData[[#This Row],[Order Date]]</f>
        <v>0</v>
      </c>
      <c r="Z366" s="10">
        <f>YEAR(CleanedData[[#This Row],[Order Date]])</f>
        <v>2023</v>
      </c>
      <c r="AA366" s="8">
        <f>MONTH(CleanedData[[#This Row],[Order Date]])</f>
        <v>4</v>
      </c>
    </row>
    <row r="367" spans="1:27" x14ac:dyDescent="0.35">
      <c r="A367" s="8" t="s">
        <v>1362</v>
      </c>
      <c r="B367" s="9">
        <v>45090</v>
      </c>
      <c r="C367" s="9">
        <v>45154</v>
      </c>
      <c r="D367" s="8" t="s">
        <v>1364</v>
      </c>
      <c r="E367" s="8" t="s">
        <v>68</v>
      </c>
      <c r="F367" s="8" t="s">
        <v>276</v>
      </c>
      <c r="G367" s="8" t="s">
        <v>93</v>
      </c>
      <c r="H367" s="8" t="s">
        <v>485</v>
      </c>
      <c r="I367" s="8" t="s">
        <v>4967</v>
      </c>
      <c r="J367" s="10">
        <v>482</v>
      </c>
      <c r="K367" s="11">
        <v>437.17</v>
      </c>
      <c r="L367" s="11">
        <v>690.3</v>
      </c>
      <c r="M367" s="11">
        <v>332724.59999999998</v>
      </c>
      <c r="N367" s="11">
        <v>210715.94</v>
      </c>
      <c r="O367" s="11">
        <f>CleanedData[[#This Row],[Total Sales ($)]]-CleanedData[[#This Row],[Total Cost ($)]]</f>
        <v>122008.65999999997</v>
      </c>
      <c r="P367" s="12">
        <f>CleanedData[[#This Row],[Profit ($)]]/CleanedData[[#This Row],[Total Sales ($)]]</f>
        <v>0.36669563957699547</v>
      </c>
      <c r="Q367" s="8" t="s">
        <v>31</v>
      </c>
      <c r="R367" s="8" t="s">
        <v>32</v>
      </c>
      <c r="S367" s="8" t="b">
        <f>_xlfn.SINGLE(CleanedData[[#This Row],[Delivery Status]])="Late"</f>
        <v>1</v>
      </c>
      <c r="T367" s="10">
        <v>15</v>
      </c>
      <c r="U367" s="8" t="s">
        <v>112</v>
      </c>
      <c r="V367" s="10">
        <v>3046</v>
      </c>
      <c r="W367" s="10">
        <v>3</v>
      </c>
      <c r="X367" s="12">
        <v>6.2240663900413997E-3</v>
      </c>
      <c r="Y367" s="8" t="b">
        <f>CleanedData[[#This Row],[Ship Date]]&lt;CleanedData[[#This Row],[Order Date]]</f>
        <v>0</v>
      </c>
      <c r="Z367" s="10">
        <f>YEAR(CleanedData[[#This Row],[Order Date]])</f>
        <v>2023</v>
      </c>
      <c r="AA367" s="8">
        <f>MONTH(CleanedData[[#This Row],[Order Date]])</f>
        <v>6</v>
      </c>
    </row>
    <row r="368" spans="1:27" x14ac:dyDescent="0.35">
      <c r="A368" s="8" t="s">
        <v>1365</v>
      </c>
      <c r="B368" s="9">
        <v>45099</v>
      </c>
      <c r="C368" s="9">
        <v>45265</v>
      </c>
      <c r="D368" s="8" t="s">
        <v>1366</v>
      </c>
      <c r="E368" s="8" t="s">
        <v>48</v>
      </c>
      <c r="F368" s="8" t="s">
        <v>183</v>
      </c>
      <c r="G368" s="8" t="s">
        <v>93</v>
      </c>
      <c r="H368" s="8" t="s">
        <v>4972</v>
      </c>
      <c r="I368" s="8" t="s">
        <v>4977</v>
      </c>
      <c r="J368" s="10">
        <v>253</v>
      </c>
      <c r="K368" s="11">
        <v>810.1</v>
      </c>
      <c r="L368" s="11">
        <v>1124.78</v>
      </c>
      <c r="M368" s="11">
        <v>284569.34000000003</v>
      </c>
      <c r="N368" s="11">
        <v>204955.3</v>
      </c>
      <c r="O368" s="11">
        <f>CleanedData[[#This Row],[Total Sales ($)]]-CleanedData[[#This Row],[Total Cost ($)]]</f>
        <v>79614.040000000037</v>
      </c>
      <c r="P368" s="12">
        <f>CleanedData[[#This Row],[Profit ($)]]/CleanedData[[#This Row],[Total Sales ($)]]</f>
        <v>0.27977026618538747</v>
      </c>
      <c r="Q368" s="8" t="s">
        <v>52</v>
      </c>
      <c r="R368" s="8" t="s">
        <v>63</v>
      </c>
      <c r="S368" s="8" t="b">
        <f>_xlfn.SINGLE(CleanedData[[#This Row],[Delivery Status]])="Late"</f>
        <v>0</v>
      </c>
      <c r="T368" s="10">
        <v>1</v>
      </c>
      <c r="U368" s="8" t="s">
        <v>158</v>
      </c>
      <c r="V368" s="10">
        <v>4544</v>
      </c>
      <c r="W368" s="10">
        <v>2</v>
      </c>
      <c r="X368" s="12">
        <v>7.9051383399208995E-3</v>
      </c>
      <c r="Y368" s="8" t="b">
        <f>CleanedData[[#This Row],[Ship Date]]&lt;CleanedData[[#This Row],[Order Date]]</f>
        <v>0</v>
      </c>
      <c r="Z368" s="10">
        <f>YEAR(CleanedData[[#This Row],[Order Date]])</f>
        <v>2023</v>
      </c>
      <c r="AA368" s="8">
        <f>MONTH(CleanedData[[#This Row],[Order Date]])</f>
        <v>6</v>
      </c>
    </row>
    <row r="369" spans="1:27" x14ac:dyDescent="0.35">
      <c r="A369" s="8" t="s">
        <v>1367</v>
      </c>
      <c r="B369" s="9">
        <v>45527</v>
      </c>
      <c r="C369" s="9">
        <v>45421</v>
      </c>
      <c r="D369" s="8" t="s">
        <v>1369</v>
      </c>
      <c r="E369" s="8" t="s">
        <v>58</v>
      </c>
      <c r="F369" s="8" t="s">
        <v>116</v>
      </c>
      <c r="G369" s="8" t="s">
        <v>28</v>
      </c>
      <c r="H369" s="8" t="s">
        <v>254</v>
      </c>
      <c r="I369" s="8" t="s">
        <v>4978</v>
      </c>
      <c r="J369" s="10">
        <v>518</v>
      </c>
      <c r="K369" s="11">
        <v>1068.52</v>
      </c>
      <c r="L369" s="11">
        <v>1252.1600000000001</v>
      </c>
      <c r="M369" s="11">
        <v>648618.88</v>
      </c>
      <c r="N369" s="11">
        <v>553493.36</v>
      </c>
      <c r="O369" s="11">
        <f>CleanedData[[#This Row],[Total Sales ($)]]-CleanedData[[#This Row],[Total Cost ($)]]</f>
        <v>95125.520000000019</v>
      </c>
      <c r="P369" s="12">
        <f>CleanedData[[#This Row],[Profit ($)]]/CleanedData[[#This Row],[Total Sales ($)]]</f>
        <v>0.14665857398415541</v>
      </c>
      <c r="Q369" s="8" t="s">
        <v>52</v>
      </c>
      <c r="R369" s="8" t="s">
        <v>32</v>
      </c>
      <c r="S369" s="8" t="b">
        <f>_xlfn.SINGLE(CleanedData[[#This Row],[Delivery Status]])="Late"</f>
        <v>1</v>
      </c>
      <c r="T369" s="10">
        <v>14</v>
      </c>
      <c r="U369" s="8" t="s">
        <v>53</v>
      </c>
      <c r="V369" s="10">
        <v>1238</v>
      </c>
      <c r="W369" s="10">
        <v>9</v>
      </c>
      <c r="X369" s="12">
        <v>1.7374517374517302E-2</v>
      </c>
      <c r="Y369" s="8" t="b">
        <f>CleanedData[[#This Row],[Ship Date]]&lt;CleanedData[[#This Row],[Order Date]]</f>
        <v>1</v>
      </c>
      <c r="Z369" s="10">
        <f>YEAR(CleanedData[[#This Row],[Order Date]])</f>
        <v>2024</v>
      </c>
      <c r="AA369" s="8">
        <f>MONTH(CleanedData[[#This Row],[Order Date]])</f>
        <v>8</v>
      </c>
    </row>
    <row r="370" spans="1:27" x14ac:dyDescent="0.35">
      <c r="A370" s="8" t="s">
        <v>1370</v>
      </c>
      <c r="B370" s="9">
        <v>45043</v>
      </c>
      <c r="C370" s="9">
        <v>45144</v>
      </c>
      <c r="D370" s="8" t="s">
        <v>1371</v>
      </c>
      <c r="E370" s="8" t="s">
        <v>58</v>
      </c>
      <c r="F370" s="8" t="s">
        <v>259</v>
      </c>
      <c r="G370" s="8" t="s">
        <v>93</v>
      </c>
      <c r="H370" s="8" t="s">
        <v>643</v>
      </c>
      <c r="I370" s="8" t="s">
        <v>4973</v>
      </c>
      <c r="J370" s="10">
        <v>358</v>
      </c>
      <c r="K370" s="11">
        <v>748.51</v>
      </c>
      <c r="L370" s="11">
        <v>1177.81</v>
      </c>
      <c r="M370" s="11">
        <v>421655.98</v>
      </c>
      <c r="N370" s="11">
        <v>267966.58</v>
      </c>
      <c r="O370" s="11">
        <f>CleanedData[[#This Row],[Total Sales ($)]]-CleanedData[[#This Row],[Total Cost ($)]]</f>
        <v>153689.39999999997</v>
      </c>
      <c r="P370" s="12">
        <f>CleanedData[[#This Row],[Profit ($)]]/CleanedData[[#This Row],[Total Sales ($)]]</f>
        <v>0.36449002810300468</v>
      </c>
      <c r="Q370" s="8" t="s">
        <v>42</v>
      </c>
      <c r="R370" s="8" t="s">
        <v>32</v>
      </c>
      <c r="S370" s="8" t="b">
        <f>_xlfn.SINGLE(CleanedData[[#This Row],[Delivery Status]])="Late"</f>
        <v>1</v>
      </c>
      <c r="T370" s="10">
        <v>11</v>
      </c>
      <c r="U370" s="8" t="s">
        <v>158</v>
      </c>
      <c r="V370" s="10">
        <v>3323</v>
      </c>
      <c r="W370" s="10">
        <v>14</v>
      </c>
      <c r="X370" s="12">
        <v>3.91061452513966E-2</v>
      </c>
      <c r="Y370" s="8" t="b">
        <f>CleanedData[[#This Row],[Ship Date]]&lt;CleanedData[[#This Row],[Order Date]]</f>
        <v>0</v>
      </c>
      <c r="Z370" s="10">
        <f>YEAR(CleanedData[[#This Row],[Order Date]])</f>
        <v>2023</v>
      </c>
      <c r="AA370" s="8">
        <f>MONTH(CleanedData[[#This Row],[Order Date]])</f>
        <v>4</v>
      </c>
    </row>
    <row r="371" spans="1:27" x14ac:dyDescent="0.35">
      <c r="A371" s="8" t="s">
        <v>1372</v>
      </c>
      <c r="B371" s="9">
        <v>45008</v>
      </c>
      <c r="C371" s="9">
        <v>45217</v>
      </c>
      <c r="D371" s="8" t="s">
        <v>1373</v>
      </c>
      <c r="E371" s="8" t="s">
        <v>68</v>
      </c>
      <c r="F371" s="8" t="s">
        <v>163</v>
      </c>
      <c r="G371" s="8" t="s">
        <v>70</v>
      </c>
      <c r="H371" s="8" t="s">
        <v>822</v>
      </c>
      <c r="I371" s="8" t="s">
        <v>4967</v>
      </c>
      <c r="J371" s="10">
        <v>265</v>
      </c>
      <c r="K371" s="11">
        <v>350.77</v>
      </c>
      <c r="L371" s="11">
        <v>435.67</v>
      </c>
      <c r="M371" s="11">
        <v>115452.55</v>
      </c>
      <c r="N371" s="11">
        <v>92954.05</v>
      </c>
      <c r="O371" s="11">
        <f>CleanedData[[#This Row],[Total Sales ($)]]-CleanedData[[#This Row],[Total Cost ($)]]</f>
        <v>22498.5</v>
      </c>
      <c r="P371" s="12">
        <f>CleanedData[[#This Row],[Profit ($)]]/CleanedData[[#This Row],[Total Sales ($)]]</f>
        <v>0.19487226570569469</v>
      </c>
      <c r="Q371" s="8" t="s">
        <v>42</v>
      </c>
      <c r="R371" s="8" t="s">
        <v>32</v>
      </c>
      <c r="S371" s="8" t="b">
        <f>_xlfn.SINGLE(CleanedData[[#This Row],[Delivery Status]])="Late"</f>
        <v>1</v>
      </c>
      <c r="T371" s="10">
        <v>8</v>
      </c>
      <c r="U371" s="8" t="s">
        <v>43</v>
      </c>
      <c r="V371" s="10">
        <v>1413</v>
      </c>
      <c r="W371" s="10">
        <v>12</v>
      </c>
      <c r="X371" s="12">
        <v>4.5283018867924497E-2</v>
      </c>
      <c r="Y371" s="8" t="b">
        <f>CleanedData[[#This Row],[Ship Date]]&lt;CleanedData[[#This Row],[Order Date]]</f>
        <v>0</v>
      </c>
      <c r="Z371" s="10">
        <f>YEAR(CleanedData[[#This Row],[Order Date]])</f>
        <v>2023</v>
      </c>
      <c r="AA371" s="8">
        <f>MONTH(CleanedData[[#This Row],[Order Date]])</f>
        <v>3</v>
      </c>
    </row>
    <row r="372" spans="1:27" x14ac:dyDescent="0.35">
      <c r="A372" s="8" t="s">
        <v>1374</v>
      </c>
      <c r="B372" s="9">
        <v>44959</v>
      </c>
      <c r="C372" s="9">
        <v>45062</v>
      </c>
      <c r="D372" s="8" t="s">
        <v>1376</v>
      </c>
      <c r="E372" s="8" t="s">
        <v>58</v>
      </c>
      <c r="F372" s="8" t="s">
        <v>59</v>
      </c>
      <c r="G372" s="8" t="s">
        <v>189</v>
      </c>
      <c r="H372" s="8" t="s">
        <v>365</v>
      </c>
      <c r="I372" s="8" t="s">
        <v>4976</v>
      </c>
      <c r="J372" s="10">
        <v>217</v>
      </c>
      <c r="K372" s="11">
        <v>373.98</v>
      </c>
      <c r="L372" s="11">
        <v>523.84</v>
      </c>
      <c r="M372" s="11">
        <v>113673.28</v>
      </c>
      <c r="N372" s="11">
        <v>81153.66</v>
      </c>
      <c r="O372" s="11">
        <f>CleanedData[[#This Row],[Total Sales ($)]]-CleanedData[[#This Row],[Total Cost ($)]]</f>
        <v>32519.619999999995</v>
      </c>
      <c r="P372" s="12">
        <f>CleanedData[[#This Row],[Profit ($)]]/CleanedData[[#This Row],[Total Sales ($)]]</f>
        <v>0.28607971899816736</v>
      </c>
      <c r="Q372" s="8" t="s">
        <v>52</v>
      </c>
      <c r="R372" s="8" t="s">
        <v>32</v>
      </c>
      <c r="S372" s="8" t="b">
        <f>_xlfn.SINGLE(CleanedData[[#This Row],[Delivery Status]])="Late"</f>
        <v>1</v>
      </c>
      <c r="T372" s="10">
        <v>15</v>
      </c>
      <c r="U372" s="8" t="s">
        <v>158</v>
      </c>
      <c r="V372" s="10">
        <v>2317</v>
      </c>
      <c r="W372" s="10">
        <v>3</v>
      </c>
      <c r="X372" s="12">
        <v>1.3824884792626699E-2</v>
      </c>
      <c r="Y372" s="8" t="b">
        <f>CleanedData[[#This Row],[Ship Date]]&lt;CleanedData[[#This Row],[Order Date]]</f>
        <v>0</v>
      </c>
      <c r="Z372" s="10">
        <f>YEAR(CleanedData[[#This Row],[Order Date]])</f>
        <v>2023</v>
      </c>
      <c r="AA372" s="8">
        <f>MONTH(CleanedData[[#This Row],[Order Date]])</f>
        <v>2</v>
      </c>
    </row>
    <row r="373" spans="1:27" x14ac:dyDescent="0.35">
      <c r="A373" s="8" t="s">
        <v>1377</v>
      </c>
      <c r="B373" s="9">
        <v>45348</v>
      </c>
      <c r="C373" s="9">
        <v>45547</v>
      </c>
      <c r="D373" s="8" t="s">
        <v>121</v>
      </c>
      <c r="E373" s="8" t="s">
        <v>26</v>
      </c>
      <c r="F373" s="8" t="s">
        <v>38</v>
      </c>
      <c r="G373" s="8" t="s">
        <v>39</v>
      </c>
      <c r="H373" s="8" t="s">
        <v>647</v>
      </c>
      <c r="I373" s="8" t="s">
        <v>4978</v>
      </c>
      <c r="J373" s="10">
        <v>755</v>
      </c>
      <c r="K373" s="11">
        <v>7.55</v>
      </c>
      <c r="L373" s="11">
        <v>9.65</v>
      </c>
      <c r="M373" s="11">
        <v>7285.75</v>
      </c>
      <c r="N373" s="11">
        <v>5700.25</v>
      </c>
      <c r="O373" s="11">
        <f>CleanedData[[#This Row],[Total Sales ($)]]-CleanedData[[#This Row],[Total Cost ($)]]</f>
        <v>1585.5</v>
      </c>
      <c r="P373" s="12">
        <f>CleanedData[[#This Row],[Profit ($)]]/CleanedData[[#This Row],[Total Sales ($)]]</f>
        <v>0.21761658031088082</v>
      </c>
      <c r="Q373" s="8" t="s">
        <v>52</v>
      </c>
      <c r="R373" s="8" t="s">
        <v>32</v>
      </c>
      <c r="S373" s="8" t="b">
        <f>_xlfn.SINGLE(CleanedData[[#This Row],[Delivery Status]])="Late"</f>
        <v>1</v>
      </c>
      <c r="T373" s="10">
        <v>14</v>
      </c>
      <c r="U373" s="8" t="s">
        <v>158</v>
      </c>
      <c r="V373" s="10">
        <v>4191</v>
      </c>
      <c r="W373" s="10">
        <v>37</v>
      </c>
      <c r="X373" s="12">
        <v>4.90066225165562E-2</v>
      </c>
      <c r="Y373" s="8" t="b">
        <f>CleanedData[[#This Row],[Ship Date]]&lt;CleanedData[[#This Row],[Order Date]]</f>
        <v>0</v>
      </c>
      <c r="Z373" s="10">
        <f>YEAR(CleanedData[[#This Row],[Order Date]])</f>
        <v>2024</v>
      </c>
      <c r="AA373" s="8">
        <f>MONTH(CleanedData[[#This Row],[Order Date]])</f>
        <v>2</v>
      </c>
    </row>
    <row r="374" spans="1:27" x14ac:dyDescent="0.35">
      <c r="A374" s="8" t="s">
        <v>1379</v>
      </c>
      <c r="B374" s="9">
        <v>44995</v>
      </c>
      <c r="C374" s="9">
        <v>45079</v>
      </c>
      <c r="D374" s="8" t="s">
        <v>1381</v>
      </c>
      <c r="E374" s="8" t="s">
        <v>26</v>
      </c>
      <c r="F374" s="8" t="s">
        <v>27</v>
      </c>
      <c r="G374" s="8" t="s">
        <v>60</v>
      </c>
      <c r="H374" s="8" t="s">
        <v>834</v>
      </c>
      <c r="I374" s="8" t="s">
        <v>4971</v>
      </c>
      <c r="J374" s="10">
        <v>297</v>
      </c>
      <c r="K374" s="11">
        <v>289.44</v>
      </c>
      <c r="L374" s="11">
        <v>368.44</v>
      </c>
      <c r="M374" s="11">
        <v>109426.68</v>
      </c>
      <c r="N374" s="11">
        <v>85963.68</v>
      </c>
      <c r="O374" s="11">
        <f>CleanedData[[#This Row],[Total Sales ($)]]-CleanedData[[#This Row],[Total Cost ($)]]</f>
        <v>23463</v>
      </c>
      <c r="P374" s="12">
        <f>CleanedData[[#This Row],[Profit ($)]]/CleanedData[[#This Row],[Total Sales ($)]]</f>
        <v>0.21441754424058193</v>
      </c>
      <c r="Q374" s="8" t="s">
        <v>31</v>
      </c>
      <c r="R374" s="8" t="s">
        <v>63</v>
      </c>
      <c r="S374" s="8" t="b">
        <f>_xlfn.SINGLE(CleanedData[[#This Row],[Delivery Status]])="Late"</f>
        <v>0</v>
      </c>
      <c r="T374" s="10">
        <v>3</v>
      </c>
      <c r="U374" s="8" t="s">
        <v>53</v>
      </c>
      <c r="V374" s="10">
        <v>3910</v>
      </c>
      <c r="W374" s="10">
        <v>13</v>
      </c>
      <c r="X374" s="12">
        <v>4.3771043771043697E-2</v>
      </c>
      <c r="Y374" s="8" t="b">
        <f>CleanedData[[#This Row],[Ship Date]]&lt;CleanedData[[#This Row],[Order Date]]</f>
        <v>0</v>
      </c>
      <c r="Z374" s="10">
        <f>YEAR(CleanedData[[#This Row],[Order Date]])</f>
        <v>2023</v>
      </c>
      <c r="AA374" s="8">
        <f>MONTH(CleanedData[[#This Row],[Order Date]])</f>
        <v>3</v>
      </c>
    </row>
    <row r="375" spans="1:27" x14ac:dyDescent="0.35">
      <c r="A375" s="8" t="s">
        <v>1382</v>
      </c>
      <c r="B375" s="9">
        <v>45104</v>
      </c>
      <c r="C375" s="9">
        <v>44967</v>
      </c>
      <c r="D375" s="8" t="s">
        <v>1383</v>
      </c>
      <c r="E375" s="8" t="s">
        <v>68</v>
      </c>
      <c r="F375" s="8" t="s">
        <v>163</v>
      </c>
      <c r="G375" s="8" t="s">
        <v>28</v>
      </c>
      <c r="H375" s="8" t="s">
        <v>4972</v>
      </c>
      <c r="I375" s="8" t="s">
        <v>4973</v>
      </c>
      <c r="J375" s="10">
        <v>687</v>
      </c>
      <c r="K375" s="11">
        <v>98.92</v>
      </c>
      <c r="L375" s="11">
        <v>161.13</v>
      </c>
      <c r="M375" s="11">
        <v>110696.31</v>
      </c>
      <c r="N375" s="11">
        <v>67958.039999999994</v>
      </c>
      <c r="O375" s="11">
        <f>CleanedData[[#This Row],[Total Sales ($)]]-CleanedData[[#This Row],[Total Cost ($)]]</f>
        <v>42738.270000000004</v>
      </c>
      <c r="P375" s="12">
        <f>CleanedData[[#This Row],[Profit ($)]]/CleanedData[[#This Row],[Total Sales ($)]]</f>
        <v>0.38608576925463917</v>
      </c>
      <c r="Q375" s="8" t="s">
        <v>52</v>
      </c>
      <c r="R375" s="8" t="s">
        <v>63</v>
      </c>
      <c r="S375" s="8" t="b">
        <f>_xlfn.SINGLE(CleanedData[[#This Row],[Delivery Status]])="Late"</f>
        <v>0</v>
      </c>
      <c r="T375" s="10">
        <v>2</v>
      </c>
      <c r="U375" s="8" t="s">
        <v>112</v>
      </c>
      <c r="V375" s="10">
        <v>3122</v>
      </c>
      <c r="W375" s="10">
        <v>31</v>
      </c>
      <c r="X375" s="12">
        <v>4.5123726346433697E-2</v>
      </c>
      <c r="Y375" s="8" t="b">
        <f>CleanedData[[#This Row],[Ship Date]]&lt;CleanedData[[#This Row],[Order Date]]</f>
        <v>1</v>
      </c>
      <c r="Z375" s="10">
        <f>YEAR(CleanedData[[#This Row],[Order Date]])</f>
        <v>2023</v>
      </c>
      <c r="AA375" s="8">
        <f>MONTH(CleanedData[[#This Row],[Order Date]])</f>
        <v>6</v>
      </c>
    </row>
    <row r="376" spans="1:27" x14ac:dyDescent="0.35">
      <c r="A376" s="8" t="s">
        <v>1384</v>
      </c>
      <c r="B376" s="9">
        <v>45000</v>
      </c>
      <c r="C376" s="9">
        <v>45133</v>
      </c>
      <c r="D376" s="8" t="s">
        <v>1386</v>
      </c>
      <c r="E376" s="8" t="s">
        <v>26</v>
      </c>
      <c r="F376" s="8" t="s">
        <v>38</v>
      </c>
      <c r="G376" s="8" t="s">
        <v>217</v>
      </c>
      <c r="H376" s="8" t="s">
        <v>494</v>
      </c>
      <c r="I376" s="8" t="s">
        <v>4975</v>
      </c>
      <c r="J376" s="10">
        <v>50</v>
      </c>
      <c r="K376" s="11">
        <v>1013.17</v>
      </c>
      <c r="L376" s="11">
        <v>1478.72</v>
      </c>
      <c r="M376" s="11">
        <v>73936</v>
      </c>
      <c r="N376" s="11">
        <v>50658.5</v>
      </c>
      <c r="O376" s="11">
        <f>CleanedData[[#This Row],[Total Sales ($)]]-CleanedData[[#This Row],[Total Cost ($)]]</f>
        <v>23277.5</v>
      </c>
      <c r="P376" s="12">
        <f>CleanedData[[#This Row],[Profit ($)]]/CleanedData[[#This Row],[Total Sales ($)]]</f>
        <v>0.31483309889634276</v>
      </c>
      <c r="Q376" s="8" t="s">
        <v>31</v>
      </c>
      <c r="R376" s="8" t="s">
        <v>32</v>
      </c>
      <c r="S376" s="8" t="b">
        <f>_xlfn.SINGLE(CleanedData[[#This Row],[Delivery Status]])="Late"</f>
        <v>1</v>
      </c>
      <c r="T376" s="10">
        <v>8</v>
      </c>
      <c r="U376" s="8" t="s">
        <v>112</v>
      </c>
      <c r="V376" s="10">
        <v>2832</v>
      </c>
      <c r="W376" s="10">
        <v>2</v>
      </c>
      <c r="X376" s="12">
        <v>0.04</v>
      </c>
      <c r="Y376" s="8" t="b">
        <f>CleanedData[[#This Row],[Ship Date]]&lt;CleanedData[[#This Row],[Order Date]]</f>
        <v>0</v>
      </c>
      <c r="Z376" s="10">
        <f>YEAR(CleanedData[[#This Row],[Order Date]])</f>
        <v>2023</v>
      </c>
      <c r="AA376" s="8">
        <f>MONTH(CleanedData[[#This Row],[Order Date]])</f>
        <v>3</v>
      </c>
    </row>
    <row r="377" spans="1:27" x14ac:dyDescent="0.35">
      <c r="A377" s="8" t="s">
        <v>1387</v>
      </c>
      <c r="B377" s="9">
        <v>45200</v>
      </c>
      <c r="C377" s="9">
        <v>45343</v>
      </c>
      <c r="D377" s="8" t="s">
        <v>1389</v>
      </c>
      <c r="E377" s="8" t="s">
        <v>48</v>
      </c>
      <c r="F377" s="8" t="s">
        <v>281</v>
      </c>
      <c r="G377" s="8" t="s">
        <v>50</v>
      </c>
      <c r="H377" s="8" t="s">
        <v>117</v>
      </c>
      <c r="I377" s="8" t="s">
        <v>4976</v>
      </c>
      <c r="J377" s="10">
        <v>163</v>
      </c>
      <c r="K377" s="11">
        <v>745.14</v>
      </c>
      <c r="L377" s="11">
        <v>1085.4100000000001</v>
      </c>
      <c r="M377" s="11">
        <v>176921.83</v>
      </c>
      <c r="N377" s="11">
        <v>121457.82</v>
      </c>
      <c r="O377" s="11">
        <f>CleanedData[[#This Row],[Total Sales ($)]]-CleanedData[[#This Row],[Total Cost ($)]]</f>
        <v>55464.00999999998</v>
      </c>
      <c r="P377" s="12">
        <f>CleanedData[[#This Row],[Profit ($)]]/CleanedData[[#This Row],[Total Sales ($)]]</f>
        <v>0.31349443988907411</v>
      </c>
      <c r="Q377" s="8" t="s">
        <v>52</v>
      </c>
      <c r="R377" s="8" t="s">
        <v>32</v>
      </c>
      <c r="S377" s="8" t="b">
        <f>_xlfn.SINGLE(CleanedData[[#This Row],[Delivery Status]])="Late"</f>
        <v>1</v>
      </c>
      <c r="T377" s="10">
        <v>10</v>
      </c>
      <c r="U377" s="8" t="s">
        <v>112</v>
      </c>
      <c r="V377" s="10">
        <v>4623</v>
      </c>
      <c r="W377" s="10">
        <v>8</v>
      </c>
      <c r="X377" s="12">
        <v>4.9079754601226898E-2</v>
      </c>
      <c r="Y377" s="8" t="b">
        <f>CleanedData[[#This Row],[Ship Date]]&lt;CleanedData[[#This Row],[Order Date]]</f>
        <v>0</v>
      </c>
      <c r="Z377" s="10">
        <f>YEAR(CleanedData[[#This Row],[Order Date]])</f>
        <v>2023</v>
      </c>
      <c r="AA377" s="8">
        <f>MONTH(CleanedData[[#This Row],[Order Date]])</f>
        <v>10</v>
      </c>
    </row>
    <row r="378" spans="1:27" x14ac:dyDescent="0.35">
      <c r="A378" s="8" t="s">
        <v>1390</v>
      </c>
      <c r="B378" s="9">
        <v>44945</v>
      </c>
      <c r="C378" s="9">
        <v>45244</v>
      </c>
      <c r="D378" s="8" t="s">
        <v>1391</v>
      </c>
      <c r="E378" s="8" t="s">
        <v>68</v>
      </c>
      <c r="F378" s="8" t="s">
        <v>146</v>
      </c>
      <c r="G378" s="8" t="s">
        <v>50</v>
      </c>
      <c r="H378" s="8" t="s">
        <v>107</v>
      </c>
      <c r="I378" s="8" t="s">
        <v>4977</v>
      </c>
      <c r="J378" s="10">
        <v>741</v>
      </c>
      <c r="K378" s="11">
        <v>728.6</v>
      </c>
      <c r="L378" s="11">
        <v>1082.76</v>
      </c>
      <c r="M378" s="11">
        <v>802325.16</v>
      </c>
      <c r="N378" s="11">
        <v>539892.6</v>
      </c>
      <c r="O378" s="11">
        <f>CleanedData[[#This Row],[Total Sales ($)]]-CleanedData[[#This Row],[Total Cost ($)]]</f>
        <v>262432.56000000006</v>
      </c>
      <c r="P378" s="12">
        <f>CleanedData[[#This Row],[Profit ($)]]/CleanedData[[#This Row],[Total Sales ($)]]</f>
        <v>0.32709002918467628</v>
      </c>
      <c r="Q378" s="8" t="s">
        <v>52</v>
      </c>
      <c r="R378" s="8" t="s">
        <v>32</v>
      </c>
      <c r="S378" s="8" t="b">
        <f>_xlfn.SINGLE(CleanedData[[#This Row],[Delivery Status]])="Late"</f>
        <v>1</v>
      </c>
      <c r="T378" s="10">
        <v>10</v>
      </c>
      <c r="U378" s="8" t="s">
        <v>112</v>
      </c>
      <c r="V378" s="10">
        <v>2648</v>
      </c>
      <c r="W378" s="10">
        <v>24</v>
      </c>
      <c r="X378" s="12">
        <v>3.2388663967611302E-2</v>
      </c>
      <c r="Y378" s="8" t="b">
        <f>CleanedData[[#This Row],[Ship Date]]&lt;CleanedData[[#This Row],[Order Date]]</f>
        <v>0</v>
      </c>
      <c r="Z378" s="10">
        <f>YEAR(CleanedData[[#This Row],[Order Date]])</f>
        <v>2023</v>
      </c>
      <c r="AA378" s="8">
        <f>MONTH(CleanedData[[#This Row],[Order Date]])</f>
        <v>1</v>
      </c>
    </row>
    <row r="379" spans="1:27" x14ac:dyDescent="0.35">
      <c r="A379" s="8" t="s">
        <v>1392</v>
      </c>
      <c r="B379" s="9">
        <v>45428</v>
      </c>
      <c r="C379" s="9">
        <v>44941</v>
      </c>
      <c r="D379" s="8" t="s">
        <v>1394</v>
      </c>
      <c r="E379" s="8" t="s">
        <v>48</v>
      </c>
      <c r="F379" s="8" t="s">
        <v>223</v>
      </c>
      <c r="G379" s="8" t="s">
        <v>70</v>
      </c>
      <c r="H379" s="8" t="s">
        <v>446</v>
      </c>
      <c r="I379" s="8" t="s">
        <v>4970</v>
      </c>
      <c r="J379" s="10">
        <v>76</v>
      </c>
      <c r="K379" s="11">
        <v>667.84</v>
      </c>
      <c r="L379" s="11">
        <v>852.73</v>
      </c>
      <c r="M379" s="11">
        <v>64807.48</v>
      </c>
      <c r="N379" s="11">
        <v>50755.839999999997</v>
      </c>
      <c r="O379" s="11">
        <f>CleanedData[[#This Row],[Total Sales ($)]]-CleanedData[[#This Row],[Total Cost ($)]]</f>
        <v>14051.640000000007</v>
      </c>
      <c r="P379" s="12">
        <f>CleanedData[[#This Row],[Profit ($)]]/CleanedData[[#This Row],[Total Sales ($)]]</f>
        <v>0.21682126816225544</v>
      </c>
      <c r="Q379" s="8" t="s">
        <v>42</v>
      </c>
      <c r="R379" s="8" t="s">
        <v>32</v>
      </c>
      <c r="S379" s="8" t="b">
        <f>_xlfn.SINGLE(CleanedData[[#This Row],[Delivery Status]])="Late"</f>
        <v>1</v>
      </c>
      <c r="T379" s="10">
        <v>9</v>
      </c>
      <c r="U379" s="8" t="s">
        <v>53</v>
      </c>
      <c r="V379" s="10">
        <v>956</v>
      </c>
      <c r="W379" s="10">
        <v>2</v>
      </c>
      <c r="X379" s="12">
        <v>2.6315789473684199E-2</v>
      </c>
      <c r="Y379" s="8" t="b">
        <f>CleanedData[[#This Row],[Ship Date]]&lt;CleanedData[[#This Row],[Order Date]]</f>
        <v>1</v>
      </c>
      <c r="Z379" s="10">
        <f>YEAR(CleanedData[[#This Row],[Order Date]])</f>
        <v>2024</v>
      </c>
      <c r="AA379" s="8">
        <f>MONTH(CleanedData[[#This Row],[Order Date]])</f>
        <v>5</v>
      </c>
    </row>
    <row r="380" spans="1:27" x14ac:dyDescent="0.35">
      <c r="A380" s="8" t="s">
        <v>1395</v>
      </c>
      <c r="B380" s="9">
        <v>44972</v>
      </c>
      <c r="C380" s="9">
        <v>45274</v>
      </c>
      <c r="D380" s="8" t="s">
        <v>1396</v>
      </c>
      <c r="E380" s="8" t="s">
        <v>100</v>
      </c>
      <c r="F380" s="8" t="s">
        <v>238</v>
      </c>
      <c r="G380" s="8" t="s">
        <v>50</v>
      </c>
      <c r="H380" s="8" t="s">
        <v>51</v>
      </c>
      <c r="I380" s="8" t="s">
        <v>4979</v>
      </c>
      <c r="J380" s="10">
        <v>780</v>
      </c>
      <c r="K380" s="11">
        <v>817.7</v>
      </c>
      <c r="L380" s="11">
        <v>966.93</v>
      </c>
      <c r="M380" s="11">
        <v>754205.4</v>
      </c>
      <c r="N380" s="11">
        <v>637806</v>
      </c>
      <c r="O380" s="11">
        <f>CleanedData[[#This Row],[Total Sales ($)]]-CleanedData[[#This Row],[Total Cost ($)]]</f>
        <v>116399.40000000002</v>
      </c>
      <c r="P380" s="12">
        <f>CleanedData[[#This Row],[Profit ($)]]/CleanedData[[#This Row],[Total Sales ($)]]</f>
        <v>0.15433381940781651</v>
      </c>
      <c r="Q380" s="8" t="s">
        <v>52</v>
      </c>
      <c r="R380" s="8" t="s">
        <v>63</v>
      </c>
      <c r="S380" s="8" t="b">
        <f>_xlfn.SINGLE(CleanedData[[#This Row],[Delivery Status]])="Late"</f>
        <v>0</v>
      </c>
      <c r="T380" s="10">
        <v>1</v>
      </c>
      <c r="U380" s="8" t="s">
        <v>53</v>
      </c>
      <c r="V380" s="10">
        <v>3329</v>
      </c>
      <c r="W380" s="10">
        <v>8</v>
      </c>
      <c r="X380" s="12">
        <v>1.0256410256410199E-2</v>
      </c>
      <c r="Y380" s="8" t="b">
        <f>CleanedData[[#This Row],[Ship Date]]&lt;CleanedData[[#This Row],[Order Date]]</f>
        <v>0</v>
      </c>
      <c r="Z380" s="10">
        <f>YEAR(CleanedData[[#This Row],[Order Date]])</f>
        <v>2023</v>
      </c>
      <c r="AA380" s="8">
        <f>MONTH(CleanedData[[#This Row],[Order Date]])</f>
        <v>2</v>
      </c>
    </row>
    <row r="381" spans="1:27" x14ac:dyDescent="0.35">
      <c r="A381" s="8" t="s">
        <v>1397</v>
      </c>
      <c r="B381" s="9">
        <v>45303</v>
      </c>
      <c r="C381" s="9">
        <v>45359</v>
      </c>
      <c r="D381" s="8" t="s">
        <v>1400</v>
      </c>
      <c r="E381" s="8" t="s">
        <v>68</v>
      </c>
      <c r="F381" s="8" t="s">
        <v>69</v>
      </c>
      <c r="G381" s="8" t="s">
        <v>70</v>
      </c>
      <c r="H381" s="8" t="s">
        <v>1019</v>
      </c>
      <c r="I381" s="8" t="s">
        <v>4971</v>
      </c>
      <c r="J381" s="10">
        <v>40</v>
      </c>
      <c r="K381" s="11">
        <v>1008.78</v>
      </c>
      <c r="L381" s="11">
        <v>1577.89</v>
      </c>
      <c r="M381" s="11">
        <v>63115.6</v>
      </c>
      <c r="N381" s="11">
        <v>40351.199999999997</v>
      </c>
      <c r="O381" s="11">
        <f>CleanedData[[#This Row],[Total Sales ($)]]-CleanedData[[#This Row],[Total Cost ($)]]</f>
        <v>22764.400000000001</v>
      </c>
      <c r="P381" s="12">
        <f>CleanedData[[#This Row],[Profit ($)]]/CleanedData[[#This Row],[Total Sales ($)]]</f>
        <v>0.36067786727845419</v>
      </c>
      <c r="Q381" s="8" t="s">
        <v>42</v>
      </c>
      <c r="R381" s="8" t="s">
        <v>63</v>
      </c>
      <c r="S381" s="8" t="b">
        <f>_xlfn.SINGLE(CleanedData[[#This Row],[Delivery Status]])="Late"</f>
        <v>0</v>
      </c>
      <c r="T381" s="10">
        <v>2</v>
      </c>
      <c r="U381" s="8" t="s">
        <v>43</v>
      </c>
      <c r="V381" s="10">
        <v>2793</v>
      </c>
      <c r="W381" s="10">
        <v>2</v>
      </c>
      <c r="X381" s="12">
        <v>0.05</v>
      </c>
      <c r="Y381" s="8" t="b">
        <f>CleanedData[[#This Row],[Ship Date]]&lt;CleanedData[[#This Row],[Order Date]]</f>
        <v>0</v>
      </c>
      <c r="Z381" s="10">
        <f>YEAR(CleanedData[[#This Row],[Order Date]])</f>
        <v>2024</v>
      </c>
      <c r="AA381" s="8">
        <f>MONTH(CleanedData[[#This Row],[Order Date]])</f>
        <v>1</v>
      </c>
    </row>
    <row r="382" spans="1:27" x14ac:dyDescent="0.35">
      <c r="A382" s="8" t="s">
        <v>1401</v>
      </c>
      <c r="B382" s="9">
        <v>45278</v>
      </c>
      <c r="C382" s="9">
        <v>45283</v>
      </c>
      <c r="D382" s="8" t="s">
        <v>1402</v>
      </c>
      <c r="E382" s="8" t="s">
        <v>100</v>
      </c>
      <c r="F382" s="8" t="s">
        <v>1403</v>
      </c>
      <c r="G382" s="8" t="s">
        <v>189</v>
      </c>
      <c r="H382" s="8" t="s">
        <v>437</v>
      </c>
      <c r="I382" s="8" t="s">
        <v>4975</v>
      </c>
      <c r="J382" s="10">
        <v>105</v>
      </c>
      <c r="K382" s="11">
        <v>78.47</v>
      </c>
      <c r="L382" s="11">
        <v>122.48</v>
      </c>
      <c r="M382" s="11">
        <v>12860.4</v>
      </c>
      <c r="N382" s="11">
        <v>8239.35</v>
      </c>
      <c r="O382" s="11">
        <f>CleanedData[[#This Row],[Total Sales ($)]]-CleanedData[[#This Row],[Total Cost ($)]]</f>
        <v>4621.0499999999993</v>
      </c>
      <c r="P382" s="12">
        <f>CleanedData[[#This Row],[Profit ($)]]/CleanedData[[#This Row],[Total Sales ($)]]</f>
        <v>0.35932397126061394</v>
      </c>
      <c r="Q382" s="8" t="s">
        <v>42</v>
      </c>
      <c r="R382" s="8" t="s">
        <v>32</v>
      </c>
      <c r="S382" s="8" t="b">
        <f>_xlfn.SINGLE(CleanedData[[#This Row],[Delivery Status]])="Late"</f>
        <v>1</v>
      </c>
      <c r="T382" s="10">
        <v>14</v>
      </c>
      <c r="U382" s="8" t="s">
        <v>86</v>
      </c>
      <c r="V382" s="10">
        <v>2734</v>
      </c>
      <c r="W382" s="10">
        <v>4</v>
      </c>
      <c r="X382" s="12">
        <v>3.8095238095238099E-2</v>
      </c>
      <c r="Y382" s="8" t="b">
        <f>CleanedData[[#This Row],[Ship Date]]&lt;CleanedData[[#This Row],[Order Date]]</f>
        <v>0</v>
      </c>
      <c r="Z382" s="10">
        <f>YEAR(CleanedData[[#This Row],[Order Date]])</f>
        <v>2023</v>
      </c>
      <c r="AA382" s="8">
        <f>MONTH(CleanedData[[#This Row],[Order Date]])</f>
        <v>12</v>
      </c>
    </row>
    <row r="383" spans="1:27" x14ac:dyDescent="0.35">
      <c r="A383" s="8" t="s">
        <v>1404</v>
      </c>
      <c r="B383" s="9">
        <v>45194</v>
      </c>
      <c r="C383" s="9">
        <v>44932</v>
      </c>
      <c r="D383" s="8" t="s">
        <v>1405</v>
      </c>
      <c r="E383" s="8" t="s">
        <v>26</v>
      </c>
      <c r="F383" s="8" t="s">
        <v>27</v>
      </c>
      <c r="G383" s="8" t="s">
        <v>28</v>
      </c>
      <c r="H383" s="8" t="s">
        <v>29</v>
      </c>
      <c r="I383" s="8" t="s">
        <v>4970</v>
      </c>
      <c r="J383" s="10">
        <v>727</v>
      </c>
      <c r="K383" s="11">
        <v>1171.0899999999999</v>
      </c>
      <c r="L383" s="11">
        <v>1906.34</v>
      </c>
      <c r="M383" s="11">
        <v>1385909.18</v>
      </c>
      <c r="N383" s="11">
        <v>851382.43</v>
      </c>
      <c r="O383" s="11">
        <f>CleanedData[[#This Row],[Total Sales ($)]]-CleanedData[[#This Row],[Total Cost ($)]]</f>
        <v>534526.74999999988</v>
      </c>
      <c r="P383" s="12">
        <f>CleanedData[[#This Row],[Profit ($)]]/CleanedData[[#This Row],[Total Sales ($)]]</f>
        <v>0.38568670856195636</v>
      </c>
      <c r="Q383" s="8" t="s">
        <v>31</v>
      </c>
      <c r="R383" s="8" t="s">
        <v>63</v>
      </c>
      <c r="S383" s="8" t="b">
        <f>_xlfn.SINGLE(CleanedData[[#This Row],[Delivery Status]])="Late"</f>
        <v>0</v>
      </c>
      <c r="T383" s="10">
        <v>1</v>
      </c>
      <c r="U383" s="8" t="s">
        <v>33</v>
      </c>
      <c r="V383" s="10">
        <v>1799</v>
      </c>
      <c r="W383" s="10">
        <v>13</v>
      </c>
      <c r="X383" s="12">
        <v>1.78817056396148E-2</v>
      </c>
      <c r="Y383" s="8" t="b">
        <f>CleanedData[[#This Row],[Ship Date]]&lt;CleanedData[[#This Row],[Order Date]]</f>
        <v>1</v>
      </c>
      <c r="Z383" s="10">
        <f>YEAR(CleanedData[[#This Row],[Order Date]])</f>
        <v>2023</v>
      </c>
      <c r="AA383" s="8">
        <f>MONTH(CleanedData[[#This Row],[Order Date]])</f>
        <v>9</v>
      </c>
    </row>
    <row r="384" spans="1:27" x14ac:dyDescent="0.35">
      <c r="A384" s="8" t="s">
        <v>1406</v>
      </c>
      <c r="B384" s="9">
        <v>45037</v>
      </c>
      <c r="C384" s="9">
        <v>45204</v>
      </c>
      <c r="D384" s="8" t="s">
        <v>1407</v>
      </c>
      <c r="E384" s="8" t="s">
        <v>26</v>
      </c>
      <c r="F384" s="8" t="s">
        <v>92</v>
      </c>
      <c r="G384" s="8" t="s">
        <v>129</v>
      </c>
      <c r="H384" s="8" t="s">
        <v>345</v>
      </c>
      <c r="I384" s="8" t="s">
        <v>4968</v>
      </c>
      <c r="J384" s="10">
        <v>341</v>
      </c>
      <c r="K384" s="11">
        <v>1019.99</v>
      </c>
      <c r="L384" s="11">
        <v>1281.48</v>
      </c>
      <c r="M384" s="11">
        <v>436984.68</v>
      </c>
      <c r="N384" s="11">
        <v>347816.59</v>
      </c>
      <c r="O384" s="11">
        <f>CleanedData[[#This Row],[Total Sales ($)]]-CleanedData[[#This Row],[Total Cost ($)]]</f>
        <v>89168.089999999967</v>
      </c>
      <c r="P384" s="12">
        <f>CleanedData[[#This Row],[Profit ($)]]/CleanedData[[#This Row],[Total Sales ($)]]</f>
        <v>0.20405312607297804</v>
      </c>
      <c r="Q384" s="8" t="s">
        <v>95</v>
      </c>
      <c r="R384" s="8" t="s">
        <v>32</v>
      </c>
      <c r="S384" s="8" t="b">
        <f>_xlfn.SINGLE(CleanedData[[#This Row],[Delivery Status]])="Late"</f>
        <v>1</v>
      </c>
      <c r="T384" s="10">
        <v>14</v>
      </c>
      <c r="U384" s="8" t="s">
        <v>158</v>
      </c>
      <c r="V384" s="10">
        <v>2774</v>
      </c>
      <c r="W384" s="10">
        <v>9</v>
      </c>
      <c r="X384" s="12">
        <v>2.63929618768328E-2</v>
      </c>
      <c r="Y384" s="8" t="b">
        <f>CleanedData[[#This Row],[Ship Date]]&lt;CleanedData[[#This Row],[Order Date]]</f>
        <v>0</v>
      </c>
      <c r="Z384" s="10">
        <f>YEAR(CleanedData[[#This Row],[Order Date]])</f>
        <v>2023</v>
      </c>
      <c r="AA384" s="8">
        <f>MONTH(CleanedData[[#This Row],[Order Date]])</f>
        <v>4</v>
      </c>
    </row>
    <row r="385" spans="1:27" x14ac:dyDescent="0.35">
      <c r="A385" s="8" t="s">
        <v>1408</v>
      </c>
      <c r="B385" s="9">
        <v>45044</v>
      </c>
      <c r="C385" s="9">
        <v>45163</v>
      </c>
      <c r="D385" s="8" t="s">
        <v>1410</v>
      </c>
      <c r="E385" s="8" t="s">
        <v>68</v>
      </c>
      <c r="F385" s="8" t="s">
        <v>69</v>
      </c>
      <c r="G385" s="8" t="s">
        <v>217</v>
      </c>
      <c r="H385" s="8" t="s">
        <v>494</v>
      </c>
      <c r="I385" s="8" t="s">
        <v>4968</v>
      </c>
      <c r="J385" s="10">
        <v>779</v>
      </c>
      <c r="K385" s="11">
        <v>159.75</v>
      </c>
      <c r="L385" s="11">
        <v>250.36</v>
      </c>
      <c r="M385" s="11">
        <v>195030.44</v>
      </c>
      <c r="N385" s="11">
        <v>124445.25</v>
      </c>
      <c r="O385" s="11">
        <f>CleanedData[[#This Row],[Total Sales ($)]]-CleanedData[[#This Row],[Total Cost ($)]]</f>
        <v>70585.19</v>
      </c>
      <c r="P385" s="12">
        <f>CleanedData[[#This Row],[Profit ($)]]/CleanedData[[#This Row],[Total Sales ($)]]</f>
        <v>0.36191883687490017</v>
      </c>
      <c r="Q385" s="8" t="s">
        <v>52</v>
      </c>
      <c r="R385" s="8" t="s">
        <v>32</v>
      </c>
      <c r="S385" s="8" t="b">
        <f>_xlfn.SINGLE(CleanedData[[#This Row],[Delivery Status]])="Late"</f>
        <v>1</v>
      </c>
      <c r="T385" s="10">
        <v>11</v>
      </c>
      <c r="U385" s="8" t="s">
        <v>158</v>
      </c>
      <c r="V385" s="10">
        <v>722</v>
      </c>
      <c r="W385" s="10">
        <v>1</v>
      </c>
      <c r="X385" s="12">
        <v>1.2836970474967E-3</v>
      </c>
      <c r="Y385" s="8" t="b">
        <f>CleanedData[[#This Row],[Ship Date]]&lt;CleanedData[[#This Row],[Order Date]]</f>
        <v>0</v>
      </c>
      <c r="Z385" s="10">
        <f>YEAR(CleanedData[[#This Row],[Order Date]])</f>
        <v>2023</v>
      </c>
      <c r="AA385" s="8">
        <f>MONTH(CleanedData[[#This Row],[Order Date]])</f>
        <v>4</v>
      </c>
    </row>
    <row r="386" spans="1:27" x14ac:dyDescent="0.35">
      <c r="A386" s="8" t="s">
        <v>1411</v>
      </c>
      <c r="B386" s="9">
        <v>45174</v>
      </c>
      <c r="C386" s="9">
        <v>44945</v>
      </c>
      <c r="D386" s="8" t="s">
        <v>1412</v>
      </c>
      <c r="E386" s="8" t="s">
        <v>4972</v>
      </c>
      <c r="F386" s="8" t="s">
        <v>49</v>
      </c>
      <c r="G386" s="8" t="s">
        <v>189</v>
      </c>
      <c r="H386" s="8" t="s">
        <v>437</v>
      </c>
      <c r="I386" s="8" t="s">
        <v>4977</v>
      </c>
      <c r="J386" s="10">
        <v>705</v>
      </c>
      <c r="K386" s="11">
        <v>864.27</v>
      </c>
      <c r="L386" s="11">
        <v>1075.6099999999999</v>
      </c>
      <c r="M386" s="11">
        <v>758305.05</v>
      </c>
      <c r="N386" s="11">
        <v>609310.35</v>
      </c>
      <c r="O386" s="11">
        <f>CleanedData[[#This Row],[Total Sales ($)]]-CleanedData[[#This Row],[Total Cost ($)]]</f>
        <v>148994.70000000007</v>
      </c>
      <c r="P386" s="12">
        <f>CleanedData[[#This Row],[Profit ($)]]/CleanedData[[#This Row],[Total Sales ($)]]</f>
        <v>0.19648385567259516</v>
      </c>
      <c r="Q386" s="8" t="s">
        <v>52</v>
      </c>
      <c r="R386" s="8" t="s">
        <v>32</v>
      </c>
      <c r="S386" s="8" t="b">
        <f>_xlfn.SINGLE(CleanedData[[#This Row],[Delivery Status]])="Late"</f>
        <v>1</v>
      </c>
      <c r="T386" s="10">
        <v>10</v>
      </c>
      <c r="U386" s="8" t="s">
        <v>158</v>
      </c>
      <c r="V386" s="10">
        <v>2597</v>
      </c>
      <c r="W386" s="10">
        <v>2</v>
      </c>
      <c r="X386" s="12">
        <v>2.8368794326240998E-3</v>
      </c>
      <c r="Y386" s="8" t="b">
        <f>CleanedData[[#This Row],[Ship Date]]&lt;CleanedData[[#This Row],[Order Date]]</f>
        <v>1</v>
      </c>
      <c r="Z386" s="10">
        <f>YEAR(CleanedData[[#This Row],[Order Date]])</f>
        <v>2023</v>
      </c>
      <c r="AA386" s="8">
        <f>MONTH(CleanedData[[#This Row],[Order Date]])</f>
        <v>9</v>
      </c>
    </row>
    <row r="387" spans="1:27" x14ac:dyDescent="0.35">
      <c r="A387" s="8" t="s">
        <v>1413</v>
      </c>
      <c r="B387" s="9">
        <v>45187</v>
      </c>
      <c r="C387" s="9">
        <v>45231</v>
      </c>
      <c r="D387" s="8" t="s">
        <v>1414</v>
      </c>
      <c r="E387" s="8" t="s">
        <v>48</v>
      </c>
      <c r="F387" s="8" t="s">
        <v>270</v>
      </c>
      <c r="G387" s="8" t="s">
        <v>93</v>
      </c>
      <c r="H387" s="8" t="s">
        <v>94</v>
      </c>
      <c r="I387" s="8" t="s">
        <v>4978</v>
      </c>
      <c r="J387" s="10">
        <v>460</v>
      </c>
      <c r="K387" s="11">
        <v>415.62</v>
      </c>
      <c r="L387" s="11">
        <v>571.84</v>
      </c>
      <c r="M387" s="11">
        <v>263046.40000000002</v>
      </c>
      <c r="N387" s="11">
        <v>191185.2</v>
      </c>
      <c r="O387" s="11">
        <f>CleanedData[[#This Row],[Total Sales ($)]]-CleanedData[[#This Row],[Total Cost ($)]]</f>
        <v>71861.200000000012</v>
      </c>
      <c r="P387" s="12">
        <f>CleanedData[[#This Row],[Profit ($)]]/CleanedData[[#This Row],[Total Sales ($)]]</f>
        <v>0.27318830442081704</v>
      </c>
      <c r="Q387" s="8" t="s">
        <v>95</v>
      </c>
      <c r="R387" s="8" t="s">
        <v>63</v>
      </c>
      <c r="S387" s="8" t="b">
        <f>_xlfn.SINGLE(CleanedData[[#This Row],[Delivery Status]])="Late"</f>
        <v>0</v>
      </c>
      <c r="T387" s="10">
        <v>3</v>
      </c>
      <c r="U387" s="8" t="s">
        <v>43</v>
      </c>
      <c r="V387" s="10">
        <v>1731</v>
      </c>
      <c r="W387" s="10">
        <v>9</v>
      </c>
      <c r="X387" s="12">
        <v>1.9565217391304301E-2</v>
      </c>
      <c r="Y387" s="8" t="b">
        <f>CleanedData[[#This Row],[Ship Date]]&lt;CleanedData[[#This Row],[Order Date]]</f>
        <v>0</v>
      </c>
      <c r="Z387" s="10">
        <f>YEAR(CleanedData[[#This Row],[Order Date]])</f>
        <v>2023</v>
      </c>
      <c r="AA387" s="8">
        <f>MONTH(CleanedData[[#This Row],[Order Date]])</f>
        <v>9</v>
      </c>
    </row>
    <row r="388" spans="1:27" x14ac:dyDescent="0.35">
      <c r="A388" s="8" t="s">
        <v>1415</v>
      </c>
      <c r="B388" s="9">
        <v>45017</v>
      </c>
      <c r="C388" s="9">
        <v>45120</v>
      </c>
      <c r="D388" s="8" t="s">
        <v>1416</v>
      </c>
      <c r="E388" s="8" t="s">
        <v>48</v>
      </c>
      <c r="F388" s="8" t="s">
        <v>270</v>
      </c>
      <c r="G388" s="8" t="s">
        <v>217</v>
      </c>
      <c r="H388" s="8" t="s">
        <v>725</v>
      </c>
      <c r="I388" s="8" t="s">
        <v>4975</v>
      </c>
      <c r="J388" s="10">
        <v>154</v>
      </c>
      <c r="K388" s="11">
        <v>1019.47</v>
      </c>
      <c r="L388" s="11">
        <v>1629.48</v>
      </c>
      <c r="M388" s="11">
        <v>250939.92</v>
      </c>
      <c r="N388" s="11">
        <v>156998.38</v>
      </c>
      <c r="O388" s="11">
        <f>CleanedData[[#This Row],[Total Sales ($)]]-CleanedData[[#This Row],[Total Cost ($)]]</f>
        <v>93941.540000000008</v>
      </c>
      <c r="P388" s="12">
        <f>CleanedData[[#This Row],[Profit ($)]]/CleanedData[[#This Row],[Total Sales ($)]]</f>
        <v>0.37435869111618431</v>
      </c>
      <c r="Q388" s="8" t="s">
        <v>42</v>
      </c>
      <c r="R388" s="8" t="s">
        <v>63</v>
      </c>
      <c r="S388" s="8" t="b">
        <f>_xlfn.SINGLE(CleanedData[[#This Row],[Delivery Status]])="Late"</f>
        <v>0</v>
      </c>
      <c r="T388" s="10">
        <v>4</v>
      </c>
      <c r="U388" s="8" t="s">
        <v>112</v>
      </c>
      <c r="V388" s="10">
        <v>1769</v>
      </c>
      <c r="W388" s="10">
        <v>0</v>
      </c>
      <c r="X388" s="12">
        <v>0</v>
      </c>
      <c r="Y388" s="8" t="b">
        <f>CleanedData[[#This Row],[Ship Date]]&lt;CleanedData[[#This Row],[Order Date]]</f>
        <v>0</v>
      </c>
      <c r="Z388" s="10">
        <f>YEAR(CleanedData[[#This Row],[Order Date]])</f>
        <v>2023</v>
      </c>
      <c r="AA388" s="8">
        <f>MONTH(CleanedData[[#This Row],[Order Date]])</f>
        <v>4</v>
      </c>
    </row>
    <row r="389" spans="1:27" x14ac:dyDescent="0.35">
      <c r="A389" s="8" t="s">
        <v>1417</v>
      </c>
      <c r="B389" s="9">
        <v>45004</v>
      </c>
      <c r="C389" s="9">
        <v>45054</v>
      </c>
      <c r="D389" s="8" t="s">
        <v>1418</v>
      </c>
      <c r="E389" s="8" t="s">
        <v>68</v>
      </c>
      <c r="F389" s="8" t="s">
        <v>69</v>
      </c>
      <c r="G389" s="8" t="s">
        <v>217</v>
      </c>
      <c r="H389" s="8" t="s">
        <v>292</v>
      </c>
      <c r="I389" s="8" t="s">
        <v>4974</v>
      </c>
      <c r="J389" s="10">
        <v>454</v>
      </c>
      <c r="K389" s="11">
        <v>954.16</v>
      </c>
      <c r="L389" s="11">
        <v>1463.87</v>
      </c>
      <c r="M389" s="11">
        <v>664596.98</v>
      </c>
      <c r="N389" s="11">
        <v>433188.64</v>
      </c>
      <c r="O389" s="11">
        <f>CleanedData[[#This Row],[Total Sales ($)]]-CleanedData[[#This Row],[Total Cost ($)]]</f>
        <v>231408.33999999997</v>
      </c>
      <c r="P389" s="12">
        <f>CleanedData[[#This Row],[Profit ($)]]/CleanedData[[#This Row],[Total Sales ($)]]</f>
        <v>0.3481934871265891</v>
      </c>
      <c r="Q389" s="8" t="s">
        <v>31</v>
      </c>
      <c r="R389" s="8" t="s">
        <v>32</v>
      </c>
      <c r="S389" s="8" t="b">
        <f>_xlfn.SINGLE(CleanedData[[#This Row],[Delivery Status]])="Late"</f>
        <v>1</v>
      </c>
      <c r="T389" s="10">
        <v>6</v>
      </c>
      <c r="U389" s="8" t="s">
        <v>43</v>
      </c>
      <c r="V389" s="10">
        <v>3863</v>
      </c>
      <c r="W389" s="10">
        <v>6</v>
      </c>
      <c r="X389" s="12">
        <v>1.3215859030837E-2</v>
      </c>
      <c r="Y389" s="8" t="b">
        <f>CleanedData[[#This Row],[Ship Date]]&lt;CleanedData[[#This Row],[Order Date]]</f>
        <v>0</v>
      </c>
      <c r="Z389" s="10">
        <f>YEAR(CleanedData[[#This Row],[Order Date]])</f>
        <v>2023</v>
      </c>
      <c r="AA389" s="8">
        <f>MONTH(CleanedData[[#This Row],[Order Date]])</f>
        <v>3</v>
      </c>
    </row>
    <row r="390" spans="1:27" x14ac:dyDescent="0.35">
      <c r="A390" s="8" t="s">
        <v>1419</v>
      </c>
      <c r="B390" s="9">
        <v>45126</v>
      </c>
      <c r="C390" s="9">
        <v>45272</v>
      </c>
      <c r="D390" s="8" t="s">
        <v>1420</v>
      </c>
      <c r="E390" s="8" t="s">
        <v>26</v>
      </c>
      <c r="F390" s="8" t="s">
        <v>27</v>
      </c>
      <c r="G390" s="8" t="s">
        <v>60</v>
      </c>
      <c r="H390" s="8" t="s">
        <v>539</v>
      </c>
      <c r="I390" s="8" t="s">
        <v>4970</v>
      </c>
      <c r="J390" s="10">
        <v>113</v>
      </c>
      <c r="K390" s="11">
        <v>357.8</v>
      </c>
      <c r="L390" s="11">
        <v>569.92999999999995</v>
      </c>
      <c r="M390" s="11">
        <v>64402.09</v>
      </c>
      <c r="N390" s="11">
        <v>40431.4</v>
      </c>
      <c r="O390" s="11">
        <f>CleanedData[[#This Row],[Total Sales ($)]]-CleanedData[[#This Row],[Total Cost ($)]]</f>
        <v>23970.689999999995</v>
      </c>
      <c r="P390" s="12">
        <f>CleanedData[[#This Row],[Profit ($)]]/CleanedData[[#This Row],[Total Sales ($)]]</f>
        <v>0.37220360395136237</v>
      </c>
      <c r="Q390" s="8" t="s">
        <v>52</v>
      </c>
      <c r="R390" s="8" t="s">
        <v>63</v>
      </c>
      <c r="S390" s="8" t="b">
        <f>_xlfn.SINGLE(CleanedData[[#This Row],[Delivery Status]])="Late"</f>
        <v>0</v>
      </c>
      <c r="T390" s="10">
        <v>2</v>
      </c>
      <c r="U390" s="8" t="s">
        <v>112</v>
      </c>
      <c r="V390" s="10">
        <v>1322</v>
      </c>
      <c r="W390" s="10">
        <v>0</v>
      </c>
      <c r="X390" s="12">
        <v>0</v>
      </c>
      <c r="Y390" s="8" t="b">
        <f>CleanedData[[#This Row],[Ship Date]]&lt;CleanedData[[#This Row],[Order Date]]</f>
        <v>0</v>
      </c>
      <c r="Z390" s="10">
        <f>YEAR(CleanedData[[#This Row],[Order Date]])</f>
        <v>2023</v>
      </c>
      <c r="AA390" s="8">
        <f>MONTH(CleanedData[[#This Row],[Order Date]])</f>
        <v>7</v>
      </c>
    </row>
    <row r="391" spans="1:27" x14ac:dyDescent="0.35">
      <c r="A391" s="8" t="s">
        <v>1421</v>
      </c>
      <c r="B391" s="9">
        <v>45165</v>
      </c>
      <c r="C391" s="9">
        <v>45273</v>
      </c>
      <c r="D391" s="8" t="s">
        <v>1422</v>
      </c>
      <c r="E391" s="8" t="s">
        <v>58</v>
      </c>
      <c r="F391" s="8" t="s">
        <v>122</v>
      </c>
      <c r="G391" s="8" t="s">
        <v>28</v>
      </c>
      <c r="H391" s="8" t="s">
        <v>579</v>
      </c>
      <c r="I391" s="8" t="s">
        <v>4971</v>
      </c>
      <c r="J391" s="10">
        <v>124</v>
      </c>
      <c r="K391" s="11">
        <v>1139.3</v>
      </c>
      <c r="L391" s="11">
        <v>1733.41</v>
      </c>
      <c r="M391" s="11">
        <v>214942.84</v>
      </c>
      <c r="N391" s="11">
        <v>141273.20000000001</v>
      </c>
      <c r="O391" s="11">
        <f>CleanedData[[#This Row],[Total Sales ($)]]-CleanedData[[#This Row],[Total Cost ($)]]</f>
        <v>73669.639999999985</v>
      </c>
      <c r="P391" s="12">
        <f>CleanedData[[#This Row],[Profit ($)]]/CleanedData[[#This Row],[Total Sales ($)]]</f>
        <v>0.34274060954996216</v>
      </c>
      <c r="Q391" s="8" t="s">
        <v>95</v>
      </c>
      <c r="R391" s="8" t="s">
        <v>32</v>
      </c>
      <c r="S391" s="8" t="b">
        <f>_xlfn.SINGLE(CleanedData[[#This Row],[Delivery Status]])="Late"</f>
        <v>1</v>
      </c>
      <c r="T391" s="10">
        <v>11</v>
      </c>
      <c r="U391" s="8" t="s">
        <v>33</v>
      </c>
      <c r="V391" s="10">
        <v>1483</v>
      </c>
      <c r="W391" s="10">
        <v>0</v>
      </c>
      <c r="X391" s="12">
        <v>0</v>
      </c>
      <c r="Y391" s="8" t="b">
        <f>CleanedData[[#This Row],[Ship Date]]&lt;CleanedData[[#This Row],[Order Date]]</f>
        <v>0</v>
      </c>
      <c r="Z391" s="10">
        <f>YEAR(CleanedData[[#This Row],[Order Date]])</f>
        <v>2023</v>
      </c>
      <c r="AA391" s="8">
        <f>MONTH(CleanedData[[#This Row],[Order Date]])</f>
        <v>8</v>
      </c>
    </row>
    <row r="392" spans="1:27" x14ac:dyDescent="0.35">
      <c r="A392" s="8" t="s">
        <v>1423</v>
      </c>
      <c r="B392" s="9">
        <v>45405</v>
      </c>
      <c r="C392" s="9">
        <v>45336</v>
      </c>
      <c r="D392" s="8" t="s">
        <v>1425</v>
      </c>
      <c r="E392" s="8" t="s">
        <v>48</v>
      </c>
      <c r="F392" s="8" t="s">
        <v>270</v>
      </c>
      <c r="G392" s="8" t="s">
        <v>78</v>
      </c>
      <c r="H392" s="8" t="s">
        <v>572</v>
      </c>
      <c r="I392" s="8" t="s">
        <v>4968</v>
      </c>
      <c r="J392" s="10">
        <v>243</v>
      </c>
      <c r="K392" s="11">
        <v>411.56</v>
      </c>
      <c r="L392" s="11">
        <v>489.76</v>
      </c>
      <c r="M392" s="11">
        <v>119011.68</v>
      </c>
      <c r="N392" s="11">
        <v>100009.08</v>
      </c>
      <c r="O392" s="11">
        <f>CleanedData[[#This Row],[Total Sales ($)]]-CleanedData[[#This Row],[Total Cost ($)]]</f>
        <v>19002.599999999991</v>
      </c>
      <c r="P392" s="12">
        <f>CleanedData[[#This Row],[Profit ($)]]/CleanedData[[#This Row],[Total Sales ($)]]</f>
        <v>0.15967004246978106</v>
      </c>
      <c r="Q392" s="8" t="s">
        <v>95</v>
      </c>
      <c r="R392" s="8" t="s">
        <v>32</v>
      </c>
      <c r="S392" s="8" t="b">
        <f>_xlfn.SINGLE(CleanedData[[#This Row],[Delivery Status]])="Late"</f>
        <v>1</v>
      </c>
      <c r="T392" s="10">
        <v>6</v>
      </c>
      <c r="U392" s="8" t="s">
        <v>112</v>
      </c>
      <c r="V392" s="10">
        <v>1309</v>
      </c>
      <c r="W392" s="10">
        <v>3</v>
      </c>
      <c r="X392" s="12">
        <v>1.23456790123456E-2</v>
      </c>
      <c r="Y392" s="8" t="b">
        <f>CleanedData[[#This Row],[Ship Date]]&lt;CleanedData[[#This Row],[Order Date]]</f>
        <v>1</v>
      </c>
      <c r="Z392" s="10">
        <f>YEAR(CleanedData[[#This Row],[Order Date]])</f>
        <v>2024</v>
      </c>
      <c r="AA392" s="8">
        <f>MONTH(CleanedData[[#This Row],[Order Date]])</f>
        <v>4</v>
      </c>
    </row>
    <row r="393" spans="1:27" x14ac:dyDescent="0.35">
      <c r="A393" s="8" t="s">
        <v>1426</v>
      </c>
      <c r="B393" s="9">
        <v>45066</v>
      </c>
      <c r="C393" s="9">
        <v>45150</v>
      </c>
      <c r="D393" s="8" t="s">
        <v>1427</v>
      </c>
      <c r="E393" s="8" t="s">
        <v>68</v>
      </c>
      <c r="F393" s="8" t="s">
        <v>249</v>
      </c>
      <c r="G393" s="8" t="s">
        <v>39</v>
      </c>
      <c r="H393" s="8" t="s">
        <v>647</v>
      </c>
      <c r="I393" s="8" t="s">
        <v>4970</v>
      </c>
      <c r="J393" s="10">
        <v>117</v>
      </c>
      <c r="K393" s="11">
        <v>164.4</v>
      </c>
      <c r="L393" s="11">
        <v>267.64</v>
      </c>
      <c r="M393" s="11">
        <v>31313.88</v>
      </c>
      <c r="N393" s="11">
        <v>19234.8</v>
      </c>
      <c r="O393" s="11">
        <f>CleanedData[[#This Row],[Total Sales ($)]]-CleanedData[[#This Row],[Total Cost ($)]]</f>
        <v>12079.080000000002</v>
      </c>
      <c r="P393" s="12">
        <f>CleanedData[[#This Row],[Profit ($)]]/CleanedData[[#This Row],[Total Sales ($)]]</f>
        <v>0.38574204154834857</v>
      </c>
      <c r="Q393" s="8" t="s">
        <v>95</v>
      </c>
      <c r="R393" s="8" t="s">
        <v>32</v>
      </c>
      <c r="S393" s="8" t="b">
        <f>_xlfn.SINGLE(CleanedData[[#This Row],[Delivery Status]])="Late"</f>
        <v>1</v>
      </c>
      <c r="T393" s="10">
        <v>14</v>
      </c>
      <c r="U393" s="8" t="s">
        <v>86</v>
      </c>
      <c r="V393" s="10">
        <v>3523</v>
      </c>
      <c r="W393" s="10">
        <v>2</v>
      </c>
      <c r="X393" s="12">
        <v>1.7094017094016999E-2</v>
      </c>
      <c r="Y393" s="8" t="b">
        <f>CleanedData[[#This Row],[Ship Date]]&lt;CleanedData[[#This Row],[Order Date]]</f>
        <v>0</v>
      </c>
      <c r="Z393" s="10">
        <f>YEAR(CleanedData[[#This Row],[Order Date]])</f>
        <v>2023</v>
      </c>
      <c r="AA393" s="8">
        <f>MONTH(CleanedData[[#This Row],[Order Date]])</f>
        <v>5</v>
      </c>
    </row>
    <row r="394" spans="1:27" x14ac:dyDescent="0.35">
      <c r="A394" s="8" t="s">
        <v>1428</v>
      </c>
      <c r="B394" s="9">
        <v>45294</v>
      </c>
      <c r="C394" s="9">
        <v>45647</v>
      </c>
      <c r="D394" s="8" t="s">
        <v>1429</v>
      </c>
      <c r="E394" s="8" t="s">
        <v>26</v>
      </c>
      <c r="F394" s="8" t="s">
        <v>27</v>
      </c>
      <c r="G394" s="8" t="s">
        <v>50</v>
      </c>
      <c r="H394" s="8" t="s">
        <v>117</v>
      </c>
      <c r="I394" s="8" t="s">
        <v>4968</v>
      </c>
      <c r="J394" s="10">
        <v>213</v>
      </c>
      <c r="K394" s="11">
        <v>561.1</v>
      </c>
      <c r="L394" s="11">
        <v>694.16</v>
      </c>
      <c r="M394" s="11">
        <v>147856.07999999999</v>
      </c>
      <c r="N394" s="11">
        <v>119514.3</v>
      </c>
      <c r="O394" s="11">
        <f>CleanedData[[#This Row],[Total Sales ($)]]-CleanedData[[#This Row],[Total Cost ($)]]</f>
        <v>28341.779999999984</v>
      </c>
      <c r="P394" s="12">
        <f>CleanedData[[#This Row],[Profit ($)]]/CleanedData[[#This Row],[Total Sales ($)]]</f>
        <v>0.191684914140832</v>
      </c>
      <c r="Q394" s="8" t="s">
        <v>52</v>
      </c>
      <c r="R394" s="8" t="s">
        <v>63</v>
      </c>
      <c r="S394" s="8" t="b">
        <f>_xlfn.SINGLE(CleanedData[[#This Row],[Delivery Status]])="Late"</f>
        <v>0</v>
      </c>
      <c r="T394" s="10">
        <v>4</v>
      </c>
      <c r="U394" s="8" t="s">
        <v>53</v>
      </c>
      <c r="V394" s="10">
        <v>3898</v>
      </c>
      <c r="W394" s="10">
        <v>5</v>
      </c>
      <c r="X394" s="12">
        <v>2.3474178403755801E-2</v>
      </c>
      <c r="Y394" s="8" t="b">
        <f>CleanedData[[#This Row],[Ship Date]]&lt;CleanedData[[#This Row],[Order Date]]</f>
        <v>0</v>
      </c>
      <c r="Z394" s="10">
        <f>YEAR(CleanedData[[#This Row],[Order Date]])</f>
        <v>2024</v>
      </c>
      <c r="AA394" s="8">
        <f>MONTH(CleanedData[[#This Row],[Order Date]])</f>
        <v>1</v>
      </c>
    </row>
    <row r="395" spans="1:27" x14ac:dyDescent="0.35">
      <c r="A395" s="8" t="s">
        <v>1430</v>
      </c>
      <c r="B395" s="9">
        <v>44940</v>
      </c>
      <c r="C395" s="9">
        <v>45263</v>
      </c>
      <c r="D395" s="8" t="s">
        <v>1431</v>
      </c>
      <c r="E395" s="8" t="s">
        <v>68</v>
      </c>
      <c r="F395" s="8" t="s">
        <v>249</v>
      </c>
      <c r="G395" s="8" t="s">
        <v>129</v>
      </c>
      <c r="H395" s="8" t="s">
        <v>316</v>
      </c>
      <c r="I395" s="8" t="s">
        <v>4974</v>
      </c>
      <c r="J395" s="10">
        <v>50</v>
      </c>
      <c r="K395" s="11">
        <v>122.72</v>
      </c>
      <c r="L395" s="11">
        <v>168.23</v>
      </c>
      <c r="M395" s="11">
        <v>8411.5</v>
      </c>
      <c r="N395" s="11">
        <v>6136</v>
      </c>
      <c r="O395" s="11">
        <f>CleanedData[[#This Row],[Total Sales ($)]]-CleanedData[[#This Row],[Total Cost ($)]]</f>
        <v>2275.5</v>
      </c>
      <c r="P395" s="12">
        <f>CleanedData[[#This Row],[Profit ($)]]/CleanedData[[#This Row],[Total Sales ($)]]</f>
        <v>0.2705224989597575</v>
      </c>
      <c r="Q395" s="8" t="s">
        <v>31</v>
      </c>
      <c r="R395" s="8" t="s">
        <v>32</v>
      </c>
      <c r="S395" s="8" t="b">
        <f>_xlfn.SINGLE(CleanedData[[#This Row],[Delivery Status]])="Late"</f>
        <v>1</v>
      </c>
      <c r="T395" s="10">
        <v>10</v>
      </c>
      <c r="U395" s="8" t="s">
        <v>158</v>
      </c>
      <c r="V395" s="10">
        <v>4762</v>
      </c>
      <c r="W395" s="10">
        <v>0</v>
      </c>
      <c r="X395" s="12">
        <v>0</v>
      </c>
      <c r="Y395" s="8" t="b">
        <f>CleanedData[[#This Row],[Ship Date]]&lt;CleanedData[[#This Row],[Order Date]]</f>
        <v>0</v>
      </c>
      <c r="Z395" s="10">
        <f>YEAR(CleanedData[[#This Row],[Order Date]])</f>
        <v>2023</v>
      </c>
      <c r="AA395" s="8">
        <f>MONTH(CleanedData[[#This Row],[Order Date]])</f>
        <v>1</v>
      </c>
    </row>
    <row r="396" spans="1:27" x14ac:dyDescent="0.35">
      <c r="A396" s="8" t="s">
        <v>1432</v>
      </c>
      <c r="B396" s="9">
        <v>45018</v>
      </c>
      <c r="C396" s="9">
        <v>45182</v>
      </c>
      <c r="D396" s="8" t="s">
        <v>1434</v>
      </c>
      <c r="E396" s="8" t="s">
        <v>48</v>
      </c>
      <c r="F396" s="8" t="s">
        <v>281</v>
      </c>
      <c r="G396" s="8" t="s">
        <v>78</v>
      </c>
      <c r="H396" s="8" t="s">
        <v>425</v>
      </c>
      <c r="I396" s="8" t="s">
        <v>4970</v>
      </c>
      <c r="J396" s="10">
        <v>783</v>
      </c>
      <c r="K396" s="11">
        <v>756.05</v>
      </c>
      <c r="L396" s="11">
        <v>1063.45</v>
      </c>
      <c r="M396" s="11">
        <v>832681.35</v>
      </c>
      <c r="N396" s="11">
        <v>591987.15</v>
      </c>
      <c r="O396" s="11">
        <f>CleanedData[[#This Row],[Total Sales ($)]]-CleanedData[[#This Row],[Total Cost ($)]]</f>
        <v>240694.19999999995</v>
      </c>
      <c r="P396" s="12">
        <f>CleanedData[[#This Row],[Profit ($)]]/CleanedData[[#This Row],[Total Sales ($)]]</f>
        <v>0.28905919413230519</v>
      </c>
      <c r="Q396" s="8" t="s">
        <v>31</v>
      </c>
      <c r="R396" s="8" t="s">
        <v>32</v>
      </c>
      <c r="S396" s="8" t="b">
        <f>_xlfn.SINGLE(CleanedData[[#This Row],[Delivery Status]])="Late"</f>
        <v>1</v>
      </c>
      <c r="T396" s="10">
        <v>11</v>
      </c>
      <c r="U396" s="8" t="s">
        <v>33</v>
      </c>
      <c r="V396" s="10">
        <v>3225</v>
      </c>
      <c r="W396" s="10">
        <v>38</v>
      </c>
      <c r="X396" s="12">
        <v>4.8531289910600198E-2</v>
      </c>
      <c r="Y396" s="8" t="b">
        <f>CleanedData[[#This Row],[Ship Date]]&lt;CleanedData[[#This Row],[Order Date]]</f>
        <v>0</v>
      </c>
      <c r="Z396" s="10">
        <f>YEAR(CleanedData[[#This Row],[Order Date]])</f>
        <v>2023</v>
      </c>
      <c r="AA396" s="8">
        <f>MONTH(CleanedData[[#This Row],[Order Date]])</f>
        <v>4</v>
      </c>
    </row>
    <row r="397" spans="1:27" x14ac:dyDescent="0.35">
      <c r="A397" s="8" t="s">
        <v>1435</v>
      </c>
      <c r="B397" s="9">
        <v>45211</v>
      </c>
      <c r="C397" s="9">
        <v>45265</v>
      </c>
      <c r="D397" s="8" t="s">
        <v>1436</v>
      </c>
      <c r="E397" s="8" t="s">
        <v>100</v>
      </c>
      <c r="F397" s="8" t="s">
        <v>330</v>
      </c>
      <c r="G397" s="8" t="s">
        <v>39</v>
      </c>
      <c r="H397" s="8" t="s">
        <v>527</v>
      </c>
      <c r="I397" s="8" t="s">
        <v>4979</v>
      </c>
      <c r="J397" s="10">
        <v>645</v>
      </c>
      <c r="K397" s="11">
        <v>42</v>
      </c>
      <c r="L397" s="11">
        <v>52.59</v>
      </c>
      <c r="M397" s="11">
        <v>33920.550000000003</v>
      </c>
      <c r="N397" s="11">
        <v>27090</v>
      </c>
      <c r="O397" s="11">
        <f>CleanedData[[#This Row],[Total Sales ($)]]-CleanedData[[#This Row],[Total Cost ($)]]</f>
        <v>6830.5500000000029</v>
      </c>
      <c r="P397" s="12">
        <f>CleanedData[[#This Row],[Profit ($)]]/CleanedData[[#This Row],[Total Sales ($)]]</f>
        <v>0.20136908157444389</v>
      </c>
      <c r="Q397" s="8" t="s">
        <v>52</v>
      </c>
      <c r="R397" s="8" t="s">
        <v>32</v>
      </c>
      <c r="S397" s="8" t="b">
        <f>_xlfn.SINGLE(CleanedData[[#This Row],[Delivery Status]])="Late"</f>
        <v>1</v>
      </c>
      <c r="T397" s="10">
        <v>14</v>
      </c>
      <c r="U397" s="8" t="s">
        <v>43</v>
      </c>
      <c r="V397" s="10">
        <v>4081</v>
      </c>
      <c r="W397" s="10">
        <v>8</v>
      </c>
      <c r="X397" s="12">
        <v>1.2403100775193699E-2</v>
      </c>
      <c r="Y397" s="8" t="b">
        <f>CleanedData[[#This Row],[Ship Date]]&lt;CleanedData[[#This Row],[Order Date]]</f>
        <v>0</v>
      </c>
      <c r="Z397" s="10">
        <f>YEAR(CleanedData[[#This Row],[Order Date]])</f>
        <v>2023</v>
      </c>
      <c r="AA397" s="8">
        <f>MONTH(CleanedData[[#This Row],[Order Date]])</f>
        <v>10</v>
      </c>
    </row>
    <row r="398" spans="1:27" x14ac:dyDescent="0.35">
      <c r="A398" s="8" t="s">
        <v>1437</v>
      </c>
      <c r="B398" s="9">
        <v>45133</v>
      </c>
      <c r="C398" s="9">
        <v>44976</v>
      </c>
      <c r="D398" s="8" t="s">
        <v>1439</v>
      </c>
      <c r="E398" s="8" t="s">
        <v>48</v>
      </c>
      <c r="F398" s="8" t="s">
        <v>49</v>
      </c>
      <c r="G398" s="8" t="s">
        <v>78</v>
      </c>
      <c r="H398" s="8" t="s">
        <v>572</v>
      </c>
      <c r="I398" s="8" t="s">
        <v>4973</v>
      </c>
      <c r="J398" s="10">
        <v>263</v>
      </c>
      <c r="K398" s="11">
        <v>714.96</v>
      </c>
      <c r="L398" s="11">
        <v>848.5</v>
      </c>
      <c r="M398" s="11">
        <v>223155.5</v>
      </c>
      <c r="N398" s="11">
        <v>188034.48</v>
      </c>
      <c r="O398" s="11">
        <f>CleanedData[[#This Row],[Total Sales ($)]]-CleanedData[[#This Row],[Total Cost ($)]]</f>
        <v>35121.01999999999</v>
      </c>
      <c r="P398" s="12">
        <f>CleanedData[[#This Row],[Profit ($)]]/CleanedData[[#This Row],[Total Sales ($)]]</f>
        <v>0.15738361814967586</v>
      </c>
      <c r="Q398" s="8" t="s">
        <v>52</v>
      </c>
      <c r="R398" s="8" t="s">
        <v>32</v>
      </c>
      <c r="S398" s="8" t="b">
        <f>_xlfn.SINGLE(CleanedData[[#This Row],[Delivery Status]])="Late"</f>
        <v>1</v>
      </c>
      <c r="T398" s="10">
        <v>11</v>
      </c>
      <c r="U398" s="8" t="s">
        <v>33</v>
      </c>
      <c r="V398" s="10">
        <v>671</v>
      </c>
      <c r="W398" s="10">
        <v>2</v>
      </c>
      <c r="X398" s="12">
        <v>7.6045627376424996E-3</v>
      </c>
      <c r="Y398" s="8" t="b">
        <f>CleanedData[[#This Row],[Ship Date]]&lt;CleanedData[[#This Row],[Order Date]]</f>
        <v>1</v>
      </c>
      <c r="Z398" s="10">
        <f>YEAR(CleanedData[[#This Row],[Order Date]])</f>
        <v>2023</v>
      </c>
      <c r="AA398" s="8">
        <f>MONTH(CleanedData[[#This Row],[Order Date]])</f>
        <v>7</v>
      </c>
    </row>
    <row r="399" spans="1:27" x14ac:dyDescent="0.35">
      <c r="A399" s="8" t="s">
        <v>1440</v>
      </c>
      <c r="B399" s="9">
        <v>45251</v>
      </c>
      <c r="C399" s="9">
        <v>45245</v>
      </c>
      <c r="D399" s="8" t="s">
        <v>1441</v>
      </c>
      <c r="E399" s="8" t="s">
        <v>68</v>
      </c>
      <c r="F399" s="8" t="s">
        <v>276</v>
      </c>
      <c r="G399" s="8" t="s">
        <v>93</v>
      </c>
      <c r="H399" s="8" t="s">
        <v>1442</v>
      </c>
      <c r="I399" s="8" t="s">
        <v>4973</v>
      </c>
      <c r="J399" s="10">
        <v>28</v>
      </c>
      <c r="K399" s="11">
        <v>1074.1500000000001</v>
      </c>
      <c r="L399" s="11">
        <v>1260.9000000000001</v>
      </c>
      <c r="M399" s="11">
        <v>35305.199999999997</v>
      </c>
      <c r="N399" s="11">
        <v>30076.2</v>
      </c>
      <c r="O399" s="11">
        <f>CleanedData[[#This Row],[Total Sales ($)]]-CleanedData[[#This Row],[Total Cost ($)]]</f>
        <v>5228.9999999999964</v>
      </c>
      <c r="P399" s="12">
        <f>CleanedData[[#This Row],[Profit ($)]]/CleanedData[[#This Row],[Total Sales ($)]]</f>
        <v>0.14810849393290498</v>
      </c>
      <c r="Q399" s="8" t="s">
        <v>31</v>
      </c>
      <c r="R399" s="8" t="s">
        <v>32</v>
      </c>
      <c r="S399" s="8" t="b">
        <f>_xlfn.SINGLE(CleanedData[[#This Row],[Delivery Status]])="Late"</f>
        <v>1</v>
      </c>
      <c r="T399" s="10">
        <v>12</v>
      </c>
      <c r="U399" s="8" t="s">
        <v>86</v>
      </c>
      <c r="V399" s="10">
        <v>3428</v>
      </c>
      <c r="W399" s="10">
        <v>1</v>
      </c>
      <c r="X399" s="12">
        <v>3.5714285714285698E-2</v>
      </c>
      <c r="Y399" s="8" t="b">
        <f>CleanedData[[#This Row],[Ship Date]]&lt;CleanedData[[#This Row],[Order Date]]</f>
        <v>1</v>
      </c>
      <c r="Z399" s="10">
        <f>YEAR(CleanedData[[#This Row],[Order Date]])</f>
        <v>2023</v>
      </c>
      <c r="AA399" s="8">
        <f>MONTH(CleanedData[[#This Row],[Order Date]])</f>
        <v>11</v>
      </c>
    </row>
    <row r="400" spans="1:27" x14ac:dyDescent="0.35">
      <c r="A400" s="8" t="s">
        <v>1443</v>
      </c>
      <c r="B400" s="9">
        <v>45212</v>
      </c>
      <c r="C400" s="9">
        <v>45241</v>
      </c>
      <c r="D400" s="8" t="s">
        <v>1446</v>
      </c>
      <c r="E400" s="8" t="s">
        <v>100</v>
      </c>
      <c r="F400" s="8" t="s">
        <v>238</v>
      </c>
      <c r="G400" s="8" t="s">
        <v>93</v>
      </c>
      <c r="H400" s="8" t="s">
        <v>1442</v>
      </c>
      <c r="I400" s="8" t="s">
        <v>4968</v>
      </c>
      <c r="J400" s="10">
        <v>494</v>
      </c>
      <c r="K400" s="11">
        <v>424.43</v>
      </c>
      <c r="L400" s="11">
        <v>516.05999999999995</v>
      </c>
      <c r="M400" s="11">
        <v>254933.64</v>
      </c>
      <c r="N400" s="11">
        <v>209668.42</v>
      </c>
      <c r="O400" s="11">
        <f>CleanedData[[#This Row],[Total Sales ($)]]-CleanedData[[#This Row],[Total Cost ($)]]</f>
        <v>45265.22</v>
      </c>
      <c r="P400" s="12">
        <f>CleanedData[[#This Row],[Profit ($)]]/CleanedData[[#This Row],[Total Sales ($)]]</f>
        <v>0.17755687323179475</v>
      </c>
      <c r="Q400" s="8" t="s">
        <v>31</v>
      </c>
      <c r="R400" s="8" t="s">
        <v>63</v>
      </c>
      <c r="S400" s="8" t="b">
        <f>_xlfn.SINGLE(CleanedData[[#This Row],[Delivery Status]])="Late"</f>
        <v>0</v>
      </c>
      <c r="T400" s="10">
        <v>7</v>
      </c>
      <c r="U400" s="8" t="s">
        <v>158</v>
      </c>
      <c r="V400" s="10">
        <v>3143</v>
      </c>
      <c r="W400" s="10">
        <v>8</v>
      </c>
      <c r="X400" s="12">
        <v>1.6194331983805599E-2</v>
      </c>
      <c r="Y400" s="8" t="b">
        <f>CleanedData[[#This Row],[Ship Date]]&lt;CleanedData[[#This Row],[Order Date]]</f>
        <v>0</v>
      </c>
      <c r="Z400" s="10">
        <f>YEAR(CleanedData[[#This Row],[Order Date]])</f>
        <v>2023</v>
      </c>
      <c r="AA400" s="8">
        <f>MONTH(CleanedData[[#This Row],[Order Date]])</f>
        <v>10</v>
      </c>
    </row>
    <row r="401" spans="1:27" x14ac:dyDescent="0.35">
      <c r="A401" s="8" t="s">
        <v>1447</v>
      </c>
      <c r="B401" s="9">
        <v>45468</v>
      </c>
      <c r="C401" s="9">
        <v>45614</v>
      </c>
      <c r="D401" s="8" t="s">
        <v>1448</v>
      </c>
      <c r="E401" s="8" t="s">
        <v>48</v>
      </c>
      <c r="F401" s="8" t="s">
        <v>49</v>
      </c>
      <c r="G401" s="8" t="s">
        <v>217</v>
      </c>
      <c r="H401" s="8" t="s">
        <v>218</v>
      </c>
      <c r="I401" s="8" t="s">
        <v>4973</v>
      </c>
      <c r="J401" s="10">
        <v>-12</v>
      </c>
      <c r="K401" s="11">
        <v>199.77</v>
      </c>
      <c r="L401" s="11">
        <v>328.01</v>
      </c>
      <c r="M401" s="11">
        <v>161708.93</v>
      </c>
      <c r="N401" s="11">
        <v>98486.61</v>
      </c>
      <c r="O401" s="11">
        <f>CleanedData[[#This Row],[Total Sales ($)]]-CleanedData[[#This Row],[Total Cost ($)]]</f>
        <v>63222.319999999992</v>
      </c>
      <c r="P401" s="12">
        <f>CleanedData[[#This Row],[Profit ($)]]/CleanedData[[#This Row],[Total Sales ($)]]</f>
        <v>0.39096369013139842</v>
      </c>
      <c r="Q401" s="8" t="s">
        <v>95</v>
      </c>
      <c r="R401" s="8" t="s">
        <v>32</v>
      </c>
      <c r="S401" s="8" t="b">
        <f>_xlfn.SINGLE(CleanedData[[#This Row],[Delivery Status]])="Late"</f>
        <v>1</v>
      </c>
      <c r="T401" s="10">
        <v>10</v>
      </c>
      <c r="U401" s="8" t="s">
        <v>43</v>
      </c>
      <c r="V401" s="10">
        <v>2599</v>
      </c>
      <c r="W401" s="10">
        <v>9</v>
      </c>
      <c r="X401" s="12"/>
      <c r="Y401" s="8" t="b">
        <f>CleanedData[[#This Row],[Ship Date]]&lt;CleanedData[[#This Row],[Order Date]]</f>
        <v>0</v>
      </c>
      <c r="Z401" s="10">
        <f>YEAR(CleanedData[[#This Row],[Order Date]])</f>
        <v>2024</v>
      </c>
      <c r="AA401" s="8">
        <f>MONTH(CleanedData[[#This Row],[Order Date]])</f>
        <v>6</v>
      </c>
    </row>
    <row r="402" spans="1:27" x14ac:dyDescent="0.35">
      <c r="A402" s="8" t="s">
        <v>1449</v>
      </c>
      <c r="B402" s="9">
        <v>45273</v>
      </c>
      <c r="C402" s="9">
        <v>45060</v>
      </c>
      <c r="D402" s="8" t="s">
        <v>1452</v>
      </c>
      <c r="E402" s="8" t="s">
        <v>58</v>
      </c>
      <c r="F402" s="8" t="s">
        <v>259</v>
      </c>
      <c r="G402" s="8" t="s">
        <v>50</v>
      </c>
      <c r="H402" s="8" t="s">
        <v>173</v>
      </c>
      <c r="I402" s="8" t="s">
        <v>4979</v>
      </c>
      <c r="J402" s="10">
        <v>798</v>
      </c>
      <c r="K402" s="11">
        <v>800.82</v>
      </c>
      <c r="L402" s="11">
        <v>1195.8399999999999</v>
      </c>
      <c r="M402" s="11">
        <v>954280.32</v>
      </c>
      <c r="N402" s="11">
        <v>639054.36</v>
      </c>
      <c r="O402" s="11">
        <f>CleanedData[[#This Row],[Total Sales ($)]]-CleanedData[[#This Row],[Total Cost ($)]]</f>
        <v>315225.95999999996</v>
      </c>
      <c r="P402" s="12">
        <f>CleanedData[[#This Row],[Profit ($)]]/CleanedData[[#This Row],[Total Sales ($)]]</f>
        <v>0.33032847203639282</v>
      </c>
      <c r="Q402" s="8" t="s">
        <v>42</v>
      </c>
      <c r="R402" s="8" t="s">
        <v>32</v>
      </c>
      <c r="S402" s="8" t="b">
        <f>_xlfn.SINGLE(CleanedData[[#This Row],[Delivery Status]])="Late"</f>
        <v>1</v>
      </c>
      <c r="T402" s="10">
        <v>13</v>
      </c>
      <c r="U402" s="8" t="s">
        <v>158</v>
      </c>
      <c r="V402" s="10">
        <v>219</v>
      </c>
      <c r="W402" s="10">
        <v>13</v>
      </c>
      <c r="X402" s="12">
        <v>1.6290726817042599E-2</v>
      </c>
      <c r="Y402" s="8" t="b">
        <f>CleanedData[[#This Row],[Ship Date]]&lt;CleanedData[[#This Row],[Order Date]]</f>
        <v>1</v>
      </c>
      <c r="Z402" s="10">
        <f>YEAR(CleanedData[[#This Row],[Order Date]])</f>
        <v>2023</v>
      </c>
      <c r="AA402" s="8">
        <f>MONTH(CleanedData[[#This Row],[Order Date]])</f>
        <v>12</v>
      </c>
    </row>
    <row r="403" spans="1:27" x14ac:dyDescent="0.35">
      <c r="A403" s="8" t="s">
        <v>1453</v>
      </c>
      <c r="B403" s="9">
        <v>44966</v>
      </c>
      <c r="C403" s="9">
        <v>45140</v>
      </c>
      <c r="D403" s="8" t="s">
        <v>1455</v>
      </c>
      <c r="E403" s="8" t="s">
        <v>100</v>
      </c>
      <c r="F403" s="8" t="s">
        <v>106</v>
      </c>
      <c r="G403" s="8" t="s">
        <v>70</v>
      </c>
      <c r="H403" s="8" t="s">
        <v>239</v>
      </c>
      <c r="I403" s="8" t="s">
        <v>4973</v>
      </c>
      <c r="J403" s="10">
        <v>224</v>
      </c>
      <c r="K403" s="11">
        <v>634.77</v>
      </c>
      <c r="L403" s="11">
        <v>991.32</v>
      </c>
      <c r="M403" s="11">
        <v>222055.67999999999</v>
      </c>
      <c r="N403" s="11">
        <v>142188.48000000001</v>
      </c>
      <c r="O403" s="11">
        <f>CleanedData[[#This Row],[Total Sales ($)]]-CleanedData[[#This Row],[Total Cost ($)]]</f>
        <v>79867.199999999983</v>
      </c>
      <c r="P403" s="12">
        <f>CleanedData[[#This Row],[Profit ($)]]/CleanedData[[#This Row],[Total Sales ($)]]</f>
        <v>0.35967195254811757</v>
      </c>
      <c r="Q403" s="8" t="s">
        <v>52</v>
      </c>
      <c r="R403" s="8" t="s">
        <v>32</v>
      </c>
      <c r="S403" s="8" t="b">
        <f>_xlfn.SINGLE(CleanedData[[#This Row],[Delivery Status]])="Late"</f>
        <v>1</v>
      </c>
      <c r="T403" s="10">
        <v>11</v>
      </c>
      <c r="U403" s="8" t="s">
        <v>158</v>
      </c>
      <c r="V403" s="10">
        <v>2763</v>
      </c>
      <c r="W403" s="10">
        <v>4</v>
      </c>
      <c r="X403" s="12">
        <v>1.7857142857142801E-2</v>
      </c>
      <c r="Y403" s="8" t="b">
        <f>CleanedData[[#This Row],[Ship Date]]&lt;CleanedData[[#This Row],[Order Date]]</f>
        <v>0</v>
      </c>
      <c r="Z403" s="10">
        <f>YEAR(CleanedData[[#This Row],[Order Date]])</f>
        <v>2023</v>
      </c>
      <c r="AA403" s="8">
        <f>MONTH(CleanedData[[#This Row],[Order Date]])</f>
        <v>2</v>
      </c>
    </row>
    <row r="404" spans="1:27" x14ac:dyDescent="0.35">
      <c r="A404" s="8" t="s">
        <v>1456</v>
      </c>
      <c r="B404" s="9">
        <v>45265</v>
      </c>
      <c r="C404" s="9">
        <v>45201</v>
      </c>
      <c r="D404" s="8" t="s">
        <v>1457</v>
      </c>
      <c r="E404" s="8" t="s">
        <v>58</v>
      </c>
      <c r="F404" s="8" t="s">
        <v>122</v>
      </c>
      <c r="G404" s="8" t="s">
        <v>189</v>
      </c>
      <c r="H404" s="8" t="s">
        <v>360</v>
      </c>
      <c r="I404" s="8" t="s">
        <v>4976</v>
      </c>
      <c r="J404" s="10">
        <v>15</v>
      </c>
      <c r="K404" s="11">
        <v>809.29</v>
      </c>
      <c r="L404" s="11">
        <v>1293.06</v>
      </c>
      <c r="M404" s="11">
        <v>19395.900000000001</v>
      </c>
      <c r="N404" s="11">
        <v>12139.35</v>
      </c>
      <c r="O404" s="11">
        <f>CleanedData[[#This Row],[Total Sales ($)]]-CleanedData[[#This Row],[Total Cost ($)]]</f>
        <v>7256.5500000000011</v>
      </c>
      <c r="P404" s="12">
        <f>CleanedData[[#This Row],[Profit ($)]]/CleanedData[[#This Row],[Total Sales ($)]]</f>
        <v>0.3741280373687223</v>
      </c>
      <c r="Q404" s="8" t="s">
        <v>42</v>
      </c>
      <c r="R404" s="8" t="s">
        <v>63</v>
      </c>
      <c r="S404" s="8" t="b">
        <f>_xlfn.SINGLE(CleanedData[[#This Row],[Delivery Status]])="Late"</f>
        <v>0</v>
      </c>
      <c r="T404" s="10">
        <v>4</v>
      </c>
      <c r="U404" s="8" t="s">
        <v>43</v>
      </c>
      <c r="V404" s="10">
        <v>864</v>
      </c>
      <c r="W404" s="10">
        <v>1</v>
      </c>
      <c r="X404" s="12">
        <v>6.6666666666666596E-2</v>
      </c>
      <c r="Y404" s="8" t="b">
        <f>CleanedData[[#This Row],[Ship Date]]&lt;CleanedData[[#This Row],[Order Date]]</f>
        <v>1</v>
      </c>
      <c r="Z404" s="10">
        <f>YEAR(CleanedData[[#This Row],[Order Date]])</f>
        <v>2023</v>
      </c>
      <c r="AA404" s="8">
        <f>MONTH(CleanedData[[#This Row],[Order Date]])</f>
        <v>12</v>
      </c>
    </row>
    <row r="405" spans="1:27" x14ac:dyDescent="0.35">
      <c r="A405" s="8" t="s">
        <v>1458</v>
      </c>
      <c r="B405" s="9">
        <v>45654</v>
      </c>
      <c r="C405" s="9">
        <v>45561</v>
      </c>
      <c r="D405" s="8" t="s">
        <v>1461</v>
      </c>
      <c r="E405" s="8" t="s">
        <v>4972</v>
      </c>
      <c r="F405" s="8" t="s">
        <v>270</v>
      </c>
      <c r="G405" s="8" t="s">
        <v>78</v>
      </c>
      <c r="H405" s="8" t="s">
        <v>425</v>
      </c>
      <c r="I405" s="8" t="s">
        <v>4978</v>
      </c>
      <c r="J405" s="10">
        <v>324</v>
      </c>
      <c r="K405" s="11">
        <v>877.69</v>
      </c>
      <c r="L405" s="11">
        <v>1286.07</v>
      </c>
      <c r="M405" s="11">
        <v>416686.68</v>
      </c>
      <c r="N405" s="11">
        <v>284371.56</v>
      </c>
      <c r="O405" s="11">
        <f>CleanedData[[#This Row],[Total Sales ($)]]-CleanedData[[#This Row],[Total Cost ($)]]</f>
        <v>132315.12</v>
      </c>
      <c r="P405" s="12">
        <f>CleanedData[[#This Row],[Profit ($)]]/CleanedData[[#This Row],[Total Sales ($)]]</f>
        <v>0.31754103586896515</v>
      </c>
      <c r="Q405" s="8" t="s">
        <v>52</v>
      </c>
      <c r="R405" s="8" t="s">
        <v>63</v>
      </c>
      <c r="S405" s="8" t="b">
        <f>_xlfn.SINGLE(CleanedData[[#This Row],[Delivery Status]])="Late"</f>
        <v>0</v>
      </c>
      <c r="T405" s="10">
        <v>2</v>
      </c>
      <c r="U405" s="8" t="s">
        <v>33</v>
      </c>
      <c r="V405" s="10">
        <v>4816</v>
      </c>
      <c r="W405" s="10">
        <v>2</v>
      </c>
      <c r="X405" s="12">
        <v>6.1728395061728001E-3</v>
      </c>
      <c r="Y405" s="8" t="b">
        <f>CleanedData[[#This Row],[Ship Date]]&lt;CleanedData[[#This Row],[Order Date]]</f>
        <v>1</v>
      </c>
      <c r="Z405" s="10">
        <f>YEAR(CleanedData[[#This Row],[Order Date]])</f>
        <v>2024</v>
      </c>
      <c r="AA405" s="8">
        <f>MONTH(CleanedData[[#This Row],[Order Date]])</f>
        <v>12</v>
      </c>
    </row>
    <row r="406" spans="1:27" x14ac:dyDescent="0.35">
      <c r="A406" s="8" t="s">
        <v>1462</v>
      </c>
      <c r="B406" s="9">
        <v>45337</v>
      </c>
      <c r="C406" s="9">
        <v>45488</v>
      </c>
      <c r="D406" s="8" t="s">
        <v>1464</v>
      </c>
      <c r="E406" s="8" t="s">
        <v>26</v>
      </c>
      <c r="F406" s="8" t="s">
        <v>92</v>
      </c>
      <c r="G406" s="8" t="s">
        <v>28</v>
      </c>
      <c r="H406" s="8" t="s">
        <v>674</v>
      </c>
      <c r="I406" s="8" t="s">
        <v>4975</v>
      </c>
      <c r="J406" s="10">
        <v>301</v>
      </c>
      <c r="K406" s="11">
        <v>1095.21</v>
      </c>
      <c r="L406" s="11">
        <v>1606.92</v>
      </c>
      <c r="M406" s="11">
        <v>483682.92</v>
      </c>
      <c r="N406" s="11">
        <v>329658.21000000002</v>
      </c>
      <c r="O406" s="11">
        <f>CleanedData[[#This Row],[Total Sales ($)]]-CleanedData[[#This Row],[Total Cost ($)]]</f>
        <v>154024.70999999996</v>
      </c>
      <c r="P406" s="12">
        <f>CleanedData[[#This Row],[Profit ($)]]/CleanedData[[#This Row],[Total Sales ($)]]</f>
        <v>0.31844149055335669</v>
      </c>
      <c r="Q406" s="8" t="s">
        <v>95</v>
      </c>
      <c r="R406" s="8" t="s">
        <v>63</v>
      </c>
      <c r="S406" s="8" t="b">
        <f>_xlfn.SINGLE(CleanedData[[#This Row],[Delivery Status]])="Late"</f>
        <v>0</v>
      </c>
      <c r="T406" s="10">
        <v>2</v>
      </c>
      <c r="U406" s="8" t="s">
        <v>112</v>
      </c>
      <c r="V406" s="10">
        <v>2085</v>
      </c>
      <c r="W406" s="10">
        <v>9</v>
      </c>
      <c r="X406" s="12">
        <v>2.9900332225913599E-2</v>
      </c>
      <c r="Y406" s="8" t="b">
        <f>CleanedData[[#This Row],[Ship Date]]&lt;CleanedData[[#This Row],[Order Date]]</f>
        <v>0</v>
      </c>
      <c r="Z406" s="10">
        <f>YEAR(CleanedData[[#This Row],[Order Date]])</f>
        <v>2024</v>
      </c>
      <c r="AA406" s="8">
        <f>MONTH(CleanedData[[#This Row],[Order Date]])</f>
        <v>2</v>
      </c>
    </row>
    <row r="407" spans="1:27" x14ac:dyDescent="0.35">
      <c r="A407" s="8" t="s">
        <v>1465</v>
      </c>
      <c r="B407" s="9">
        <v>45258</v>
      </c>
      <c r="C407" s="9">
        <v>45231</v>
      </c>
      <c r="D407" s="8" t="s">
        <v>1466</v>
      </c>
      <c r="E407" s="8" t="s">
        <v>68</v>
      </c>
      <c r="F407" s="8" t="s">
        <v>146</v>
      </c>
      <c r="G407" s="8" t="s">
        <v>78</v>
      </c>
      <c r="H407" s="8" t="s">
        <v>572</v>
      </c>
      <c r="I407" s="8" t="s">
        <v>4973</v>
      </c>
      <c r="J407" s="10">
        <v>606</v>
      </c>
      <c r="K407" s="11">
        <v>308.29000000000002</v>
      </c>
      <c r="L407" s="11">
        <v>489.67</v>
      </c>
      <c r="M407" s="11">
        <v>296740.02</v>
      </c>
      <c r="N407" s="11">
        <v>186823.74</v>
      </c>
      <c r="O407" s="11">
        <f>CleanedData[[#This Row],[Total Sales ($)]]-CleanedData[[#This Row],[Total Cost ($)]]</f>
        <v>109916.28000000003</v>
      </c>
      <c r="P407" s="12">
        <f>CleanedData[[#This Row],[Profit ($)]]/CleanedData[[#This Row],[Total Sales ($)]]</f>
        <v>0.37041272693855054</v>
      </c>
      <c r="Q407" s="8" t="s">
        <v>42</v>
      </c>
      <c r="R407" s="8" t="s">
        <v>32</v>
      </c>
      <c r="S407" s="8" t="b">
        <f>_xlfn.SINGLE(CleanedData[[#This Row],[Delivery Status]])="Late"</f>
        <v>1</v>
      </c>
      <c r="T407" s="10">
        <v>12</v>
      </c>
      <c r="U407" s="8" t="s">
        <v>86</v>
      </c>
      <c r="V407" s="10">
        <v>260</v>
      </c>
      <c r="W407" s="10">
        <v>9</v>
      </c>
      <c r="X407" s="12">
        <v>1.48514851485148E-2</v>
      </c>
      <c r="Y407" s="8" t="b">
        <f>CleanedData[[#This Row],[Ship Date]]&lt;CleanedData[[#This Row],[Order Date]]</f>
        <v>1</v>
      </c>
      <c r="Z407" s="10">
        <f>YEAR(CleanedData[[#This Row],[Order Date]])</f>
        <v>2023</v>
      </c>
      <c r="AA407" s="8">
        <f>MONTH(CleanedData[[#This Row],[Order Date]])</f>
        <v>11</v>
      </c>
    </row>
    <row r="408" spans="1:27" x14ac:dyDescent="0.35">
      <c r="A408" s="8" t="s">
        <v>1467</v>
      </c>
      <c r="B408" s="9">
        <v>45067</v>
      </c>
      <c r="C408" s="9">
        <v>45467</v>
      </c>
      <c r="D408" s="8" t="s">
        <v>1469</v>
      </c>
      <c r="E408" s="8" t="s">
        <v>58</v>
      </c>
      <c r="F408" s="8" t="s">
        <v>259</v>
      </c>
      <c r="G408" s="8" t="s">
        <v>93</v>
      </c>
      <c r="H408" s="8" t="s">
        <v>321</v>
      </c>
      <c r="I408" s="8" t="s">
        <v>4970</v>
      </c>
      <c r="J408" s="10">
        <v>486</v>
      </c>
      <c r="K408" s="11">
        <v>723.11</v>
      </c>
      <c r="L408" s="11">
        <v>860.32</v>
      </c>
      <c r="M408" s="11">
        <v>418115.52</v>
      </c>
      <c r="N408" s="11">
        <v>351431.46</v>
      </c>
      <c r="O408" s="11">
        <f>CleanedData[[#This Row],[Total Sales ($)]]-CleanedData[[#This Row],[Total Cost ($)]]</f>
        <v>66684.06</v>
      </c>
      <c r="P408" s="12">
        <f>CleanedData[[#This Row],[Profit ($)]]/CleanedData[[#This Row],[Total Sales ($)]]</f>
        <v>0.159487167565557</v>
      </c>
      <c r="Q408" s="8" t="s">
        <v>52</v>
      </c>
      <c r="R408" s="8" t="s">
        <v>32</v>
      </c>
      <c r="S408" s="8" t="b">
        <f>_xlfn.SINGLE(CleanedData[[#This Row],[Delivery Status]])="Late"</f>
        <v>1</v>
      </c>
      <c r="T408" s="10">
        <v>6</v>
      </c>
      <c r="U408" s="8" t="s">
        <v>112</v>
      </c>
      <c r="V408" s="10">
        <v>3267</v>
      </c>
      <c r="W408" s="10">
        <v>13</v>
      </c>
      <c r="X408" s="12">
        <v>2.6748971193415599E-2</v>
      </c>
      <c r="Y408" s="8" t="b">
        <f>CleanedData[[#This Row],[Ship Date]]&lt;CleanedData[[#This Row],[Order Date]]</f>
        <v>0</v>
      </c>
      <c r="Z408" s="10">
        <f>YEAR(CleanedData[[#This Row],[Order Date]])</f>
        <v>2023</v>
      </c>
      <c r="AA408" s="8">
        <f>MONTH(CleanedData[[#This Row],[Order Date]])</f>
        <v>5</v>
      </c>
    </row>
    <row r="409" spans="1:27" x14ac:dyDescent="0.35">
      <c r="A409" s="8" t="s">
        <v>1470</v>
      </c>
      <c r="B409" s="9">
        <v>45237</v>
      </c>
      <c r="C409" s="9">
        <v>45223</v>
      </c>
      <c r="D409" s="8" t="s">
        <v>1472</v>
      </c>
      <c r="E409" s="8" t="s">
        <v>48</v>
      </c>
      <c r="F409" s="8" t="s">
        <v>281</v>
      </c>
      <c r="G409" s="8" t="s">
        <v>60</v>
      </c>
      <c r="H409" s="8" t="s">
        <v>229</v>
      </c>
      <c r="I409" s="8" t="s">
        <v>4975</v>
      </c>
      <c r="J409" s="10">
        <v>220</v>
      </c>
      <c r="K409" s="11">
        <v>830.55</v>
      </c>
      <c r="L409" s="11">
        <v>970.57</v>
      </c>
      <c r="M409" s="11">
        <v>213525.4</v>
      </c>
      <c r="N409" s="11">
        <v>182721</v>
      </c>
      <c r="O409" s="11">
        <f>CleanedData[[#This Row],[Total Sales ($)]]-CleanedData[[#This Row],[Total Cost ($)]]</f>
        <v>30804.399999999994</v>
      </c>
      <c r="P409" s="12">
        <f>CleanedData[[#This Row],[Profit ($)]]/CleanedData[[#This Row],[Total Sales ($)]]</f>
        <v>0.14426574075028073</v>
      </c>
      <c r="Q409" s="8" t="s">
        <v>52</v>
      </c>
      <c r="R409" s="8" t="s">
        <v>32</v>
      </c>
      <c r="S409" s="8" t="b">
        <f>_xlfn.SINGLE(CleanedData[[#This Row],[Delivery Status]])="Late"</f>
        <v>1</v>
      </c>
      <c r="T409" s="10">
        <v>14</v>
      </c>
      <c r="U409" s="8" t="s">
        <v>112</v>
      </c>
      <c r="V409" s="10">
        <v>4225</v>
      </c>
      <c r="W409" s="10">
        <v>7</v>
      </c>
      <c r="X409" s="12">
        <v>3.1818181818181801E-2</v>
      </c>
      <c r="Y409" s="8" t="b">
        <f>CleanedData[[#This Row],[Ship Date]]&lt;CleanedData[[#This Row],[Order Date]]</f>
        <v>1</v>
      </c>
      <c r="Z409" s="10">
        <f>YEAR(CleanedData[[#This Row],[Order Date]])</f>
        <v>2023</v>
      </c>
      <c r="AA409" s="8">
        <f>MONTH(CleanedData[[#This Row],[Order Date]])</f>
        <v>11</v>
      </c>
    </row>
    <row r="410" spans="1:27" x14ac:dyDescent="0.35">
      <c r="A410" s="8" t="s">
        <v>1473</v>
      </c>
      <c r="B410" s="9">
        <v>45064</v>
      </c>
      <c r="C410" s="9">
        <v>45148</v>
      </c>
      <c r="D410" s="8" t="s">
        <v>1475</v>
      </c>
      <c r="E410" s="8" t="s">
        <v>48</v>
      </c>
      <c r="F410" s="8" t="s">
        <v>270</v>
      </c>
      <c r="G410" s="8" t="s">
        <v>129</v>
      </c>
      <c r="H410" s="8" t="s">
        <v>704</v>
      </c>
      <c r="I410" s="8" t="s">
        <v>4974</v>
      </c>
      <c r="J410" s="10">
        <v>79</v>
      </c>
      <c r="K410" s="11">
        <v>87.74</v>
      </c>
      <c r="L410" s="11">
        <v>116.45</v>
      </c>
      <c r="M410" s="11">
        <v>9199.5499999999993</v>
      </c>
      <c r="N410" s="11">
        <v>6931.46</v>
      </c>
      <c r="O410" s="11">
        <f>CleanedData[[#This Row],[Total Sales ($)]]-CleanedData[[#This Row],[Total Cost ($)]]</f>
        <v>2268.0899999999992</v>
      </c>
      <c r="P410" s="12">
        <f>CleanedData[[#This Row],[Profit ($)]]/CleanedData[[#This Row],[Total Sales ($)]]</f>
        <v>0.24654358093602399</v>
      </c>
      <c r="Q410" s="8" t="s">
        <v>42</v>
      </c>
      <c r="R410" s="8" t="s">
        <v>63</v>
      </c>
      <c r="S410" s="8" t="b">
        <f>_xlfn.SINGLE(CleanedData[[#This Row],[Delivery Status]])="Late"</f>
        <v>0</v>
      </c>
      <c r="T410" s="10">
        <v>5</v>
      </c>
      <c r="U410" s="8" t="s">
        <v>112</v>
      </c>
      <c r="V410" s="10">
        <v>4185</v>
      </c>
      <c r="W410" s="10">
        <v>0</v>
      </c>
      <c r="X410" s="12">
        <v>0</v>
      </c>
      <c r="Y410" s="8" t="b">
        <f>CleanedData[[#This Row],[Ship Date]]&lt;CleanedData[[#This Row],[Order Date]]</f>
        <v>0</v>
      </c>
      <c r="Z410" s="10">
        <f>YEAR(CleanedData[[#This Row],[Order Date]])</f>
        <v>2023</v>
      </c>
      <c r="AA410" s="8">
        <f>MONTH(CleanedData[[#This Row],[Order Date]])</f>
        <v>5</v>
      </c>
    </row>
    <row r="411" spans="1:27" x14ac:dyDescent="0.35">
      <c r="A411" s="8" t="s">
        <v>1476</v>
      </c>
      <c r="B411" s="9">
        <v>45370</v>
      </c>
      <c r="C411" s="9">
        <v>45200</v>
      </c>
      <c r="D411" s="8" t="s">
        <v>1479</v>
      </c>
      <c r="E411" s="8" t="s">
        <v>26</v>
      </c>
      <c r="F411" s="8" t="s">
        <v>27</v>
      </c>
      <c r="G411" s="8" t="s">
        <v>39</v>
      </c>
      <c r="H411" s="8" t="s">
        <v>354</v>
      </c>
      <c r="I411" s="8" t="s">
        <v>4976</v>
      </c>
      <c r="J411" s="10">
        <v>775</v>
      </c>
      <c r="K411" s="11">
        <v>562.04999999999995</v>
      </c>
      <c r="L411" s="11">
        <v>848.57</v>
      </c>
      <c r="M411" s="11">
        <v>657641.75</v>
      </c>
      <c r="N411" s="11">
        <v>435588.75</v>
      </c>
      <c r="O411" s="11">
        <f>CleanedData[[#This Row],[Total Sales ($)]]-CleanedData[[#This Row],[Total Cost ($)]]</f>
        <v>222053</v>
      </c>
      <c r="P411" s="12">
        <f>CleanedData[[#This Row],[Profit ($)]]/CleanedData[[#This Row],[Total Sales ($)]]</f>
        <v>0.33765040008484865</v>
      </c>
      <c r="Q411" s="8" t="s">
        <v>95</v>
      </c>
      <c r="R411" s="8" t="s">
        <v>32</v>
      </c>
      <c r="S411" s="8" t="b">
        <f>_xlfn.SINGLE(CleanedData[[#This Row],[Delivery Status]])="Late"</f>
        <v>1</v>
      </c>
      <c r="T411" s="10">
        <v>8</v>
      </c>
      <c r="U411" s="8" t="s">
        <v>112</v>
      </c>
      <c r="V411" s="10">
        <v>910</v>
      </c>
      <c r="W411" s="10">
        <v>23</v>
      </c>
      <c r="X411" s="12">
        <v>2.96774193548387E-2</v>
      </c>
      <c r="Y411" s="8" t="b">
        <f>CleanedData[[#This Row],[Ship Date]]&lt;CleanedData[[#This Row],[Order Date]]</f>
        <v>1</v>
      </c>
      <c r="Z411" s="10">
        <f>YEAR(CleanedData[[#This Row],[Order Date]])</f>
        <v>2024</v>
      </c>
      <c r="AA411" s="8">
        <f>MONTH(CleanedData[[#This Row],[Order Date]])</f>
        <v>3</v>
      </c>
    </row>
    <row r="412" spans="1:27" x14ac:dyDescent="0.35">
      <c r="A412" s="8" t="s">
        <v>1480</v>
      </c>
      <c r="B412" s="9">
        <v>44932</v>
      </c>
      <c r="C412" s="9">
        <v>45120</v>
      </c>
      <c r="D412" s="8" t="s">
        <v>1481</v>
      </c>
      <c r="E412" s="8" t="s">
        <v>26</v>
      </c>
      <c r="F412" s="8" t="s">
        <v>27</v>
      </c>
      <c r="G412" s="8" t="s">
        <v>78</v>
      </c>
      <c r="H412" s="8" t="s">
        <v>481</v>
      </c>
      <c r="I412" s="8" t="s">
        <v>4969</v>
      </c>
      <c r="J412" s="10">
        <v>632</v>
      </c>
      <c r="K412" s="11">
        <v>441.26</v>
      </c>
      <c r="L412" s="11">
        <v>564.22</v>
      </c>
      <c r="M412" s="11">
        <v>356587.04</v>
      </c>
      <c r="N412" s="11">
        <v>278876.32</v>
      </c>
      <c r="O412" s="11">
        <f>CleanedData[[#This Row],[Total Sales ($)]]-CleanedData[[#This Row],[Total Cost ($)]]</f>
        <v>77710.719999999972</v>
      </c>
      <c r="P412" s="12">
        <f>CleanedData[[#This Row],[Profit ($)]]/CleanedData[[#This Row],[Total Sales ($)]]</f>
        <v>0.21792917656233377</v>
      </c>
      <c r="Q412" s="8" t="s">
        <v>95</v>
      </c>
      <c r="R412" s="8" t="s">
        <v>32</v>
      </c>
      <c r="S412" s="8" t="b">
        <f>_xlfn.SINGLE(CleanedData[[#This Row],[Delivery Status]])="Late"</f>
        <v>1</v>
      </c>
      <c r="T412" s="10">
        <v>10</v>
      </c>
      <c r="U412" s="8" t="s">
        <v>158</v>
      </c>
      <c r="V412" s="10">
        <v>2501.41</v>
      </c>
      <c r="W412" s="10">
        <v>6</v>
      </c>
      <c r="X412" s="12">
        <v>9.4936708860758993E-3</v>
      </c>
      <c r="Y412" s="8" t="b">
        <f>CleanedData[[#This Row],[Ship Date]]&lt;CleanedData[[#This Row],[Order Date]]</f>
        <v>0</v>
      </c>
      <c r="Z412" s="10">
        <f>YEAR(CleanedData[[#This Row],[Order Date]])</f>
        <v>2023</v>
      </c>
      <c r="AA412" s="8">
        <f>MONTH(CleanedData[[#This Row],[Order Date]])</f>
        <v>1</v>
      </c>
    </row>
    <row r="413" spans="1:27" x14ac:dyDescent="0.35">
      <c r="A413" s="8" t="s">
        <v>1482</v>
      </c>
      <c r="B413" s="9">
        <v>45141</v>
      </c>
      <c r="C413" s="9">
        <v>45118</v>
      </c>
      <c r="D413" s="8" t="s">
        <v>1484</v>
      </c>
      <c r="E413" s="8" t="s">
        <v>58</v>
      </c>
      <c r="F413" s="8" t="s">
        <v>259</v>
      </c>
      <c r="G413" s="8" t="s">
        <v>217</v>
      </c>
      <c r="H413" s="8" t="s">
        <v>524</v>
      </c>
      <c r="I413" s="8" t="s">
        <v>4971</v>
      </c>
      <c r="J413" s="10">
        <v>125</v>
      </c>
      <c r="K413" s="11">
        <v>815.74</v>
      </c>
      <c r="L413" s="11">
        <v>1036.55</v>
      </c>
      <c r="M413" s="11">
        <v>129568.75</v>
      </c>
      <c r="N413" s="11">
        <v>101967.5</v>
      </c>
      <c r="O413" s="11">
        <f>CleanedData[[#This Row],[Total Sales ($)]]-CleanedData[[#This Row],[Total Cost ($)]]</f>
        <v>27601.25</v>
      </c>
      <c r="P413" s="12">
        <f>CleanedData[[#This Row],[Profit ($)]]/CleanedData[[#This Row],[Total Sales ($)]]</f>
        <v>0.21302397375910473</v>
      </c>
      <c r="Q413" s="8" t="s">
        <v>52</v>
      </c>
      <c r="R413" s="8" t="s">
        <v>32</v>
      </c>
      <c r="S413" s="8" t="b">
        <f>_xlfn.SINGLE(CleanedData[[#This Row],[Delivery Status]])="Late"</f>
        <v>1</v>
      </c>
      <c r="T413" s="10">
        <v>15</v>
      </c>
      <c r="U413" s="8" t="s">
        <v>53</v>
      </c>
      <c r="V413" s="10">
        <v>4448</v>
      </c>
      <c r="W413" s="10">
        <v>1</v>
      </c>
      <c r="X413" s="12">
        <v>8.0000000000000002E-3</v>
      </c>
      <c r="Y413" s="8" t="b">
        <f>CleanedData[[#This Row],[Ship Date]]&lt;CleanedData[[#This Row],[Order Date]]</f>
        <v>1</v>
      </c>
      <c r="Z413" s="10">
        <f>YEAR(CleanedData[[#This Row],[Order Date]])</f>
        <v>2023</v>
      </c>
      <c r="AA413" s="8">
        <f>MONTH(CleanedData[[#This Row],[Order Date]])</f>
        <v>8</v>
      </c>
    </row>
    <row r="414" spans="1:27" x14ac:dyDescent="0.35">
      <c r="A414" s="8" t="s">
        <v>1485</v>
      </c>
      <c r="B414" s="9">
        <v>45284</v>
      </c>
      <c r="C414" s="9">
        <v>45213</v>
      </c>
      <c r="D414" s="8" t="s">
        <v>1486</v>
      </c>
      <c r="E414" s="8" t="s">
        <v>100</v>
      </c>
      <c r="F414" s="8" t="s">
        <v>101</v>
      </c>
      <c r="G414" s="8" t="s">
        <v>28</v>
      </c>
      <c r="H414" s="8" t="s">
        <v>507</v>
      </c>
      <c r="I414" s="8" t="s">
        <v>4968</v>
      </c>
      <c r="J414" s="10">
        <v>258</v>
      </c>
      <c r="K414" s="11">
        <v>116.43</v>
      </c>
      <c r="L414" s="11">
        <v>151.58000000000001</v>
      </c>
      <c r="M414" s="11">
        <v>39107.64</v>
      </c>
      <c r="N414" s="11">
        <v>30038.94</v>
      </c>
      <c r="O414" s="11">
        <f>CleanedData[[#This Row],[Total Sales ($)]]-CleanedData[[#This Row],[Total Cost ($)]]</f>
        <v>9068.7000000000007</v>
      </c>
      <c r="P414" s="12">
        <f>CleanedData[[#This Row],[Profit ($)]]/CleanedData[[#This Row],[Total Sales ($)]]</f>
        <v>0.2318907507586753</v>
      </c>
      <c r="Q414" s="8" t="s">
        <v>52</v>
      </c>
      <c r="R414" s="8" t="s">
        <v>63</v>
      </c>
      <c r="S414" s="8" t="b">
        <f>_xlfn.SINGLE(CleanedData[[#This Row],[Delivery Status]])="Late"</f>
        <v>0</v>
      </c>
      <c r="T414" s="10">
        <v>2</v>
      </c>
      <c r="U414" s="8" t="s">
        <v>53</v>
      </c>
      <c r="V414" s="10">
        <v>765</v>
      </c>
      <c r="W414" s="10">
        <v>3</v>
      </c>
      <c r="X414" s="12">
        <v>1.1627906976744099E-2</v>
      </c>
      <c r="Y414" s="8" t="b">
        <f>CleanedData[[#This Row],[Ship Date]]&lt;CleanedData[[#This Row],[Order Date]]</f>
        <v>1</v>
      </c>
      <c r="Z414" s="10">
        <f>YEAR(CleanedData[[#This Row],[Order Date]])</f>
        <v>2023</v>
      </c>
      <c r="AA414" s="8">
        <f>MONTH(CleanedData[[#This Row],[Order Date]])</f>
        <v>12</v>
      </c>
    </row>
    <row r="415" spans="1:27" x14ac:dyDescent="0.35">
      <c r="A415" s="8" t="s">
        <v>1487</v>
      </c>
      <c r="B415" s="9">
        <v>45177</v>
      </c>
      <c r="C415" s="9">
        <v>44942</v>
      </c>
      <c r="D415" s="8" t="s">
        <v>1489</v>
      </c>
      <c r="E415" s="8" t="s">
        <v>26</v>
      </c>
      <c r="F415" s="8" t="s">
        <v>77</v>
      </c>
      <c r="G415" s="8" t="s">
        <v>28</v>
      </c>
      <c r="H415" s="8" t="s">
        <v>29</v>
      </c>
      <c r="I415" s="8" t="s">
        <v>4978</v>
      </c>
      <c r="J415" s="10">
        <v>773</v>
      </c>
      <c r="K415" s="11">
        <v>1059.69</v>
      </c>
      <c r="L415" s="11">
        <v>1563.75</v>
      </c>
      <c r="M415" s="11">
        <v>1208778.75</v>
      </c>
      <c r="N415" s="11">
        <v>819140.37</v>
      </c>
      <c r="O415" s="11">
        <f>CleanedData[[#This Row],[Total Sales ($)]]-CleanedData[[#This Row],[Total Cost ($)]]</f>
        <v>389638.38</v>
      </c>
      <c r="P415" s="12">
        <f>CleanedData[[#This Row],[Profit ($)]]/CleanedData[[#This Row],[Total Sales ($)]]</f>
        <v>0.32234052757793763</v>
      </c>
      <c r="Q415" s="8" t="s">
        <v>95</v>
      </c>
      <c r="R415" s="8" t="s">
        <v>32</v>
      </c>
      <c r="S415" s="8" t="b">
        <f>_xlfn.SINGLE(CleanedData[[#This Row],[Delivery Status]])="Late"</f>
        <v>1</v>
      </c>
      <c r="T415" s="10">
        <v>8</v>
      </c>
      <c r="U415" s="8" t="s">
        <v>112</v>
      </c>
      <c r="V415" s="10">
        <v>4853</v>
      </c>
      <c r="W415" s="10">
        <v>33</v>
      </c>
      <c r="X415" s="12">
        <v>4.2690815006468298E-2</v>
      </c>
      <c r="Y415" s="8" t="b">
        <f>CleanedData[[#This Row],[Ship Date]]&lt;CleanedData[[#This Row],[Order Date]]</f>
        <v>1</v>
      </c>
      <c r="Z415" s="10">
        <f>YEAR(CleanedData[[#This Row],[Order Date]])</f>
        <v>2023</v>
      </c>
      <c r="AA415" s="8">
        <f>MONTH(CleanedData[[#This Row],[Order Date]])</f>
        <v>9</v>
      </c>
    </row>
    <row r="416" spans="1:27" x14ac:dyDescent="0.35">
      <c r="A416" s="8" t="s">
        <v>1490</v>
      </c>
      <c r="B416" s="9">
        <v>45017</v>
      </c>
      <c r="C416" s="9">
        <v>45577</v>
      </c>
      <c r="D416" s="8" t="s">
        <v>1491</v>
      </c>
      <c r="E416" s="8" t="s">
        <v>58</v>
      </c>
      <c r="F416" s="8" t="s">
        <v>417</v>
      </c>
      <c r="G416" s="8" t="s">
        <v>70</v>
      </c>
      <c r="H416" s="8" t="s">
        <v>623</v>
      </c>
      <c r="I416" s="8" t="s">
        <v>4974</v>
      </c>
      <c r="J416" s="10">
        <v>117</v>
      </c>
      <c r="K416" s="11">
        <v>545.87</v>
      </c>
      <c r="L416" s="11"/>
      <c r="M416" s="11">
        <v>81086.850000000006</v>
      </c>
      <c r="N416" s="11">
        <v>63866.79</v>
      </c>
      <c r="O416" s="11">
        <f>CleanedData[[#This Row],[Total Sales ($)]]-CleanedData[[#This Row],[Total Cost ($)]]</f>
        <v>17220.060000000005</v>
      </c>
      <c r="P416" s="12">
        <f>CleanedData[[#This Row],[Profit ($)]]/CleanedData[[#This Row],[Total Sales ($)]]</f>
        <v>0.21236563018541235</v>
      </c>
      <c r="Q416" s="8" t="s">
        <v>42</v>
      </c>
      <c r="R416" s="8" t="s">
        <v>63</v>
      </c>
      <c r="S416" s="8" t="b">
        <f>_xlfn.SINGLE(CleanedData[[#This Row],[Delivery Status]])="Late"</f>
        <v>0</v>
      </c>
      <c r="T416" s="10">
        <v>4</v>
      </c>
      <c r="U416" s="8" t="s">
        <v>33</v>
      </c>
      <c r="V416" s="10">
        <v>2501.41</v>
      </c>
      <c r="W416" s="10">
        <v>5</v>
      </c>
      <c r="X416" s="12">
        <v>4.2735042735042701E-2</v>
      </c>
      <c r="Y416" s="8" t="b">
        <f>CleanedData[[#This Row],[Ship Date]]&lt;CleanedData[[#This Row],[Order Date]]</f>
        <v>0</v>
      </c>
      <c r="Z416" s="10">
        <f>YEAR(CleanedData[[#This Row],[Order Date]])</f>
        <v>2023</v>
      </c>
      <c r="AA416" s="8">
        <f>MONTH(CleanedData[[#This Row],[Order Date]])</f>
        <v>4</v>
      </c>
    </row>
    <row r="417" spans="1:27" x14ac:dyDescent="0.35">
      <c r="A417" s="8" t="s">
        <v>1492</v>
      </c>
      <c r="B417" s="9">
        <v>44976</v>
      </c>
      <c r="C417" s="9">
        <v>45217</v>
      </c>
      <c r="D417" s="8" t="s">
        <v>25</v>
      </c>
      <c r="E417" s="8" t="s">
        <v>48</v>
      </c>
      <c r="F417" s="8" t="s">
        <v>183</v>
      </c>
      <c r="G417" s="8" t="s">
        <v>217</v>
      </c>
      <c r="H417" s="8" t="s">
        <v>684</v>
      </c>
      <c r="I417" s="8" t="s">
        <v>4973</v>
      </c>
      <c r="J417" s="10">
        <v>752</v>
      </c>
      <c r="K417" s="11">
        <v>990.49</v>
      </c>
      <c r="L417" s="11">
        <v>1457.48</v>
      </c>
      <c r="M417" s="11">
        <v>1096024.96</v>
      </c>
      <c r="N417" s="11">
        <v>744848.48</v>
      </c>
      <c r="O417" s="11">
        <f>CleanedData[[#This Row],[Total Sales ($)]]-CleanedData[[#This Row],[Total Cost ($)]]</f>
        <v>351176.48</v>
      </c>
      <c r="P417" s="12">
        <f>CleanedData[[#This Row],[Profit ($)]]/CleanedData[[#This Row],[Total Sales ($)]]</f>
        <v>0.32040919944012952</v>
      </c>
      <c r="Q417" s="8" t="s">
        <v>42</v>
      </c>
      <c r="R417" s="8" t="s">
        <v>32</v>
      </c>
      <c r="S417" s="8" t="b">
        <f>_xlfn.SINGLE(CleanedData[[#This Row],[Delivery Status]])="Late"</f>
        <v>1</v>
      </c>
      <c r="T417" s="10">
        <v>14</v>
      </c>
      <c r="U417" s="8" t="s">
        <v>86</v>
      </c>
      <c r="V417" s="10">
        <v>2097</v>
      </c>
      <c r="W417" s="10">
        <v>13</v>
      </c>
      <c r="X417" s="12">
        <v>1.7287234042553098E-2</v>
      </c>
      <c r="Y417" s="8" t="b">
        <f>CleanedData[[#This Row],[Ship Date]]&lt;CleanedData[[#This Row],[Order Date]]</f>
        <v>0</v>
      </c>
      <c r="Z417" s="10">
        <f>YEAR(CleanedData[[#This Row],[Order Date]])</f>
        <v>2023</v>
      </c>
      <c r="AA417" s="8">
        <f>MONTH(CleanedData[[#This Row],[Order Date]])</f>
        <v>2</v>
      </c>
    </row>
    <row r="418" spans="1:27" x14ac:dyDescent="0.35">
      <c r="A418" s="8" t="s">
        <v>1493</v>
      </c>
      <c r="B418" s="9">
        <v>44978</v>
      </c>
      <c r="C418" s="9">
        <v>45181</v>
      </c>
      <c r="D418" s="8" t="s">
        <v>1494</v>
      </c>
      <c r="E418" s="8" t="s">
        <v>48</v>
      </c>
      <c r="F418" s="8" t="s">
        <v>223</v>
      </c>
      <c r="G418" s="8" t="s">
        <v>28</v>
      </c>
      <c r="H418" s="8" t="s">
        <v>507</v>
      </c>
      <c r="I418" s="8" t="s">
        <v>4967</v>
      </c>
      <c r="J418" s="10">
        <v>55</v>
      </c>
      <c r="K418" s="11">
        <v>472.1</v>
      </c>
      <c r="L418" s="11">
        <v>572.87</v>
      </c>
      <c r="M418" s="11">
        <v>31507.85</v>
      </c>
      <c r="N418" s="11">
        <v>25965.5</v>
      </c>
      <c r="O418" s="11">
        <f>CleanedData[[#This Row],[Total Sales ($)]]-CleanedData[[#This Row],[Total Cost ($)]]</f>
        <v>5542.3499999999985</v>
      </c>
      <c r="P418" s="12">
        <f>CleanedData[[#This Row],[Profit ($)]]/CleanedData[[#This Row],[Total Sales ($)]]</f>
        <v>0.17590378270811874</v>
      </c>
      <c r="Q418" s="8" t="s">
        <v>52</v>
      </c>
      <c r="R418" s="8" t="s">
        <v>63</v>
      </c>
      <c r="S418" s="8" t="b">
        <f>_xlfn.SINGLE(CleanedData[[#This Row],[Delivery Status]])="Late"</f>
        <v>0</v>
      </c>
      <c r="T418" s="10">
        <v>1</v>
      </c>
      <c r="U418" s="8" t="s">
        <v>158</v>
      </c>
      <c r="V418" s="10">
        <v>3771</v>
      </c>
      <c r="W418" s="10">
        <v>1</v>
      </c>
      <c r="X418" s="12">
        <v>1.8181818181818101E-2</v>
      </c>
      <c r="Y418" s="8" t="b">
        <f>CleanedData[[#This Row],[Ship Date]]&lt;CleanedData[[#This Row],[Order Date]]</f>
        <v>0</v>
      </c>
      <c r="Z418" s="10">
        <f>YEAR(CleanedData[[#This Row],[Order Date]])</f>
        <v>2023</v>
      </c>
      <c r="AA418" s="8">
        <f>MONTH(CleanedData[[#This Row],[Order Date]])</f>
        <v>2</v>
      </c>
    </row>
    <row r="419" spans="1:27" x14ac:dyDescent="0.35">
      <c r="A419" s="8" t="s">
        <v>1495</v>
      </c>
      <c r="B419" s="9">
        <v>45279</v>
      </c>
      <c r="C419" s="9">
        <v>44937</v>
      </c>
      <c r="D419" s="8" t="s">
        <v>1497</v>
      </c>
      <c r="E419" s="8" t="s">
        <v>26</v>
      </c>
      <c r="F419" s="8" t="s">
        <v>27</v>
      </c>
      <c r="G419" s="8" t="s">
        <v>189</v>
      </c>
      <c r="H419" s="8" t="s">
        <v>561</v>
      </c>
      <c r="I419" s="8" t="s">
        <v>4970</v>
      </c>
      <c r="J419" s="10">
        <v>334</v>
      </c>
      <c r="K419" s="11">
        <v>576.17999999999995</v>
      </c>
      <c r="L419" s="11">
        <v>793.61</v>
      </c>
      <c r="M419" s="11">
        <v>265065.74</v>
      </c>
      <c r="N419" s="11">
        <v>192444.12</v>
      </c>
      <c r="O419" s="11">
        <f>CleanedData[[#This Row],[Total Sales ($)]]-CleanedData[[#This Row],[Total Cost ($)]]</f>
        <v>72621.62</v>
      </c>
      <c r="P419" s="12">
        <f>CleanedData[[#This Row],[Profit ($)]]/CleanedData[[#This Row],[Total Sales ($)]]</f>
        <v>0.27397588236035331</v>
      </c>
      <c r="Q419" s="8" t="s">
        <v>42</v>
      </c>
      <c r="R419" s="8" t="s">
        <v>32</v>
      </c>
      <c r="S419" s="8" t="b">
        <f>_xlfn.SINGLE(CleanedData[[#This Row],[Delivery Status]])="Late"</f>
        <v>1</v>
      </c>
      <c r="T419" s="10">
        <v>13</v>
      </c>
      <c r="U419" s="8" t="s">
        <v>33</v>
      </c>
      <c r="V419" s="10">
        <v>4538</v>
      </c>
      <c r="W419" s="10">
        <v>13</v>
      </c>
      <c r="X419" s="12">
        <v>3.89221556886227E-2</v>
      </c>
      <c r="Y419" s="8" t="b">
        <f>CleanedData[[#This Row],[Ship Date]]&lt;CleanedData[[#This Row],[Order Date]]</f>
        <v>1</v>
      </c>
      <c r="Z419" s="10">
        <f>YEAR(CleanedData[[#This Row],[Order Date]])</f>
        <v>2023</v>
      </c>
      <c r="AA419" s="8">
        <f>MONTH(CleanedData[[#This Row],[Order Date]])</f>
        <v>12</v>
      </c>
    </row>
    <row r="420" spans="1:27" x14ac:dyDescent="0.35">
      <c r="A420" s="8" t="s">
        <v>1498</v>
      </c>
      <c r="B420" s="9">
        <v>45033</v>
      </c>
      <c r="C420" s="9">
        <v>45161</v>
      </c>
      <c r="D420" s="8" t="s">
        <v>1500</v>
      </c>
      <c r="E420" s="8" t="s">
        <v>26</v>
      </c>
      <c r="F420" s="8" t="s">
        <v>4972</v>
      </c>
      <c r="G420" s="8" t="s">
        <v>93</v>
      </c>
      <c r="H420" s="8" t="s">
        <v>321</v>
      </c>
      <c r="I420" s="8" t="s">
        <v>4974</v>
      </c>
      <c r="J420" s="10">
        <v>784</v>
      </c>
      <c r="K420" s="11">
        <v>1088.6300000000001</v>
      </c>
      <c r="L420" s="11">
        <v>1280.8399999999999</v>
      </c>
      <c r="M420" s="11">
        <v>1004178.56</v>
      </c>
      <c r="N420" s="11">
        <v>853485.92</v>
      </c>
      <c r="O420" s="11">
        <f>CleanedData[[#This Row],[Total Sales ($)]]-CleanedData[[#This Row],[Total Cost ($)]]</f>
        <v>150692.64000000001</v>
      </c>
      <c r="P420" s="12">
        <f>CleanedData[[#This Row],[Profit ($)]]/CleanedData[[#This Row],[Total Sales ($)]]</f>
        <v>0.15006558196183756</v>
      </c>
      <c r="Q420" s="8" t="s">
        <v>31</v>
      </c>
      <c r="R420" s="8" t="s">
        <v>32</v>
      </c>
      <c r="S420" s="8" t="b">
        <f>_xlfn.SINGLE(CleanedData[[#This Row],[Delivery Status]])="Late"</f>
        <v>1</v>
      </c>
      <c r="T420" s="10">
        <v>15</v>
      </c>
      <c r="U420" s="8" t="s">
        <v>53</v>
      </c>
      <c r="V420" s="10">
        <v>4318</v>
      </c>
      <c r="W420" s="10">
        <v>12</v>
      </c>
      <c r="X420" s="12">
        <v>1.53061224489795E-2</v>
      </c>
      <c r="Y420" s="8" t="b">
        <f>CleanedData[[#This Row],[Ship Date]]&lt;CleanedData[[#This Row],[Order Date]]</f>
        <v>0</v>
      </c>
      <c r="Z420" s="10">
        <f>YEAR(CleanedData[[#This Row],[Order Date]])</f>
        <v>2023</v>
      </c>
      <c r="AA420" s="8">
        <f>MONTH(CleanedData[[#This Row],[Order Date]])</f>
        <v>4</v>
      </c>
    </row>
    <row r="421" spans="1:27" x14ac:dyDescent="0.35">
      <c r="A421" s="8" t="s">
        <v>1501</v>
      </c>
      <c r="B421" s="9">
        <v>44941</v>
      </c>
      <c r="C421" s="9">
        <v>45025</v>
      </c>
      <c r="D421" s="8" t="s">
        <v>1503</v>
      </c>
      <c r="E421" s="8" t="s">
        <v>100</v>
      </c>
      <c r="F421" s="8" t="s">
        <v>106</v>
      </c>
      <c r="G421" s="8" t="s">
        <v>78</v>
      </c>
      <c r="H421" s="8" t="s">
        <v>628</v>
      </c>
      <c r="I421" s="8" t="s">
        <v>4976</v>
      </c>
      <c r="J421" s="10">
        <v>604</v>
      </c>
      <c r="K421" s="11">
        <v>199.23</v>
      </c>
      <c r="L421" s="11">
        <v>287.12</v>
      </c>
      <c r="M421" s="11">
        <v>173420.48</v>
      </c>
      <c r="N421" s="11">
        <v>120334.92</v>
      </c>
      <c r="O421" s="11">
        <f>CleanedData[[#This Row],[Total Sales ($)]]-CleanedData[[#This Row],[Total Cost ($)]]</f>
        <v>53085.560000000012</v>
      </c>
      <c r="P421" s="12">
        <f>CleanedData[[#This Row],[Profit ($)]]/CleanedData[[#This Row],[Total Sales ($)]]</f>
        <v>0.306108943995542</v>
      </c>
      <c r="Q421" s="8" t="s">
        <v>31</v>
      </c>
      <c r="R421" s="8" t="s">
        <v>63</v>
      </c>
      <c r="S421" s="8" t="b">
        <f>_xlfn.SINGLE(CleanedData[[#This Row],[Delivery Status]])="Late"</f>
        <v>0</v>
      </c>
      <c r="T421" s="10">
        <v>3</v>
      </c>
      <c r="U421" s="8" t="s">
        <v>53</v>
      </c>
      <c r="V421" s="10">
        <v>2187</v>
      </c>
      <c r="W421" s="10">
        <v>14</v>
      </c>
      <c r="X421" s="12">
        <v>2.3178807947019799E-2</v>
      </c>
      <c r="Y421" s="8" t="b">
        <f>CleanedData[[#This Row],[Ship Date]]&lt;CleanedData[[#This Row],[Order Date]]</f>
        <v>0</v>
      </c>
      <c r="Z421" s="10">
        <f>YEAR(CleanedData[[#This Row],[Order Date]])</f>
        <v>2023</v>
      </c>
      <c r="AA421" s="8">
        <f>MONTH(CleanedData[[#This Row],[Order Date]])</f>
        <v>1</v>
      </c>
    </row>
    <row r="422" spans="1:27" x14ac:dyDescent="0.35">
      <c r="A422" s="8" t="s">
        <v>1504</v>
      </c>
      <c r="B422" s="9">
        <v>45402</v>
      </c>
      <c r="C422" s="9">
        <v>45643</v>
      </c>
      <c r="D422" s="8" t="s">
        <v>1505</v>
      </c>
      <c r="E422" s="8" t="s">
        <v>100</v>
      </c>
      <c r="F422" s="8" t="s">
        <v>538</v>
      </c>
      <c r="G422" s="8" t="s">
        <v>70</v>
      </c>
      <c r="H422" s="8" t="s">
        <v>1019</v>
      </c>
      <c r="I422" s="8" t="s">
        <v>4977</v>
      </c>
      <c r="J422" s="10">
        <v>177</v>
      </c>
      <c r="K422" s="11">
        <v>109.49</v>
      </c>
      <c r="L422" s="11">
        <v>138.28</v>
      </c>
      <c r="M422" s="11">
        <v>24475.56</v>
      </c>
      <c r="N422" s="11">
        <v>19379.73</v>
      </c>
      <c r="O422" s="11">
        <f>CleanedData[[#This Row],[Total Sales ($)]]-CleanedData[[#This Row],[Total Cost ($)]]</f>
        <v>5095.8300000000017</v>
      </c>
      <c r="P422" s="12">
        <f>CleanedData[[#This Row],[Profit ($)]]/CleanedData[[#This Row],[Total Sales ($)]]</f>
        <v>0.20820075209719416</v>
      </c>
      <c r="Q422" s="8" t="s">
        <v>95</v>
      </c>
      <c r="R422" s="8" t="s">
        <v>63</v>
      </c>
      <c r="S422" s="8" t="b">
        <f>_xlfn.SINGLE(CleanedData[[#This Row],[Delivery Status]])="Late"</f>
        <v>0</v>
      </c>
      <c r="T422" s="10">
        <v>5</v>
      </c>
      <c r="U422" s="8" t="s">
        <v>43</v>
      </c>
      <c r="V422" s="10">
        <v>1802</v>
      </c>
      <c r="W422" s="10">
        <v>5</v>
      </c>
      <c r="X422" s="12">
        <v>2.8248587570621399E-2</v>
      </c>
      <c r="Y422" s="8" t="b">
        <f>CleanedData[[#This Row],[Ship Date]]&lt;CleanedData[[#This Row],[Order Date]]</f>
        <v>0</v>
      </c>
      <c r="Z422" s="10">
        <f>YEAR(CleanedData[[#This Row],[Order Date]])</f>
        <v>2024</v>
      </c>
      <c r="AA422" s="8">
        <f>MONTH(CleanedData[[#This Row],[Order Date]])</f>
        <v>4</v>
      </c>
    </row>
    <row r="423" spans="1:27" x14ac:dyDescent="0.35">
      <c r="A423" s="8" t="s">
        <v>1506</v>
      </c>
      <c r="B423" s="9">
        <v>44989</v>
      </c>
      <c r="C423" s="9">
        <v>45253</v>
      </c>
      <c r="D423" s="8" t="s">
        <v>1507</v>
      </c>
      <c r="E423" s="8" t="s">
        <v>68</v>
      </c>
      <c r="F423" s="8" t="s">
        <v>146</v>
      </c>
      <c r="G423" s="8" t="s">
        <v>28</v>
      </c>
      <c r="H423" s="8" t="s">
        <v>29</v>
      </c>
      <c r="I423" s="8" t="s">
        <v>4975</v>
      </c>
      <c r="J423" s="10">
        <v>383</v>
      </c>
      <c r="K423" s="11">
        <v>438.86</v>
      </c>
      <c r="L423" s="11">
        <v>628.41999999999996</v>
      </c>
      <c r="M423" s="11">
        <v>240684.86</v>
      </c>
      <c r="N423" s="11">
        <v>168083.38</v>
      </c>
      <c r="O423" s="11">
        <f>CleanedData[[#This Row],[Total Sales ($)]]-CleanedData[[#This Row],[Total Cost ($)]]</f>
        <v>72601.479999999981</v>
      </c>
      <c r="P423" s="12">
        <f>CleanedData[[#This Row],[Profit ($)]]/CleanedData[[#This Row],[Total Sales ($)]]</f>
        <v>0.30164539639094867</v>
      </c>
      <c r="Q423" s="8" t="s">
        <v>42</v>
      </c>
      <c r="R423" s="8" t="s">
        <v>63</v>
      </c>
      <c r="S423" s="8" t="b">
        <f>_xlfn.SINGLE(CleanedData[[#This Row],[Delivery Status]])="Late"</f>
        <v>0</v>
      </c>
      <c r="T423" s="10">
        <v>2</v>
      </c>
      <c r="U423" s="8" t="s">
        <v>112</v>
      </c>
      <c r="V423" s="10">
        <v>2539</v>
      </c>
      <c r="W423" s="10">
        <v>15</v>
      </c>
      <c r="X423" s="12">
        <v>3.91644908616188E-2</v>
      </c>
      <c r="Y423" s="8" t="b">
        <f>CleanedData[[#This Row],[Ship Date]]&lt;CleanedData[[#This Row],[Order Date]]</f>
        <v>0</v>
      </c>
      <c r="Z423" s="10">
        <f>YEAR(CleanedData[[#This Row],[Order Date]])</f>
        <v>2023</v>
      </c>
      <c r="AA423" s="8">
        <f>MONTH(CleanedData[[#This Row],[Order Date]])</f>
        <v>3</v>
      </c>
    </row>
    <row r="424" spans="1:27" x14ac:dyDescent="0.35">
      <c r="A424" s="8" t="s">
        <v>1508</v>
      </c>
      <c r="B424" s="9">
        <v>45531</v>
      </c>
      <c r="C424" s="9">
        <v>45537</v>
      </c>
      <c r="D424" s="8" t="s">
        <v>1511</v>
      </c>
      <c r="E424" s="8" t="s">
        <v>58</v>
      </c>
      <c r="F424" s="8" t="s">
        <v>259</v>
      </c>
      <c r="G424" s="8" t="s">
        <v>189</v>
      </c>
      <c r="H424" s="8" t="s">
        <v>437</v>
      </c>
      <c r="I424" s="8" t="s">
        <v>4973</v>
      </c>
      <c r="J424" s="10">
        <v>201</v>
      </c>
      <c r="K424" s="11">
        <v>643.33000000000004</v>
      </c>
      <c r="L424" s="11">
        <v>848.3</v>
      </c>
      <c r="M424" s="11">
        <v>170508.3</v>
      </c>
      <c r="N424" s="11">
        <v>129309.33</v>
      </c>
      <c r="O424" s="11">
        <f>CleanedData[[#This Row],[Total Sales ($)]]-CleanedData[[#This Row],[Total Cost ($)]]</f>
        <v>41198.969999999987</v>
      </c>
      <c r="P424" s="12">
        <f>CleanedData[[#This Row],[Profit ($)]]/CleanedData[[#This Row],[Total Sales ($)]]</f>
        <v>0.24162442532123063</v>
      </c>
      <c r="Q424" s="8" t="s">
        <v>42</v>
      </c>
      <c r="R424" s="8" t="s">
        <v>63</v>
      </c>
      <c r="S424" s="8" t="b">
        <f>_xlfn.SINGLE(CleanedData[[#This Row],[Delivery Status]])="Late"</f>
        <v>0</v>
      </c>
      <c r="T424" s="10">
        <v>5</v>
      </c>
      <c r="U424" s="8" t="s">
        <v>53</v>
      </c>
      <c r="V424" s="10">
        <v>1102</v>
      </c>
      <c r="W424" s="10">
        <v>0</v>
      </c>
      <c r="X424" s="12">
        <v>0</v>
      </c>
      <c r="Y424" s="8" t="b">
        <f>CleanedData[[#This Row],[Ship Date]]&lt;CleanedData[[#This Row],[Order Date]]</f>
        <v>0</v>
      </c>
      <c r="Z424" s="10">
        <f>YEAR(CleanedData[[#This Row],[Order Date]])</f>
        <v>2024</v>
      </c>
      <c r="AA424" s="8">
        <f>MONTH(CleanedData[[#This Row],[Order Date]])</f>
        <v>8</v>
      </c>
    </row>
    <row r="425" spans="1:27" x14ac:dyDescent="0.35">
      <c r="A425" s="8" t="s">
        <v>1512</v>
      </c>
      <c r="B425" s="9">
        <v>45491</v>
      </c>
      <c r="C425" s="9">
        <v>45349</v>
      </c>
      <c r="D425" s="8" t="s">
        <v>1515</v>
      </c>
      <c r="E425" s="8" t="s">
        <v>26</v>
      </c>
      <c r="F425" s="8" t="s">
        <v>92</v>
      </c>
      <c r="G425" s="8" t="s">
        <v>70</v>
      </c>
      <c r="H425" s="8" t="s">
        <v>384</v>
      </c>
      <c r="I425" s="8" t="s">
        <v>4979</v>
      </c>
      <c r="J425" s="10">
        <v>547</v>
      </c>
      <c r="K425" s="11">
        <v>1058.3800000000001</v>
      </c>
      <c r="L425" s="11">
        <v>1418.87</v>
      </c>
      <c r="M425" s="11">
        <v>776121.89</v>
      </c>
      <c r="N425" s="11">
        <v>578933.86</v>
      </c>
      <c r="O425" s="11">
        <f>CleanedData[[#This Row],[Total Sales ($)]]-CleanedData[[#This Row],[Total Cost ($)]]</f>
        <v>197188.03000000003</v>
      </c>
      <c r="P425" s="12">
        <f>CleanedData[[#This Row],[Profit ($)]]/CleanedData[[#This Row],[Total Sales ($)]]</f>
        <v>0.2540683783574253</v>
      </c>
      <c r="Q425" s="8" t="s">
        <v>42</v>
      </c>
      <c r="R425" s="8" t="s">
        <v>32</v>
      </c>
      <c r="S425" s="8" t="b">
        <f>_xlfn.SINGLE(CleanedData[[#This Row],[Delivery Status]])="Late"</f>
        <v>1</v>
      </c>
      <c r="T425" s="10">
        <v>6</v>
      </c>
      <c r="U425" s="8" t="s">
        <v>53</v>
      </c>
      <c r="V425" s="10">
        <v>3394</v>
      </c>
      <c r="W425" s="10">
        <v>9</v>
      </c>
      <c r="X425" s="12">
        <v>1.6453382084095001E-2</v>
      </c>
      <c r="Y425" s="8" t="b">
        <f>CleanedData[[#This Row],[Ship Date]]&lt;CleanedData[[#This Row],[Order Date]]</f>
        <v>1</v>
      </c>
      <c r="Z425" s="10">
        <f>YEAR(CleanedData[[#This Row],[Order Date]])</f>
        <v>2024</v>
      </c>
      <c r="AA425" s="8">
        <f>MONTH(CleanedData[[#This Row],[Order Date]])</f>
        <v>7</v>
      </c>
    </row>
    <row r="426" spans="1:27" x14ac:dyDescent="0.35">
      <c r="A426" s="8" t="s">
        <v>1516</v>
      </c>
      <c r="B426" s="9">
        <v>45342</v>
      </c>
      <c r="C426" s="9">
        <v>45634</v>
      </c>
      <c r="D426" s="8" t="s">
        <v>1518</v>
      </c>
      <c r="E426" s="8" t="s">
        <v>26</v>
      </c>
      <c r="F426" s="8" t="s">
        <v>27</v>
      </c>
      <c r="G426" s="8" t="s">
        <v>189</v>
      </c>
      <c r="H426" s="8" t="s">
        <v>437</v>
      </c>
      <c r="I426" s="8" t="s">
        <v>4976</v>
      </c>
      <c r="J426" s="10">
        <v>561</v>
      </c>
      <c r="K426" s="11">
        <v>93.02</v>
      </c>
      <c r="L426" s="11">
        <v>108.41</v>
      </c>
      <c r="M426" s="11">
        <v>60818.01</v>
      </c>
      <c r="N426" s="11">
        <v>52184.22</v>
      </c>
      <c r="O426" s="11">
        <f>CleanedData[[#This Row],[Total Sales ($)]]-CleanedData[[#This Row],[Total Cost ($)]]</f>
        <v>8633.7900000000009</v>
      </c>
      <c r="P426" s="12">
        <f>CleanedData[[#This Row],[Profit ($)]]/CleanedData[[#This Row],[Total Sales ($)]]</f>
        <v>0.14196107370168803</v>
      </c>
      <c r="Q426" s="8" t="s">
        <v>31</v>
      </c>
      <c r="R426" s="8" t="s">
        <v>63</v>
      </c>
      <c r="S426" s="8" t="b">
        <f>_xlfn.SINGLE(CleanedData[[#This Row],[Delivery Status]])="Late"</f>
        <v>0</v>
      </c>
      <c r="T426" s="10">
        <v>5</v>
      </c>
      <c r="U426" s="8" t="s">
        <v>158</v>
      </c>
      <c r="V426" s="10">
        <v>405</v>
      </c>
      <c r="W426" s="10">
        <v>1</v>
      </c>
      <c r="X426" s="12">
        <v>1.7825311942959001E-3</v>
      </c>
      <c r="Y426" s="8" t="b">
        <f>CleanedData[[#This Row],[Ship Date]]&lt;CleanedData[[#This Row],[Order Date]]</f>
        <v>0</v>
      </c>
      <c r="Z426" s="10">
        <f>YEAR(CleanedData[[#This Row],[Order Date]])</f>
        <v>2024</v>
      </c>
      <c r="AA426" s="8">
        <f>MONTH(CleanedData[[#This Row],[Order Date]])</f>
        <v>2</v>
      </c>
    </row>
    <row r="427" spans="1:27" x14ac:dyDescent="0.35">
      <c r="A427" s="8" t="s">
        <v>1519</v>
      </c>
      <c r="B427" s="9">
        <v>45176</v>
      </c>
      <c r="C427" s="9">
        <v>45141</v>
      </c>
      <c r="D427" s="8" t="s">
        <v>1520</v>
      </c>
      <c r="E427" s="8" t="s">
        <v>68</v>
      </c>
      <c r="F427" s="8" t="s">
        <v>249</v>
      </c>
      <c r="G427" s="8" t="s">
        <v>78</v>
      </c>
      <c r="H427" s="8" t="s">
        <v>79</v>
      </c>
      <c r="I427" s="8" t="s">
        <v>4978</v>
      </c>
      <c r="J427" s="10">
        <v>647</v>
      </c>
      <c r="K427" s="11">
        <v>807.86</v>
      </c>
      <c r="L427" s="11">
        <v>973.57</v>
      </c>
      <c r="M427" s="11">
        <v>629899.79</v>
      </c>
      <c r="N427" s="11">
        <v>522685.42</v>
      </c>
      <c r="O427" s="11">
        <f>CleanedData[[#This Row],[Total Sales ($)]]-CleanedData[[#This Row],[Total Cost ($)]]</f>
        <v>107214.37000000005</v>
      </c>
      <c r="P427" s="12">
        <f>CleanedData[[#This Row],[Profit ($)]]/CleanedData[[#This Row],[Total Sales ($)]]</f>
        <v>0.17020861365900763</v>
      </c>
      <c r="Q427" s="8" t="s">
        <v>95</v>
      </c>
      <c r="R427" s="8" t="s">
        <v>63</v>
      </c>
      <c r="S427" s="8" t="b">
        <f>_xlfn.SINGLE(CleanedData[[#This Row],[Delivery Status]])="Late"</f>
        <v>0</v>
      </c>
      <c r="T427" s="10">
        <v>4</v>
      </c>
      <c r="U427" s="8" t="s">
        <v>86</v>
      </c>
      <c r="V427" s="10">
        <v>3332</v>
      </c>
      <c r="W427" s="10">
        <v>16</v>
      </c>
      <c r="X427" s="12">
        <v>2.4729520865533199E-2</v>
      </c>
      <c r="Y427" s="8" t="b">
        <f>CleanedData[[#This Row],[Ship Date]]&lt;CleanedData[[#This Row],[Order Date]]</f>
        <v>1</v>
      </c>
      <c r="Z427" s="10">
        <f>YEAR(CleanedData[[#This Row],[Order Date]])</f>
        <v>2023</v>
      </c>
      <c r="AA427" s="8">
        <f>MONTH(CleanedData[[#This Row],[Order Date]])</f>
        <v>9</v>
      </c>
    </row>
    <row r="428" spans="1:27" x14ac:dyDescent="0.35">
      <c r="A428" s="8" t="s">
        <v>1521</v>
      </c>
      <c r="B428" s="9">
        <v>45213</v>
      </c>
      <c r="C428" s="9">
        <v>45249</v>
      </c>
      <c r="D428" s="8" t="s">
        <v>1523</v>
      </c>
      <c r="E428" s="8" t="s">
        <v>26</v>
      </c>
      <c r="F428" s="8" t="s">
        <v>27</v>
      </c>
      <c r="G428" s="8" t="s">
        <v>129</v>
      </c>
      <c r="H428" s="8" t="s">
        <v>520</v>
      </c>
      <c r="I428" s="8" t="s">
        <v>4976</v>
      </c>
      <c r="J428" s="10">
        <v>357</v>
      </c>
      <c r="K428" s="11">
        <v>674.88</v>
      </c>
      <c r="L428" s="11">
        <v>1037.05</v>
      </c>
      <c r="M428" s="11">
        <v>370226.85</v>
      </c>
      <c r="N428" s="11">
        <v>240932.16</v>
      </c>
      <c r="O428" s="11">
        <f>CleanedData[[#This Row],[Total Sales ($)]]-CleanedData[[#This Row],[Total Cost ($)]]</f>
        <v>129294.68999999997</v>
      </c>
      <c r="P428" s="12">
        <f>CleanedData[[#This Row],[Profit ($)]]/CleanedData[[#This Row],[Total Sales ($)]]</f>
        <v>0.34923099175546013</v>
      </c>
      <c r="Q428" s="8" t="s">
        <v>52</v>
      </c>
      <c r="R428" s="8" t="s">
        <v>32</v>
      </c>
      <c r="S428" s="8" t="b">
        <f>_xlfn.SINGLE(CleanedData[[#This Row],[Delivery Status]])="Late"</f>
        <v>1</v>
      </c>
      <c r="T428" s="10">
        <v>15</v>
      </c>
      <c r="U428" s="8" t="s">
        <v>112</v>
      </c>
      <c r="V428" s="10">
        <v>249</v>
      </c>
      <c r="W428" s="10">
        <v>0</v>
      </c>
      <c r="X428" s="12">
        <v>0</v>
      </c>
      <c r="Y428" s="8" t="b">
        <f>CleanedData[[#This Row],[Ship Date]]&lt;CleanedData[[#This Row],[Order Date]]</f>
        <v>0</v>
      </c>
      <c r="Z428" s="10">
        <f>YEAR(CleanedData[[#This Row],[Order Date]])</f>
        <v>2023</v>
      </c>
      <c r="AA428" s="8">
        <f>MONTH(CleanedData[[#This Row],[Order Date]])</f>
        <v>10</v>
      </c>
    </row>
    <row r="429" spans="1:27" x14ac:dyDescent="0.35">
      <c r="A429" s="8" t="s">
        <v>1524</v>
      </c>
      <c r="B429" s="9">
        <v>45488</v>
      </c>
      <c r="C429" s="9">
        <v>45492</v>
      </c>
      <c r="D429" s="8" t="s">
        <v>1526</v>
      </c>
      <c r="E429" s="8" t="s">
        <v>26</v>
      </c>
      <c r="F429" s="8" t="s">
        <v>38</v>
      </c>
      <c r="G429" s="8" t="s">
        <v>50</v>
      </c>
      <c r="H429" s="8" t="s">
        <v>282</v>
      </c>
      <c r="I429" s="8" t="s">
        <v>4976</v>
      </c>
      <c r="J429" s="10">
        <v>725</v>
      </c>
      <c r="K429" s="11">
        <v>1125.3499999999999</v>
      </c>
      <c r="L429" s="11">
        <v>1334.73</v>
      </c>
      <c r="M429" s="11">
        <v>967679.25</v>
      </c>
      <c r="N429" s="11">
        <v>815878.75</v>
      </c>
      <c r="O429" s="11">
        <f>CleanedData[[#This Row],[Total Sales ($)]]-CleanedData[[#This Row],[Total Cost ($)]]</f>
        <v>151800.5</v>
      </c>
      <c r="P429" s="12">
        <f>CleanedData[[#This Row],[Profit ($)]]/CleanedData[[#This Row],[Total Sales ($)]]</f>
        <v>0.15687067796483184</v>
      </c>
      <c r="Q429" s="8" t="s">
        <v>42</v>
      </c>
      <c r="R429" s="8" t="s">
        <v>32</v>
      </c>
      <c r="S429" s="8" t="b">
        <f>_xlfn.SINGLE(CleanedData[[#This Row],[Delivery Status]])="Late"</f>
        <v>1</v>
      </c>
      <c r="T429" s="10">
        <v>11</v>
      </c>
      <c r="U429" s="8" t="s">
        <v>53</v>
      </c>
      <c r="V429" s="10">
        <v>1793</v>
      </c>
      <c r="W429" s="10">
        <v>20</v>
      </c>
      <c r="X429" s="12">
        <v>2.7586206896551699E-2</v>
      </c>
      <c r="Y429" s="8" t="b">
        <f>CleanedData[[#This Row],[Ship Date]]&lt;CleanedData[[#This Row],[Order Date]]</f>
        <v>0</v>
      </c>
      <c r="Z429" s="10">
        <f>YEAR(CleanedData[[#This Row],[Order Date]])</f>
        <v>2024</v>
      </c>
      <c r="AA429" s="8">
        <f>MONTH(CleanedData[[#This Row],[Order Date]])</f>
        <v>7</v>
      </c>
    </row>
    <row r="430" spans="1:27" x14ac:dyDescent="0.35">
      <c r="A430" s="8" t="s">
        <v>1527</v>
      </c>
      <c r="B430" s="9">
        <v>45237</v>
      </c>
      <c r="C430" s="9">
        <v>45158</v>
      </c>
      <c r="D430" s="8" t="s">
        <v>1528</v>
      </c>
      <c r="E430" s="8" t="s">
        <v>100</v>
      </c>
      <c r="F430" s="8" t="s">
        <v>1529</v>
      </c>
      <c r="G430" s="8" t="s">
        <v>217</v>
      </c>
      <c r="H430" s="8" t="s">
        <v>335</v>
      </c>
      <c r="I430" s="8" t="s">
        <v>4971</v>
      </c>
      <c r="J430" s="10">
        <v>439</v>
      </c>
      <c r="K430" s="11">
        <v>773.89</v>
      </c>
      <c r="L430" s="11">
        <v>896.25</v>
      </c>
      <c r="M430" s="11">
        <v>393453.75</v>
      </c>
      <c r="N430" s="11">
        <v>339737.71</v>
      </c>
      <c r="O430" s="11">
        <f>CleanedData[[#This Row],[Total Sales ($)]]-CleanedData[[#This Row],[Total Cost ($)]]</f>
        <v>53716.039999999979</v>
      </c>
      <c r="P430" s="12">
        <f>CleanedData[[#This Row],[Profit ($)]]/CleanedData[[#This Row],[Total Sales ($)]]</f>
        <v>0.13652440725244067</v>
      </c>
      <c r="Q430" s="8" t="s">
        <v>95</v>
      </c>
      <c r="R430" s="8" t="s">
        <v>63</v>
      </c>
      <c r="S430" s="8" t="b">
        <f>_xlfn.SINGLE(CleanedData[[#This Row],[Delivery Status]])="Late"</f>
        <v>0</v>
      </c>
      <c r="T430" s="10">
        <v>1</v>
      </c>
      <c r="U430" s="8" t="s">
        <v>158</v>
      </c>
      <c r="V430" s="10">
        <v>84</v>
      </c>
      <c r="W430" s="10">
        <v>21</v>
      </c>
      <c r="X430" s="12">
        <v>4.7835990888382598E-2</v>
      </c>
      <c r="Y430" s="8" t="b">
        <f>CleanedData[[#This Row],[Ship Date]]&lt;CleanedData[[#This Row],[Order Date]]</f>
        <v>1</v>
      </c>
      <c r="Z430" s="10">
        <f>YEAR(CleanedData[[#This Row],[Order Date]])</f>
        <v>2023</v>
      </c>
      <c r="AA430" s="8">
        <f>MONTH(CleanedData[[#This Row],[Order Date]])</f>
        <v>11</v>
      </c>
    </row>
    <row r="431" spans="1:27" x14ac:dyDescent="0.35">
      <c r="A431" s="8" t="s">
        <v>1530</v>
      </c>
      <c r="B431" s="9">
        <v>45485</v>
      </c>
      <c r="C431" s="9">
        <v>45480</v>
      </c>
      <c r="D431" s="8" t="s">
        <v>1532</v>
      </c>
      <c r="E431" s="8" t="s">
        <v>48</v>
      </c>
      <c r="F431" s="8" t="s">
        <v>223</v>
      </c>
      <c r="G431" s="8" t="s">
        <v>129</v>
      </c>
      <c r="H431" s="8" t="s">
        <v>520</v>
      </c>
      <c r="I431" s="8" t="s">
        <v>4976</v>
      </c>
      <c r="J431" s="10">
        <v>83</v>
      </c>
      <c r="K431" s="11">
        <v>180.52</v>
      </c>
      <c r="L431" s="11">
        <v>252.01</v>
      </c>
      <c r="M431" s="11">
        <v>20916.830000000002</v>
      </c>
      <c r="N431" s="11">
        <v>14983.16</v>
      </c>
      <c r="O431" s="11">
        <f>CleanedData[[#This Row],[Total Sales ($)]]-CleanedData[[#This Row],[Total Cost ($)]]</f>
        <v>5933.6700000000019</v>
      </c>
      <c r="P431" s="12">
        <f>CleanedData[[#This Row],[Profit ($)]]/CleanedData[[#This Row],[Total Sales ($)]]</f>
        <v>0.28367921907860805</v>
      </c>
      <c r="Q431" s="8" t="s">
        <v>42</v>
      </c>
      <c r="R431" s="8" t="s">
        <v>32</v>
      </c>
      <c r="S431" s="8" t="b">
        <f>_xlfn.SINGLE(CleanedData[[#This Row],[Delivery Status]])="Late"</f>
        <v>1</v>
      </c>
      <c r="T431" s="10">
        <v>9</v>
      </c>
      <c r="U431" s="8" t="s">
        <v>43</v>
      </c>
      <c r="V431" s="10">
        <v>4240</v>
      </c>
      <c r="W431" s="10">
        <v>4</v>
      </c>
      <c r="X431" s="12">
        <v>4.8192771084337303E-2</v>
      </c>
      <c r="Y431" s="8" t="b">
        <f>CleanedData[[#This Row],[Ship Date]]&lt;CleanedData[[#This Row],[Order Date]]</f>
        <v>1</v>
      </c>
      <c r="Z431" s="10">
        <f>YEAR(CleanedData[[#This Row],[Order Date]])</f>
        <v>2024</v>
      </c>
      <c r="AA431" s="8">
        <f>MONTH(CleanedData[[#This Row],[Order Date]])</f>
        <v>7</v>
      </c>
    </row>
    <row r="432" spans="1:27" x14ac:dyDescent="0.35">
      <c r="A432" s="8" t="s">
        <v>1533</v>
      </c>
      <c r="B432" s="9">
        <v>45342</v>
      </c>
      <c r="C432" s="9">
        <v>45323</v>
      </c>
      <c r="D432" s="8" t="s">
        <v>1534</v>
      </c>
      <c r="E432" s="8" t="s">
        <v>48</v>
      </c>
      <c r="F432" s="8" t="s">
        <v>49</v>
      </c>
      <c r="G432" s="8" t="s">
        <v>50</v>
      </c>
      <c r="H432" s="8" t="s">
        <v>173</v>
      </c>
      <c r="I432" s="8" t="s">
        <v>4974</v>
      </c>
      <c r="J432" s="10">
        <v>410</v>
      </c>
      <c r="K432" s="11">
        <v>456.76</v>
      </c>
      <c r="L432" s="11">
        <v>536.08000000000004</v>
      </c>
      <c r="M432" s="11">
        <v>219792.8</v>
      </c>
      <c r="N432" s="11">
        <v>187271.6</v>
      </c>
      <c r="O432" s="11">
        <f>CleanedData[[#This Row],[Total Sales ($)]]-CleanedData[[#This Row],[Total Cost ($)]]</f>
        <v>32521.199999999983</v>
      </c>
      <c r="P432" s="12">
        <f>CleanedData[[#This Row],[Profit ($)]]/CleanedData[[#This Row],[Total Sales ($)]]</f>
        <v>0.14796299059841808</v>
      </c>
      <c r="Q432" s="8" t="s">
        <v>42</v>
      </c>
      <c r="R432" s="8" t="s">
        <v>63</v>
      </c>
      <c r="S432" s="8" t="b">
        <f>_xlfn.SINGLE(CleanedData[[#This Row],[Delivery Status]])="Late"</f>
        <v>0</v>
      </c>
      <c r="T432" s="10">
        <v>2</v>
      </c>
      <c r="U432" s="8" t="s">
        <v>158</v>
      </c>
      <c r="V432" s="10">
        <v>3717</v>
      </c>
      <c r="W432" s="10">
        <v>3</v>
      </c>
      <c r="X432" s="12">
        <v>7.3170731707316999E-3</v>
      </c>
      <c r="Y432" s="8" t="b">
        <f>CleanedData[[#This Row],[Ship Date]]&lt;CleanedData[[#This Row],[Order Date]]</f>
        <v>1</v>
      </c>
      <c r="Z432" s="10">
        <f>YEAR(CleanedData[[#This Row],[Order Date]])</f>
        <v>2024</v>
      </c>
      <c r="AA432" s="8">
        <f>MONTH(CleanedData[[#This Row],[Order Date]])</f>
        <v>2</v>
      </c>
    </row>
    <row r="433" spans="1:27" x14ac:dyDescent="0.35">
      <c r="A433" s="8" t="s">
        <v>1535</v>
      </c>
      <c r="B433" s="9">
        <v>45220</v>
      </c>
      <c r="C433" s="9">
        <v>45031</v>
      </c>
      <c r="D433" s="8" t="s">
        <v>729</v>
      </c>
      <c r="E433" s="8" t="s">
        <v>58</v>
      </c>
      <c r="F433" s="8" t="s">
        <v>122</v>
      </c>
      <c r="G433" s="8" t="s">
        <v>217</v>
      </c>
      <c r="H433" s="8" t="s">
        <v>218</v>
      </c>
      <c r="I433" s="8" t="s">
        <v>4977</v>
      </c>
      <c r="J433" s="10">
        <v>517</v>
      </c>
      <c r="K433" s="11">
        <v>724.96</v>
      </c>
      <c r="L433" s="11">
        <v>853.7</v>
      </c>
      <c r="M433" s="11">
        <v>441362.9</v>
      </c>
      <c r="N433" s="11">
        <v>374804.32</v>
      </c>
      <c r="O433" s="11">
        <f>CleanedData[[#This Row],[Total Sales ($)]]-CleanedData[[#This Row],[Total Cost ($)]]</f>
        <v>66558.580000000016</v>
      </c>
      <c r="P433" s="12">
        <f>CleanedData[[#This Row],[Profit ($)]]/CleanedData[[#This Row],[Total Sales ($)]]</f>
        <v>0.15080238959821954</v>
      </c>
      <c r="Q433" s="8" t="s">
        <v>95</v>
      </c>
      <c r="R433" s="8" t="s">
        <v>32</v>
      </c>
      <c r="S433" s="8" t="b">
        <f>_xlfn.SINGLE(CleanedData[[#This Row],[Delivery Status]])="Late"</f>
        <v>1</v>
      </c>
      <c r="T433" s="10">
        <v>14</v>
      </c>
      <c r="U433" s="8" t="s">
        <v>86</v>
      </c>
      <c r="V433" s="10">
        <v>4569</v>
      </c>
      <c r="W433" s="10">
        <v>23</v>
      </c>
      <c r="X433" s="12">
        <v>4.4487427466150802E-2</v>
      </c>
      <c r="Y433" s="8" t="b">
        <f>CleanedData[[#This Row],[Ship Date]]&lt;CleanedData[[#This Row],[Order Date]]</f>
        <v>1</v>
      </c>
      <c r="Z433" s="10">
        <f>YEAR(CleanedData[[#This Row],[Order Date]])</f>
        <v>2023</v>
      </c>
      <c r="AA433" s="8">
        <f>MONTH(CleanedData[[#This Row],[Order Date]])</f>
        <v>10</v>
      </c>
    </row>
    <row r="434" spans="1:27" x14ac:dyDescent="0.35">
      <c r="A434" s="8" t="s">
        <v>1537</v>
      </c>
      <c r="B434" s="9">
        <v>45239</v>
      </c>
      <c r="C434" s="9">
        <v>45271</v>
      </c>
      <c r="D434" s="8" t="s">
        <v>1540</v>
      </c>
      <c r="E434" s="8" t="s">
        <v>68</v>
      </c>
      <c r="F434" s="8" t="s">
        <v>276</v>
      </c>
      <c r="G434" s="8" t="s">
        <v>39</v>
      </c>
      <c r="H434" s="8" t="s">
        <v>664</v>
      </c>
      <c r="I434" s="8" t="s">
        <v>4978</v>
      </c>
      <c r="J434" s="10">
        <v>238</v>
      </c>
      <c r="K434" s="11">
        <v>983.29</v>
      </c>
      <c r="L434" s="11">
        <v>1241.23</v>
      </c>
      <c r="M434" s="11">
        <v>295412.74</v>
      </c>
      <c r="N434" s="11">
        <v>234023.02</v>
      </c>
      <c r="O434" s="11">
        <f>CleanedData[[#This Row],[Total Sales ($)]]-CleanedData[[#This Row],[Total Cost ($)]]</f>
        <v>61389.72</v>
      </c>
      <c r="P434" s="12">
        <f>CleanedData[[#This Row],[Profit ($)]]/CleanedData[[#This Row],[Total Sales ($)]]</f>
        <v>0.20780999492438954</v>
      </c>
      <c r="Q434" s="8" t="s">
        <v>42</v>
      </c>
      <c r="R434" s="8" t="s">
        <v>32</v>
      </c>
      <c r="S434" s="8" t="b">
        <f>_xlfn.SINGLE(CleanedData[[#This Row],[Delivery Status]])="Late"</f>
        <v>1</v>
      </c>
      <c r="T434" s="10">
        <v>13</v>
      </c>
      <c r="U434" s="8" t="s">
        <v>33</v>
      </c>
      <c r="V434" s="10">
        <v>3965</v>
      </c>
      <c r="W434" s="10">
        <v>5</v>
      </c>
      <c r="X434" s="12">
        <v>2.1008403361344501E-2</v>
      </c>
      <c r="Y434" s="8" t="b">
        <f>CleanedData[[#This Row],[Ship Date]]&lt;CleanedData[[#This Row],[Order Date]]</f>
        <v>0</v>
      </c>
      <c r="Z434" s="10">
        <f>YEAR(CleanedData[[#This Row],[Order Date]])</f>
        <v>2023</v>
      </c>
      <c r="AA434" s="8">
        <f>MONTH(CleanedData[[#This Row],[Order Date]])</f>
        <v>11</v>
      </c>
    </row>
    <row r="435" spans="1:27" x14ac:dyDescent="0.35">
      <c r="A435" s="8" t="s">
        <v>1541</v>
      </c>
      <c r="B435" s="9">
        <v>45063</v>
      </c>
      <c r="C435" s="9">
        <v>44948</v>
      </c>
      <c r="D435" s="8" t="s">
        <v>1543</v>
      </c>
      <c r="E435" s="8" t="s">
        <v>58</v>
      </c>
      <c r="F435" s="8" t="s">
        <v>417</v>
      </c>
      <c r="G435" s="8" t="s">
        <v>60</v>
      </c>
      <c r="H435" s="8" t="s">
        <v>164</v>
      </c>
      <c r="I435" s="8" t="s">
        <v>4978</v>
      </c>
      <c r="J435" s="10">
        <v>559</v>
      </c>
      <c r="K435" s="11">
        <v>947.03</v>
      </c>
      <c r="L435" s="11">
        <v>1074.8499999999999</v>
      </c>
      <c r="M435" s="11">
        <v>600841.15</v>
      </c>
      <c r="N435" s="11">
        <v>529389.77</v>
      </c>
      <c r="O435" s="11">
        <f>CleanedData[[#This Row],[Total Sales ($)]]-CleanedData[[#This Row],[Total Cost ($)]]</f>
        <v>71451.38</v>
      </c>
      <c r="P435" s="12">
        <f>CleanedData[[#This Row],[Profit ($)]]/CleanedData[[#This Row],[Total Sales ($)]]</f>
        <v>0.11891891891891893</v>
      </c>
      <c r="Q435" s="8" t="s">
        <v>42</v>
      </c>
      <c r="R435" s="8" t="s">
        <v>32</v>
      </c>
      <c r="S435" s="8" t="b">
        <f>_xlfn.SINGLE(CleanedData[[#This Row],[Delivery Status]])="Late"</f>
        <v>1</v>
      </c>
      <c r="T435" s="10">
        <v>9</v>
      </c>
      <c r="U435" s="8" t="s">
        <v>53</v>
      </c>
      <c r="V435" s="10">
        <v>2557</v>
      </c>
      <c r="W435" s="10">
        <v>4</v>
      </c>
      <c r="X435" s="12">
        <v>7.1556350626117999E-3</v>
      </c>
      <c r="Y435" s="8" t="b">
        <f>CleanedData[[#This Row],[Ship Date]]&lt;CleanedData[[#This Row],[Order Date]]</f>
        <v>1</v>
      </c>
      <c r="Z435" s="10">
        <f>YEAR(CleanedData[[#This Row],[Order Date]])</f>
        <v>2023</v>
      </c>
      <c r="AA435" s="8">
        <f>MONTH(CleanedData[[#This Row],[Order Date]])</f>
        <v>5</v>
      </c>
    </row>
    <row r="436" spans="1:27" x14ac:dyDescent="0.35">
      <c r="A436" s="8" t="s">
        <v>1544</v>
      </c>
      <c r="B436" s="9">
        <v>45210</v>
      </c>
      <c r="C436" s="9">
        <v>45000</v>
      </c>
      <c r="D436" s="8" t="s">
        <v>1545</v>
      </c>
      <c r="E436" s="8" t="s">
        <v>48</v>
      </c>
      <c r="F436" s="8" t="s">
        <v>223</v>
      </c>
      <c r="G436" s="8" t="s">
        <v>78</v>
      </c>
      <c r="H436" s="8" t="s">
        <v>425</v>
      </c>
      <c r="I436" s="8" t="s">
        <v>4976</v>
      </c>
      <c r="J436" s="10">
        <v>375</v>
      </c>
      <c r="K436" s="11">
        <v>927.4</v>
      </c>
      <c r="L436" s="11">
        <v>1355.72</v>
      </c>
      <c r="M436" s="11">
        <v>508395</v>
      </c>
      <c r="N436" s="11">
        <v>347775</v>
      </c>
      <c r="O436" s="11">
        <f>CleanedData[[#This Row],[Total Sales ($)]]-CleanedData[[#This Row],[Total Cost ($)]]</f>
        <v>160620</v>
      </c>
      <c r="P436" s="12">
        <f>CleanedData[[#This Row],[Profit ($)]]/CleanedData[[#This Row],[Total Sales ($)]]</f>
        <v>0.31593544389696987</v>
      </c>
      <c r="Q436" s="8" t="s">
        <v>52</v>
      </c>
      <c r="R436" s="8" t="s">
        <v>32</v>
      </c>
      <c r="S436" s="8" t="b">
        <f>_xlfn.SINGLE(CleanedData[[#This Row],[Delivery Status]])="Late"</f>
        <v>1</v>
      </c>
      <c r="T436" s="10">
        <v>11</v>
      </c>
      <c r="U436" s="8" t="s">
        <v>86</v>
      </c>
      <c r="V436" s="10">
        <v>2250</v>
      </c>
      <c r="W436" s="10">
        <v>14</v>
      </c>
      <c r="X436" s="12">
        <v>3.7333333333333302E-2</v>
      </c>
      <c r="Y436" s="8" t="b">
        <f>CleanedData[[#This Row],[Ship Date]]&lt;CleanedData[[#This Row],[Order Date]]</f>
        <v>1</v>
      </c>
      <c r="Z436" s="10">
        <f>YEAR(CleanedData[[#This Row],[Order Date]])</f>
        <v>2023</v>
      </c>
      <c r="AA436" s="8">
        <f>MONTH(CleanedData[[#This Row],[Order Date]])</f>
        <v>10</v>
      </c>
    </row>
    <row r="437" spans="1:27" x14ac:dyDescent="0.35">
      <c r="A437" s="8" t="s">
        <v>1546</v>
      </c>
      <c r="B437" s="9">
        <v>45100</v>
      </c>
      <c r="C437" s="9">
        <v>45103</v>
      </c>
      <c r="D437" s="8" t="s">
        <v>1029</v>
      </c>
      <c r="E437" s="8" t="s">
        <v>100</v>
      </c>
      <c r="F437" s="8" t="s">
        <v>101</v>
      </c>
      <c r="G437" s="8" t="s">
        <v>78</v>
      </c>
      <c r="H437" s="8" t="s">
        <v>123</v>
      </c>
      <c r="I437" s="8" t="s">
        <v>4975</v>
      </c>
      <c r="J437" s="10">
        <v>121</v>
      </c>
      <c r="K437" s="11">
        <v>790.01</v>
      </c>
      <c r="L437" s="11">
        <v>918.71</v>
      </c>
      <c r="M437" s="11">
        <v>111163.91</v>
      </c>
      <c r="N437" s="11">
        <v>95591.21</v>
      </c>
      <c r="O437" s="11">
        <f>CleanedData[[#This Row],[Total Sales ($)]]-CleanedData[[#This Row],[Total Cost ($)]]</f>
        <v>15572.699999999997</v>
      </c>
      <c r="P437" s="12">
        <f>CleanedData[[#This Row],[Profit ($)]]/CleanedData[[#This Row],[Total Sales ($)]]</f>
        <v>0.14008773171076833</v>
      </c>
      <c r="Q437" s="8" t="s">
        <v>42</v>
      </c>
      <c r="R437" s="8" t="s">
        <v>32</v>
      </c>
      <c r="S437" s="8" t="b">
        <f>_xlfn.SINGLE(CleanedData[[#This Row],[Delivery Status]])="Late"</f>
        <v>1</v>
      </c>
      <c r="T437" s="10">
        <v>8</v>
      </c>
      <c r="U437" s="8" t="s">
        <v>86</v>
      </c>
      <c r="V437" s="10">
        <v>4573</v>
      </c>
      <c r="W437" s="10">
        <v>3</v>
      </c>
      <c r="X437" s="12">
        <v>2.4793388429752001E-2</v>
      </c>
      <c r="Y437" s="8" t="b">
        <f>CleanedData[[#This Row],[Ship Date]]&lt;CleanedData[[#This Row],[Order Date]]</f>
        <v>0</v>
      </c>
      <c r="Z437" s="10">
        <f>YEAR(CleanedData[[#This Row],[Order Date]])</f>
        <v>2023</v>
      </c>
      <c r="AA437" s="8">
        <f>MONTH(CleanedData[[#This Row],[Order Date]])</f>
        <v>6</v>
      </c>
    </row>
    <row r="438" spans="1:27" x14ac:dyDescent="0.35">
      <c r="A438" s="8" t="s">
        <v>1547</v>
      </c>
      <c r="B438" s="9">
        <v>45549</v>
      </c>
      <c r="C438" s="9">
        <v>45308</v>
      </c>
      <c r="D438" s="8" t="s">
        <v>1548</v>
      </c>
      <c r="E438" s="8" t="s">
        <v>48</v>
      </c>
      <c r="F438" s="8" t="s">
        <v>49</v>
      </c>
      <c r="G438" s="8" t="s">
        <v>60</v>
      </c>
      <c r="H438" s="8" t="s">
        <v>265</v>
      </c>
      <c r="I438" s="8" t="s">
        <v>4973</v>
      </c>
      <c r="J438" s="10">
        <v>363</v>
      </c>
      <c r="K438" s="11">
        <v>483.93</v>
      </c>
      <c r="L438" s="11">
        <v>543.5</v>
      </c>
      <c r="M438" s="11">
        <v>197290.5</v>
      </c>
      <c r="N438" s="11">
        <v>175666.59</v>
      </c>
      <c r="O438" s="11">
        <f>CleanedData[[#This Row],[Total Sales ($)]]-CleanedData[[#This Row],[Total Cost ($)]]</f>
        <v>21623.910000000003</v>
      </c>
      <c r="P438" s="12">
        <f>CleanedData[[#This Row],[Profit ($)]]/CleanedData[[#This Row],[Total Sales ($)]]</f>
        <v>0.10960441582336708</v>
      </c>
      <c r="Q438" s="8" t="s">
        <v>42</v>
      </c>
      <c r="R438" s="8" t="s">
        <v>63</v>
      </c>
      <c r="S438" s="8" t="b">
        <f>_xlfn.SINGLE(CleanedData[[#This Row],[Delivery Status]])="Late"</f>
        <v>0</v>
      </c>
      <c r="T438" s="10">
        <v>4</v>
      </c>
      <c r="U438" s="8" t="s">
        <v>53</v>
      </c>
      <c r="V438" s="10">
        <v>1953</v>
      </c>
      <c r="W438" s="10">
        <v>12</v>
      </c>
      <c r="X438" s="12">
        <v>3.3057851239669402E-2</v>
      </c>
      <c r="Y438" s="8" t="b">
        <f>CleanedData[[#This Row],[Ship Date]]&lt;CleanedData[[#This Row],[Order Date]]</f>
        <v>1</v>
      </c>
      <c r="Z438" s="10">
        <f>YEAR(CleanedData[[#This Row],[Order Date]])</f>
        <v>2024</v>
      </c>
      <c r="AA438" s="8">
        <f>MONTH(CleanedData[[#This Row],[Order Date]])</f>
        <v>9</v>
      </c>
    </row>
    <row r="439" spans="1:27" x14ac:dyDescent="0.35">
      <c r="A439" s="8" t="s">
        <v>1550</v>
      </c>
      <c r="B439" s="9">
        <v>45650</v>
      </c>
      <c r="C439" s="9">
        <v>45438</v>
      </c>
      <c r="D439" s="8" t="s">
        <v>1553</v>
      </c>
      <c r="E439" s="8" t="s">
        <v>68</v>
      </c>
      <c r="F439" s="8" t="s">
        <v>249</v>
      </c>
      <c r="G439" s="8" t="s">
        <v>28</v>
      </c>
      <c r="H439" s="8" t="s">
        <v>254</v>
      </c>
      <c r="I439" s="8" t="s">
        <v>4970</v>
      </c>
      <c r="J439" s="10">
        <v>158</v>
      </c>
      <c r="K439" s="11">
        <v>888.02</v>
      </c>
      <c r="L439" s="11">
        <v>1305.07</v>
      </c>
      <c r="M439" s="11">
        <v>206201.06</v>
      </c>
      <c r="N439" s="11">
        <v>140307.16</v>
      </c>
      <c r="O439" s="11">
        <f>CleanedData[[#This Row],[Total Sales ($)]]-CleanedData[[#This Row],[Total Cost ($)]]</f>
        <v>65893.899999999994</v>
      </c>
      <c r="P439" s="12">
        <f>CleanedData[[#This Row],[Profit ($)]]/CleanedData[[#This Row],[Total Sales ($)]]</f>
        <v>0.31956140283662943</v>
      </c>
      <c r="Q439" s="8" t="s">
        <v>31</v>
      </c>
      <c r="R439" s="8" t="s">
        <v>32</v>
      </c>
      <c r="S439" s="8" t="b">
        <f>_xlfn.SINGLE(CleanedData[[#This Row],[Delivery Status]])="Late"</f>
        <v>1</v>
      </c>
      <c r="T439" s="10">
        <v>10</v>
      </c>
      <c r="U439" s="8" t="s">
        <v>112</v>
      </c>
      <c r="V439" s="10">
        <v>4467</v>
      </c>
      <c r="W439" s="10">
        <v>5</v>
      </c>
      <c r="X439" s="12">
        <v>3.1645569620253097E-2</v>
      </c>
      <c r="Y439" s="8" t="b">
        <f>CleanedData[[#This Row],[Ship Date]]&lt;CleanedData[[#This Row],[Order Date]]</f>
        <v>1</v>
      </c>
      <c r="Z439" s="10">
        <f>YEAR(CleanedData[[#This Row],[Order Date]])</f>
        <v>2024</v>
      </c>
      <c r="AA439" s="8">
        <f>MONTH(CleanedData[[#This Row],[Order Date]])</f>
        <v>12</v>
      </c>
    </row>
    <row r="440" spans="1:27" x14ac:dyDescent="0.35">
      <c r="A440" s="8" t="s">
        <v>1554</v>
      </c>
      <c r="B440" s="9">
        <v>45049</v>
      </c>
      <c r="C440" s="9">
        <v>45093</v>
      </c>
      <c r="D440" s="8" t="s">
        <v>1555</v>
      </c>
      <c r="E440" s="8" t="s">
        <v>26</v>
      </c>
      <c r="F440" s="8" t="s">
        <v>92</v>
      </c>
      <c r="G440" s="8" t="s">
        <v>50</v>
      </c>
      <c r="H440" s="8" t="s">
        <v>734</v>
      </c>
      <c r="I440" s="8" t="s">
        <v>4975</v>
      </c>
      <c r="J440" s="10">
        <v>11</v>
      </c>
      <c r="K440" s="11">
        <v>900.72</v>
      </c>
      <c r="L440" s="11">
        <v>1207.29</v>
      </c>
      <c r="M440" s="11">
        <v>13280.19</v>
      </c>
      <c r="N440" s="11">
        <v>9907.92</v>
      </c>
      <c r="O440" s="11">
        <f>CleanedData[[#This Row],[Total Sales ($)]]-CleanedData[[#This Row],[Total Cost ($)]]</f>
        <v>3372.2700000000004</v>
      </c>
      <c r="P440" s="12">
        <f>CleanedData[[#This Row],[Profit ($)]]/CleanedData[[#This Row],[Total Sales ($)]]</f>
        <v>0.25393236090748705</v>
      </c>
      <c r="Q440" s="8" t="s">
        <v>31</v>
      </c>
      <c r="R440" s="8" t="s">
        <v>32</v>
      </c>
      <c r="S440" s="8" t="b">
        <f>_xlfn.SINGLE(CleanedData[[#This Row],[Delivery Status]])="Late"</f>
        <v>1</v>
      </c>
      <c r="T440" s="10">
        <v>15</v>
      </c>
      <c r="U440" s="8" t="s">
        <v>33</v>
      </c>
      <c r="V440" s="10">
        <v>1771</v>
      </c>
      <c r="W440" s="10">
        <v>1</v>
      </c>
      <c r="X440" s="12">
        <v>9.0909090909090898E-2</v>
      </c>
      <c r="Y440" s="8" t="b">
        <f>CleanedData[[#This Row],[Ship Date]]&lt;CleanedData[[#This Row],[Order Date]]</f>
        <v>0</v>
      </c>
      <c r="Z440" s="10">
        <f>YEAR(CleanedData[[#This Row],[Order Date]])</f>
        <v>2023</v>
      </c>
      <c r="AA440" s="8">
        <f>MONTH(CleanedData[[#This Row],[Order Date]])</f>
        <v>5</v>
      </c>
    </row>
    <row r="441" spans="1:27" x14ac:dyDescent="0.35">
      <c r="A441" s="8" t="s">
        <v>1556</v>
      </c>
      <c r="B441" s="9">
        <v>45055</v>
      </c>
      <c r="C441" s="9">
        <v>45132</v>
      </c>
      <c r="D441" s="8" t="s">
        <v>1557</v>
      </c>
      <c r="E441" s="8" t="s">
        <v>68</v>
      </c>
      <c r="F441" s="8" t="s">
        <v>249</v>
      </c>
      <c r="G441" s="8" t="s">
        <v>217</v>
      </c>
      <c r="H441" s="8" t="s">
        <v>340</v>
      </c>
      <c r="I441" s="8" t="s">
        <v>4976</v>
      </c>
      <c r="J441" s="10">
        <v>388</v>
      </c>
      <c r="K441" s="11">
        <v>989.67</v>
      </c>
      <c r="L441" s="11">
        <v>1533.8</v>
      </c>
      <c r="M441" s="11">
        <v>595114.4</v>
      </c>
      <c r="N441" s="11">
        <v>383991.96</v>
      </c>
      <c r="O441" s="11">
        <f>CleanedData[[#This Row],[Total Sales ($)]]-CleanedData[[#This Row],[Total Cost ($)]]</f>
        <v>211122.44</v>
      </c>
      <c r="P441" s="12">
        <f>CleanedData[[#This Row],[Profit ($)]]/CleanedData[[#This Row],[Total Sales ($)]]</f>
        <v>0.35475942104576869</v>
      </c>
      <c r="Q441" s="8" t="s">
        <v>52</v>
      </c>
      <c r="R441" s="8" t="s">
        <v>63</v>
      </c>
      <c r="S441" s="8" t="b">
        <f>_xlfn.SINGLE(CleanedData[[#This Row],[Delivery Status]])="Late"</f>
        <v>0</v>
      </c>
      <c r="T441" s="10">
        <v>5</v>
      </c>
      <c r="U441" s="8" t="s">
        <v>53</v>
      </c>
      <c r="V441" s="10">
        <v>610</v>
      </c>
      <c r="W441" s="10">
        <v>5</v>
      </c>
      <c r="X441" s="12">
        <v>1.28865979381443E-2</v>
      </c>
      <c r="Y441" s="8" t="b">
        <f>CleanedData[[#This Row],[Ship Date]]&lt;CleanedData[[#This Row],[Order Date]]</f>
        <v>0</v>
      </c>
      <c r="Z441" s="10">
        <f>YEAR(CleanedData[[#This Row],[Order Date]])</f>
        <v>2023</v>
      </c>
      <c r="AA441" s="8">
        <f>MONTH(CleanedData[[#This Row],[Order Date]])</f>
        <v>5</v>
      </c>
    </row>
    <row r="442" spans="1:27" x14ac:dyDescent="0.35">
      <c r="A442" s="8" t="s">
        <v>1559</v>
      </c>
      <c r="B442" s="9">
        <v>45430</v>
      </c>
      <c r="C442" s="9">
        <v>45523</v>
      </c>
      <c r="D442" s="8" t="s">
        <v>1562</v>
      </c>
      <c r="E442" s="8" t="s">
        <v>58</v>
      </c>
      <c r="F442" s="8" t="s">
        <v>116</v>
      </c>
      <c r="G442" s="8" t="s">
        <v>60</v>
      </c>
      <c r="H442" s="8" t="s">
        <v>539</v>
      </c>
      <c r="I442" s="8" t="s">
        <v>4970</v>
      </c>
      <c r="J442" s="10">
        <v>551</v>
      </c>
      <c r="K442" s="11">
        <v>672.11</v>
      </c>
      <c r="L442" s="11">
        <v>786.77</v>
      </c>
      <c r="M442" s="11">
        <v>433510.27</v>
      </c>
      <c r="N442" s="11">
        <v>370332.61</v>
      </c>
      <c r="O442" s="11">
        <f>CleanedData[[#This Row],[Total Sales ($)]]-CleanedData[[#This Row],[Total Cost ($)]]</f>
        <v>63177.660000000033</v>
      </c>
      <c r="P442" s="12">
        <f>CleanedData[[#This Row],[Profit ($)]]/CleanedData[[#This Row],[Total Sales ($)]]</f>
        <v>0.14573509411899291</v>
      </c>
      <c r="Q442" s="8" t="s">
        <v>52</v>
      </c>
      <c r="R442" s="8" t="s">
        <v>4972</v>
      </c>
      <c r="S442" s="8" t="b">
        <f>_xlfn.SINGLE(CleanedData[[#This Row],[Delivery Status]])="Late"</f>
        <v>0</v>
      </c>
      <c r="T442" s="10">
        <v>13</v>
      </c>
      <c r="U442" s="8" t="s">
        <v>43</v>
      </c>
      <c r="V442" s="10">
        <v>326</v>
      </c>
      <c r="W442" s="10">
        <v>26</v>
      </c>
      <c r="X442" s="12">
        <v>4.7186932849364698E-2</v>
      </c>
      <c r="Y442" s="8" t="b">
        <f>CleanedData[[#This Row],[Ship Date]]&lt;CleanedData[[#This Row],[Order Date]]</f>
        <v>0</v>
      </c>
      <c r="Z442" s="10">
        <f>YEAR(CleanedData[[#This Row],[Order Date]])</f>
        <v>2024</v>
      </c>
      <c r="AA442" s="8">
        <f>MONTH(CleanedData[[#This Row],[Order Date]])</f>
        <v>5</v>
      </c>
    </row>
    <row r="443" spans="1:27" x14ac:dyDescent="0.35">
      <c r="A443" s="8" t="s">
        <v>1563</v>
      </c>
      <c r="B443" s="9">
        <v>44993</v>
      </c>
      <c r="C443" s="9">
        <v>45191</v>
      </c>
      <c r="D443" s="8" t="s">
        <v>1564</v>
      </c>
      <c r="E443" s="8" t="s">
        <v>58</v>
      </c>
      <c r="F443" s="8" t="s">
        <v>417</v>
      </c>
      <c r="G443" s="8" t="s">
        <v>70</v>
      </c>
      <c r="H443" s="8" t="s">
        <v>623</v>
      </c>
      <c r="I443" s="8" t="s">
        <v>4971</v>
      </c>
      <c r="J443" s="10">
        <v>325</v>
      </c>
      <c r="K443" s="11">
        <v>445.14</v>
      </c>
      <c r="L443" s="11">
        <v>622.9</v>
      </c>
      <c r="M443" s="11">
        <v>202442.5</v>
      </c>
      <c r="N443" s="11">
        <v>144670.5</v>
      </c>
      <c r="O443" s="11">
        <f>CleanedData[[#This Row],[Total Sales ($)]]-CleanedData[[#This Row],[Total Cost ($)]]</f>
        <v>57772</v>
      </c>
      <c r="P443" s="12">
        <f>CleanedData[[#This Row],[Profit ($)]]/CleanedData[[#This Row],[Total Sales ($)]]</f>
        <v>0.28537485952801411</v>
      </c>
      <c r="Q443" s="8" t="s">
        <v>52</v>
      </c>
      <c r="R443" s="8" t="s">
        <v>32</v>
      </c>
      <c r="S443" s="8" t="b">
        <f>_xlfn.SINGLE(CleanedData[[#This Row],[Delivery Status]])="Late"</f>
        <v>1</v>
      </c>
      <c r="T443" s="10">
        <v>14</v>
      </c>
      <c r="U443" s="8" t="s">
        <v>53</v>
      </c>
      <c r="V443" s="10">
        <v>949</v>
      </c>
      <c r="W443" s="10">
        <v>12</v>
      </c>
      <c r="X443" s="12">
        <v>3.6923076923076899E-2</v>
      </c>
      <c r="Y443" s="8" t="b">
        <f>CleanedData[[#This Row],[Ship Date]]&lt;CleanedData[[#This Row],[Order Date]]</f>
        <v>0</v>
      </c>
      <c r="Z443" s="10">
        <f>YEAR(CleanedData[[#This Row],[Order Date]])</f>
        <v>2023</v>
      </c>
      <c r="AA443" s="8">
        <f>MONTH(CleanedData[[#This Row],[Order Date]])</f>
        <v>3</v>
      </c>
    </row>
    <row r="444" spans="1:27" x14ac:dyDescent="0.35">
      <c r="A444" s="8" t="s">
        <v>1565</v>
      </c>
      <c r="B444" s="9">
        <v>45039</v>
      </c>
      <c r="C444" s="9">
        <v>45002</v>
      </c>
      <c r="D444" s="8" t="s">
        <v>1567</v>
      </c>
      <c r="E444" s="8" t="s">
        <v>48</v>
      </c>
      <c r="F444" s="8" t="s">
        <v>281</v>
      </c>
      <c r="G444" s="8" t="s">
        <v>189</v>
      </c>
      <c r="H444" s="8" t="s">
        <v>561</v>
      </c>
      <c r="I444" s="8" t="s">
        <v>4974</v>
      </c>
      <c r="J444" s="10">
        <v>340</v>
      </c>
      <c r="K444" s="11">
        <v>70.25</v>
      </c>
      <c r="L444" s="11">
        <v>114.12</v>
      </c>
      <c r="M444" s="11">
        <v>38800.800000000003</v>
      </c>
      <c r="N444" s="11">
        <v>23885</v>
      </c>
      <c r="O444" s="11">
        <f>CleanedData[[#This Row],[Total Sales ($)]]-CleanedData[[#This Row],[Total Cost ($)]]</f>
        <v>14915.800000000003</v>
      </c>
      <c r="P444" s="12">
        <f>CleanedData[[#This Row],[Profit ($)]]/CleanedData[[#This Row],[Total Sales ($)]]</f>
        <v>0.38441990886785843</v>
      </c>
      <c r="Q444" s="8" t="s">
        <v>52</v>
      </c>
      <c r="R444" s="8" t="s">
        <v>63</v>
      </c>
      <c r="S444" s="8" t="b">
        <f>_xlfn.SINGLE(CleanedData[[#This Row],[Delivery Status]])="Late"</f>
        <v>0</v>
      </c>
      <c r="T444" s="10">
        <v>2</v>
      </c>
      <c r="U444" s="8" t="s">
        <v>112</v>
      </c>
      <c r="V444" s="10">
        <v>3872</v>
      </c>
      <c r="W444" s="10">
        <v>1</v>
      </c>
      <c r="X444" s="12">
        <v>2.9411764705882001E-3</v>
      </c>
      <c r="Y444" s="8" t="b">
        <f>CleanedData[[#This Row],[Ship Date]]&lt;CleanedData[[#This Row],[Order Date]]</f>
        <v>1</v>
      </c>
      <c r="Z444" s="10">
        <f>YEAR(CleanedData[[#This Row],[Order Date]])</f>
        <v>2023</v>
      </c>
      <c r="AA444" s="8">
        <f>MONTH(CleanedData[[#This Row],[Order Date]])</f>
        <v>4</v>
      </c>
    </row>
    <row r="445" spans="1:27" x14ac:dyDescent="0.35">
      <c r="A445" s="8" t="s">
        <v>1568</v>
      </c>
      <c r="B445" s="9">
        <v>45640</v>
      </c>
      <c r="C445" s="9">
        <v>45415</v>
      </c>
      <c r="D445" s="8" t="s">
        <v>1571</v>
      </c>
      <c r="E445" s="8" t="s">
        <v>26</v>
      </c>
      <c r="F445" s="8" t="s">
        <v>228</v>
      </c>
      <c r="G445" s="8" t="s">
        <v>217</v>
      </c>
      <c r="H445" s="8" t="s">
        <v>340</v>
      </c>
      <c r="I445" s="8" t="s">
        <v>4975</v>
      </c>
      <c r="J445" s="10">
        <v>384</v>
      </c>
      <c r="K445" s="11">
        <v>591.49</v>
      </c>
      <c r="L445" s="11">
        <v>911.01</v>
      </c>
      <c r="M445" s="11">
        <v>349827.84000000003</v>
      </c>
      <c r="N445" s="11">
        <v>227132.16</v>
      </c>
      <c r="O445" s="11">
        <f>CleanedData[[#This Row],[Total Sales ($)]]-CleanedData[[#This Row],[Total Cost ($)]]</f>
        <v>122695.68000000002</v>
      </c>
      <c r="P445" s="12">
        <f>CleanedData[[#This Row],[Profit ($)]]/CleanedData[[#This Row],[Total Sales ($)]]</f>
        <v>0.35073160558061933</v>
      </c>
      <c r="Q445" s="8" t="s">
        <v>42</v>
      </c>
      <c r="R445" s="8" t="s">
        <v>63</v>
      </c>
      <c r="S445" s="8" t="b">
        <f>_xlfn.SINGLE(CleanedData[[#This Row],[Delivery Status]])="Late"</f>
        <v>0</v>
      </c>
      <c r="T445" s="10">
        <v>5</v>
      </c>
      <c r="U445" s="8" t="s">
        <v>53</v>
      </c>
      <c r="V445" s="10">
        <v>770</v>
      </c>
      <c r="W445" s="10">
        <v>15</v>
      </c>
      <c r="X445" s="12">
        <v>3.90625E-2</v>
      </c>
      <c r="Y445" s="8" t="b">
        <f>CleanedData[[#This Row],[Ship Date]]&lt;CleanedData[[#This Row],[Order Date]]</f>
        <v>1</v>
      </c>
      <c r="Z445" s="10">
        <f>YEAR(CleanedData[[#This Row],[Order Date]])</f>
        <v>2024</v>
      </c>
      <c r="AA445" s="8">
        <f>MONTH(CleanedData[[#This Row],[Order Date]])</f>
        <v>12</v>
      </c>
    </row>
    <row r="446" spans="1:27" x14ac:dyDescent="0.35">
      <c r="A446" s="8" t="s">
        <v>1572</v>
      </c>
      <c r="B446" s="9">
        <v>45352</v>
      </c>
      <c r="C446" s="9">
        <v>45439</v>
      </c>
      <c r="D446" s="8" t="s">
        <v>1573</v>
      </c>
      <c r="E446" s="8" t="s">
        <v>48</v>
      </c>
      <c r="F446" s="8" t="s">
        <v>223</v>
      </c>
      <c r="G446" s="8" t="s">
        <v>28</v>
      </c>
      <c r="H446" s="8" t="s">
        <v>714</v>
      </c>
      <c r="I446" s="8" t="s">
        <v>4968</v>
      </c>
      <c r="J446" s="10">
        <v>610</v>
      </c>
      <c r="K446" s="11">
        <v>1139.05</v>
      </c>
      <c r="L446" s="11">
        <v>1373.38</v>
      </c>
      <c r="M446" s="11">
        <v>837761.8</v>
      </c>
      <c r="N446" s="11">
        <v>694820.5</v>
      </c>
      <c r="O446" s="11">
        <f>CleanedData[[#This Row],[Total Sales ($)]]-CleanedData[[#This Row],[Total Cost ($)]]</f>
        <v>142941.30000000005</v>
      </c>
      <c r="P446" s="12">
        <f>CleanedData[[#This Row],[Profit ($)]]/CleanedData[[#This Row],[Total Sales ($)]]</f>
        <v>0.17062284291310495</v>
      </c>
      <c r="Q446" s="8" t="s">
        <v>95</v>
      </c>
      <c r="R446" s="8" t="s">
        <v>32</v>
      </c>
      <c r="S446" s="8" t="b">
        <f>_xlfn.SINGLE(CleanedData[[#This Row],[Delivery Status]])="Late"</f>
        <v>1</v>
      </c>
      <c r="T446" s="10">
        <v>14</v>
      </c>
      <c r="U446" s="8" t="s">
        <v>158</v>
      </c>
      <c r="V446" s="10">
        <v>1416</v>
      </c>
      <c r="W446" s="10">
        <v>18</v>
      </c>
      <c r="X446" s="12">
        <v>2.95081967213114E-2</v>
      </c>
      <c r="Y446" s="8" t="b">
        <f>CleanedData[[#This Row],[Ship Date]]&lt;CleanedData[[#This Row],[Order Date]]</f>
        <v>0</v>
      </c>
      <c r="Z446" s="10">
        <f>YEAR(CleanedData[[#This Row],[Order Date]])</f>
        <v>2024</v>
      </c>
      <c r="AA446" s="8">
        <f>MONTH(CleanedData[[#This Row],[Order Date]])</f>
        <v>3</v>
      </c>
    </row>
    <row r="447" spans="1:27" x14ac:dyDescent="0.35">
      <c r="A447" s="8" t="s">
        <v>1574</v>
      </c>
      <c r="B447" s="9">
        <v>45206</v>
      </c>
      <c r="C447" s="9">
        <v>45027</v>
      </c>
      <c r="D447" s="8" t="s">
        <v>1575</v>
      </c>
      <c r="E447" s="8" t="s">
        <v>26</v>
      </c>
      <c r="F447" s="8" t="s">
        <v>1576</v>
      </c>
      <c r="G447" s="8" t="s">
        <v>78</v>
      </c>
      <c r="H447" s="8" t="s">
        <v>840</v>
      </c>
      <c r="I447" s="8" t="s">
        <v>4976</v>
      </c>
      <c r="J447" s="10">
        <v>732</v>
      </c>
      <c r="K447" s="11">
        <v>568.17999999999995</v>
      </c>
      <c r="L447" s="11">
        <v>904.58</v>
      </c>
      <c r="M447" s="11">
        <v>662152.56000000006</v>
      </c>
      <c r="N447" s="11">
        <v>415907.76</v>
      </c>
      <c r="O447" s="11">
        <f>CleanedData[[#This Row],[Total Sales ($)]]-CleanedData[[#This Row],[Total Cost ($)]]</f>
        <v>246244.80000000005</v>
      </c>
      <c r="P447" s="12">
        <f>CleanedData[[#This Row],[Profit ($)]]/CleanedData[[#This Row],[Total Sales ($)]]</f>
        <v>0.37188529483296118</v>
      </c>
      <c r="Q447" s="8" t="s">
        <v>52</v>
      </c>
      <c r="R447" s="8" t="s">
        <v>32</v>
      </c>
      <c r="S447" s="8" t="b">
        <f>_xlfn.SINGLE(CleanedData[[#This Row],[Delivery Status]])="Late"</f>
        <v>1</v>
      </c>
      <c r="T447" s="10">
        <v>11</v>
      </c>
      <c r="U447" s="8" t="s">
        <v>86</v>
      </c>
      <c r="V447" s="10">
        <v>1258</v>
      </c>
      <c r="W447" s="10">
        <v>11</v>
      </c>
      <c r="X447" s="12">
        <v>1.5027322404371501E-2</v>
      </c>
      <c r="Y447" s="8" t="b">
        <f>CleanedData[[#This Row],[Ship Date]]&lt;CleanedData[[#This Row],[Order Date]]</f>
        <v>1</v>
      </c>
      <c r="Z447" s="10">
        <f>YEAR(CleanedData[[#This Row],[Order Date]])</f>
        <v>2023</v>
      </c>
      <c r="AA447" s="8">
        <f>MONTH(CleanedData[[#This Row],[Order Date]])</f>
        <v>10</v>
      </c>
    </row>
    <row r="448" spans="1:27" x14ac:dyDescent="0.35">
      <c r="A448" s="8" t="s">
        <v>1577</v>
      </c>
      <c r="B448" s="9">
        <v>44982</v>
      </c>
      <c r="C448" s="9">
        <v>44951</v>
      </c>
      <c r="D448" s="8" t="s">
        <v>1579</v>
      </c>
      <c r="E448" s="8" t="s">
        <v>68</v>
      </c>
      <c r="F448" s="8" t="s">
        <v>69</v>
      </c>
      <c r="G448" s="8" t="s">
        <v>189</v>
      </c>
      <c r="H448" s="8" t="s">
        <v>311</v>
      </c>
      <c r="I448" s="8" t="s">
        <v>4976</v>
      </c>
      <c r="J448" s="10">
        <v>79</v>
      </c>
      <c r="K448" s="11">
        <v>573.70000000000005</v>
      </c>
      <c r="L448" s="11">
        <v>943.93</v>
      </c>
      <c r="M448" s="11">
        <v>74570.47</v>
      </c>
      <c r="N448" s="11">
        <v>45322.3</v>
      </c>
      <c r="O448" s="11">
        <f>CleanedData[[#This Row],[Total Sales ($)]]-CleanedData[[#This Row],[Total Cost ($)]]</f>
        <v>29248.17</v>
      </c>
      <c r="P448" s="12">
        <f>CleanedData[[#This Row],[Profit ($)]]/CleanedData[[#This Row],[Total Sales ($)]]</f>
        <v>0.39222188085980947</v>
      </c>
      <c r="Q448" s="8" t="s">
        <v>42</v>
      </c>
      <c r="R448" s="8" t="s">
        <v>32</v>
      </c>
      <c r="S448" s="8" t="b">
        <f>_xlfn.SINGLE(CleanedData[[#This Row],[Delivery Status]])="Late"</f>
        <v>1</v>
      </c>
      <c r="T448" s="10">
        <v>13</v>
      </c>
      <c r="U448" s="8" t="s">
        <v>43</v>
      </c>
      <c r="V448" s="10">
        <v>4442</v>
      </c>
      <c r="W448" s="10">
        <v>1</v>
      </c>
      <c r="X448" s="12">
        <v>1.26582278481012E-2</v>
      </c>
      <c r="Y448" s="8" t="b">
        <f>CleanedData[[#This Row],[Ship Date]]&lt;CleanedData[[#This Row],[Order Date]]</f>
        <v>1</v>
      </c>
      <c r="Z448" s="10">
        <f>YEAR(CleanedData[[#This Row],[Order Date]])</f>
        <v>2023</v>
      </c>
      <c r="AA448" s="8">
        <f>MONTH(CleanedData[[#This Row],[Order Date]])</f>
        <v>2</v>
      </c>
    </row>
    <row r="449" spans="1:27" x14ac:dyDescent="0.35">
      <c r="A449" s="8" t="s">
        <v>1580</v>
      </c>
      <c r="B449" s="9">
        <v>45065</v>
      </c>
      <c r="C449" s="9">
        <v>44950</v>
      </c>
      <c r="D449" s="8" t="s">
        <v>1582</v>
      </c>
      <c r="E449" s="8" t="s">
        <v>48</v>
      </c>
      <c r="F449" s="8" t="s">
        <v>281</v>
      </c>
      <c r="G449" s="8" t="s">
        <v>50</v>
      </c>
      <c r="H449" s="8" t="s">
        <v>173</v>
      </c>
      <c r="I449" s="8" t="s">
        <v>4976</v>
      </c>
      <c r="J449" s="10">
        <v>601</v>
      </c>
      <c r="K449" s="11">
        <v>821.82</v>
      </c>
      <c r="L449" s="11">
        <v>1103.0999999999999</v>
      </c>
      <c r="M449" s="11">
        <v>662963.1</v>
      </c>
      <c r="N449" s="11">
        <v>493913.82</v>
      </c>
      <c r="O449" s="11">
        <f>CleanedData[[#This Row],[Total Sales ($)]]-CleanedData[[#This Row],[Total Cost ($)]]</f>
        <v>169049.27999999997</v>
      </c>
      <c r="P449" s="12">
        <f>CleanedData[[#This Row],[Profit ($)]]/CleanedData[[#This Row],[Total Sales ($)]]</f>
        <v>0.25499048137068259</v>
      </c>
      <c r="Q449" s="8" t="s">
        <v>95</v>
      </c>
      <c r="R449" s="8" t="s">
        <v>63</v>
      </c>
      <c r="S449" s="8" t="b">
        <f>_xlfn.SINGLE(CleanedData[[#This Row],[Delivery Status]])="Late"</f>
        <v>0</v>
      </c>
      <c r="T449" s="10">
        <v>4</v>
      </c>
      <c r="U449" s="8" t="s">
        <v>43</v>
      </c>
      <c r="V449" s="10">
        <v>1766</v>
      </c>
      <c r="W449" s="10">
        <v>30</v>
      </c>
      <c r="X449" s="12">
        <v>4.9916805324459197E-2</v>
      </c>
      <c r="Y449" s="8" t="b">
        <f>CleanedData[[#This Row],[Ship Date]]&lt;CleanedData[[#This Row],[Order Date]]</f>
        <v>1</v>
      </c>
      <c r="Z449" s="10">
        <f>YEAR(CleanedData[[#This Row],[Order Date]])</f>
        <v>2023</v>
      </c>
      <c r="AA449" s="8">
        <f>MONTH(CleanedData[[#This Row],[Order Date]])</f>
        <v>5</v>
      </c>
    </row>
    <row r="450" spans="1:27" x14ac:dyDescent="0.35">
      <c r="A450" s="8" t="s">
        <v>1583</v>
      </c>
      <c r="B450" s="9">
        <v>45082</v>
      </c>
      <c r="C450" s="9">
        <v>44951</v>
      </c>
      <c r="D450" s="8" t="s">
        <v>1584</v>
      </c>
      <c r="E450" s="8" t="s">
        <v>100</v>
      </c>
      <c r="F450" s="8" t="s">
        <v>101</v>
      </c>
      <c r="G450" s="8" t="s">
        <v>189</v>
      </c>
      <c r="H450" s="8" t="s">
        <v>271</v>
      </c>
      <c r="I450" s="8" t="s">
        <v>4976</v>
      </c>
      <c r="J450" s="10">
        <v>33</v>
      </c>
      <c r="K450" s="11">
        <v>35.979999999999997</v>
      </c>
      <c r="L450" s="11">
        <v>58.59</v>
      </c>
      <c r="M450" s="11">
        <v>1933.47</v>
      </c>
      <c r="N450" s="11">
        <v>1187.3399999999999</v>
      </c>
      <c r="O450" s="11">
        <f>CleanedData[[#This Row],[Total Sales ($)]]-CleanedData[[#This Row],[Total Cost ($)]]</f>
        <v>746.13000000000011</v>
      </c>
      <c r="P450" s="12">
        <f>CleanedData[[#This Row],[Profit ($)]]/CleanedData[[#This Row],[Total Sales ($)]]</f>
        <v>0.38590203106332144</v>
      </c>
      <c r="Q450" s="8" t="s">
        <v>95</v>
      </c>
      <c r="R450" s="8" t="s">
        <v>63</v>
      </c>
      <c r="S450" s="8" t="b">
        <f>_xlfn.SINGLE(CleanedData[[#This Row],[Delivery Status]])="Late"</f>
        <v>0</v>
      </c>
      <c r="T450" s="10">
        <v>14</v>
      </c>
      <c r="U450" s="8" t="s">
        <v>33</v>
      </c>
      <c r="V450" s="10">
        <v>4974</v>
      </c>
      <c r="W450" s="10">
        <v>0</v>
      </c>
      <c r="X450" s="12">
        <v>0</v>
      </c>
      <c r="Y450" s="8" t="b">
        <f>CleanedData[[#This Row],[Ship Date]]&lt;CleanedData[[#This Row],[Order Date]]</f>
        <v>1</v>
      </c>
      <c r="Z450" s="10">
        <f>YEAR(CleanedData[[#This Row],[Order Date]])</f>
        <v>2023</v>
      </c>
      <c r="AA450" s="8">
        <f>MONTH(CleanedData[[#This Row],[Order Date]])</f>
        <v>6</v>
      </c>
    </row>
    <row r="451" spans="1:27" x14ac:dyDescent="0.35">
      <c r="A451" s="8" t="s">
        <v>1586</v>
      </c>
      <c r="B451" s="9">
        <v>45024</v>
      </c>
      <c r="C451" s="9">
        <v>45206</v>
      </c>
      <c r="D451" s="8" t="s">
        <v>1587</v>
      </c>
      <c r="E451" s="8" t="s">
        <v>58</v>
      </c>
      <c r="F451" s="8" t="s">
        <v>59</v>
      </c>
      <c r="G451" s="8" t="s">
        <v>39</v>
      </c>
      <c r="H451" s="8" t="s">
        <v>354</v>
      </c>
      <c r="I451" s="8" t="s">
        <v>4976</v>
      </c>
      <c r="J451" s="10">
        <v>359</v>
      </c>
      <c r="K451" s="11">
        <v>414.22</v>
      </c>
      <c r="L451" s="11">
        <v>650.98</v>
      </c>
      <c r="M451" s="11">
        <v>233701.82</v>
      </c>
      <c r="N451" s="11">
        <v>148704.98000000001</v>
      </c>
      <c r="O451" s="11">
        <f>CleanedData[[#This Row],[Total Sales ($)]]-CleanedData[[#This Row],[Total Cost ($)]]</f>
        <v>84996.84</v>
      </c>
      <c r="P451" s="12">
        <f>CleanedData[[#This Row],[Profit ($)]]/CleanedData[[#This Row],[Total Sales ($)]]</f>
        <v>0.3636978094565117</v>
      </c>
      <c r="Q451" s="8" t="s">
        <v>42</v>
      </c>
      <c r="R451" s="8" t="s">
        <v>32</v>
      </c>
      <c r="S451" s="8" t="b">
        <f>_xlfn.SINGLE(CleanedData[[#This Row],[Delivery Status]])="Late"</f>
        <v>1</v>
      </c>
      <c r="T451" s="10">
        <v>8</v>
      </c>
      <c r="U451" s="8" t="s">
        <v>53</v>
      </c>
      <c r="V451" s="10">
        <v>4801</v>
      </c>
      <c r="W451" s="10">
        <v>8</v>
      </c>
      <c r="X451" s="12">
        <v>2.2284122562674001E-2</v>
      </c>
      <c r="Y451" s="8" t="b">
        <f>CleanedData[[#This Row],[Ship Date]]&lt;CleanedData[[#This Row],[Order Date]]</f>
        <v>0</v>
      </c>
      <c r="Z451" s="10">
        <f>YEAR(CleanedData[[#This Row],[Order Date]])</f>
        <v>2023</v>
      </c>
      <c r="AA451" s="8">
        <f>MONTH(CleanedData[[#This Row],[Order Date]])</f>
        <v>4</v>
      </c>
    </row>
    <row r="452" spans="1:27" x14ac:dyDescent="0.35">
      <c r="A452" s="8" t="s">
        <v>1588</v>
      </c>
      <c r="B452" s="9">
        <v>44968</v>
      </c>
      <c r="C452" s="9">
        <v>45257</v>
      </c>
      <c r="D452" s="8" t="s">
        <v>1589</v>
      </c>
      <c r="E452" s="8" t="s">
        <v>58</v>
      </c>
      <c r="F452" s="8" t="s">
        <v>122</v>
      </c>
      <c r="G452" s="8" t="s">
        <v>70</v>
      </c>
      <c r="H452" s="8" t="s">
        <v>446</v>
      </c>
      <c r="I452" s="8" t="s">
        <v>4968</v>
      </c>
      <c r="J452" s="10">
        <v>68</v>
      </c>
      <c r="K452" s="11">
        <v>474.75</v>
      </c>
      <c r="L452" s="11">
        <v>674.33</v>
      </c>
      <c r="M452" s="11">
        <v>45854.44</v>
      </c>
      <c r="N452" s="11">
        <v>32283</v>
      </c>
      <c r="O452" s="11">
        <f>CleanedData[[#This Row],[Total Sales ($)]]-CleanedData[[#This Row],[Total Cost ($)]]</f>
        <v>13571.440000000002</v>
      </c>
      <c r="P452" s="12">
        <f>CleanedData[[#This Row],[Profit ($)]]/CleanedData[[#This Row],[Total Sales ($)]]</f>
        <v>0.29596784956920208</v>
      </c>
      <c r="Q452" s="8" t="s">
        <v>31</v>
      </c>
      <c r="R452" s="8" t="s">
        <v>32</v>
      </c>
      <c r="S452" s="8" t="b">
        <f>_xlfn.SINGLE(CleanedData[[#This Row],[Delivery Status]])="Late"</f>
        <v>1</v>
      </c>
      <c r="T452" s="10">
        <v>15</v>
      </c>
      <c r="U452" s="8" t="s">
        <v>43</v>
      </c>
      <c r="V452" s="10">
        <v>4545</v>
      </c>
      <c r="W452" s="10">
        <v>0</v>
      </c>
      <c r="X452" s="12">
        <v>0</v>
      </c>
      <c r="Y452" s="8" t="b">
        <f>CleanedData[[#This Row],[Ship Date]]&lt;CleanedData[[#This Row],[Order Date]]</f>
        <v>0</v>
      </c>
      <c r="Z452" s="10">
        <f>YEAR(CleanedData[[#This Row],[Order Date]])</f>
        <v>2023</v>
      </c>
      <c r="AA452" s="8">
        <f>MONTH(CleanedData[[#This Row],[Order Date]])</f>
        <v>2</v>
      </c>
    </row>
    <row r="453" spans="1:27" x14ac:dyDescent="0.35">
      <c r="A453" s="8" t="s">
        <v>1590</v>
      </c>
      <c r="B453" s="9">
        <v>45316</v>
      </c>
      <c r="C453" s="9">
        <v>45446</v>
      </c>
      <c r="D453" s="8" t="s">
        <v>1593</v>
      </c>
      <c r="E453" s="8" t="s">
        <v>68</v>
      </c>
      <c r="F453" s="8" t="s">
        <v>146</v>
      </c>
      <c r="G453" s="8" t="s">
        <v>78</v>
      </c>
      <c r="H453" s="8" t="s">
        <v>178</v>
      </c>
      <c r="I453" s="8" t="s">
        <v>4971</v>
      </c>
      <c r="J453" s="10">
        <v>262</v>
      </c>
      <c r="K453" s="11">
        <v>913.13</v>
      </c>
      <c r="L453" s="11">
        <v>1096.02</v>
      </c>
      <c r="M453" s="11">
        <v>287157.24</v>
      </c>
      <c r="N453" s="11">
        <v>239240.06</v>
      </c>
      <c r="O453" s="11">
        <f>CleanedData[[#This Row],[Total Sales ($)]]-CleanedData[[#This Row],[Total Cost ($)]]</f>
        <v>47917.179999999993</v>
      </c>
      <c r="P453" s="12">
        <f>CleanedData[[#This Row],[Profit ($)]]/CleanedData[[#This Row],[Total Sales ($)]]</f>
        <v>0.16686739293078592</v>
      </c>
      <c r="Q453" s="8" t="s">
        <v>31</v>
      </c>
      <c r="R453" s="8" t="s">
        <v>32</v>
      </c>
      <c r="S453" s="8" t="b">
        <f>_xlfn.SINGLE(CleanedData[[#This Row],[Delivery Status]])="Late"</f>
        <v>1</v>
      </c>
      <c r="T453" s="10">
        <v>10</v>
      </c>
      <c r="U453" s="8" t="s">
        <v>43</v>
      </c>
      <c r="V453" s="10">
        <v>478</v>
      </c>
      <c r="W453" s="10">
        <v>1</v>
      </c>
      <c r="X453" s="12">
        <v>3.8167938931297002E-3</v>
      </c>
      <c r="Y453" s="8" t="b">
        <f>CleanedData[[#This Row],[Ship Date]]&lt;CleanedData[[#This Row],[Order Date]]</f>
        <v>0</v>
      </c>
      <c r="Z453" s="10">
        <f>YEAR(CleanedData[[#This Row],[Order Date]])</f>
        <v>2024</v>
      </c>
      <c r="AA453" s="8">
        <f>MONTH(CleanedData[[#This Row],[Order Date]])</f>
        <v>1</v>
      </c>
    </row>
    <row r="454" spans="1:27" x14ac:dyDescent="0.35">
      <c r="A454" s="8" t="s">
        <v>1594</v>
      </c>
      <c r="B454" s="9">
        <v>45274</v>
      </c>
      <c r="C454" s="9">
        <v>44931</v>
      </c>
      <c r="D454" s="8" t="s">
        <v>1595</v>
      </c>
      <c r="E454" s="8" t="s">
        <v>26</v>
      </c>
      <c r="F454" s="8" t="s">
        <v>228</v>
      </c>
      <c r="G454" s="8" t="s">
        <v>28</v>
      </c>
      <c r="H454" s="8" t="s">
        <v>714</v>
      </c>
      <c r="I454" s="8" t="s">
        <v>4978</v>
      </c>
      <c r="J454" s="10">
        <v>780</v>
      </c>
      <c r="K454" s="11">
        <v>1101.18</v>
      </c>
      <c r="L454" s="11">
        <v>1810.95</v>
      </c>
      <c r="M454" s="11">
        <v>1412541</v>
      </c>
      <c r="N454" s="11">
        <v>858920.4</v>
      </c>
      <c r="O454" s="11">
        <f>CleanedData[[#This Row],[Total Sales ($)]]-CleanedData[[#This Row],[Total Cost ($)]]</f>
        <v>553620.6</v>
      </c>
      <c r="P454" s="12">
        <f>CleanedData[[#This Row],[Profit ($)]]/CleanedData[[#This Row],[Total Sales ($)]]</f>
        <v>0.39193241116541039</v>
      </c>
      <c r="Q454" s="8" t="s">
        <v>31</v>
      </c>
      <c r="R454" s="8" t="s">
        <v>63</v>
      </c>
      <c r="S454" s="8" t="b">
        <f>_xlfn.SINGLE(CleanedData[[#This Row],[Delivery Status]])="Late"</f>
        <v>0</v>
      </c>
      <c r="T454" s="10">
        <v>3</v>
      </c>
      <c r="U454" s="8" t="s">
        <v>158</v>
      </c>
      <c r="V454" s="10">
        <v>3883</v>
      </c>
      <c r="W454" s="10">
        <v>35</v>
      </c>
      <c r="X454" s="12">
        <v>4.4871794871794803E-2</v>
      </c>
      <c r="Y454" s="8" t="b">
        <f>CleanedData[[#This Row],[Ship Date]]&lt;CleanedData[[#This Row],[Order Date]]</f>
        <v>1</v>
      </c>
      <c r="Z454" s="10">
        <f>YEAR(CleanedData[[#This Row],[Order Date]])</f>
        <v>2023</v>
      </c>
      <c r="AA454" s="8">
        <f>MONTH(CleanedData[[#This Row],[Order Date]])</f>
        <v>12</v>
      </c>
    </row>
    <row r="455" spans="1:27" x14ac:dyDescent="0.35">
      <c r="A455" s="8" t="s">
        <v>1596</v>
      </c>
      <c r="B455" s="9">
        <v>45173</v>
      </c>
      <c r="C455" s="9">
        <v>45265</v>
      </c>
      <c r="D455" s="8" t="s">
        <v>1598</v>
      </c>
      <c r="E455" s="8" t="s">
        <v>68</v>
      </c>
      <c r="F455" s="8" t="s">
        <v>276</v>
      </c>
      <c r="G455" s="8" t="s">
        <v>78</v>
      </c>
      <c r="H455" s="8" t="s">
        <v>123</v>
      </c>
      <c r="I455" s="8" t="s">
        <v>4973</v>
      </c>
      <c r="J455" s="10">
        <v>580</v>
      </c>
      <c r="K455" s="11">
        <v>43.5</v>
      </c>
      <c r="L455" s="11">
        <v>51.94</v>
      </c>
      <c r="M455" s="11">
        <v>30125.200000000001</v>
      </c>
      <c r="N455" s="11">
        <v>25230</v>
      </c>
      <c r="O455" s="11">
        <f>CleanedData[[#This Row],[Total Sales ($)]]-CleanedData[[#This Row],[Total Cost ($)]]</f>
        <v>4895.2000000000007</v>
      </c>
      <c r="P455" s="12">
        <f>CleanedData[[#This Row],[Profit ($)]]/CleanedData[[#This Row],[Total Sales ($)]]</f>
        <v>0.16249518675394689</v>
      </c>
      <c r="Q455" s="8" t="s">
        <v>52</v>
      </c>
      <c r="R455" s="8" t="s">
        <v>32</v>
      </c>
      <c r="S455" s="8" t="b">
        <f>_xlfn.SINGLE(CleanedData[[#This Row],[Delivery Status]])="Late"</f>
        <v>1</v>
      </c>
      <c r="T455" s="10">
        <v>11</v>
      </c>
      <c r="U455" s="8" t="s">
        <v>112</v>
      </c>
      <c r="V455" s="10">
        <v>3009</v>
      </c>
      <c r="W455" s="10">
        <v>10</v>
      </c>
      <c r="X455" s="12">
        <v>1.72413793103448E-2</v>
      </c>
      <c r="Y455" s="8" t="b">
        <f>CleanedData[[#This Row],[Ship Date]]&lt;CleanedData[[#This Row],[Order Date]]</f>
        <v>0</v>
      </c>
      <c r="Z455" s="10">
        <f>YEAR(CleanedData[[#This Row],[Order Date]])</f>
        <v>2023</v>
      </c>
      <c r="AA455" s="8">
        <f>MONTH(CleanedData[[#This Row],[Order Date]])</f>
        <v>9</v>
      </c>
    </row>
    <row r="456" spans="1:27" x14ac:dyDescent="0.35">
      <c r="A456" s="8" t="s">
        <v>1600</v>
      </c>
      <c r="B456" s="9">
        <v>45081</v>
      </c>
      <c r="C456" s="9">
        <v>45098</v>
      </c>
      <c r="D456" s="8" t="s">
        <v>1601</v>
      </c>
      <c r="E456" s="8" t="s">
        <v>58</v>
      </c>
      <c r="F456" s="8" t="s">
        <v>59</v>
      </c>
      <c r="G456" s="8" t="s">
        <v>129</v>
      </c>
      <c r="H456" s="8" t="s">
        <v>520</v>
      </c>
      <c r="I456" s="8" t="s">
        <v>4970</v>
      </c>
      <c r="J456" s="10">
        <v>315</v>
      </c>
      <c r="K456" s="11">
        <v>622.48</v>
      </c>
      <c r="L456" s="11">
        <v>908.23</v>
      </c>
      <c r="M456" s="11">
        <v>286092.45</v>
      </c>
      <c r="N456" s="11">
        <v>196081.2</v>
      </c>
      <c r="O456" s="11">
        <f>CleanedData[[#This Row],[Total Sales ($)]]-CleanedData[[#This Row],[Total Cost ($)]]</f>
        <v>90011.25</v>
      </c>
      <c r="P456" s="12">
        <f>CleanedData[[#This Row],[Profit ($)]]/CleanedData[[#This Row],[Total Sales ($)]]</f>
        <v>0.31462294793169132</v>
      </c>
      <c r="Q456" s="8" t="s">
        <v>42</v>
      </c>
      <c r="R456" s="8" t="s">
        <v>32</v>
      </c>
      <c r="S456" s="8" t="b">
        <f>_xlfn.SINGLE(CleanedData[[#This Row],[Delivery Status]])="Late"</f>
        <v>1</v>
      </c>
      <c r="T456" s="10">
        <v>14</v>
      </c>
      <c r="U456" s="8" t="s">
        <v>86</v>
      </c>
      <c r="V456" s="10">
        <v>3574</v>
      </c>
      <c r="W456" s="10">
        <v>10</v>
      </c>
      <c r="X456" s="12">
        <v>3.1746031746031703E-2</v>
      </c>
      <c r="Y456" s="8" t="b">
        <f>CleanedData[[#This Row],[Ship Date]]&lt;CleanedData[[#This Row],[Order Date]]</f>
        <v>0</v>
      </c>
      <c r="Z456" s="10">
        <f>YEAR(CleanedData[[#This Row],[Order Date]])</f>
        <v>2023</v>
      </c>
      <c r="AA456" s="8">
        <f>MONTH(CleanedData[[#This Row],[Order Date]])</f>
        <v>6</v>
      </c>
    </row>
    <row r="457" spans="1:27" x14ac:dyDescent="0.35">
      <c r="A457" s="8" t="s">
        <v>1602</v>
      </c>
      <c r="B457" s="9">
        <v>45005</v>
      </c>
      <c r="C457" s="9">
        <v>45287</v>
      </c>
      <c r="D457" s="8" t="s">
        <v>1605</v>
      </c>
      <c r="E457" s="8" t="s">
        <v>100</v>
      </c>
      <c r="F457" s="8" t="s">
        <v>1606</v>
      </c>
      <c r="G457" s="8" t="s">
        <v>60</v>
      </c>
      <c r="H457" s="8" t="s">
        <v>400</v>
      </c>
      <c r="I457" s="8" t="s">
        <v>4974</v>
      </c>
      <c r="J457" s="10">
        <v>695</v>
      </c>
      <c r="K457" s="11">
        <v>970.08</v>
      </c>
      <c r="L457" s="11">
        <v>1310.55</v>
      </c>
      <c r="M457" s="11">
        <v>910832.25</v>
      </c>
      <c r="N457" s="11">
        <v>674205.6</v>
      </c>
      <c r="O457" s="11">
        <f>CleanedData[[#This Row],[Total Sales ($)]]-CleanedData[[#This Row],[Total Cost ($)]]</f>
        <v>236626.65000000002</v>
      </c>
      <c r="P457" s="12">
        <f>CleanedData[[#This Row],[Profit ($)]]/CleanedData[[#This Row],[Total Sales ($)]]</f>
        <v>0.25979169051161727</v>
      </c>
      <c r="Q457" s="8" t="s">
        <v>31</v>
      </c>
      <c r="R457" s="8" t="s">
        <v>63</v>
      </c>
      <c r="S457" s="8" t="b">
        <f>_xlfn.SINGLE(CleanedData[[#This Row],[Delivery Status]])="Late"</f>
        <v>0</v>
      </c>
      <c r="T457" s="10">
        <v>3</v>
      </c>
      <c r="U457" s="8" t="s">
        <v>112</v>
      </c>
      <c r="V457" s="10">
        <v>3750</v>
      </c>
      <c r="W457" s="10">
        <v>20</v>
      </c>
      <c r="X457" s="12">
        <v>2.8776978417266098E-2</v>
      </c>
      <c r="Y457" s="8" t="b">
        <f>CleanedData[[#This Row],[Ship Date]]&lt;CleanedData[[#This Row],[Order Date]]</f>
        <v>0</v>
      </c>
      <c r="Z457" s="10">
        <f>YEAR(CleanedData[[#This Row],[Order Date]])</f>
        <v>2023</v>
      </c>
      <c r="AA457" s="8">
        <f>MONTH(CleanedData[[#This Row],[Order Date]])</f>
        <v>3</v>
      </c>
    </row>
    <row r="458" spans="1:27" x14ac:dyDescent="0.35">
      <c r="A458" s="8" t="s">
        <v>1607</v>
      </c>
      <c r="B458" s="9">
        <v>45023</v>
      </c>
      <c r="C458" s="9">
        <v>45275</v>
      </c>
      <c r="D458" s="8" t="s">
        <v>1608</v>
      </c>
      <c r="E458" s="8" t="s">
        <v>100</v>
      </c>
      <c r="F458" s="8" t="s">
        <v>538</v>
      </c>
      <c r="G458" s="8" t="s">
        <v>50</v>
      </c>
      <c r="H458" s="8" t="s">
        <v>282</v>
      </c>
      <c r="I458" s="8" t="s">
        <v>4969</v>
      </c>
      <c r="J458" s="10">
        <v>163</v>
      </c>
      <c r="K458" s="11">
        <v>797.48</v>
      </c>
      <c r="L458" s="11">
        <v>1157.52</v>
      </c>
      <c r="M458" s="11">
        <v>188675.76</v>
      </c>
      <c r="N458" s="11">
        <v>129989.24</v>
      </c>
      <c r="O458" s="11">
        <f>CleanedData[[#This Row],[Total Sales ($)]]-CleanedData[[#This Row],[Total Cost ($)]]</f>
        <v>58686.520000000004</v>
      </c>
      <c r="P458" s="12">
        <f>CleanedData[[#This Row],[Profit ($)]]/CleanedData[[#This Row],[Total Sales ($)]]</f>
        <v>0.31104430161033936</v>
      </c>
      <c r="Q458" s="8" t="s">
        <v>52</v>
      </c>
      <c r="R458" s="8" t="s">
        <v>32</v>
      </c>
      <c r="S458" s="8" t="b">
        <f>_xlfn.SINGLE(CleanedData[[#This Row],[Delivery Status]])="Late"</f>
        <v>1</v>
      </c>
      <c r="T458" s="10">
        <v>9</v>
      </c>
      <c r="U458" s="8" t="s">
        <v>43</v>
      </c>
      <c r="V458" s="10">
        <v>3713</v>
      </c>
      <c r="W458" s="10">
        <v>3</v>
      </c>
      <c r="X458" s="12">
        <v>1.84049079754601E-2</v>
      </c>
      <c r="Y458" s="8" t="b">
        <f>CleanedData[[#This Row],[Ship Date]]&lt;CleanedData[[#This Row],[Order Date]]</f>
        <v>0</v>
      </c>
      <c r="Z458" s="10">
        <f>YEAR(CleanedData[[#This Row],[Order Date]])</f>
        <v>2023</v>
      </c>
      <c r="AA458" s="8">
        <f>MONTH(CleanedData[[#This Row],[Order Date]])</f>
        <v>4</v>
      </c>
    </row>
    <row r="459" spans="1:27" x14ac:dyDescent="0.35">
      <c r="A459" s="8" t="s">
        <v>1609</v>
      </c>
      <c r="B459" s="9">
        <v>45172</v>
      </c>
      <c r="C459" s="9">
        <v>45217</v>
      </c>
      <c r="D459" s="8" t="s">
        <v>1610</v>
      </c>
      <c r="E459" s="8" t="s">
        <v>26</v>
      </c>
      <c r="F459" s="8" t="s">
        <v>92</v>
      </c>
      <c r="G459" s="8" t="s">
        <v>70</v>
      </c>
      <c r="H459" s="8" t="s">
        <v>822</v>
      </c>
      <c r="I459" s="8" t="s">
        <v>4974</v>
      </c>
      <c r="J459" s="10">
        <v>366</v>
      </c>
      <c r="K459" s="11">
        <v>395.39</v>
      </c>
      <c r="L459" s="11">
        <v>507.96</v>
      </c>
      <c r="M459" s="11">
        <v>185913.36</v>
      </c>
      <c r="N459" s="11">
        <v>144712.74</v>
      </c>
      <c r="O459" s="11">
        <f>CleanedData[[#This Row],[Total Sales ($)]]-CleanedData[[#This Row],[Total Cost ($)]]</f>
        <v>41200.619999999995</v>
      </c>
      <c r="P459" s="12">
        <f>CleanedData[[#This Row],[Profit ($)]]/CleanedData[[#This Row],[Total Sales ($)]]</f>
        <v>0.2216119379478699</v>
      </c>
      <c r="Q459" s="8" t="s">
        <v>42</v>
      </c>
      <c r="R459" s="8" t="s">
        <v>32</v>
      </c>
      <c r="S459" s="8" t="b">
        <f>_xlfn.SINGLE(CleanedData[[#This Row],[Delivery Status]])="Late"</f>
        <v>1</v>
      </c>
      <c r="T459" s="10">
        <v>15</v>
      </c>
      <c r="U459" s="8" t="s">
        <v>33</v>
      </c>
      <c r="V459" s="10">
        <v>2483</v>
      </c>
      <c r="W459" s="10">
        <v>3</v>
      </c>
      <c r="X459" s="12">
        <v>8.1967213114753999E-3</v>
      </c>
      <c r="Y459" s="8" t="b">
        <f>CleanedData[[#This Row],[Ship Date]]&lt;CleanedData[[#This Row],[Order Date]]</f>
        <v>0</v>
      </c>
      <c r="Z459" s="10">
        <f>YEAR(CleanedData[[#This Row],[Order Date]])</f>
        <v>2023</v>
      </c>
      <c r="AA459" s="8">
        <f>MONTH(CleanedData[[#This Row],[Order Date]])</f>
        <v>9</v>
      </c>
    </row>
    <row r="460" spans="1:27" x14ac:dyDescent="0.35">
      <c r="A460" s="8" t="s">
        <v>1611</v>
      </c>
      <c r="B460" s="9">
        <v>45148</v>
      </c>
      <c r="C460" s="9">
        <v>45128</v>
      </c>
      <c r="D460" s="8" t="s">
        <v>1383</v>
      </c>
      <c r="E460" s="8" t="s">
        <v>100</v>
      </c>
      <c r="F460" s="8" t="s">
        <v>538</v>
      </c>
      <c r="G460" s="8" t="s">
        <v>217</v>
      </c>
      <c r="H460" s="8" t="s">
        <v>684</v>
      </c>
      <c r="I460" s="8" t="s">
        <v>4971</v>
      </c>
      <c r="J460" s="10">
        <v>155</v>
      </c>
      <c r="K460" s="11">
        <v>1007.78</v>
      </c>
      <c r="L460" s="11">
        <v>1225.0999999999999</v>
      </c>
      <c r="M460" s="11">
        <v>189890.5</v>
      </c>
      <c r="N460" s="11">
        <v>156205.9</v>
      </c>
      <c r="O460" s="11">
        <f>CleanedData[[#This Row],[Total Sales ($)]]-CleanedData[[#This Row],[Total Cost ($)]]</f>
        <v>33684.600000000006</v>
      </c>
      <c r="P460" s="12">
        <f>CleanedData[[#This Row],[Profit ($)]]/CleanedData[[#This Row],[Total Sales ($)]]</f>
        <v>0.17738960084891031</v>
      </c>
      <c r="Q460" s="8" t="s">
        <v>95</v>
      </c>
      <c r="R460" s="8" t="s">
        <v>32</v>
      </c>
      <c r="S460" s="8" t="b">
        <f>_xlfn.SINGLE(CleanedData[[#This Row],[Delivery Status]])="Late"</f>
        <v>1</v>
      </c>
      <c r="T460" s="10">
        <v>14</v>
      </c>
      <c r="U460" s="8" t="s">
        <v>158</v>
      </c>
      <c r="V460" s="10">
        <v>2391</v>
      </c>
      <c r="W460" s="10">
        <v>5</v>
      </c>
      <c r="X460" s="12">
        <v>3.2258064516128997E-2</v>
      </c>
      <c r="Y460" s="8" t="b">
        <f>CleanedData[[#This Row],[Ship Date]]&lt;CleanedData[[#This Row],[Order Date]]</f>
        <v>1</v>
      </c>
      <c r="Z460" s="10">
        <f>YEAR(CleanedData[[#This Row],[Order Date]])</f>
        <v>2023</v>
      </c>
      <c r="AA460" s="8">
        <f>MONTH(CleanedData[[#This Row],[Order Date]])</f>
        <v>8</v>
      </c>
    </row>
    <row r="461" spans="1:27" x14ac:dyDescent="0.35">
      <c r="A461" s="8" t="s">
        <v>1614</v>
      </c>
      <c r="B461" s="9">
        <v>45037</v>
      </c>
      <c r="C461" s="9">
        <v>45181</v>
      </c>
      <c r="D461" s="8" t="s">
        <v>1615</v>
      </c>
      <c r="E461" s="8" t="s">
        <v>26</v>
      </c>
      <c r="F461" s="8" t="s">
        <v>27</v>
      </c>
      <c r="G461" s="8" t="s">
        <v>50</v>
      </c>
      <c r="H461" s="8" t="s">
        <v>282</v>
      </c>
      <c r="I461" s="8" t="s">
        <v>4971</v>
      </c>
      <c r="J461" s="10">
        <v>146</v>
      </c>
      <c r="K461" s="11">
        <v>459.72</v>
      </c>
      <c r="L461" s="11">
        <v>656.89</v>
      </c>
      <c r="M461" s="11">
        <v>95905.94</v>
      </c>
      <c r="N461" s="11">
        <v>67119.12</v>
      </c>
      <c r="O461" s="11">
        <f>CleanedData[[#This Row],[Total Sales ($)]]-CleanedData[[#This Row],[Total Cost ($)]]</f>
        <v>28786.820000000007</v>
      </c>
      <c r="P461" s="12">
        <f>CleanedData[[#This Row],[Profit ($)]]/CleanedData[[#This Row],[Total Sales ($)]]</f>
        <v>0.3001567994641417</v>
      </c>
      <c r="Q461" s="8" t="s">
        <v>52</v>
      </c>
      <c r="R461" s="8" t="s">
        <v>63</v>
      </c>
      <c r="S461" s="8" t="b">
        <f>_xlfn.SINGLE(CleanedData[[#This Row],[Delivery Status]])="Late"</f>
        <v>0</v>
      </c>
      <c r="T461" s="10">
        <v>3</v>
      </c>
      <c r="U461" s="8" t="s">
        <v>53</v>
      </c>
      <c r="V461" s="10">
        <v>4590</v>
      </c>
      <c r="W461" s="10">
        <v>5</v>
      </c>
      <c r="X461" s="12">
        <v>3.4246575342465703E-2</v>
      </c>
      <c r="Y461" s="8" t="b">
        <f>CleanedData[[#This Row],[Ship Date]]&lt;CleanedData[[#This Row],[Order Date]]</f>
        <v>0</v>
      </c>
      <c r="Z461" s="10">
        <f>YEAR(CleanedData[[#This Row],[Order Date]])</f>
        <v>2023</v>
      </c>
      <c r="AA461" s="8">
        <f>MONTH(CleanedData[[#This Row],[Order Date]])</f>
        <v>4</v>
      </c>
    </row>
    <row r="462" spans="1:27" x14ac:dyDescent="0.35">
      <c r="A462" s="8" t="s">
        <v>1616</v>
      </c>
      <c r="B462" s="9">
        <v>45618</v>
      </c>
      <c r="C462" s="9">
        <v>45584</v>
      </c>
      <c r="D462" s="8" t="s">
        <v>1618</v>
      </c>
      <c r="E462" s="8" t="s">
        <v>68</v>
      </c>
      <c r="F462" s="8" t="s">
        <v>146</v>
      </c>
      <c r="G462" s="8" t="s">
        <v>189</v>
      </c>
      <c r="H462" s="8" t="s">
        <v>365</v>
      </c>
      <c r="I462" s="8" t="s">
        <v>4981</v>
      </c>
      <c r="J462" s="10">
        <v>92</v>
      </c>
      <c r="K462" s="11">
        <v>836.74</v>
      </c>
      <c r="L462" s="11">
        <v>958.24</v>
      </c>
      <c r="M462" s="11">
        <v>88158.080000000002</v>
      </c>
      <c r="N462" s="11">
        <v>76980.08</v>
      </c>
      <c r="O462" s="11">
        <f>CleanedData[[#This Row],[Total Sales ($)]]-CleanedData[[#This Row],[Total Cost ($)]]</f>
        <v>11178</v>
      </c>
      <c r="P462" s="12">
        <f>CleanedData[[#This Row],[Profit ($)]]/CleanedData[[#This Row],[Total Sales ($)]]</f>
        <v>0.12679495742194022</v>
      </c>
      <c r="Q462" s="8" t="s">
        <v>95</v>
      </c>
      <c r="R462" s="8" t="s">
        <v>32</v>
      </c>
      <c r="S462" s="8" t="b">
        <f>_xlfn.SINGLE(CleanedData[[#This Row],[Delivery Status]])="Late"</f>
        <v>1</v>
      </c>
      <c r="T462" s="10">
        <v>11</v>
      </c>
      <c r="U462" s="8" t="s">
        <v>33</v>
      </c>
      <c r="V462" s="10">
        <v>3358</v>
      </c>
      <c r="W462" s="10">
        <v>1</v>
      </c>
      <c r="X462" s="12">
        <v>1.0869565217391301E-2</v>
      </c>
      <c r="Y462" s="8" t="b">
        <f>CleanedData[[#This Row],[Ship Date]]&lt;CleanedData[[#This Row],[Order Date]]</f>
        <v>1</v>
      </c>
      <c r="Z462" s="10">
        <f>YEAR(CleanedData[[#This Row],[Order Date]])</f>
        <v>2024</v>
      </c>
      <c r="AA462" s="8">
        <f>MONTH(CleanedData[[#This Row],[Order Date]])</f>
        <v>11</v>
      </c>
    </row>
    <row r="463" spans="1:27" x14ac:dyDescent="0.35">
      <c r="A463" s="8" t="s">
        <v>1619</v>
      </c>
      <c r="B463" s="9">
        <v>45158</v>
      </c>
      <c r="C463" s="9">
        <v>45068</v>
      </c>
      <c r="D463" s="8" t="s">
        <v>1620</v>
      </c>
      <c r="E463" s="8" t="s">
        <v>26</v>
      </c>
      <c r="F463" s="8" t="s">
        <v>27</v>
      </c>
      <c r="G463" s="8" t="s">
        <v>28</v>
      </c>
      <c r="H463" s="8" t="s">
        <v>714</v>
      </c>
      <c r="I463" s="8" t="s">
        <v>4967</v>
      </c>
      <c r="J463" s="10">
        <v>198</v>
      </c>
      <c r="K463" s="11">
        <v>1154.79</v>
      </c>
      <c r="L463" s="11">
        <v>1436.5</v>
      </c>
      <c r="M463" s="11">
        <v>284427</v>
      </c>
      <c r="N463" s="11">
        <v>228648.42</v>
      </c>
      <c r="O463" s="11">
        <f>CleanedData[[#This Row],[Total Sales ($)]]-CleanedData[[#This Row],[Total Cost ($)]]</f>
        <v>55778.579999999987</v>
      </c>
      <c r="P463" s="12">
        <f>CleanedData[[#This Row],[Profit ($)]]/CleanedData[[#This Row],[Total Sales ($)]]</f>
        <v>0.19610859728506783</v>
      </c>
      <c r="Q463" s="8" t="s">
        <v>52</v>
      </c>
      <c r="R463" s="8" t="s">
        <v>32</v>
      </c>
      <c r="S463" s="8" t="b">
        <f>_xlfn.SINGLE(CleanedData[[#This Row],[Delivery Status]])="Late"</f>
        <v>1</v>
      </c>
      <c r="T463" s="10">
        <v>14</v>
      </c>
      <c r="U463" s="8" t="s">
        <v>86</v>
      </c>
      <c r="V463" s="10">
        <v>2014</v>
      </c>
      <c r="W463" s="10">
        <v>4</v>
      </c>
      <c r="X463" s="12">
        <v>2.02020202020202E-2</v>
      </c>
      <c r="Y463" s="8" t="b">
        <f>CleanedData[[#This Row],[Ship Date]]&lt;CleanedData[[#This Row],[Order Date]]</f>
        <v>1</v>
      </c>
      <c r="Z463" s="10">
        <f>YEAR(CleanedData[[#This Row],[Order Date]])</f>
        <v>2023</v>
      </c>
      <c r="AA463" s="8">
        <f>MONTH(CleanedData[[#This Row],[Order Date]])</f>
        <v>8</v>
      </c>
    </row>
    <row r="464" spans="1:27" x14ac:dyDescent="0.35">
      <c r="A464" s="8" t="s">
        <v>1621</v>
      </c>
      <c r="B464" s="9">
        <v>45012</v>
      </c>
      <c r="C464" s="9">
        <v>45125</v>
      </c>
      <c r="D464" s="8" t="s">
        <v>1623</v>
      </c>
      <c r="E464" s="8" t="s">
        <v>48</v>
      </c>
      <c r="F464" s="8" t="s">
        <v>49</v>
      </c>
      <c r="G464" s="8" t="s">
        <v>50</v>
      </c>
      <c r="H464" s="8" t="s">
        <v>51</v>
      </c>
      <c r="I464" s="8" t="s">
        <v>4977</v>
      </c>
      <c r="J464" s="10">
        <v>462</v>
      </c>
      <c r="K464" s="11">
        <v>253.03</v>
      </c>
      <c r="L464" s="11">
        <v>360.26</v>
      </c>
      <c r="M464" s="11">
        <v>166440.12</v>
      </c>
      <c r="N464" s="11">
        <v>116899.86</v>
      </c>
      <c r="O464" s="11">
        <f>CleanedData[[#This Row],[Total Sales ($)]]-CleanedData[[#This Row],[Total Cost ($)]]</f>
        <v>49540.259999999995</v>
      </c>
      <c r="P464" s="12">
        <f>CleanedData[[#This Row],[Profit ($)]]/CleanedData[[#This Row],[Total Sales ($)]]</f>
        <v>0.29764614445122967</v>
      </c>
      <c r="Q464" s="8" t="s">
        <v>31</v>
      </c>
      <c r="R464" s="8" t="s">
        <v>32</v>
      </c>
      <c r="S464" s="8" t="b">
        <f>_xlfn.SINGLE(CleanedData[[#This Row],[Delivery Status]])="Late"</f>
        <v>1</v>
      </c>
      <c r="T464" s="10">
        <v>9</v>
      </c>
      <c r="U464" s="8" t="s">
        <v>43</v>
      </c>
      <c r="V464" s="10">
        <v>4711</v>
      </c>
      <c r="W464" s="10">
        <v>5</v>
      </c>
      <c r="X464" s="12">
        <v>1.08225108225108E-2</v>
      </c>
      <c r="Y464" s="8" t="b">
        <f>CleanedData[[#This Row],[Ship Date]]&lt;CleanedData[[#This Row],[Order Date]]</f>
        <v>0</v>
      </c>
      <c r="Z464" s="10">
        <f>YEAR(CleanedData[[#This Row],[Order Date]])</f>
        <v>2023</v>
      </c>
      <c r="AA464" s="8">
        <f>MONTH(CleanedData[[#This Row],[Order Date]])</f>
        <v>3</v>
      </c>
    </row>
    <row r="465" spans="1:27" x14ac:dyDescent="0.35">
      <c r="A465" s="8" t="s">
        <v>1624</v>
      </c>
      <c r="B465" s="9">
        <v>45237</v>
      </c>
      <c r="C465" s="9">
        <v>45074</v>
      </c>
      <c r="D465" s="8" t="s">
        <v>1626</v>
      </c>
      <c r="E465" s="8" t="s">
        <v>100</v>
      </c>
      <c r="F465" s="8" t="s">
        <v>106</v>
      </c>
      <c r="G465" s="8" t="s">
        <v>39</v>
      </c>
      <c r="H465" s="8" t="s">
        <v>354</v>
      </c>
      <c r="I465" s="8" t="s">
        <v>4974</v>
      </c>
      <c r="J465" s="10">
        <v>257</v>
      </c>
      <c r="K465" s="11">
        <v>196.24</v>
      </c>
      <c r="L465" s="11">
        <v>239.29</v>
      </c>
      <c r="M465" s="11">
        <v>61497.53</v>
      </c>
      <c r="N465" s="11">
        <v>50433.68</v>
      </c>
      <c r="O465" s="11">
        <f>CleanedData[[#This Row],[Total Sales ($)]]-CleanedData[[#This Row],[Total Cost ($)]]</f>
        <v>11063.849999999999</v>
      </c>
      <c r="P465" s="12">
        <f>CleanedData[[#This Row],[Profit ($)]]/CleanedData[[#This Row],[Total Sales ($)]]</f>
        <v>0.17990722554222907</v>
      </c>
      <c r="Q465" s="8" t="s">
        <v>95</v>
      </c>
      <c r="R465" s="8" t="s">
        <v>32</v>
      </c>
      <c r="S465" s="8" t="b">
        <f>_xlfn.SINGLE(CleanedData[[#This Row],[Delivery Status]])="Late"</f>
        <v>1</v>
      </c>
      <c r="T465" s="10">
        <v>8</v>
      </c>
      <c r="U465" s="8" t="s">
        <v>112</v>
      </c>
      <c r="V465" s="10">
        <v>4438</v>
      </c>
      <c r="W465" s="10">
        <v>5</v>
      </c>
      <c r="X465" s="12">
        <v>1.94552529182879E-2</v>
      </c>
      <c r="Y465" s="8" t="b">
        <f>CleanedData[[#This Row],[Ship Date]]&lt;CleanedData[[#This Row],[Order Date]]</f>
        <v>1</v>
      </c>
      <c r="Z465" s="10">
        <f>YEAR(CleanedData[[#This Row],[Order Date]])</f>
        <v>2023</v>
      </c>
      <c r="AA465" s="8">
        <f>MONTH(CleanedData[[#This Row],[Order Date]])</f>
        <v>11</v>
      </c>
    </row>
    <row r="466" spans="1:27" x14ac:dyDescent="0.35">
      <c r="A466" s="8" t="s">
        <v>1627</v>
      </c>
      <c r="B466" s="9">
        <v>45069</v>
      </c>
      <c r="C466" s="9">
        <v>45132</v>
      </c>
      <c r="D466" s="8" t="s">
        <v>1628</v>
      </c>
      <c r="E466" s="8" t="s">
        <v>58</v>
      </c>
      <c r="F466" s="8" t="s">
        <v>259</v>
      </c>
      <c r="G466" s="8" t="s">
        <v>60</v>
      </c>
      <c r="H466" s="8" t="s">
        <v>539</v>
      </c>
      <c r="I466" s="8" t="s">
        <v>4976</v>
      </c>
      <c r="J466" s="10">
        <v>640</v>
      </c>
      <c r="K466" s="11">
        <v>746.05</v>
      </c>
      <c r="L466" s="11">
        <v>980.26</v>
      </c>
      <c r="M466" s="11">
        <v>627366.40000000002</v>
      </c>
      <c r="N466" s="11">
        <v>477472</v>
      </c>
      <c r="O466" s="11">
        <f>CleanedData[[#This Row],[Total Sales ($)]]-CleanedData[[#This Row],[Total Cost ($)]]</f>
        <v>149894.40000000002</v>
      </c>
      <c r="P466" s="12">
        <f>CleanedData[[#This Row],[Profit ($)]]/CleanedData[[#This Row],[Total Sales ($)]]</f>
        <v>0.23892640727970132</v>
      </c>
      <c r="Q466" s="8" t="s">
        <v>42</v>
      </c>
      <c r="R466" s="8" t="s">
        <v>32</v>
      </c>
      <c r="S466" s="8" t="b">
        <f>_xlfn.SINGLE(CleanedData[[#This Row],[Delivery Status]])="Late"</f>
        <v>1</v>
      </c>
      <c r="T466" s="10">
        <v>13</v>
      </c>
      <c r="U466" s="8" t="s">
        <v>43</v>
      </c>
      <c r="V466" s="10">
        <v>2790</v>
      </c>
      <c r="W466" s="10">
        <v>20</v>
      </c>
      <c r="X466" s="12">
        <v>3.125E-2</v>
      </c>
      <c r="Y466" s="8" t="b">
        <f>CleanedData[[#This Row],[Ship Date]]&lt;CleanedData[[#This Row],[Order Date]]</f>
        <v>0</v>
      </c>
      <c r="Z466" s="10">
        <f>YEAR(CleanedData[[#This Row],[Order Date]])</f>
        <v>2023</v>
      </c>
      <c r="AA466" s="8">
        <f>MONTH(CleanedData[[#This Row],[Order Date]])</f>
        <v>5</v>
      </c>
    </row>
    <row r="467" spans="1:27" x14ac:dyDescent="0.35">
      <c r="A467" s="8" t="s">
        <v>1629</v>
      </c>
      <c r="B467" s="9">
        <v>45150</v>
      </c>
      <c r="C467" s="9">
        <v>44984</v>
      </c>
      <c r="D467" s="8" t="s">
        <v>1630</v>
      </c>
      <c r="E467" s="8" t="s">
        <v>48</v>
      </c>
      <c r="F467" s="8" t="s">
        <v>223</v>
      </c>
      <c r="G467" s="8" t="s">
        <v>28</v>
      </c>
      <c r="H467" s="8" t="s">
        <v>4972</v>
      </c>
      <c r="I467" s="8" t="s">
        <v>4971</v>
      </c>
      <c r="J467" s="10">
        <v>80</v>
      </c>
      <c r="K467" s="11">
        <v>604.41</v>
      </c>
      <c r="L467" s="11">
        <v>967.71</v>
      </c>
      <c r="M467" s="11">
        <v>77416.800000000003</v>
      </c>
      <c r="N467" s="11">
        <v>48352.800000000003</v>
      </c>
      <c r="O467" s="11">
        <f>CleanedData[[#This Row],[Total Sales ($)]]-CleanedData[[#This Row],[Total Cost ($)]]</f>
        <v>29064</v>
      </c>
      <c r="P467" s="12">
        <f>CleanedData[[#This Row],[Profit ($)]]/CleanedData[[#This Row],[Total Sales ($)]]</f>
        <v>0.37542238893883495</v>
      </c>
      <c r="Q467" s="8" t="s">
        <v>42</v>
      </c>
      <c r="R467" s="8" t="s">
        <v>32</v>
      </c>
      <c r="S467" s="8" t="b">
        <f>_xlfn.SINGLE(CleanedData[[#This Row],[Delivery Status]])="Late"</f>
        <v>1</v>
      </c>
      <c r="T467" s="10">
        <v>10</v>
      </c>
      <c r="U467" s="8" t="s">
        <v>53</v>
      </c>
      <c r="V467" s="10">
        <v>4749</v>
      </c>
      <c r="W467" s="10">
        <v>3</v>
      </c>
      <c r="X467" s="12">
        <v>3.7499999999999999E-2</v>
      </c>
      <c r="Y467" s="8" t="b">
        <f>CleanedData[[#This Row],[Ship Date]]&lt;CleanedData[[#This Row],[Order Date]]</f>
        <v>1</v>
      </c>
      <c r="Z467" s="10">
        <f>YEAR(CleanedData[[#This Row],[Order Date]])</f>
        <v>2023</v>
      </c>
      <c r="AA467" s="8">
        <f>MONTH(CleanedData[[#This Row],[Order Date]])</f>
        <v>8</v>
      </c>
    </row>
    <row r="468" spans="1:27" x14ac:dyDescent="0.35">
      <c r="A468" s="8" t="s">
        <v>1631</v>
      </c>
      <c r="B468" s="9">
        <v>45217</v>
      </c>
      <c r="C468" s="9">
        <v>45250</v>
      </c>
      <c r="D468" s="8" t="s">
        <v>1633</v>
      </c>
      <c r="E468" s="8" t="s">
        <v>58</v>
      </c>
      <c r="F468" s="8" t="s">
        <v>116</v>
      </c>
      <c r="G468" s="8" t="s">
        <v>78</v>
      </c>
      <c r="H468" s="8" t="s">
        <v>481</v>
      </c>
      <c r="I468" s="8" t="s">
        <v>4974</v>
      </c>
      <c r="J468" s="10">
        <v>586</v>
      </c>
      <c r="K468" s="11">
        <v>936.26</v>
      </c>
      <c r="L468" s="11">
        <v>1192.93</v>
      </c>
      <c r="M468" s="11">
        <v>699056.98</v>
      </c>
      <c r="N468" s="11">
        <v>548648.36</v>
      </c>
      <c r="O468" s="11">
        <f>CleanedData[[#This Row],[Total Sales ($)]]-CleanedData[[#This Row],[Total Cost ($)]]</f>
        <v>150408.62</v>
      </c>
      <c r="P468" s="12">
        <f>CleanedData[[#This Row],[Profit ($)]]/CleanedData[[#This Row],[Total Sales ($)]]</f>
        <v>0.21515931362276078</v>
      </c>
      <c r="Q468" s="8" t="s">
        <v>42</v>
      </c>
      <c r="R468" s="8" t="s">
        <v>63</v>
      </c>
      <c r="S468" s="8" t="b">
        <f>_xlfn.SINGLE(CleanedData[[#This Row],[Delivery Status]])="Late"</f>
        <v>0</v>
      </c>
      <c r="T468" s="10">
        <v>1</v>
      </c>
      <c r="U468" s="8" t="s">
        <v>43</v>
      </c>
      <c r="V468" s="10">
        <v>1706</v>
      </c>
      <c r="W468" s="10">
        <v>3</v>
      </c>
      <c r="X468" s="12">
        <v>5.1194539249146001E-3</v>
      </c>
      <c r="Y468" s="8" t="b">
        <f>CleanedData[[#This Row],[Ship Date]]&lt;CleanedData[[#This Row],[Order Date]]</f>
        <v>0</v>
      </c>
      <c r="Z468" s="10">
        <f>YEAR(CleanedData[[#This Row],[Order Date]])</f>
        <v>2023</v>
      </c>
      <c r="AA468" s="8">
        <f>MONTH(CleanedData[[#This Row],[Order Date]])</f>
        <v>10</v>
      </c>
    </row>
    <row r="469" spans="1:27" x14ac:dyDescent="0.35">
      <c r="A469" s="8" t="s">
        <v>1634</v>
      </c>
      <c r="B469" s="9">
        <v>45108</v>
      </c>
      <c r="C469" s="9">
        <v>44940</v>
      </c>
      <c r="D469" s="8" t="s">
        <v>1636</v>
      </c>
      <c r="E469" s="8" t="s">
        <v>68</v>
      </c>
      <c r="F469" s="8" t="s">
        <v>69</v>
      </c>
      <c r="G469" s="8" t="s">
        <v>93</v>
      </c>
      <c r="H469" s="8" t="s">
        <v>140</v>
      </c>
      <c r="I469" s="8" t="s">
        <v>4967</v>
      </c>
      <c r="J469" s="10">
        <v>457</v>
      </c>
      <c r="K469" s="11">
        <v>916.76</v>
      </c>
      <c r="L469" s="11">
        <v>1253.68</v>
      </c>
      <c r="M469" s="11">
        <v>572931.76</v>
      </c>
      <c r="N469" s="11">
        <v>418959.32</v>
      </c>
      <c r="O469" s="11">
        <f>CleanedData[[#This Row],[Total Sales ($)]]-CleanedData[[#This Row],[Total Cost ($)]]</f>
        <v>153972.44</v>
      </c>
      <c r="P469" s="12">
        <f>CleanedData[[#This Row],[Profit ($)]]/CleanedData[[#This Row],[Total Sales ($)]]</f>
        <v>0.26874481526386318</v>
      </c>
      <c r="Q469" s="8" t="s">
        <v>42</v>
      </c>
      <c r="R469" s="8" t="s">
        <v>32</v>
      </c>
      <c r="S469" s="8" t="b">
        <f>_xlfn.SINGLE(CleanedData[[#This Row],[Delivery Status]])="Late"</f>
        <v>1</v>
      </c>
      <c r="T469" s="10">
        <v>10</v>
      </c>
      <c r="U469" s="8" t="s">
        <v>43</v>
      </c>
      <c r="V469" s="10">
        <v>1159</v>
      </c>
      <c r="W469" s="10">
        <v>20</v>
      </c>
      <c r="X469" s="12">
        <v>4.3763676148796497E-2</v>
      </c>
      <c r="Y469" s="8" t="b">
        <f>CleanedData[[#This Row],[Ship Date]]&lt;CleanedData[[#This Row],[Order Date]]</f>
        <v>1</v>
      </c>
      <c r="Z469" s="10">
        <f>YEAR(CleanedData[[#This Row],[Order Date]])</f>
        <v>2023</v>
      </c>
      <c r="AA469" s="8">
        <f>MONTH(CleanedData[[#This Row],[Order Date]])</f>
        <v>7</v>
      </c>
    </row>
    <row r="470" spans="1:27" x14ac:dyDescent="0.35">
      <c r="A470" s="8" t="s">
        <v>1638</v>
      </c>
      <c r="B470" s="9">
        <v>45132</v>
      </c>
      <c r="C470" s="9">
        <v>45193</v>
      </c>
      <c r="D470" s="8" t="s">
        <v>1639</v>
      </c>
      <c r="E470" s="8" t="s">
        <v>26</v>
      </c>
      <c r="F470" s="8" t="s">
        <v>77</v>
      </c>
      <c r="G470" s="8" t="s">
        <v>189</v>
      </c>
      <c r="H470" s="8" t="s">
        <v>271</v>
      </c>
      <c r="I470" s="8" t="s">
        <v>4969</v>
      </c>
      <c r="J470" s="10">
        <v>654</v>
      </c>
      <c r="K470" s="11">
        <v>928.04</v>
      </c>
      <c r="L470" s="11">
        <v>1308.49</v>
      </c>
      <c r="M470" s="11">
        <v>855752.46</v>
      </c>
      <c r="N470" s="11">
        <v>606938.16</v>
      </c>
      <c r="O470" s="11">
        <f>CleanedData[[#This Row],[Total Sales ($)]]-CleanedData[[#This Row],[Total Cost ($)]]</f>
        <v>248814.29999999993</v>
      </c>
      <c r="P470" s="12">
        <f>CleanedData[[#This Row],[Profit ($)]]/CleanedData[[#This Row],[Total Sales ($)]]</f>
        <v>0.29075499239581498</v>
      </c>
      <c r="Q470" s="8" t="s">
        <v>42</v>
      </c>
      <c r="R470" s="8" t="s">
        <v>32</v>
      </c>
      <c r="S470" s="8" t="b">
        <f>_xlfn.SINGLE(CleanedData[[#This Row],[Delivery Status]])="Late"</f>
        <v>1</v>
      </c>
      <c r="T470" s="10">
        <v>11</v>
      </c>
      <c r="U470" s="8" t="s">
        <v>86</v>
      </c>
      <c r="V470" s="10">
        <v>4940</v>
      </c>
      <c r="W470" s="10">
        <v>24</v>
      </c>
      <c r="X470" s="12">
        <v>3.6697247706422E-2</v>
      </c>
      <c r="Y470" s="8" t="b">
        <f>CleanedData[[#This Row],[Ship Date]]&lt;CleanedData[[#This Row],[Order Date]]</f>
        <v>0</v>
      </c>
      <c r="Z470" s="10">
        <f>YEAR(CleanedData[[#This Row],[Order Date]])</f>
        <v>2023</v>
      </c>
      <c r="AA470" s="8">
        <f>MONTH(CleanedData[[#This Row],[Order Date]])</f>
        <v>7</v>
      </c>
    </row>
    <row r="471" spans="1:27" x14ac:dyDescent="0.35">
      <c r="A471" s="8" t="s">
        <v>1640</v>
      </c>
      <c r="B471" s="9">
        <v>45227</v>
      </c>
      <c r="C471" s="9">
        <v>45058</v>
      </c>
      <c r="D471" s="8" t="s">
        <v>1642</v>
      </c>
      <c r="E471" s="8" t="s">
        <v>100</v>
      </c>
      <c r="F471" s="8" t="s">
        <v>106</v>
      </c>
      <c r="G471" s="8" t="s">
        <v>189</v>
      </c>
      <c r="H471" s="8" t="s">
        <v>561</v>
      </c>
      <c r="I471" s="8" t="s">
        <v>4968</v>
      </c>
      <c r="J471" s="10">
        <v>15</v>
      </c>
      <c r="K471" s="11">
        <v>890.62</v>
      </c>
      <c r="L471" s="11">
        <v>1132.44</v>
      </c>
      <c r="M471" s="11">
        <v>16986.599999999999</v>
      </c>
      <c r="N471" s="11">
        <v>13359.3</v>
      </c>
      <c r="O471" s="11">
        <f>CleanedData[[#This Row],[Total Sales ($)]]-CleanedData[[#This Row],[Total Cost ($)]]</f>
        <v>3627.2999999999993</v>
      </c>
      <c r="P471" s="12">
        <f>CleanedData[[#This Row],[Profit ($)]]/CleanedData[[#This Row],[Total Sales ($)]]</f>
        <v>0.21353890713856802</v>
      </c>
      <c r="Q471" s="8" t="s">
        <v>31</v>
      </c>
      <c r="R471" s="8" t="s">
        <v>32</v>
      </c>
      <c r="S471" s="8" t="b">
        <f>_xlfn.SINGLE(CleanedData[[#This Row],[Delivery Status]])="Late"</f>
        <v>1</v>
      </c>
      <c r="T471" s="10">
        <v>12</v>
      </c>
      <c r="U471" s="8" t="s">
        <v>86</v>
      </c>
      <c r="V471" s="10">
        <v>3619</v>
      </c>
      <c r="W471" s="10">
        <v>1</v>
      </c>
      <c r="X471" s="12">
        <v>6.6666666666666596E-2</v>
      </c>
      <c r="Y471" s="8" t="b">
        <f>CleanedData[[#This Row],[Ship Date]]&lt;CleanedData[[#This Row],[Order Date]]</f>
        <v>1</v>
      </c>
      <c r="Z471" s="10">
        <f>YEAR(CleanedData[[#This Row],[Order Date]])</f>
        <v>2023</v>
      </c>
      <c r="AA471" s="8">
        <f>MONTH(CleanedData[[#This Row],[Order Date]])</f>
        <v>10</v>
      </c>
    </row>
    <row r="472" spans="1:27" x14ac:dyDescent="0.35">
      <c r="A472" s="8" t="s">
        <v>1643</v>
      </c>
      <c r="B472" s="9">
        <v>45129</v>
      </c>
      <c r="C472" s="9">
        <v>45205</v>
      </c>
      <c r="D472" s="8" t="s">
        <v>1644</v>
      </c>
      <c r="E472" s="8" t="s">
        <v>48</v>
      </c>
      <c r="F472" s="8" t="s">
        <v>270</v>
      </c>
      <c r="G472" s="8" t="s">
        <v>28</v>
      </c>
      <c r="H472" s="8" t="s">
        <v>579</v>
      </c>
      <c r="I472" s="8" t="s">
        <v>4971</v>
      </c>
      <c r="J472" s="10">
        <v>305</v>
      </c>
      <c r="K472" s="11">
        <v>1088.93</v>
      </c>
      <c r="L472" s="11">
        <v>1724.36</v>
      </c>
      <c r="M472" s="11">
        <v>525929.80000000005</v>
      </c>
      <c r="N472" s="11">
        <v>332123.65000000002</v>
      </c>
      <c r="O472" s="11">
        <f>CleanedData[[#This Row],[Total Sales ($)]]-CleanedData[[#This Row],[Total Cost ($)]]</f>
        <v>193806.15000000002</v>
      </c>
      <c r="P472" s="12">
        <f>CleanedData[[#This Row],[Profit ($)]]/CleanedData[[#This Row],[Total Sales ($)]]</f>
        <v>0.3685019369505208</v>
      </c>
      <c r="Q472" s="8" t="s">
        <v>52</v>
      </c>
      <c r="R472" s="8" t="s">
        <v>32</v>
      </c>
      <c r="S472" s="8" t="b">
        <f>_xlfn.SINGLE(CleanedData[[#This Row],[Delivery Status]])="Late"</f>
        <v>1</v>
      </c>
      <c r="T472" s="10">
        <v>9</v>
      </c>
      <c r="U472" s="8" t="s">
        <v>33</v>
      </c>
      <c r="V472" s="10">
        <v>2103</v>
      </c>
      <c r="W472" s="10">
        <v>13</v>
      </c>
      <c r="X472" s="12">
        <v>4.2622950819672101E-2</v>
      </c>
      <c r="Y472" s="8" t="b">
        <f>CleanedData[[#This Row],[Ship Date]]&lt;CleanedData[[#This Row],[Order Date]]</f>
        <v>0</v>
      </c>
      <c r="Z472" s="10">
        <f>YEAR(CleanedData[[#This Row],[Order Date]])</f>
        <v>2023</v>
      </c>
      <c r="AA472" s="8">
        <f>MONTH(CleanedData[[#This Row],[Order Date]])</f>
        <v>7</v>
      </c>
    </row>
    <row r="473" spans="1:27" x14ac:dyDescent="0.35">
      <c r="A473" s="8" t="s">
        <v>1645</v>
      </c>
      <c r="B473" s="9">
        <v>45104</v>
      </c>
      <c r="C473" s="9">
        <v>45009</v>
      </c>
      <c r="D473" s="8" t="s">
        <v>1646</v>
      </c>
      <c r="E473" s="8" t="s">
        <v>4972</v>
      </c>
      <c r="F473" s="8" t="s">
        <v>59</v>
      </c>
      <c r="G473" s="8" t="s">
        <v>217</v>
      </c>
      <c r="H473" s="8" t="s">
        <v>292</v>
      </c>
      <c r="I473" s="8" t="s">
        <v>4973</v>
      </c>
      <c r="J473" s="10">
        <v>358</v>
      </c>
      <c r="K473" s="11">
        <v>499.89</v>
      </c>
      <c r="L473" s="11">
        <v>788.69</v>
      </c>
      <c r="M473" s="11">
        <v>282351.02</v>
      </c>
      <c r="N473" s="11">
        <v>178960.62</v>
      </c>
      <c r="O473" s="11">
        <f>CleanedData[[#This Row],[Total Sales ($)]]-CleanedData[[#This Row],[Total Cost ($)]]</f>
        <v>103390.40000000002</v>
      </c>
      <c r="P473" s="12">
        <f>CleanedData[[#This Row],[Profit ($)]]/CleanedData[[#This Row],[Total Sales ($)]]</f>
        <v>0.36617682486147923</v>
      </c>
      <c r="Q473" s="8" t="s">
        <v>31</v>
      </c>
      <c r="R473" s="8" t="s">
        <v>63</v>
      </c>
      <c r="S473" s="8" t="b">
        <f>_xlfn.SINGLE(CleanedData[[#This Row],[Delivery Status]])="Late"</f>
        <v>0</v>
      </c>
      <c r="T473" s="10">
        <v>2</v>
      </c>
      <c r="U473" s="8" t="s">
        <v>158</v>
      </c>
      <c r="V473" s="10">
        <v>4221</v>
      </c>
      <c r="W473" s="10">
        <v>11</v>
      </c>
      <c r="X473" s="12">
        <v>3.0726256983240201E-2</v>
      </c>
      <c r="Y473" s="8" t="b">
        <f>CleanedData[[#This Row],[Ship Date]]&lt;CleanedData[[#This Row],[Order Date]]</f>
        <v>1</v>
      </c>
      <c r="Z473" s="10">
        <f>YEAR(CleanedData[[#This Row],[Order Date]])</f>
        <v>2023</v>
      </c>
      <c r="AA473" s="8">
        <f>MONTH(CleanedData[[#This Row],[Order Date]])</f>
        <v>6</v>
      </c>
    </row>
    <row r="474" spans="1:27" x14ac:dyDescent="0.35">
      <c r="A474" s="8" t="s">
        <v>1647</v>
      </c>
      <c r="B474" s="9">
        <v>45062</v>
      </c>
      <c r="C474" s="9">
        <v>44982</v>
      </c>
      <c r="D474" s="8" t="s">
        <v>1648</v>
      </c>
      <c r="E474" s="8" t="s">
        <v>68</v>
      </c>
      <c r="F474" s="8" t="s">
        <v>163</v>
      </c>
      <c r="G474" s="8" t="s">
        <v>129</v>
      </c>
      <c r="H474" s="8" t="s">
        <v>704</v>
      </c>
      <c r="I474" s="8" t="s">
        <v>4971</v>
      </c>
      <c r="J474" s="10">
        <v>136</v>
      </c>
      <c r="K474" s="11">
        <v>295.85000000000002</v>
      </c>
      <c r="L474" s="11">
        <v>361.81</v>
      </c>
      <c r="M474" s="11">
        <v>49206.16</v>
      </c>
      <c r="N474" s="11">
        <v>40235.599999999999</v>
      </c>
      <c r="O474" s="11">
        <f>CleanedData[[#This Row],[Total Sales ($)]]-CleanedData[[#This Row],[Total Cost ($)]]</f>
        <v>8970.5600000000049</v>
      </c>
      <c r="P474" s="12">
        <f>CleanedData[[#This Row],[Profit ($)]]/CleanedData[[#This Row],[Total Sales ($)]]</f>
        <v>0.18230563002680975</v>
      </c>
      <c r="Q474" s="8" t="s">
        <v>31</v>
      </c>
      <c r="R474" s="8" t="s">
        <v>63</v>
      </c>
      <c r="S474" s="8" t="b">
        <f>_xlfn.SINGLE(CleanedData[[#This Row],[Delivery Status]])="Late"</f>
        <v>0</v>
      </c>
      <c r="T474" s="10">
        <v>3</v>
      </c>
      <c r="U474" s="8" t="s">
        <v>53</v>
      </c>
      <c r="V474" s="10">
        <v>3565</v>
      </c>
      <c r="W474" s="10">
        <v>0</v>
      </c>
      <c r="X474" s="12">
        <v>0</v>
      </c>
      <c r="Y474" s="8" t="b">
        <f>CleanedData[[#This Row],[Ship Date]]&lt;CleanedData[[#This Row],[Order Date]]</f>
        <v>1</v>
      </c>
      <c r="Z474" s="10">
        <f>YEAR(CleanedData[[#This Row],[Order Date]])</f>
        <v>2023</v>
      </c>
      <c r="AA474" s="8">
        <f>MONTH(CleanedData[[#This Row],[Order Date]])</f>
        <v>5</v>
      </c>
    </row>
    <row r="475" spans="1:27" x14ac:dyDescent="0.35">
      <c r="A475" s="8" t="s">
        <v>1649</v>
      </c>
      <c r="B475" s="9">
        <v>45627</v>
      </c>
      <c r="C475" s="9">
        <v>45073</v>
      </c>
      <c r="D475" s="8" t="s">
        <v>1652</v>
      </c>
      <c r="E475" s="8" t="s">
        <v>100</v>
      </c>
      <c r="F475" s="8" t="s">
        <v>238</v>
      </c>
      <c r="G475" s="8" t="s">
        <v>217</v>
      </c>
      <c r="H475" s="8" t="s">
        <v>340</v>
      </c>
      <c r="I475" s="8" t="s">
        <v>4973</v>
      </c>
      <c r="J475" s="10">
        <v>679</v>
      </c>
      <c r="K475" s="11">
        <v>688.14</v>
      </c>
      <c r="L475" s="11">
        <v>997.13</v>
      </c>
      <c r="M475" s="11">
        <v>677051.27</v>
      </c>
      <c r="N475" s="11">
        <v>467247.06</v>
      </c>
      <c r="O475" s="11">
        <f>CleanedData[[#This Row],[Total Sales ($)]]-CleanedData[[#This Row],[Total Cost ($)]]</f>
        <v>209804.21000000002</v>
      </c>
      <c r="P475" s="12">
        <f>CleanedData[[#This Row],[Profit ($)]]/CleanedData[[#This Row],[Total Sales ($)]]</f>
        <v>0.30987935374524889</v>
      </c>
      <c r="Q475" s="8" t="s">
        <v>95</v>
      </c>
      <c r="R475" s="8" t="s">
        <v>32</v>
      </c>
      <c r="S475" s="8" t="b">
        <f>_xlfn.SINGLE(CleanedData[[#This Row],[Delivery Status]])="Late"</f>
        <v>1</v>
      </c>
      <c r="T475" s="10">
        <v>8</v>
      </c>
      <c r="U475" s="8" t="s">
        <v>53</v>
      </c>
      <c r="V475" s="10">
        <v>649</v>
      </c>
      <c r="W475" s="10">
        <v>8</v>
      </c>
      <c r="X475" s="12">
        <v>1.17820324005891E-2</v>
      </c>
      <c r="Y475" s="8" t="b">
        <f>CleanedData[[#This Row],[Ship Date]]&lt;CleanedData[[#This Row],[Order Date]]</f>
        <v>1</v>
      </c>
      <c r="Z475" s="10">
        <f>YEAR(CleanedData[[#This Row],[Order Date]])</f>
        <v>2024</v>
      </c>
      <c r="AA475" s="8">
        <f>MONTH(CleanedData[[#This Row],[Order Date]])</f>
        <v>12</v>
      </c>
    </row>
    <row r="476" spans="1:27" x14ac:dyDescent="0.35">
      <c r="A476" s="8" t="s">
        <v>1653</v>
      </c>
      <c r="B476" s="9">
        <v>45330</v>
      </c>
      <c r="C476" s="9">
        <v>45645</v>
      </c>
      <c r="D476" s="8" t="s">
        <v>1655</v>
      </c>
      <c r="E476" s="8" t="s">
        <v>48</v>
      </c>
      <c r="F476" s="8" t="s">
        <v>49</v>
      </c>
      <c r="G476" s="8" t="s">
        <v>78</v>
      </c>
      <c r="H476" s="8" t="s">
        <v>840</v>
      </c>
      <c r="I476" s="8" t="s">
        <v>4979</v>
      </c>
      <c r="J476" s="10">
        <v>263</v>
      </c>
      <c r="K476" s="11">
        <v>889.99</v>
      </c>
      <c r="L476" s="11">
        <v>1152.68</v>
      </c>
      <c r="M476" s="11">
        <v>303154.84000000003</v>
      </c>
      <c r="N476" s="11">
        <v>234067.37</v>
      </c>
      <c r="O476" s="11">
        <f>CleanedData[[#This Row],[Total Sales ($)]]-CleanedData[[#This Row],[Total Cost ($)]]</f>
        <v>69087.47000000003</v>
      </c>
      <c r="P476" s="12">
        <f>CleanedData[[#This Row],[Profit ($)]]/CleanedData[[#This Row],[Total Sales ($)]]</f>
        <v>0.22789499253912629</v>
      </c>
      <c r="Q476" s="8" t="s">
        <v>31</v>
      </c>
      <c r="R476" s="8" t="s">
        <v>32</v>
      </c>
      <c r="S476" s="8" t="b">
        <f>_xlfn.SINGLE(CleanedData[[#This Row],[Delivery Status]])="Late"</f>
        <v>1</v>
      </c>
      <c r="T476" s="10">
        <v>12</v>
      </c>
      <c r="U476" s="8" t="s">
        <v>43</v>
      </c>
      <c r="V476" s="10">
        <v>1033</v>
      </c>
      <c r="W476" s="10">
        <v>10</v>
      </c>
      <c r="X476" s="12">
        <v>3.8022813688212899E-2</v>
      </c>
      <c r="Y476" s="8" t="b">
        <f>CleanedData[[#This Row],[Ship Date]]&lt;CleanedData[[#This Row],[Order Date]]</f>
        <v>0</v>
      </c>
      <c r="Z476" s="10">
        <f>YEAR(CleanedData[[#This Row],[Order Date]])</f>
        <v>2024</v>
      </c>
      <c r="AA476" s="8">
        <f>MONTH(CleanedData[[#This Row],[Order Date]])</f>
        <v>2</v>
      </c>
    </row>
    <row r="477" spans="1:27" x14ac:dyDescent="0.35">
      <c r="A477" s="8" t="s">
        <v>1656</v>
      </c>
      <c r="B477" s="9">
        <v>45013</v>
      </c>
      <c r="C477" s="9">
        <v>45184</v>
      </c>
      <c r="D477" s="8" t="s">
        <v>1657</v>
      </c>
      <c r="E477" s="8" t="s">
        <v>48</v>
      </c>
      <c r="F477" s="8" t="s">
        <v>281</v>
      </c>
      <c r="G477" s="8" t="s">
        <v>50</v>
      </c>
      <c r="H477" s="8" t="s">
        <v>282</v>
      </c>
      <c r="I477" s="8" t="s">
        <v>4976</v>
      </c>
      <c r="J477" s="10">
        <v>655</v>
      </c>
      <c r="K477" s="11">
        <v>862.73</v>
      </c>
      <c r="L477" s="11">
        <v>1065.31</v>
      </c>
      <c r="M477" s="11">
        <v>697778.05</v>
      </c>
      <c r="N477" s="11">
        <v>565088.15</v>
      </c>
      <c r="O477" s="11">
        <f>CleanedData[[#This Row],[Total Sales ($)]]-CleanedData[[#This Row],[Total Cost ($)]]</f>
        <v>132689.90000000002</v>
      </c>
      <c r="P477" s="12">
        <f>CleanedData[[#This Row],[Profit ($)]]/CleanedData[[#This Row],[Total Sales ($)]]</f>
        <v>0.19016061052651342</v>
      </c>
      <c r="Q477" s="8" t="s">
        <v>95</v>
      </c>
      <c r="R477" s="8" t="s">
        <v>32</v>
      </c>
      <c r="S477" s="8" t="b">
        <f>_xlfn.SINGLE(CleanedData[[#This Row],[Delivery Status]])="Late"</f>
        <v>1</v>
      </c>
      <c r="T477" s="10">
        <v>10</v>
      </c>
      <c r="U477" s="8" t="s">
        <v>33</v>
      </c>
      <c r="V477" s="10">
        <v>1275</v>
      </c>
      <c r="W477" s="10">
        <v>27</v>
      </c>
      <c r="X477" s="12">
        <v>4.12213740458015E-2</v>
      </c>
      <c r="Y477" s="8" t="b">
        <f>CleanedData[[#This Row],[Ship Date]]&lt;CleanedData[[#This Row],[Order Date]]</f>
        <v>0</v>
      </c>
      <c r="Z477" s="10">
        <f>YEAR(CleanedData[[#This Row],[Order Date]])</f>
        <v>2023</v>
      </c>
      <c r="AA477" s="8">
        <f>MONTH(CleanedData[[#This Row],[Order Date]])</f>
        <v>3</v>
      </c>
    </row>
    <row r="478" spans="1:27" x14ac:dyDescent="0.35">
      <c r="A478" s="8" t="s">
        <v>1658</v>
      </c>
      <c r="B478" s="9">
        <v>45080</v>
      </c>
      <c r="C478" s="9">
        <v>45116</v>
      </c>
      <c r="D478" s="8" t="s">
        <v>1659</v>
      </c>
      <c r="E478" s="8" t="s">
        <v>100</v>
      </c>
      <c r="F478" s="8" t="s">
        <v>101</v>
      </c>
      <c r="G478" s="8" t="s">
        <v>39</v>
      </c>
      <c r="H478" s="8" t="s">
        <v>647</v>
      </c>
      <c r="I478" s="8" t="s">
        <v>4971</v>
      </c>
      <c r="J478" s="10">
        <v>592</v>
      </c>
      <c r="K478" s="11">
        <v>689.7</v>
      </c>
      <c r="L478" s="11">
        <v>1089.29</v>
      </c>
      <c r="M478" s="11">
        <v>644859.68000000005</v>
      </c>
      <c r="N478" s="11">
        <v>408302.4</v>
      </c>
      <c r="O478" s="11">
        <f>CleanedData[[#This Row],[Total Sales ($)]]-CleanedData[[#This Row],[Total Cost ($)]]</f>
        <v>236557.28000000003</v>
      </c>
      <c r="P478" s="12">
        <f>CleanedData[[#This Row],[Profit ($)]]/CleanedData[[#This Row],[Total Sales ($)]]</f>
        <v>0.36683527802513566</v>
      </c>
      <c r="Q478" s="8" t="s">
        <v>52</v>
      </c>
      <c r="R478" s="8" t="s">
        <v>32</v>
      </c>
      <c r="S478" s="8" t="b">
        <f>_xlfn.SINGLE(CleanedData[[#This Row],[Delivery Status]])="Late"</f>
        <v>1</v>
      </c>
      <c r="T478" s="10">
        <v>6</v>
      </c>
      <c r="U478" s="8" t="s">
        <v>43</v>
      </c>
      <c r="V478" s="10">
        <v>4389</v>
      </c>
      <c r="W478" s="10">
        <v>12</v>
      </c>
      <c r="X478" s="12">
        <v>2.0270270270270199E-2</v>
      </c>
      <c r="Y478" s="8" t="b">
        <f>CleanedData[[#This Row],[Ship Date]]&lt;CleanedData[[#This Row],[Order Date]]</f>
        <v>0</v>
      </c>
      <c r="Z478" s="10">
        <f>YEAR(CleanedData[[#This Row],[Order Date]])</f>
        <v>2023</v>
      </c>
      <c r="AA478" s="8">
        <f>MONTH(CleanedData[[#This Row],[Order Date]])</f>
        <v>6</v>
      </c>
    </row>
    <row r="479" spans="1:27" x14ac:dyDescent="0.35">
      <c r="A479" s="8" t="s">
        <v>1661</v>
      </c>
      <c r="B479" s="9">
        <v>45283</v>
      </c>
      <c r="C479" s="9">
        <v>45102</v>
      </c>
      <c r="D479" s="8" t="s">
        <v>1663</v>
      </c>
      <c r="E479" s="8" t="s">
        <v>58</v>
      </c>
      <c r="F479" s="8" t="s">
        <v>122</v>
      </c>
      <c r="G479" s="8" t="s">
        <v>70</v>
      </c>
      <c r="H479" s="8" t="s">
        <v>384</v>
      </c>
      <c r="I479" s="8" t="s">
        <v>4971</v>
      </c>
      <c r="J479" s="10">
        <v>150</v>
      </c>
      <c r="K479" s="11">
        <v>261.25</v>
      </c>
      <c r="L479" s="11">
        <v>392.83</v>
      </c>
      <c r="M479" s="11">
        <v>58924.5</v>
      </c>
      <c r="N479" s="11">
        <v>39187.5</v>
      </c>
      <c r="O479" s="11">
        <f>CleanedData[[#This Row],[Total Sales ($)]]-CleanedData[[#This Row],[Total Cost ($)]]</f>
        <v>19737</v>
      </c>
      <c r="P479" s="12">
        <f>CleanedData[[#This Row],[Profit ($)]]/CleanedData[[#This Row],[Total Sales ($)]]</f>
        <v>0.33495405137082196</v>
      </c>
      <c r="Q479" s="8" t="s">
        <v>52</v>
      </c>
      <c r="R479" s="8" t="s">
        <v>32</v>
      </c>
      <c r="S479" s="8" t="b">
        <f>_xlfn.SINGLE(CleanedData[[#This Row],[Delivery Status]])="Late"</f>
        <v>1</v>
      </c>
      <c r="T479" s="10">
        <v>6</v>
      </c>
      <c r="U479" s="8" t="s">
        <v>43</v>
      </c>
      <c r="V479" s="10">
        <v>240</v>
      </c>
      <c r="W479" s="10">
        <v>6</v>
      </c>
      <c r="X479" s="12">
        <v>0.04</v>
      </c>
      <c r="Y479" s="8" t="b">
        <f>CleanedData[[#This Row],[Ship Date]]&lt;CleanedData[[#This Row],[Order Date]]</f>
        <v>1</v>
      </c>
      <c r="Z479" s="10">
        <f>YEAR(CleanedData[[#This Row],[Order Date]])</f>
        <v>2023</v>
      </c>
      <c r="AA479" s="8">
        <f>MONTH(CleanedData[[#This Row],[Order Date]])</f>
        <v>12</v>
      </c>
    </row>
    <row r="480" spans="1:27" x14ac:dyDescent="0.35">
      <c r="A480" s="8" t="s">
        <v>1664</v>
      </c>
      <c r="B480" s="9">
        <v>45012</v>
      </c>
      <c r="C480" s="9">
        <v>45161</v>
      </c>
      <c r="D480" s="8" t="s">
        <v>1665</v>
      </c>
      <c r="E480" s="8" t="s">
        <v>100</v>
      </c>
      <c r="F480" s="8" t="s">
        <v>101</v>
      </c>
      <c r="G480" s="8" t="s">
        <v>70</v>
      </c>
      <c r="H480" s="8" t="s">
        <v>84</v>
      </c>
      <c r="I480" s="8" t="s">
        <v>4978</v>
      </c>
      <c r="J480" s="10">
        <v>357</v>
      </c>
      <c r="K480" s="11">
        <v>1039.82</v>
      </c>
      <c r="L480" s="11">
        <v>1543.62</v>
      </c>
      <c r="M480" s="11">
        <v>551072.34</v>
      </c>
      <c r="N480" s="11">
        <v>371215.74</v>
      </c>
      <c r="O480" s="11">
        <f>CleanedData[[#This Row],[Total Sales ($)]]-CleanedData[[#This Row],[Total Cost ($)]]</f>
        <v>179856.59999999998</v>
      </c>
      <c r="P480" s="12">
        <f>CleanedData[[#This Row],[Profit ($)]]/CleanedData[[#This Row],[Total Sales ($)]]</f>
        <v>0.32637566240395949</v>
      </c>
      <c r="Q480" s="8" t="s">
        <v>42</v>
      </c>
      <c r="R480" s="8" t="s">
        <v>32</v>
      </c>
      <c r="S480" s="8" t="b">
        <f>_xlfn.SINGLE(CleanedData[[#This Row],[Delivery Status]])="Late"</f>
        <v>1</v>
      </c>
      <c r="T480" s="10">
        <v>10</v>
      </c>
      <c r="U480" s="8" t="s">
        <v>112</v>
      </c>
      <c r="V480" s="10">
        <v>1637</v>
      </c>
      <c r="W480" s="10">
        <v>8</v>
      </c>
      <c r="X480" s="12">
        <v>2.2408963585434101E-2</v>
      </c>
      <c r="Y480" s="8" t="b">
        <f>CleanedData[[#This Row],[Ship Date]]&lt;CleanedData[[#This Row],[Order Date]]</f>
        <v>0</v>
      </c>
      <c r="Z480" s="10">
        <f>YEAR(CleanedData[[#This Row],[Order Date]])</f>
        <v>2023</v>
      </c>
      <c r="AA480" s="8">
        <f>MONTH(CleanedData[[#This Row],[Order Date]])</f>
        <v>3</v>
      </c>
    </row>
    <row r="481" spans="1:27" x14ac:dyDescent="0.35">
      <c r="A481" s="8" t="s">
        <v>1666</v>
      </c>
      <c r="B481" s="9">
        <v>45005</v>
      </c>
      <c r="C481" s="9">
        <v>44933</v>
      </c>
      <c r="D481" s="8" t="s">
        <v>1668</v>
      </c>
      <c r="E481" s="8" t="s">
        <v>68</v>
      </c>
      <c r="F481" s="8" t="s">
        <v>249</v>
      </c>
      <c r="G481" s="8" t="s">
        <v>50</v>
      </c>
      <c r="H481" s="8" t="s">
        <v>107</v>
      </c>
      <c r="I481" s="8" t="s">
        <v>4970</v>
      </c>
      <c r="J481" s="10">
        <v>338</v>
      </c>
      <c r="K481" s="11">
        <v>574.53</v>
      </c>
      <c r="L481" s="11">
        <v>925.09</v>
      </c>
      <c r="M481" s="11">
        <v>312680.42</v>
      </c>
      <c r="N481" s="11">
        <v>194191.14</v>
      </c>
      <c r="O481" s="11">
        <f>CleanedData[[#This Row],[Total Sales ($)]]-CleanedData[[#This Row],[Total Cost ($)]]</f>
        <v>118489.27999999997</v>
      </c>
      <c r="P481" s="12">
        <f>CleanedData[[#This Row],[Profit ($)]]/CleanedData[[#This Row],[Total Sales ($)]]</f>
        <v>0.37894691327330304</v>
      </c>
      <c r="Q481" s="8" t="s">
        <v>52</v>
      </c>
      <c r="R481" s="8" t="s">
        <v>32</v>
      </c>
      <c r="S481" s="8" t="b">
        <f>_xlfn.SINGLE(CleanedData[[#This Row],[Delivery Status]])="Late"</f>
        <v>1</v>
      </c>
      <c r="T481" s="10">
        <v>7</v>
      </c>
      <c r="U481" s="8" t="s">
        <v>86</v>
      </c>
      <c r="V481" s="10">
        <v>1424</v>
      </c>
      <c r="W481" s="10">
        <v>6</v>
      </c>
      <c r="X481" s="12">
        <v>1.7751479289940801E-2</v>
      </c>
      <c r="Y481" s="8" t="b">
        <f>CleanedData[[#This Row],[Ship Date]]&lt;CleanedData[[#This Row],[Order Date]]</f>
        <v>1</v>
      </c>
      <c r="Z481" s="10">
        <f>YEAR(CleanedData[[#This Row],[Order Date]])</f>
        <v>2023</v>
      </c>
      <c r="AA481" s="8">
        <f>MONTH(CleanedData[[#This Row],[Order Date]])</f>
        <v>3</v>
      </c>
    </row>
    <row r="482" spans="1:27" x14ac:dyDescent="0.35">
      <c r="A482" s="8" t="s">
        <v>1669</v>
      </c>
      <c r="B482" s="9">
        <v>45276</v>
      </c>
      <c r="C482" s="9">
        <v>45197</v>
      </c>
      <c r="D482" s="8" t="s">
        <v>1671</v>
      </c>
      <c r="E482" s="8" t="s">
        <v>48</v>
      </c>
      <c r="F482" s="8" t="s">
        <v>183</v>
      </c>
      <c r="G482" s="8" t="s">
        <v>217</v>
      </c>
      <c r="H482" s="8" t="s">
        <v>218</v>
      </c>
      <c r="I482" s="8" t="s">
        <v>4978</v>
      </c>
      <c r="J482" s="10">
        <v>459</v>
      </c>
      <c r="K482" s="11">
        <v>1169.07</v>
      </c>
      <c r="L482" s="11">
        <v>1923.76</v>
      </c>
      <c r="M482" s="11">
        <v>883005.84</v>
      </c>
      <c r="N482" s="11">
        <v>536603.13</v>
      </c>
      <c r="O482" s="11">
        <f>CleanedData[[#This Row],[Total Sales ($)]]-CleanedData[[#This Row],[Total Cost ($)]]</f>
        <v>346402.70999999996</v>
      </c>
      <c r="P482" s="12">
        <f>CleanedData[[#This Row],[Profit ($)]]/CleanedData[[#This Row],[Total Sales ($)]]</f>
        <v>0.39229945523350102</v>
      </c>
      <c r="Q482" s="8" t="s">
        <v>42</v>
      </c>
      <c r="R482" s="8" t="s">
        <v>32</v>
      </c>
      <c r="S482" s="8" t="b">
        <f>_xlfn.SINGLE(CleanedData[[#This Row],[Delivery Status]])="Late"</f>
        <v>1</v>
      </c>
      <c r="T482" s="10">
        <v>7</v>
      </c>
      <c r="U482" s="8" t="s">
        <v>33</v>
      </c>
      <c r="V482" s="10">
        <v>4451</v>
      </c>
      <c r="W482" s="10">
        <v>6</v>
      </c>
      <c r="X482" s="12">
        <v>1.30718954248366E-2</v>
      </c>
      <c r="Y482" s="8" t="b">
        <f>CleanedData[[#This Row],[Ship Date]]&lt;CleanedData[[#This Row],[Order Date]]</f>
        <v>1</v>
      </c>
      <c r="Z482" s="10">
        <f>YEAR(CleanedData[[#This Row],[Order Date]])</f>
        <v>2023</v>
      </c>
      <c r="AA482" s="8">
        <f>MONTH(CleanedData[[#This Row],[Order Date]])</f>
        <v>12</v>
      </c>
    </row>
    <row r="483" spans="1:27" x14ac:dyDescent="0.35">
      <c r="A483" s="8" t="s">
        <v>1672</v>
      </c>
      <c r="B483" s="9">
        <v>45410</v>
      </c>
      <c r="C483" s="9">
        <v>45057</v>
      </c>
      <c r="D483" s="8" t="s">
        <v>1675</v>
      </c>
      <c r="E483" s="8" t="s">
        <v>100</v>
      </c>
      <c r="F483" s="8" t="s">
        <v>106</v>
      </c>
      <c r="G483" s="8" t="s">
        <v>78</v>
      </c>
      <c r="H483" s="8" t="s">
        <v>425</v>
      </c>
      <c r="I483" s="8" t="s">
        <v>4978</v>
      </c>
      <c r="J483" s="10">
        <v>152</v>
      </c>
      <c r="K483" s="11">
        <v>357.28</v>
      </c>
      <c r="L483" s="11">
        <v>587.83000000000004</v>
      </c>
      <c r="M483" s="11">
        <v>89350.16</v>
      </c>
      <c r="N483" s="11">
        <v>54306.559999999998</v>
      </c>
      <c r="O483" s="11">
        <f>CleanedData[[#This Row],[Total Sales ($)]]-CleanedData[[#This Row],[Total Cost ($)]]</f>
        <v>35043.600000000006</v>
      </c>
      <c r="P483" s="12">
        <f>CleanedData[[#This Row],[Profit ($)]]/CleanedData[[#This Row],[Total Sales ($)]]</f>
        <v>0.39220522940305874</v>
      </c>
      <c r="Q483" s="8" t="s">
        <v>52</v>
      </c>
      <c r="R483" s="8" t="s">
        <v>63</v>
      </c>
      <c r="S483" s="8" t="b">
        <f>_xlfn.SINGLE(CleanedData[[#This Row],[Delivery Status]])="Late"</f>
        <v>0</v>
      </c>
      <c r="T483" s="10">
        <v>3</v>
      </c>
      <c r="U483" s="8" t="s">
        <v>33</v>
      </c>
      <c r="V483" s="10">
        <v>4595</v>
      </c>
      <c r="W483" s="10">
        <v>5</v>
      </c>
      <c r="X483" s="12">
        <v>3.2894736842105199E-2</v>
      </c>
      <c r="Y483" s="8" t="b">
        <f>CleanedData[[#This Row],[Ship Date]]&lt;CleanedData[[#This Row],[Order Date]]</f>
        <v>1</v>
      </c>
      <c r="Z483" s="10">
        <f>YEAR(CleanedData[[#This Row],[Order Date]])</f>
        <v>2024</v>
      </c>
      <c r="AA483" s="8">
        <f>MONTH(CleanedData[[#This Row],[Order Date]])</f>
        <v>4</v>
      </c>
    </row>
    <row r="484" spans="1:27" x14ac:dyDescent="0.35">
      <c r="A484" s="8" t="s">
        <v>1676</v>
      </c>
      <c r="B484" s="9">
        <v>45278</v>
      </c>
      <c r="C484" s="9">
        <v>44977</v>
      </c>
      <c r="D484" s="8" t="s">
        <v>550</v>
      </c>
      <c r="E484" s="8" t="s">
        <v>58</v>
      </c>
      <c r="F484" s="8" t="s">
        <v>417</v>
      </c>
      <c r="G484" s="8" t="s">
        <v>50</v>
      </c>
      <c r="H484" s="8" t="s">
        <v>107</v>
      </c>
      <c r="I484" s="8" t="s">
        <v>4971</v>
      </c>
      <c r="J484" s="10">
        <v>201</v>
      </c>
      <c r="K484" s="11">
        <v>512.6</v>
      </c>
      <c r="L484" s="11">
        <v>590.64</v>
      </c>
      <c r="M484" s="11">
        <v>118718.64</v>
      </c>
      <c r="N484" s="11">
        <v>103032.6</v>
      </c>
      <c r="O484" s="11">
        <f>CleanedData[[#This Row],[Total Sales ($)]]-CleanedData[[#This Row],[Total Cost ($)]]</f>
        <v>15686.039999999994</v>
      </c>
      <c r="P484" s="12">
        <f>CleanedData[[#This Row],[Profit ($)]]/CleanedData[[#This Row],[Total Sales ($)]]</f>
        <v>0.13212786130299331</v>
      </c>
      <c r="Q484" s="8" t="s">
        <v>31</v>
      </c>
      <c r="R484" s="8" t="s">
        <v>32</v>
      </c>
      <c r="S484" s="8" t="b">
        <f>_xlfn.SINGLE(CleanedData[[#This Row],[Delivery Status]])="Late"</f>
        <v>1</v>
      </c>
      <c r="T484" s="10">
        <v>11</v>
      </c>
      <c r="U484" s="8" t="s">
        <v>43</v>
      </c>
      <c r="V484" s="10">
        <v>4037</v>
      </c>
      <c r="W484" s="10">
        <v>9</v>
      </c>
      <c r="X484" s="12">
        <v>4.4776119402985003E-2</v>
      </c>
      <c r="Y484" s="8" t="b">
        <f>CleanedData[[#This Row],[Ship Date]]&lt;CleanedData[[#This Row],[Order Date]]</f>
        <v>1</v>
      </c>
      <c r="Z484" s="10">
        <f>YEAR(CleanedData[[#This Row],[Order Date]])</f>
        <v>2023</v>
      </c>
      <c r="AA484" s="8">
        <f>MONTH(CleanedData[[#This Row],[Order Date]])</f>
        <v>12</v>
      </c>
    </row>
    <row r="485" spans="1:27" x14ac:dyDescent="0.35">
      <c r="A485" s="8" t="s">
        <v>1677</v>
      </c>
      <c r="B485" s="9">
        <v>45000</v>
      </c>
      <c r="C485" s="9">
        <v>45057</v>
      </c>
      <c r="D485" s="8" t="s">
        <v>1407</v>
      </c>
      <c r="E485" s="8" t="s">
        <v>58</v>
      </c>
      <c r="F485" s="8" t="s">
        <v>259</v>
      </c>
      <c r="G485" s="8" t="s">
        <v>39</v>
      </c>
      <c r="H485" s="8" t="s">
        <v>147</v>
      </c>
      <c r="I485" s="8" t="s">
        <v>4967</v>
      </c>
      <c r="J485" s="10">
        <v>706</v>
      </c>
      <c r="K485" s="11">
        <v>521.52</v>
      </c>
      <c r="L485" s="11">
        <v>592.87</v>
      </c>
      <c r="M485" s="11">
        <v>418566.22</v>
      </c>
      <c r="N485" s="11">
        <v>368193.12</v>
      </c>
      <c r="O485" s="11">
        <f>CleanedData[[#This Row],[Total Sales ($)]]-CleanedData[[#This Row],[Total Cost ($)]]</f>
        <v>50373.099999999977</v>
      </c>
      <c r="P485" s="12">
        <f>CleanedData[[#This Row],[Profit ($)]]/CleanedData[[#This Row],[Total Sales ($)]]</f>
        <v>0.1203467876600266</v>
      </c>
      <c r="Q485" s="8" t="s">
        <v>95</v>
      </c>
      <c r="R485" s="8" t="s">
        <v>32</v>
      </c>
      <c r="S485" s="8" t="b">
        <f>_xlfn.SINGLE(CleanedData[[#This Row],[Delivery Status]])="Late"</f>
        <v>1</v>
      </c>
      <c r="T485" s="10">
        <v>8</v>
      </c>
      <c r="U485" s="8" t="s">
        <v>158</v>
      </c>
      <c r="V485" s="10">
        <v>2069</v>
      </c>
      <c r="W485" s="10">
        <v>28</v>
      </c>
      <c r="X485" s="12">
        <v>3.9660056657223698E-2</v>
      </c>
      <c r="Y485" s="8" t="b">
        <f>CleanedData[[#This Row],[Ship Date]]&lt;CleanedData[[#This Row],[Order Date]]</f>
        <v>0</v>
      </c>
      <c r="Z485" s="10">
        <f>YEAR(CleanedData[[#This Row],[Order Date]])</f>
        <v>2023</v>
      </c>
      <c r="AA485" s="8">
        <f>MONTH(CleanedData[[#This Row],[Order Date]])</f>
        <v>3</v>
      </c>
    </row>
    <row r="486" spans="1:27" x14ac:dyDescent="0.35">
      <c r="A486" s="8" t="s">
        <v>1678</v>
      </c>
      <c r="B486" s="9">
        <v>45051</v>
      </c>
      <c r="C486" s="9">
        <v>45080</v>
      </c>
      <c r="D486" s="8" t="s">
        <v>1679</v>
      </c>
      <c r="E486" s="8" t="s">
        <v>48</v>
      </c>
      <c r="F486" s="8" t="s">
        <v>223</v>
      </c>
      <c r="G486" s="8" t="s">
        <v>28</v>
      </c>
      <c r="H486" s="8" t="s">
        <v>507</v>
      </c>
      <c r="I486" s="8" t="s">
        <v>4979</v>
      </c>
      <c r="J486" s="10">
        <v>427</v>
      </c>
      <c r="K486" s="11">
        <v>461.59</v>
      </c>
      <c r="L486" s="11">
        <v>667.54</v>
      </c>
      <c r="M486" s="11">
        <v>285039.58</v>
      </c>
      <c r="N486" s="11">
        <v>197098.93</v>
      </c>
      <c r="O486" s="11">
        <f>CleanedData[[#This Row],[Total Sales ($)]]-CleanedData[[#This Row],[Total Cost ($)]]</f>
        <v>87940.650000000023</v>
      </c>
      <c r="P486" s="12">
        <f>CleanedData[[#This Row],[Profit ($)]]/CleanedData[[#This Row],[Total Sales ($)]]</f>
        <v>0.30852083770260963</v>
      </c>
      <c r="Q486" s="8" t="s">
        <v>42</v>
      </c>
      <c r="R486" s="8" t="s">
        <v>32</v>
      </c>
      <c r="S486" s="8" t="b">
        <f>_xlfn.SINGLE(CleanedData[[#This Row],[Delivery Status]])="Late"</f>
        <v>1</v>
      </c>
      <c r="T486" s="10">
        <v>10</v>
      </c>
      <c r="U486" s="8" t="s">
        <v>53</v>
      </c>
      <c r="V486" s="10">
        <v>2408</v>
      </c>
      <c r="W486" s="10">
        <v>18</v>
      </c>
      <c r="X486" s="12">
        <v>4.2154566744730601E-2</v>
      </c>
      <c r="Y486" s="8" t="b">
        <f>CleanedData[[#This Row],[Ship Date]]&lt;CleanedData[[#This Row],[Order Date]]</f>
        <v>0</v>
      </c>
      <c r="Z486" s="10">
        <f>YEAR(CleanedData[[#This Row],[Order Date]])</f>
        <v>2023</v>
      </c>
      <c r="AA486" s="8">
        <f>MONTH(CleanedData[[#This Row],[Order Date]])</f>
        <v>5</v>
      </c>
    </row>
    <row r="487" spans="1:27" x14ac:dyDescent="0.35">
      <c r="A487" s="8" t="s">
        <v>1680</v>
      </c>
      <c r="B487" s="9">
        <v>45044</v>
      </c>
      <c r="C487" s="9">
        <v>45271</v>
      </c>
      <c r="D487" s="8" t="s">
        <v>1681</v>
      </c>
      <c r="E487" s="8" t="s">
        <v>48</v>
      </c>
      <c r="F487" s="8" t="s">
        <v>183</v>
      </c>
      <c r="G487" s="8" t="s">
        <v>129</v>
      </c>
      <c r="H487" s="8" t="s">
        <v>152</v>
      </c>
      <c r="I487" s="8" t="s">
        <v>4977</v>
      </c>
      <c r="J487" s="10">
        <v>394</v>
      </c>
      <c r="K487" s="11">
        <v>314</v>
      </c>
      <c r="L487" s="11">
        <v>397.36</v>
      </c>
      <c r="M487" s="11">
        <v>156559.84</v>
      </c>
      <c r="N487" s="11">
        <v>123716</v>
      </c>
      <c r="O487" s="11">
        <f>CleanedData[[#This Row],[Total Sales ($)]]-CleanedData[[#This Row],[Total Cost ($)]]</f>
        <v>32843.839999999997</v>
      </c>
      <c r="P487" s="12">
        <f>CleanedData[[#This Row],[Profit ($)]]/CleanedData[[#This Row],[Total Sales ($)]]</f>
        <v>0.20978457821622709</v>
      </c>
      <c r="Q487" s="8" t="s">
        <v>95</v>
      </c>
      <c r="R487" s="8" t="s">
        <v>32</v>
      </c>
      <c r="S487" s="8" t="b">
        <f>_xlfn.SINGLE(CleanedData[[#This Row],[Delivery Status]])="Late"</f>
        <v>1</v>
      </c>
      <c r="T487" s="10">
        <v>10</v>
      </c>
      <c r="U487" s="8" t="s">
        <v>53</v>
      </c>
      <c r="V487" s="10">
        <v>4182</v>
      </c>
      <c r="W487" s="10">
        <v>13</v>
      </c>
      <c r="X487" s="12">
        <v>3.2994923857868001E-2</v>
      </c>
      <c r="Y487" s="8" t="b">
        <f>CleanedData[[#This Row],[Ship Date]]&lt;CleanedData[[#This Row],[Order Date]]</f>
        <v>0</v>
      </c>
      <c r="Z487" s="10">
        <f>YEAR(CleanedData[[#This Row],[Order Date]])</f>
        <v>2023</v>
      </c>
      <c r="AA487" s="8">
        <f>MONTH(CleanedData[[#This Row],[Order Date]])</f>
        <v>4</v>
      </c>
    </row>
    <row r="488" spans="1:27" x14ac:dyDescent="0.35">
      <c r="A488" s="8" t="s">
        <v>1682</v>
      </c>
      <c r="B488" s="9">
        <v>45005</v>
      </c>
      <c r="C488" s="9">
        <v>45018</v>
      </c>
      <c r="D488" s="8" t="s">
        <v>1683</v>
      </c>
      <c r="E488" s="8" t="s">
        <v>48</v>
      </c>
      <c r="F488" s="8" t="s">
        <v>49</v>
      </c>
      <c r="G488" s="8" t="s">
        <v>70</v>
      </c>
      <c r="H488" s="8" t="s">
        <v>446</v>
      </c>
      <c r="I488" s="8" t="s">
        <v>4977</v>
      </c>
      <c r="J488" s="10">
        <v>438</v>
      </c>
      <c r="K488" s="11">
        <v>733.49</v>
      </c>
      <c r="L488" s="11">
        <v>984.88</v>
      </c>
      <c r="M488" s="11">
        <v>431377.44</v>
      </c>
      <c r="N488" s="11">
        <v>321268.62</v>
      </c>
      <c r="O488" s="11">
        <f>CleanedData[[#This Row],[Total Sales ($)]]-CleanedData[[#This Row],[Total Cost ($)]]</f>
        <v>110108.82</v>
      </c>
      <c r="P488" s="12">
        <f>CleanedData[[#This Row],[Profit ($)]]/CleanedData[[#This Row],[Total Sales ($)]]</f>
        <v>0.25524937048168306</v>
      </c>
      <c r="Q488" s="8" t="s">
        <v>95</v>
      </c>
      <c r="R488" s="8" t="s">
        <v>32</v>
      </c>
      <c r="S488" s="8" t="b">
        <f>_xlfn.SINGLE(CleanedData[[#This Row],[Delivery Status]])="Late"</f>
        <v>1</v>
      </c>
      <c r="T488" s="10">
        <v>9</v>
      </c>
      <c r="U488" s="8" t="s">
        <v>86</v>
      </c>
      <c r="V488" s="10">
        <v>550</v>
      </c>
      <c r="W488" s="10">
        <v>13</v>
      </c>
      <c r="X488" s="12">
        <v>2.9680365296803599E-2</v>
      </c>
      <c r="Y488" s="8" t="b">
        <f>CleanedData[[#This Row],[Ship Date]]&lt;CleanedData[[#This Row],[Order Date]]</f>
        <v>0</v>
      </c>
      <c r="Z488" s="10">
        <f>YEAR(CleanedData[[#This Row],[Order Date]])</f>
        <v>2023</v>
      </c>
      <c r="AA488" s="8">
        <f>MONTH(CleanedData[[#This Row],[Order Date]])</f>
        <v>3</v>
      </c>
    </row>
    <row r="489" spans="1:27" x14ac:dyDescent="0.35">
      <c r="A489" s="8" t="s">
        <v>1684</v>
      </c>
      <c r="B489" s="9">
        <v>45278</v>
      </c>
      <c r="C489" s="9">
        <v>45277</v>
      </c>
      <c r="D489" s="8" t="s">
        <v>699</v>
      </c>
      <c r="E489" s="8" t="s">
        <v>68</v>
      </c>
      <c r="F489" s="8" t="s">
        <v>69</v>
      </c>
      <c r="G489" s="8" t="s">
        <v>129</v>
      </c>
      <c r="H489" s="8" t="s">
        <v>316</v>
      </c>
      <c r="I489" s="8" t="s">
        <v>4969</v>
      </c>
      <c r="J489" s="10">
        <v>565</v>
      </c>
      <c r="K489" s="11">
        <v>558</v>
      </c>
      <c r="L489" s="11">
        <v>707.07</v>
      </c>
      <c r="M489" s="11">
        <v>399494.55</v>
      </c>
      <c r="N489" s="11">
        <v>315270</v>
      </c>
      <c r="O489" s="11">
        <f>CleanedData[[#This Row],[Total Sales ($)]]-CleanedData[[#This Row],[Total Cost ($)]]</f>
        <v>84224.549999999988</v>
      </c>
      <c r="P489" s="12">
        <f>CleanedData[[#This Row],[Profit ($)]]/CleanedData[[#This Row],[Total Sales ($)]]</f>
        <v>0.21082778225635365</v>
      </c>
      <c r="Q489" s="8" t="s">
        <v>52</v>
      </c>
      <c r="R489" s="8" t="s">
        <v>32</v>
      </c>
      <c r="S489" s="8" t="b">
        <f>_xlfn.SINGLE(CleanedData[[#This Row],[Delivery Status]])="Late"</f>
        <v>1</v>
      </c>
      <c r="T489" s="10">
        <v>11</v>
      </c>
      <c r="U489" s="8" t="s">
        <v>43</v>
      </c>
      <c r="V489" s="10">
        <v>1452</v>
      </c>
      <c r="W489" s="10">
        <v>10</v>
      </c>
      <c r="X489" s="12">
        <v>1.7699115044247701E-2</v>
      </c>
      <c r="Y489" s="8" t="b">
        <f>CleanedData[[#This Row],[Ship Date]]&lt;CleanedData[[#This Row],[Order Date]]</f>
        <v>1</v>
      </c>
      <c r="Z489" s="10">
        <f>YEAR(CleanedData[[#This Row],[Order Date]])</f>
        <v>2023</v>
      </c>
      <c r="AA489" s="8">
        <f>MONTH(CleanedData[[#This Row],[Order Date]])</f>
        <v>12</v>
      </c>
    </row>
    <row r="490" spans="1:27" x14ac:dyDescent="0.35">
      <c r="A490" s="8" t="s">
        <v>1687</v>
      </c>
      <c r="B490" s="9">
        <v>45042</v>
      </c>
      <c r="C490" s="9">
        <v>45190</v>
      </c>
      <c r="D490" s="8" t="s">
        <v>1689</v>
      </c>
      <c r="E490" s="8" t="s">
        <v>26</v>
      </c>
      <c r="F490" s="8" t="s">
        <v>27</v>
      </c>
      <c r="G490" s="8" t="s">
        <v>70</v>
      </c>
      <c r="H490" s="8" t="s">
        <v>84</v>
      </c>
      <c r="I490" s="8" t="s">
        <v>4971</v>
      </c>
      <c r="J490" s="10">
        <v>581</v>
      </c>
      <c r="K490" s="11">
        <v>717.48</v>
      </c>
      <c r="L490" s="11">
        <v>805.03</v>
      </c>
      <c r="M490" s="11">
        <v>467722.43</v>
      </c>
      <c r="N490" s="11">
        <v>416855.88</v>
      </c>
      <c r="O490" s="11">
        <f>CleanedData[[#This Row],[Total Sales ($)]]-CleanedData[[#This Row],[Total Cost ($)]]</f>
        <v>50866.549999999988</v>
      </c>
      <c r="P490" s="12">
        <f>CleanedData[[#This Row],[Profit ($)]]/CleanedData[[#This Row],[Total Sales ($)]]</f>
        <v>0.10875371104182451</v>
      </c>
      <c r="Q490" s="8" t="s">
        <v>42</v>
      </c>
      <c r="R490" s="8" t="s">
        <v>32</v>
      </c>
      <c r="S490" s="8" t="b">
        <f>_xlfn.SINGLE(CleanedData[[#This Row],[Delivery Status]])="Late"</f>
        <v>1</v>
      </c>
      <c r="T490" s="10">
        <v>14</v>
      </c>
      <c r="U490" s="8" t="s">
        <v>53</v>
      </c>
      <c r="V490" s="10">
        <v>983</v>
      </c>
      <c r="W490" s="10">
        <v>28</v>
      </c>
      <c r="X490" s="12">
        <v>4.8192771084337303E-2</v>
      </c>
      <c r="Y490" s="8" t="b">
        <f>CleanedData[[#This Row],[Ship Date]]&lt;CleanedData[[#This Row],[Order Date]]</f>
        <v>0</v>
      </c>
      <c r="Z490" s="10">
        <f>YEAR(CleanedData[[#This Row],[Order Date]])</f>
        <v>2023</v>
      </c>
      <c r="AA490" s="8">
        <f>MONTH(CleanedData[[#This Row],[Order Date]])</f>
        <v>4</v>
      </c>
    </row>
    <row r="491" spans="1:27" x14ac:dyDescent="0.35">
      <c r="A491" s="8" t="s">
        <v>1690</v>
      </c>
      <c r="B491" s="9">
        <v>45021</v>
      </c>
      <c r="C491" s="9">
        <v>45097</v>
      </c>
      <c r="D491" s="8" t="s">
        <v>1691</v>
      </c>
      <c r="E491" s="8" t="s">
        <v>58</v>
      </c>
      <c r="F491" s="8" t="s">
        <v>122</v>
      </c>
      <c r="G491" s="8" t="s">
        <v>60</v>
      </c>
      <c r="H491" s="8" t="s">
        <v>780</v>
      </c>
      <c r="I491" s="8" t="s">
        <v>4976</v>
      </c>
      <c r="J491" s="10">
        <v>282</v>
      </c>
      <c r="K491" s="11">
        <v>967.25</v>
      </c>
      <c r="L491" s="11">
        <v>1091.42</v>
      </c>
      <c r="M491" s="11">
        <v>307780.44</v>
      </c>
      <c r="N491" s="11">
        <v>272764.5</v>
      </c>
      <c r="O491" s="11">
        <f>CleanedData[[#This Row],[Total Sales ($)]]-CleanedData[[#This Row],[Total Cost ($)]]</f>
        <v>35015.94</v>
      </c>
      <c r="P491" s="12">
        <f>CleanedData[[#This Row],[Profit ($)]]/CleanedData[[#This Row],[Total Sales ($)]]</f>
        <v>0.11376921808286453</v>
      </c>
      <c r="Q491" s="8" t="s">
        <v>95</v>
      </c>
      <c r="R491" s="8" t="s">
        <v>32</v>
      </c>
      <c r="S491" s="8" t="b">
        <f>_xlfn.SINGLE(CleanedData[[#This Row],[Delivery Status]])="Late"</f>
        <v>1</v>
      </c>
      <c r="T491" s="10">
        <v>10</v>
      </c>
      <c r="U491" s="8" t="s">
        <v>86</v>
      </c>
      <c r="V491" s="10">
        <v>3467</v>
      </c>
      <c r="W491" s="10">
        <v>3</v>
      </c>
      <c r="X491" s="12">
        <v>1.0638297872340399E-2</v>
      </c>
      <c r="Y491" s="8" t="b">
        <f>CleanedData[[#This Row],[Ship Date]]&lt;CleanedData[[#This Row],[Order Date]]</f>
        <v>0</v>
      </c>
      <c r="Z491" s="10">
        <f>YEAR(CleanedData[[#This Row],[Order Date]])</f>
        <v>2023</v>
      </c>
      <c r="AA491" s="8">
        <f>MONTH(CleanedData[[#This Row],[Order Date]])</f>
        <v>4</v>
      </c>
    </row>
    <row r="492" spans="1:27" x14ac:dyDescent="0.35">
      <c r="A492" s="8" t="s">
        <v>1692</v>
      </c>
      <c r="B492" s="9">
        <v>45102</v>
      </c>
      <c r="C492" s="9">
        <v>45231</v>
      </c>
      <c r="D492" s="8" t="s">
        <v>1694</v>
      </c>
      <c r="E492" s="8" t="s">
        <v>48</v>
      </c>
      <c r="F492" s="8" t="s">
        <v>270</v>
      </c>
      <c r="G492" s="8" t="s">
        <v>28</v>
      </c>
      <c r="H492" s="8" t="s">
        <v>579</v>
      </c>
      <c r="I492" s="8" t="s">
        <v>4967</v>
      </c>
      <c r="J492" s="10">
        <v>642</v>
      </c>
      <c r="K492" s="11">
        <v>850.43</v>
      </c>
      <c r="L492" s="11">
        <v>1295.3699999999999</v>
      </c>
      <c r="M492" s="11">
        <v>831627.54</v>
      </c>
      <c r="N492" s="11">
        <v>545976.06000000006</v>
      </c>
      <c r="O492" s="11">
        <f>CleanedData[[#This Row],[Total Sales ($)]]-CleanedData[[#This Row],[Total Cost ($)]]</f>
        <v>285651.48</v>
      </c>
      <c r="P492" s="12">
        <f>CleanedData[[#This Row],[Profit ($)]]/CleanedData[[#This Row],[Total Sales ($)]]</f>
        <v>0.34348487304785502</v>
      </c>
      <c r="Q492" s="8" t="s">
        <v>95</v>
      </c>
      <c r="R492" s="8" t="s">
        <v>63</v>
      </c>
      <c r="S492" s="8" t="b">
        <f>_xlfn.SINGLE(CleanedData[[#This Row],[Delivery Status]])="Late"</f>
        <v>0</v>
      </c>
      <c r="T492" s="10">
        <v>5</v>
      </c>
      <c r="U492" s="8" t="s">
        <v>53</v>
      </c>
      <c r="V492" s="10">
        <v>3044</v>
      </c>
      <c r="W492" s="10">
        <v>31</v>
      </c>
      <c r="X492" s="12">
        <v>4.8286604361370701E-2</v>
      </c>
      <c r="Y492" s="8" t="b">
        <f>CleanedData[[#This Row],[Ship Date]]&lt;CleanedData[[#This Row],[Order Date]]</f>
        <v>0</v>
      </c>
      <c r="Z492" s="10">
        <f>YEAR(CleanedData[[#This Row],[Order Date]])</f>
        <v>2023</v>
      </c>
      <c r="AA492" s="8">
        <f>MONTH(CleanedData[[#This Row],[Order Date]])</f>
        <v>6</v>
      </c>
    </row>
    <row r="493" spans="1:27" x14ac:dyDescent="0.35">
      <c r="A493" s="8" t="s">
        <v>1695</v>
      </c>
      <c r="B493" s="9">
        <v>44927</v>
      </c>
      <c r="C493" s="9">
        <v>44993</v>
      </c>
      <c r="D493" s="8" t="s">
        <v>1696</v>
      </c>
      <c r="E493" s="8" t="s">
        <v>48</v>
      </c>
      <c r="F493" s="8" t="s">
        <v>223</v>
      </c>
      <c r="G493" s="8" t="s">
        <v>93</v>
      </c>
      <c r="H493" s="8" t="s">
        <v>302</v>
      </c>
      <c r="I493" s="8" t="s">
        <v>4971</v>
      </c>
      <c r="J493" s="10">
        <v>350</v>
      </c>
      <c r="K493" s="11">
        <v>183.32</v>
      </c>
      <c r="L493" s="11">
        <v>301.27</v>
      </c>
      <c r="M493" s="11">
        <v>105444.5</v>
      </c>
      <c r="N493" s="11">
        <v>64162</v>
      </c>
      <c r="O493" s="11">
        <f>CleanedData[[#This Row],[Total Sales ($)]]-CleanedData[[#This Row],[Total Cost ($)]]</f>
        <v>41282.5</v>
      </c>
      <c r="P493" s="12">
        <f>CleanedData[[#This Row],[Profit ($)]]/CleanedData[[#This Row],[Total Sales ($)]]</f>
        <v>0.39150927739237229</v>
      </c>
      <c r="Q493" s="8" t="s">
        <v>42</v>
      </c>
      <c r="R493" s="8" t="s">
        <v>32</v>
      </c>
      <c r="S493" s="8" t="b">
        <f>_xlfn.SINGLE(CleanedData[[#This Row],[Delivery Status]])="Late"</f>
        <v>1</v>
      </c>
      <c r="T493" s="10">
        <v>10</v>
      </c>
      <c r="U493" s="8" t="s">
        <v>33</v>
      </c>
      <c r="V493" s="10">
        <v>3846</v>
      </c>
      <c r="W493" s="10">
        <v>1</v>
      </c>
      <c r="X493" s="12">
        <v>2.8571428571427999E-3</v>
      </c>
      <c r="Y493" s="8" t="b">
        <f>CleanedData[[#This Row],[Ship Date]]&lt;CleanedData[[#This Row],[Order Date]]</f>
        <v>0</v>
      </c>
      <c r="Z493" s="10">
        <f>YEAR(CleanedData[[#This Row],[Order Date]])</f>
        <v>2023</v>
      </c>
      <c r="AA493" s="8">
        <f>MONTH(CleanedData[[#This Row],[Order Date]])</f>
        <v>1</v>
      </c>
    </row>
    <row r="494" spans="1:27" x14ac:dyDescent="0.35">
      <c r="A494" s="8" t="s">
        <v>1697</v>
      </c>
      <c r="B494" s="9">
        <v>45264</v>
      </c>
      <c r="C494" s="9">
        <v>45028</v>
      </c>
      <c r="D494" s="8" t="s">
        <v>1699</v>
      </c>
      <c r="E494" s="8" t="s">
        <v>26</v>
      </c>
      <c r="F494" s="8" t="s">
        <v>228</v>
      </c>
      <c r="G494" s="8" t="s">
        <v>189</v>
      </c>
      <c r="H494" s="8" t="s">
        <v>561</v>
      </c>
      <c r="I494" s="8" t="s">
        <v>4971</v>
      </c>
      <c r="J494" s="10">
        <v>203</v>
      </c>
      <c r="K494" s="11">
        <v>801.3</v>
      </c>
      <c r="L494" s="11">
        <v>1064.97</v>
      </c>
      <c r="M494" s="11">
        <v>216188.91</v>
      </c>
      <c r="N494" s="11">
        <v>162663.9</v>
      </c>
      <c r="O494" s="11">
        <f>CleanedData[[#This Row],[Total Sales ($)]]-CleanedData[[#This Row],[Total Cost ($)]]</f>
        <v>53525.010000000009</v>
      </c>
      <c r="P494" s="12">
        <f>CleanedData[[#This Row],[Profit ($)]]/CleanedData[[#This Row],[Total Sales ($)]]</f>
        <v>0.24758443899828167</v>
      </c>
      <c r="Q494" s="8" t="s">
        <v>95</v>
      </c>
      <c r="R494" s="8" t="s">
        <v>63</v>
      </c>
      <c r="S494" s="8" t="b">
        <f>_xlfn.SINGLE(CleanedData[[#This Row],[Delivery Status]])="Late"</f>
        <v>0</v>
      </c>
      <c r="T494" s="10">
        <v>2</v>
      </c>
      <c r="U494" s="8" t="s">
        <v>86</v>
      </c>
      <c r="V494" s="10">
        <v>2010</v>
      </c>
      <c r="W494" s="10">
        <v>7</v>
      </c>
      <c r="X494" s="12">
        <v>3.4482758620689599E-2</v>
      </c>
      <c r="Y494" s="8" t="b">
        <f>CleanedData[[#This Row],[Ship Date]]&lt;CleanedData[[#This Row],[Order Date]]</f>
        <v>1</v>
      </c>
      <c r="Z494" s="10">
        <f>YEAR(CleanedData[[#This Row],[Order Date]])</f>
        <v>2023</v>
      </c>
      <c r="AA494" s="8">
        <f>MONTH(CleanedData[[#This Row],[Order Date]])</f>
        <v>12</v>
      </c>
    </row>
    <row r="495" spans="1:27" x14ac:dyDescent="0.35">
      <c r="A495" s="8" t="s">
        <v>1700</v>
      </c>
      <c r="B495" s="9">
        <v>45214</v>
      </c>
      <c r="C495" s="9">
        <v>45068</v>
      </c>
      <c r="D495" s="8" t="s">
        <v>1701</v>
      </c>
      <c r="E495" s="8" t="s">
        <v>26</v>
      </c>
      <c r="F495" s="8" t="s">
        <v>92</v>
      </c>
      <c r="G495" s="8" t="s">
        <v>60</v>
      </c>
      <c r="H495" s="8" t="s">
        <v>539</v>
      </c>
      <c r="I495" s="8" t="s">
        <v>4967</v>
      </c>
      <c r="J495" s="10">
        <v>425</v>
      </c>
      <c r="K495" s="11">
        <v>165.49</v>
      </c>
      <c r="L495" s="11">
        <v>218.9</v>
      </c>
      <c r="M495" s="11">
        <v>93032.5</v>
      </c>
      <c r="N495" s="11">
        <v>70333.25</v>
      </c>
      <c r="O495" s="11">
        <f>CleanedData[[#This Row],[Total Sales ($)]]-CleanedData[[#This Row],[Total Cost ($)]]</f>
        <v>22699.25</v>
      </c>
      <c r="P495" s="12">
        <f>CleanedData[[#This Row],[Profit ($)]]/CleanedData[[#This Row],[Total Sales ($)]]</f>
        <v>0.24399269072635907</v>
      </c>
      <c r="Q495" s="8" t="s">
        <v>95</v>
      </c>
      <c r="R495" s="8" t="s">
        <v>63</v>
      </c>
      <c r="S495" s="8" t="b">
        <f>_xlfn.SINGLE(CleanedData[[#This Row],[Delivery Status]])="Late"</f>
        <v>0</v>
      </c>
      <c r="T495" s="10">
        <v>5</v>
      </c>
      <c r="U495" s="8" t="s">
        <v>53</v>
      </c>
      <c r="V495" s="10">
        <v>309</v>
      </c>
      <c r="W495" s="10">
        <v>13</v>
      </c>
      <c r="X495" s="12">
        <v>3.05882352941176E-2</v>
      </c>
      <c r="Y495" s="8" t="b">
        <f>CleanedData[[#This Row],[Ship Date]]&lt;CleanedData[[#This Row],[Order Date]]</f>
        <v>1</v>
      </c>
      <c r="Z495" s="10">
        <f>YEAR(CleanedData[[#This Row],[Order Date]])</f>
        <v>2023</v>
      </c>
      <c r="AA495" s="8">
        <f>MONTH(CleanedData[[#This Row],[Order Date]])</f>
        <v>10</v>
      </c>
    </row>
    <row r="496" spans="1:27" x14ac:dyDescent="0.35">
      <c r="A496" s="8" t="s">
        <v>1702</v>
      </c>
      <c r="B496" s="9">
        <v>44971</v>
      </c>
      <c r="C496" s="9">
        <v>45242</v>
      </c>
      <c r="D496" s="8" t="s">
        <v>1703</v>
      </c>
      <c r="E496" s="8" t="s">
        <v>68</v>
      </c>
      <c r="F496" s="8" t="s">
        <v>163</v>
      </c>
      <c r="G496" s="8" t="s">
        <v>28</v>
      </c>
      <c r="H496" s="8" t="s">
        <v>29</v>
      </c>
      <c r="I496" s="8" t="s">
        <v>4970</v>
      </c>
      <c r="J496" s="10">
        <v>597</v>
      </c>
      <c r="K496" s="11">
        <v>967.61</v>
      </c>
      <c r="L496" s="11">
        <v>1441.74</v>
      </c>
      <c r="M496" s="11">
        <v>860718.78</v>
      </c>
      <c r="N496" s="11">
        <v>577663.17000000004</v>
      </c>
      <c r="O496" s="11">
        <f>CleanedData[[#This Row],[Total Sales ($)]]-CleanedData[[#This Row],[Total Cost ($)]]</f>
        <v>283055.61</v>
      </c>
      <c r="P496" s="12">
        <f>CleanedData[[#This Row],[Profit ($)]]/CleanedData[[#This Row],[Total Sales ($)]]</f>
        <v>0.32885957246105396</v>
      </c>
      <c r="Q496" s="8" t="s">
        <v>31</v>
      </c>
      <c r="R496" s="8" t="s">
        <v>32</v>
      </c>
      <c r="S496" s="8" t="b">
        <f>_xlfn.SINGLE(CleanedData[[#This Row],[Delivery Status]])="Late"</f>
        <v>1</v>
      </c>
      <c r="T496" s="10">
        <v>6</v>
      </c>
      <c r="U496" s="8" t="s">
        <v>112</v>
      </c>
      <c r="V496" s="10">
        <v>1592</v>
      </c>
      <c r="W496" s="10">
        <v>8</v>
      </c>
      <c r="X496" s="12">
        <v>1.3400335008375199E-2</v>
      </c>
      <c r="Y496" s="8" t="b">
        <f>CleanedData[[#This Row],[Ship Date]]&lt;CleanedData[[#This Row],[Order Date]]</f>
        <v>0</v>
      </c>
      <c r="Z496" s="10">
        <f>YEAR(CleanedData[[#This Row],[Order Date]])</f>
        <v>2023</v>
      </c>
      <c r="AA496" s="8">
        <f>MONTH(CleanedData[[#This Row],[Order Date]])</f>
        <v>2</v>
      </c>
    </row>
    <row r="497" spans="1:27" x14ac:dyDescent="0.35">
      <c r="A497" s="8" t="s">
        <v>1705</v>
      </c>
      <c r="B497" s="9">
        <v>45266</v>
      </c>
      <c r="C497" s="9">
        <v>45254</v>
      </c>
      <c r="D497" s="8" t="s">
        <v>1706</v>
      </c>
      <c r="E497" s="8" t="s">
        <v>26</v>
      </c>
      <c r="F497" s="8" t="s">
        <v>38</v>
      </c>
      <c r="G497" s="8" t="s">
        <v>70</v>
      </c>
      <c r="H497" s="8" t="s">
        <v>384</v>
      </c>
      <c r="I497" s="8" t="s">
        <v>4971</v>
      </c>
      <c r="J497" s="10">
        <v>676</v>
      </c>
      <c r="K497" s="11">
        <v>554.91999999999996</v>
      </c>
      <c r="L497" s="11">
        <v>909.13</v>
      </c>
      <c r="M497" s="11">
        <v>614571.88</v>
      </c>
      <c r="N497" s="11">
        <v>375125.92</v>
      </c>
      <c r="O497" s="11">
        <f>CleanedData[[#This Row],[Total Sales ($)]]-CleanedData[[#This Row],[Total Cost ($)]]</f>
        <v>239445.96000000002</v>
      </c>
      <c r="P497" s="12">
        <f>CleanedData[[#This Row],[Profit ($)]]/CleanedData[[#This Row],[Total Sales ($)]]</f>
        <v>0.3896142465873968</v>
      </c>
      <c r="Q497" s="8" t="s">
        <v>95</v>
      </c>
      <c r="R497" s="8" t="s">
        <v>63</v>
      </c>
      <c r="S497" s="8" t="b">
        <f>_xlfn.SINGLE(CleanedData[[#This Row],[Delivery Status]])="Late"</f>
        <v>0</v>
      </c>
      <c r="T497" s="10">
        <v>4</v>
      </c>
      <c r="U497" s="8" t="s">
        <v>112</v>
      </c>
      <c r="V497" s="10">
        <v>699</v>
      </c>
      <c r="W497" s="10">
        <v>5</v>
      </c>
      <c r="X497" s="12">
        <v>7.3964497041420002E-3</v>
      </c>
      <c r="Y497" s="8" t="b">
        <f>CleanedData[[#This Row],[Ship Date]]&lt;CleanedData[[#This Row],[Order Date]]</f>
        <v>1</v>
      </c>
      <c r="Z497" s="10">
        <f>YEAR(CleanedData[[#This Row],[Order Date]])</f>
        <v>2023</v>
      </c>
      <c r="AA497" s="8">
        <f>MONTH(CleanedData[[#This Row],[Order Date]])</f>
        <v>12</v>
      </c>
    </row>
    <row r="498" spans="1:27" x14ac:dyDescent="0.35">
      <c r="A498" s="8" t="s">
        <v>1707</v>
      </c>
      <c r="B498" s="9">
        <v>45090</v>
      </c>
      <c r="C498" s="9">
        <v>45049</v>
      </c>
      <c r="D498" s="8" t="s">
        <v>4972</v>
      </c>
      <c r="E498" s="8" t="s">
        <v>100</v>
      </c>
      <c r="F498" s="8" t="s">
        <v>106</v>
      </c>
      <c r="G498" s="8" t="s">
        <v>217</v>
      </c>
      <c r="H498" s="8" t="s">
        <v>684</v>
      </c>
      <c r="I498" s="8" t="s">
        <v>4970</v>
      </c>
      <c r="J498" s="10">
        <v>189</v>
      </c>
      <c r="K498" s="11">
        <v>993.35</v>
      </c>
      <c r="L498" s="11">
        <v>1345.29</v>
      </c>
      <c r="M498" s="11">
        <v>254259.81</v>
      </c>
      <c r="N498" s="11">
        <v>187743.15</v>
      </c>
      <c r="O498" s="11">
        <f>CleanedData[[#This Row],[Total Sales ($)]]-CleanedData[[#This Row],[Total Cost ($)]]</f>
        <v>66516.66</v>
      </c>
      <c r="P498" s="12">
        <f>CleanedData[[#This Row],[Profit ($)]]/CleanedData[[#This Row],[Total Sales ($)]]</f>
        <v>0.26160902110325657</v>
      </c>
      <c r="Q498" s="8" t="s">
        <v>95</v>
      </c>
      <c r="R498" s="8" t="s">
        <v>63</v>
      </c>
      <c r="S498" s="8" t="b">
        <f>_xlfn.SINGLE(CleanedData[[#This Row],[Delivery Status]])="Late"</f>
        <v>0</v>
      </c>
      <c r="T498" s="10">
        <v>1</v>
      </c>
      <c r="U498" s="8" t="s">
        <v>158</v>
      </c>
      <c r="V498" s="10">
        <v>845</v>
      </c>
      <c r="W498" s="10">
        <v>6</v>
      </c>
      <c r="X498" s="12">
        <v>3.1746031746031703E-2</v>
      </c>
      <c r="Y498" s="8" t="b">
        <f>CleanedData[[#This Row],[Ship Date]]&lt;CleanedData[[#This Row],[Order Date]]</f>
        <v>1</v>
      </c>
      <c r="Z498" s="10">
        <f>YEAR(CleanedData[[#This Row],[Order Date]])</f>
        <v>2023</v>
      </c>
      <c r="AA498" s="8">
        <f>MONTH(CleanedData[[#This Row],[Order Date]])</f>
        <v>6</v>
      </c>
    </row>
    <row r="499" spans="1:27" x14ac:dyDescent="0.35">
      <c r="A499" s="8" t="s">
        <v>1708</v>
      </c>
      <c r="B499" s="9">
        <v>45261</v>
      </c>
      <c r="C499" s="9">
        <v>45557</v>
      </c>
      <c r="D499" s="8" t="s">
        <v>1711</v>
      </c>
      <c r="E499" s="8" t="s">
        <v>58</v>
      </c>
      <c r="F499" s="8" t="s">
        <v>116</v>
      </c>
      <c r="G499" s="8" t="s">
        <v>28</v>
      </c>
      <c r="H499" s="8" t="s">
        <v>714</v>
      </c>
      <c r="I499" s="8" t="s">
        <v>4979</v>
      </c>
      <c r="J499" s="10">
        <v>334</v>
      </c>
      <c r="K499" s="11">
        <v>736.11</v>
      </c>
      <c r="L499" s="11">
        <v>904.74</v>
      </c>
      <c r="M499" s="11">
        <v>302183.15999999997</v>
      </c>
      <c r="N499" s="11">
        <v>245860.74</v>
      </c>
      <c r="O499" s="11">
        <f>CleanedData[[#This Row],[Total Sales ($)]]-CleanedData[[#This Row],[Total Cost ($)]]</f>
        <v>56322.419999999984</v>
      </c>
      <c r="P499" s="12">
        <f>CleanedData[[#This Row],[Profit ($)]]/CleanedData[[#This Row],[Total Sales ($)]]</f>
        <v>0.18638503879567606</v>
      </c>
      <c r="Q499" s="8" t="s">
        <v>31</v>
      </c>
      <c r="R499" s="8" t="s">
        <v>32</v>
      </c>
      <c r="S499" s="8" t="b">
        <f>_xlfn.SINGLE(CleanedData[[#This Row],[Delivery Status]])="Late"</f>
        <v>1</v>
      </c>
      <c r="T499" s="10">
        <v>6</v>
      </c>
      <c r="U499" s="8" t="s">
        <v>33</v>
      </c>
      <c r="V499" s="10">
        <v>4893</v>
      </c>
      <c r="W499" s="10">
        <v>0</v>
      </c>
      <c r="X499" s="12">
        <v>0</v>
      </c>
      <c r="Y499" s="8" t="b">
        <f>CleanedData[[#This Row],[Ship Date]]&lt;CleanedData[[#This Row],[Order Date]]</f>
        <v>0</v>
      </c>
      <c r="Z499" s="10">
        <f>YEAR(CleanedData[[#This Row],[Order Date]])</f>
        <v>2023</v>
      </c>
      <c r="AA499" s="8">
        <f>MONTH(CleanedData[[#This Row],[Order Date]])</f>
        <v>12</v>
      </c>
    </row>
    <row r="500" spans="1:27" x14ac:dyDescent="0.35">
      <c r="A500" s="8" t="s">
        <v>1713</v>
      </c>
      <c r="B500" s="9">
        <v>44990</v>
      </c>
      <c r="C500" s="9">
        <v>44989</v>
      </c>
      <c r="D500" s="8" t="s">
        <v>1714</v>
      </c>
      <c r="E500" s="8" t="s">
        <v>58</v>
      </c>
      <c r="F500" s="8" t="s">
        <v>59</v>
      </c>
      <c r="G500" s="8" t="s">
        <v>28</v>
      </c>
      <c r="H500" s="8" t="s">
        <v>674</v>
      </c>
      <c r="I500" s="8" t="s">
        <v>4977</v>
      </c>
      <c r="J500" s="10">
        <v>132</v>
      </c>
      <c r="K500" s="11">
        <v>1142.54</v>
      </c>
      <c r="L500" s="11">
        <v>1716.95</v>
      </c>
      <c r="M500" s="11">
        <v>226637.4</v>
      </c>
      <c r="N500" s="11">
        <v>150815.28</v>
      </c>
      <c r="O500" s="11">
        <f>CleanedData[[#This Row],[Total Sales ($)]]-CleanedData[[#This Row],[Total Cost ($)]]</f>
        <v>75822.12</v>
      </c>
      <c r="P500" s="12">
        <f>CleanedData[[#This Row],[Profit ($)]]/CleanedData[[#This Row],[Total Sales ($)]]</f>
        <v>0.33455254957919567</v>
      </c>
      <c r="Q500" s="8" t="s">
        <v>52</v>
      </c>
      <c r="R500" s="8" t="s">
        <v>63</v>
      </c>
      <c r="S500" s="8" t="b">
        <f>_xlfn.SINGLE(CleanedData[[#This Row],[Delivery Status]])="Late"</f>
        <v>0</v>
      </c>
      <c r="T500" s="10">
        <v>5</v>
      </c>
      <c r="U500" s="8" t="s">
        <v>86</v>
      </c>
      <c r="V500" s="10">
        <v>4031</v>
      </c>
      <c r="W500" s="10">
        <v>6</v>
      </c>
      <c r="X500" s="12">
        <v>4.54545454545454E-2</v>
      </c>
      <c r="Y500" s="8" t="b">
        <f>CleanedData[[#This Row],[Ship Date]]&lt;CleanedData[[#This Row],[Order Date]]</f>
        <v>1</v>
      </c>
      <c r="Z500" s="10">
        <f>YEAR(CleanedData[[#This Row],[Order Date]])</f>
        <v>2023</v>
      </c>
      <c r="AA500" s="8">
        <f>MONTH(CleanedData[[#This Row],[Order Date]])</f>
        <v>3</v>
      </c>
    </row>
    <row r="501" spans="1:27" x14ac:dyDescent="0.35">
      <c r="A501" s="8" t="s">
        <v>1715</v>
      </c>
      <c r="B501" s="9">
        <v>45134</v>
      </c>
      <c r="C501" s="9">
        <v>44977</v>
      </c>
      <c r="D501" s="8" t="s">
        <v>1716</v>
      </c>
      <c r="E501" s="8" t="s">
        <v>100</v>
      </c>
      <c r="F501" s="8" t="s">
        <v>106</v>
      </c>
      <c r="G501" s="8" t="s">
        <v>129</v>
      </c>
      <c r="H501" s="8" t="s">
        <v>520</v>
      </c>
      <c r="I501" s="8" t="s">
        <v>4971</v>
      </c>
      <c r="J501" s="10">
        <v>551</v>
      </c>
      <c r="K501" s="11">
        <v>442.42</v>
      </c>
      <c r="L501" s="11">
        <v>581.20000000000005</v>
      </c>
      <c r="M501" s="11">
        <v>320241.2</v>
      </c>
      <c r="N501" s="11">
        <v>243773.42</v>
      </c>
      <c r="O501" s="11">
        <f>CleanedData[[#This Row],[Total Sales ($)]]-CleanedData[[#This Row],[Total Cost ($)]]</f>
        <v>76467.78</v>
      </c>
      <c r="P501" s="12">
        <f>CleanedData[[#This Row],[Profit ($)]]/CleanedData[[#This Row],[Total Sales ($)]]</f>
        <v>0.23878183069511355</v>
      </c>
      <c r="Q501" s="8" t="s">
        <v>95</v>
      </c>
      <c r="R501" s="8" t="s">
        <v>32</v>
      </c>
      <c r="S501" s="8" t="b">
        <f>_xlfn.SINGLE(CleanedData[[#This Row],[Delivery Status]])="Late"</f>
        <v>1</v>
      </c>
      <c r="T501" s="10">
        <v>9</v>
      </c>
      <c r="U501" s="8" t="s">
        <v>53</v>
      </c>
      <c r="V501" s="10">
        <v>476</v>
      </c>
      <c r="W501" s="10">
        <v>1</v>
      </c>
      <c r="X501" s="12">
        <v>1.8148820326678E-3</v>
      </c>
      <c r="Y501" s="8" t="b">
        <f>CleanedData[[#This Row],[Ship Date]]&lt;CleanedData[[#This Row],[Order Date]]</f>
        <v>1</v>
      </c>
      <c r="Z501" s="10">
        <f>YEAR(CleanedData[[#This Row],[Order Date]])</f>
        <v>2023</v>
      </c>
      <c r="AA501" s="8">
        <f>MONTH(CleanedData[[#This Row],[Order Date]])</f>
        <v>7</v>
      </c>
    </row>
    <row r="502" spans="1:27" x14ac:dyDescent="0.35">
      <c r="A502" s="8" t="s">
        <v>1717</v>
      </c>
      <c r="B502" s="9">
        <v>45244</v>
      </c>
      <c r="C502" s="9">
        <v>45220</v>
      </c>
      <c r="D502" s="8" t="s">
        <v>1718</v>
      </c>
      <c r="E502" s="8" t="s">
        <v>58</v>
      </c>
      <c r="F502" s="8" t="s">
        <v>1719</v>
      </c>
      <c r="G502" s="8" t="s">
        <v>189</v>
      </c>
      <c r="H502" s="8" t="s">
        <v>365</v>
      </c>
      <c r="I502" s="8" t="s">
        <v>4974</v>
      </c>
      <c r="J502" s="10">
        <v>756</v>
      </c>
      <c r="K502" s="11">
        <v>1017.94</v>
      </c>
      <c r="L502" s="11">
        <v>1288.6400000000001</v>
      </c>
      <c r="M502" s="11">
        <v>974211.84</v>
      </c>
      <c r="N502" s="11">
        <v>769562.64</v>
      </c>
      <c r="O502" s="11">
        <f>CleanedData[[#This Row],[Total Sales ($)]]-CleanedData[[#This Row],[Total Cost ($)]]</f>
        <v>204649.19999999995</v>
      </c>
      <c r="P502" s="12">
        <f>CleanedData[[#This Row],[Profit ($)]]/CleanedData[[#This Row],[Total Sales ($)]]</f>
        <v>0.21006642662031286</v>
      </c>
      <c r="Q502" s="8" t="s">
        <v>95</v>
      </c>
      <c r="R502" s="8" t="s">
        <v>32</v>
      </c>
      <c r="S502" s="8" t="b">
        <f>_xlfn.SINGLE(CleanedData[[#This Row],[Delivery Status]])="Late"</f>
        <v>1</v>
      </c>
      <c r="T502" s="10">
        <v>9</v>
      </c>
      <c r="U502" s="8" t="s">
        <v>86</v>
      </c>
      <c r="V502" s="10">
        <v>1013</v>
      </c>
      <c r="W502" s="10">
        <v>14</v>
      </c>
      <c r="X502" s="12">
        <v>1.85185185185185E-2</v>
      </c>
      <c r="Y502" s="8" t="b">
        <f>CleanedData[[#This Row],[Ship Date]]&lt;CleanedData[[#This Row],[Order Date]]</f>
        <v>1</v>
      </c>
      <c r="Z502" s="10">
        <f>YEAR(CleanedData[[#This Row],[Order Date]])</f>
        <v>2023</v>
      </c>
      <c r="AA502" s="8">
        <f>MONTH(CleanedData[[#This Row],[Order Date]])</f>
        <v>11</v>
      </c>
    </row>
    <row r="503" spans="1:27" x14ac:dyDescent="0.35">
      <c r="A503" s="8" t="s">
        <v>1720</v>
      </c>
      <c r="B503" s="9">
        <v>45216</v>
      </c>
      <c r="C503" s="9">
        <v>45144</v>
      </c>
      <c r="D503" s="8" t="s">
        <v>1721</v>
      </c>
      <c r="E503" s="8" t="s">
        <v>68</v>
      </c>
      <c r="F503" s="8" t="s">
        <v>69</v>
      </c>
      <c r="G503" s="8" t="s">
        <v>39</v>
      </c>
      <c r="H503" s="8" t="s">
        <v>354</v>
      </c>
      <c r="I503" s="8" t="s">
        <v>4970</v>
      </c>
      <c r="J503" s="10">
        <v>517</v>
      </c>
      <c r="K503" s="11">
        <v>658.88</v>
      </c>
      <c r="L503" s="11">
        <v>1012.61</v>
      </c>
      <c r="M503" s="11">
        <v>523519.37</v>
      </c>
      <c r="N503" s="11">
        <v>340640.96</v>
      </c>
      <c r="O503" s="11">
        <f>CleanedData[[#This Row],[Total Sales ($)]]-CleanedData[[#This Row],[Total Cost ($)]]</f>
        <v>182878.40999999997</v>
      </c>
      <c r="P503" s="12">
        <f>CleanedData[[#This Row],[Profit ($)]]/CleanedData[[#This Row],[Total Sales ($)]]</f>
        <v>0.34932501160367757</v>
      </c>
      <c r="Q503" s="8" t="s">
        <v>31</v>
      </c>
      <c r="R503" s="8" t="s">
        <v>63</v>
      </c>
      <c r="S503" s="8" t="b">
        <f>_xlfn.SINGLE(CleanedData[[#This Row],[Delivery Status]])="Late"</f>
        <v>0</v>
      </c>
      <c r="T503" s="10">
        <v>1</v>
      </c>
      <c r="U503" s="8" t="s">
        <v>33</v>
      </c>
      <c r="V503" s="10">
        <v>2701</v>
      </c>
      <c r="W503" s="10">
        <v>22</v>
      </c>
      <c r="X503" s="12">
        <v>4.2553191489361701E-2</v>
      </c>
      <c r="Y503" s="8" t="b">
        <f>CleanedData[[#This Row],[Ship Date]]&lt;CleanedData[[#This Row],[Order Date]]</f>
        <v>1</v>
      </c>
      <c r="Z503" s="10">
        <f>YEAR(CleanedData[[#This Row],[Order Date]])</f>
        <v>2023</v>
      </c>
      <c r="AA503" s="8">
        <f>MONTH(CleanedData[[#This Row],[Order Date]])</f>
        <v>10</v>
      </c>
    </row>
    <row r="504" spans="1:27" x14ac:dyDescent="0.35">
      <c r="A504" s="8" t="s">
        <v>1722</v>
      </c>
      <c r="B504" s="9">
        <v>45110</v>
      </c>
      <c r="C504" s="9">
        <v>45043</v>
      </c>
      <c r="D504" s="8" t="s">
        <v>1723</v>
      </c>
      <c r="E504" s="8" t="s">
        <v>100</v>
      </c>
      <c r="F504" s="8" t="s">
        <v>330</v>
      </c>
      <c r="G504" s="8" t="s">
        <v>28</v>
      </c>
      <c r="H504" s="8" t="s">
        <v>579</v>
      </c>
      <c r="I504" s="8" t="s">
        <v>4976</v>
      </c>
      <c r="J504" s="10">
        <v>233</v>
      </c>
      <c r="K504" s="11">
        <v>188.55</v>
      </c>
      <c r="L504" s="11">
        <v>224.76</v>
      </c>
      <c r="M504" s="11">
        <v>52369.08</v>
      </c>
      <c r="N504" s="11">
        <v>43932.15</v>
      </c>
      <c r="O504" s="11">
        <f>CleanedData[[#This Row],[Total Sales ($)]]-CleanedData[[#This Row],[Total Cost ($)]]</f>
        <v>8436.93</v>
      </c>
      <c r="P504" s="12">
        <f>CleanedData[[#This Row],[Profit ($)]]/CleanedData[[#This Row],[Total Sales ($)]]</f>
        <v>0.16110517885744793</v>
      </c>
      <c r="Q504" s="8" t="s">
        <v>42</v>
      </c>
      <c r="R504" s="8" t="s">
        <v>32</v>
      </c>
      <c r="S504" s="8" t="b">
        <f>_xlfn.SINGLE(CleanedData[[#This Row],[Delivery Status]])="Late"</f>
        <v>1</v>
      </c>
      <c r="T504" s="10">
        <v>11</v>
      </c>
      <c r="U504" s="8" t="s">
        <v>158</v>
      </c>
      <c r="V504" s="10">
        <v>2669</v>
      </c>
      <c r="W504" s="10">
        <v>8</v>
      </c>
      <c r="X504" s="12">
        <v>3.4334763948497798E-2</v>
      </c>
      <c r="Y504" s="8" t="b">
        <f>CleanedData[[#This Row],[Ship Date]]&lt;CleanedData[[#This Row],[Order Date]]</f>
        <v>1</v>
      </c>
      <c r="Z504" s="10">
        <f>YEAR(CleanedData[[#This Row],[Order Date]])</f>
        <v>2023</v>
      </c>
      <c r="AA504" s="8">
        <f>MONTH(CleanedData[[#This Row],[Order Date]])</f>
        <v>7</v>
      </c>
    </row>
    <row r="505" spans="1:27" x14ac:dyDescent="0.35">
      <c r="A505" s="8" t="s">
        <v>1724</v>
      </c>
      <c r="B505" s="9">
        <v>44989</v>
      </c>
      <c r="C505" s="9">
        <v>44991</v>
      </c>
      <c r="D505" s="8" t="s">
        <v>1725</v>
      </c>
      <c r="E505" s="8" t="s">
        <v>48</v>
      </c>
      <c r="F505" s="8" t="s">
        <v>270</v>
      </c>
      <c r="G505" s="8" t="s">
        <v>70</v>
      </c>
      <c r="H505" s="8" t="s">
        <v>446</v>
      </c>
      <c r="I505" s="8" t="s">
        <v>4975</v>
      </c>
      <c r="J505" s="10">
        <v>474</v>
      </c>
      <c r="K505" s="11">
        <v>874.12</v>
      </c>
      <c r="L505" s="11">
        <v>1068.04</v>
      </c>
      <c r="M505" s="11">
        <v>506250.96</v>
      </c>
      <c r="N505" s="11">
        <v>414332.88</v>
      </c>
      <c r="O505" s="11">
        <f>CleanedData[[#This Row],[Total Sales ($)]]-CleanedData[[#This Row],[Total Cost ($)]]</f>
        <v>91918.080000000016</v>
      </c>
      <c r="P505" s="12">
        <f>CleanedData[[#This Row],[Profit ($)]]/CleanedData[[#This Row],[Total Sales ($)]]</f>
        <v>0.18156623347440173</v>
      </c>
      <c r="Q505" s="8" t="s">
        <v>52</v>
      </c>
      <c r="R505" s="8" t="s">
        <v>32</v>
      </c>
      <c r="S505" s="8" t="b">
        <f>_xlfn.SINGLE(CleanedData[[#This Row],[Delivery Status]])="Late"</f>
        <v>1</v>
      </c>
      <c r="T505" s="10">
        <v>10</v>
      </c>
      <c r="U505" s="8" t="s">
        <v>86</v>
      </c>
      <c r="V505" s="10">
        <v>564</v>
      </c>
      <c r="W505" s="10">
        <v>15</v>
      </c>
      <c r="X505" s="12">
        <v>3.1645569620253097E-2</v>
      </c>
      <c r="Y505" s="8" t="b">
        <f>CleanedData[[#This Row],[Ship Date]]&lt;CleanedData[[#This Row],[Order Date]]</f>
        <v>0</v>
      </c>
      <c r="Z505" s="10">
        <f>YEAR(CleanedData[[#This Row],[Order Date]])</f>
        <v>2023</v>
      </c>
      <c r="AA505" s="8">
        <f>MONTH(CleanedData[[#This Row],[Order Date]])</f>
        <v>3</v>
      </c>
    </row>
    <row r="506" spans="1:27" x14ac:dyDescent="0.35">
      <c r="A506" s="8" t="s">
        <v>1727</v>
      </c>
      <c r="B506" s="9">
        <v>45221</v>
      </c>
      <c r="C506" s="9">
        <v>45133</v>
      </c>
      <c r="D506" s="8" t="s">
        <v>1728</v>
      </c>
      <c r="E506" s="8" t="s">
        <v>26</v>
      </c>
      <c r="F506" s="8" t="s">
        <v>92</v>
      </c>
      <c r="G506" s="8" t="s">
        <v>129</v>
      </c>
      <c r="H506" s="8" t="s">
        <v>130</v>
      </c>
      <c r="I506" s="8" t="s">
        <v>4967</v>
      </c>
      <c r="J506" s="10">
        <v>419</v>
      </c>
      <c r="K506" s="11">
        <v>487.37</v>
      </c>
      <c r="L506" s="11">
        <v>666.36</v>
      </c>
      <c r="M506" s="11">
        <v>279204.84000000003</v>
      </c>
      <c r="N506" s="11">
        <v>204208.03</v>
      </c>
      <c r="O506" s="11">
        <f>CleanedData[[#This Row],[Total Sales ($)]]-CleanedData[[#This Row],[Total Cost ($)]]</f>
        <v>74996.810000000027</v>
      </c>
      <c r="P506" s="12">
        <f>CleanedData[[#This Row],[Profit ($)]]/CleanedData[[#This Row],[Total Sales ($)]]</f>
        <v>0.26860855993757138</v>
      </c>
      <c r="Q506" s="8" t="s">
        <v>95</v>
      </c>
      <c r="R506" s="8" t="s">
        <v>32</v>
      </c>
      <c r="S506" s="8" t="b">
        <f>_xlfn.SINGLE(CleanedData[[#This Row],[Delivery Status]])="Late"</f>
        <v>1</v>
      </c>
      <c r="T506" s="10">
        <v>13</v>
      </c>
      <c r="U506" s="8" t="s">
        <v>86</v>
      </c>
      <c r="V506" s="10">
        <v>150</v>
      </c>
      <c r="W506" s="10">
        <v>16</v>
      </c>
      <c r="X506" s="12">
        <v>3.8186157517899701E-2</v>
      </c>
      <c r="Y506" s="8" t="b">
        <f>CleanedData[[#This Row],[Ship Date]]&lt;CleanedData[[#This Row],[Order Date]]</f>
        <v>1</v>
      </c>
      <c r="Z506" s="10">
        <f>YEAR(CleanedData[[#This Row],[Order Date]])</f>
        <v>2023</v>
      </c>
      <c r="AA506" s="8">
        <f>MONTH(CleanedData[[#This Row],[Order Date]])</f>
        <v>10</v>
      </c>
    </row>
    <row r="507" spans="1:27" x14ac:dyDescent="0.35">
      <c r="A507" s="8" t="s">
        <v>1729</v>
      </c>
      <c r="B507" s="9">
        <v>45174</v>
      </c>
      <c r="C507" s="9">
        <v>45141</v>
      </c>
      <c r="D507" s="8" t="s">
        <v>1731</v>
      </c>
      <c r="E507" s="8" t="s">
        <v>68</v>
      </c>
      <c r="F507" s="8" t="s">
        <v>69</v>
      </c>
      <c r="G507" s="8" t="s">
        <v>60</v>
      </c>
      <c r="H507" s="8" t="s">
        <v>539</v>
      </c>
      <c r="I507" s="8" t="s">
        <v>4968</v>
      </c>
      <c r="J507" s="10">
        <v>581</v>
      </c>
      <c r="K507" s="11">
        <v>844.73</v>
      </c>
      <c r="L507" s="11">
        <v>1112.92</v>
      </c>
      <c r="M507" s="11">
        <v>646606.52</v>
      </c>
      <c r="N507" s="11">
        <v>490788.13</v>
      </c>
      <c r="O507" s="11">
        <f>CleanedData[[#This Row],[Total Sales ($)]]-CleanedData[[#This Row],[Total Cost ($)]]</f>
        <v>155818.39000000001</v>
      </c>
      <c r="P507" s="12">
        <f>CleanedData[[#This Row],[Profit ($)]]/CleanedData[[#This Row],[Total Sales ($)]]</f>
        <v>0.24097868669805558</v>
      </c>
      <c r="Q507" s="8" t="s">
        <v>95</v>
      </c>
      <c r="R507" s="8" t="s">
        <v>32</v>
      </c>
      <c r="S507" s="8" t="b">
        <f>_xlfn.SINGLE(CleanedData[[#This Row],[Delivery Status]])="Late"</f>
        <v>1</v>
      </c>
      <c r="T507" s="10">
        <v>6</v>
      </c>
      <c r="U507" s="8" t="s">
        <v>112</v>
      </c>
      <c r="V507" s="10">
        <v>527</v>
      </c>
      <c r="W507" s="10">
        <v>21</v>
      </c>
      <c r="X507" s="12">
        <v>3.6144578313252997E-2</v>
      </c>
      <c r="Y507" s="8" t="b">
        <f>CleanedData[[#This Row],[Ship Date]]&lt;CleanedData[[#This Row],[Order Date]]</f>
        <v>1</v>
      </c>
      <c r="Z507" s="10">
        <f>YEAR(CleanedData[[#This Row],[Order Date]])</f>
        <v>2023</v>
      </c>
      <c r="AA507" s="8">
        <f>MONTH(CleanedData[[#This Row],[Order Date]])</f>
        <v>9</v>
      </c>
    </row>
    <row r="508" spans="1:27" x14ac:dyDescent="0.35">
      <c r="A508" s="8" t="s">
        <v>1732</v>
      </c>
      <c r="B508" s="9">
        <v>44978</v>
      </c>
      <c r="C508" s="9">
        <v>45033</v>
      </c>
      <c r="D508" s="8" t="s">
        <v>1733</v>
      </c>
      <c r="E508" s="8" t="s">
        <v>4972</v>
      </c>
      <c r="F508" s="8" t="s">
        <v>106</v>
      </c>
      <c r="G508" s="8" t="s">
        <v>70</v>
      </c>
      <c r="H508" s="8" t="s">
        <v>84</v>
      </c>
      <c r="I508" s="8" t="s">
        <v>4971</v>
      </c>
      <c r="J508" s="10">
        <v>744</v>
      </c>
      <c r="K508" s="11">
        <v>172.38</v>
      </c>
      <c r="L508" s="11">
        <v>229.55</v>
      </c>
      <c r="M508" s="11">
        <v>170785.2</v>
      </c>
      <c r="N508" s="11">
        <v>128250.72</v>
      </c>
      <c r="O508" s="11">
        <f>CleanedData[[#This Row],[Total Sales ($)]]-CleanedData[[#This Row],[Total Cost ($)]]</f>
        <v>42534.48000000001</v>
      </c>
      <c r="P508" s="12">
        <f>CleanedData[[#This Row],[Profit ($)]]/CleanedData[[#This Row],[Total Sales ($)]]</f>
        <v>0.24905249401001964</v>
      </c>
      <c r="Q508" s="8" t="s">
        <v>42</v>
      </c>
      <c r="R508" s="8" t="s">
        <v>32</v>
      </c>
      <c r="S508" s="8" t="b">
        <f>_xlfn.SINGLE(CleanedData[[#This Row],[Delivery Status]])="Late"</f>
        <v>1</v>
      </c>
      <c r="T508" s="10">
        <v>7</v>
      </c>
      <c r="U508" s="8" t="s">
        <v>112</v>
      </c>
      <c r="V508" s="10">
        <v>416</v>
      </c>
      <c r="W508" s="10">
        <v>6</v>
      </c>
      <c r="X508" s="12">
        <v>8.0645161290322006E-3</v>
      </c>
      <c r="Y508" s="8" t="b">
        <f>CleanedData[[#This Row],[Ship Date]]&lt;CleanedData[[#This Row],[Order Date]]</f>
        <v>0</v>
      </c>
      <c r="Z508" s="10">
        <f>YEAR(CleanedData[[#This Row],[Order Date]])</f>
        <v>2023</v>
      </c>
      <c r="AA508" s="8">
        <f>MONTH(CleanedData[[#This Row],[Order Date]])</f>
        <v>2</v>
      </c>
    </row>
    <row r="509" spans="1:27" x14ac:dyDescent="0.35">
      <c r="A509" s="8" t="s">
        <v>1734</v>
      </c>
      <c r="B509" s="9">
        <v>45587</v>
      </c>
      <c r="C509" s="9">
        <v>45460</v>
      </c>
      <c r="D509" s="8" t="s">
        <v>1735</v>
      </c>
      <c r="E509" s="8" t="s">
        <v>48</v>
      </c>
      <c r="F509" s="8" t="s">
        <v>183</v>
      </c>
      <c r="G509" s="8" t="s">
        <v>93</v>
      </c>
      <c r="H509" s="8" t="s">
        <v>485</v>
      </c>
      <c r="I509" s="8" t="s">
        <v>4969</v>
      </c>
      <c r="J509" s="10">
        <v>387</v>
      </c>
      <c r="K509" s="11">
        <v>566.59</v>
      </c>
      <c r="L509" s="11">
        <v>804.09</v>
      </c>
      <c r="M509" s="11">
        <v>311182.83</v>
      </c>
      <c r="N509" s="11">
        <v>219270.33</v>
      </c>
      <c r="O509" s="11">
        <f>CleanedData[[#This Row],[Total Sales ($)]]-CleanedData[[#This Row],[Total Cost ($)]]</f>
        <v>91912.500000000029</v>
      </c>
      <c r="P509" s="12">
        <f>CleanedData[[#This Row],[Profit ($)]]/CleanedData[[#This Row],[Total Sales ($)]]</f>
        <v>0.29536494670994551</v>
      </c>
      <c r="Q509" s="8" t="s">
        <v>31</v>
      </c>
      <c r="R509" s="8" t="s">
        <v>32</v>
      </c>
      <c r="S509" s="8" t="b">
        <f>_xlfn.SINGLE(CleanedData[[#This Row],[Delivery Status]])="Late"</f>
        <v>1</v>
      </c>
      <c r="T509" s="10">
        <v>8</v>
      </c>
      <c r="U509" s="8" t="s">
        <v>33</v>
      </c>
      <c r="V509" s="10">
        <v>2114</v>
      </c>
      <c r="W509" s="10">
        <v>5</v>
      </c>
      <c r="X509" s="12">
        <v>1.29198966408268E-2</v>
      </c>
      <c r="Y509" s="8" t="b">
        <f>CleanedData[[#This Row],[Ship Date]]&lt;CleanedData[[#This Row],[Order Date]]</f>
        <v>1</v>
      </c>
      <c r="Z509" s="10">
        <f>YEAR(CleanedData[[#This Row],[Order Date]])</f>
        <v>2024</v>
      </c>
      <c r="AA509" s="8">
        <f>MONTH(CleanedData[[#This Row],[Order Date]])</f>
        <v>10</v>
      </c>
    </row>
    <row r="510" spans="1:27" x14ac:dyDescent="0.35">
      <c r="A510" s="8" t="s">
        <v>1736</v>
      </c>
      <c r="B510" s="9">
        <v>45398</v>
      </c>
      <c r="C510" s="9">
        <v>45426</v>
      </c>
      <c r="D510" s="8" t="s">
        <v>1739</v>
      </c>
      <c r="E510" s="8" t="s">
        <v>58</v>
      </c>
      <c r="F510" s="8" t="s">
        <v>116</v>
      </c>
      <c r="G510" s="8" t="s">
        <v>78</v>
      </c>
      <c r="H510" s="8" t="s">
        <v>628</v>
      </c>
      <c r="I510" s="8" t="s">
        <v>4974</v>
      </c>
      <c r="J510" s="10">
        <v>536</v>
      </c>
      <c r="K510" s="11">
        <v>33.340000000000003</v>
      </c>
      <c r="L510" s="11">
        <v>39.6</v>
      </c>
      <c r="M510" s="11">
        <v>21225.599999999999</v>
      </c>
      <c r="N510" s="11">
        <v>17870.240000000002</v>
      </c>
      <c r="O510" s="11">
        <f>CleanedData[[#This Row],[Total Sales ($)]]-CleanedData[[#This Row],[Total Cost ($)]]</f>
        <v>3355.3599999999969</v>
      </c>
      <c r="P510" s="12">
        <f>CleanedData[[#This Row],[Profit ($)]]/CleanedData[[#This Row],[Total Sales ($)]]</f>
        <v>0.15808080808080796</v>
      </c>
      <c r="Q510" s="8" t="s">
        <v>52</v>
      </c>
      <c r="R510" s="8" t="s">
        <v>32</v>
      </c>
      <c r="S510" s="8" t="b">
        <f>_xlfn.SINGLE(CleanedData[[#This Row],[Delivery Status]])="Late"</f>
        <v>1</v>
      </c>
      <c r="T510" s="10">
        <v>15</v>
      </c>
      <c r="U510" s="8" t="s">
        <v>158</v>
      </c>
      <c r="V510" s="10">
        <v>4249</v>
      </c>
      <c r="W510" s="10">
        <v>20</v>
      </c>
      <c r="X510" s="12">
        <v>3.7313432835820802E-2</v>
      </c>
      <c r="Y510" s="8" t="b">
        <f>CleanedData[[#This Row],[Ship Date]]&lt;CleanedData[[#This Row],[Order Date]]</f>
        <v>0</v>
      </c>
      <c r="Z510" s="10">
        <f>YEAR(CleanedData[[#This Row],[Order Date]])</f>
        <v>2024</v>
      </c>
      <c r="AA510" s="8">
        <f>MONTH(CleanedData[[#This Row],[Order Date]])</f>
        <v>4</v>
      </c>
    </row>
    <row r="511" spans="1:27" x14ac:dyDescent="0.35">
      <c r="A511" s="8" t="s">
        <v>1740</v>
      </c>
      <c r="B511" s="9">
        <v>45087</v>
      </c>
      <c r="C511" s="9">
        <v>45222</v>
      </c>
      <c r="D511" s="8" t="s">
        <v>1595</v>
      </c>
      <c r="E511" s="8" t="s">
        <v>48</v>
      </c>
      <c r="F511" s="8" t="s">
        <v>223</v>
      </c>
      <c r="G511" s="8" t="s">
        <v>217</v>
      </c>
      <c r="H511" s="8" t="s">
        <v>684</v>
      </c>
      <c r="I511" s="8" t="s">
        <v>4979</v>
      </c>
      <c r="J511" s="10">
        <v>34</v>
      </c>
      <c r="K511" s="11">
        <v>1199.76</v>
      </c>
      <c r="L511" s="11">
        <v>1706.91</v>
      </c>
      <c r="M511" s="11">
        <v>58034.94</v>
      </c>
      <c r="N511" s="11">
        <v>40791.839999999997</v>
      </c>
      <c r="O511" s="11">
        <f>CleanedData[[#This Row],[Total Sales ($)]]-CleanedData[[#This Row],[Total Cost ($)]]</f>
        <v>17243.100000000006</v>
      </c>
      <c r="P511" s="12">
        <f>CleanedData[[#This Row],[Profit ($)]]/CleanedData[[#This Row],[Total Sales ($)]]</f>
        <v>0.29711584090549598</v>
      </c>
      <c r="Q511" s="8" t="s">
        <v>95</v>
      </c>
      <c r="R511" s="8" t="s">
        <v>32</v>
      </c>
      <c r="S511" s="8" t="b">
        <f>_xlfn.SINGLE(CleanedData[[#This Row],[Delivery Status]])="Late"</f>
        <v>1</v>
      </c>
      <c r="T511" s="10">
        <v>7</v>
      </c>
      <c r="U511" s="8" t="s">
        <v>112</v>
      </c>
      <c r="V511" s="10">
        <v>1660</v>
      </c>
      <c r="W511" s="10">
        <v>1</v>
      </c>
      <c r="X511" s="12">
        <v>2.94117647058823E-2</v>
      </c>
      <c r="Y511" s="8" t="b">
        <f>CleanedData[[#This Row],[Ship Date]]&lt;CleanedData[[#This Row],[Order Date]]</f>
        <v>0</v>
      </c>
      <c r="Z511" s="10">
        <f>YEAR(CleanedData[[#This Row],[Order Date]])</f>
        <v>2023</v>
      </c>
      <c r="AA511" s="8">
        <f>MONTH(CleanedData[[#This Row],[Order Date]])</f>
        <v>6</v>
      </c>
    </row>
    <row r="512" spans="1:27" x14ac:dyDescent="0.35">
      <c r="A512" s="8" t="s">
        <v>1741</v>
      </c>
      <c r="B512" s="9">
        <v>45263</v>
      </c>
      <c r="C512" s="9">
        <v>45188</v>
      </c>
      <c r="D512" s="8" t="s">
        <v>1742</v>
      </c>
      <c r="E512" s="8" t="s">
        <v>48</v>
      </c>
      <c r="F512" s="8" t="s">
        <v>281</v>
      </c>
      <c r="G512" s="8" t="s">
        <v>93</v>
      </c>
      <c r="H512" s="8" t="s">
        <v>302</v>
      </c>
      <c r="I512" s="8" t="s">
        <v>4968</v>
      </c>
      <c r="J512" s="10">
        <v>397</v>
      </c>
      <c r="K512" s="11">
        <v>894.47</v>
      </c>
      <c r="L512" s="11">
        <v>1217.9000000000001</v>
      </c>
      <c r="M512" s="11">
        <v>483506.3</v>
      </c>
      <c r="N512" s="11">
        <v>355104.59</v>
      </c>
      <c r="O512" s="11">
        <f>CleanedData[[#This Row],[Total Sales ($)]]-CleanedData[[#This Row],[Total Cost ($)]]</f>
        <v>128401.70999999996</v>
      </c>
      <c r="P512" s="12">
        <f>CleanedData[[#This Row],[Profit ($)]]/CleanedData[[#This Row],[Total Sales ($)]]</f>
        <v>0.26556367517858603</v>
      </c>
      <c r="Q512" s="8" t="s">
        <v>31</v>
      </c>
      <c r="R512" s="8" t="s">
        <v>32</v>
      </c>
      <c r="S512" s="8" t="b">
        <f>_xlfn.SINGLE(CleanedData[[#This Row],[Delivery Status]])="Late"</f>
        <v>1</v>
      </c>
      <c r="T512" s="10">
        <v>8</v>
      </c>
      <c r="U512" s="8" t="s">
        <v>33</v>
      </c>
      <c r="V512" s="10">
        <v>1504</v>
      </c>
      <c r="W512" s="10">
        <v>13</v>
      </c>
      <c r="X512" s="12">
        <v>3.2745591939546598E-2</v>
      </c>
      <c r="Y512" s="8" t="b">
        <f>CleanedData[[#This Row],[Ship Date]]&lt;CleanedData[[#This Row],[Order Date]]</f>
        <v>1</v>
      </c>
      <c r="Z512" s="10">
        <f>YEAR(CleanedData[[#This Row],[Order Date]])</f>
        <v>2023</v>
      </c>
      <c r="AA512" s="8">
        <f>MONTH(CleanedData[[#This Row],[Order Date]])</f>
        <v>12</v>
      </c>
    </row>
    <row r="513" spans="1:27" x14ac:dyDescent="0.35">
      <c r="A513" s="8" t="s">
        <v>1743</v>
      </c>
      <c r="B513" s="9">
        <v>45350</v>
      </c>
      <c r="C513" s="9">
        <v>45620</v>
      </c>
      <c r="D513" s="8" t="s">
        <v>1744</v>
      </c>
      <c r="E513" s="8" t="s">
        <v>68</v>
      </c>
      <c r="F513" s="8" t="s">
        <v>69</v>
      </c>
      <c r="G513" s="8" t="s">
        <v>60</v>
      </c>
      <c r="H513" s="8" t="s">
        <v>164</v>
      </c>
      <c r="I513" s="8" t="s">
        <v>4967</v>
      </c>
      <c r="J513" s="10">
        <v>714</v>
      </c>
      <c r="K513" s="11">
        <v>682.03</v>
      </c>
      <c r="L513" s="11">
        <v>824.59</v>
      </c>
      <c r="M513" s="11">
        <v>588757.26</v>
      </c>
      <c r="N513" s="11">
        <v>486969.42</v>
      </c>
      <c r="O513" s="11">
        <f>CleanedData[[#This Row],[Total Sales ($)]]-CleanedData[[#This Row],[Total Cost ($)]]</f>
        <v>101787.84000000003</v>
      </c>
      <c r="P513" s="12">
        <f>CleanedData[[#This Row],[Profit ($)]]/CleanedData[[#This Row],[Total Sales ($)]]</f>
        <v>0.17288591906280701</v>
      </c>
      <c r="Q513" s="8" t="s">
        <v>42</v>
      </c>
      <c r="R513" s="8" t="s">
        <v>63</v>
      </c>
      <c r="S513" s="8" t="b">
        <f>_xlfn.SINGLE(CleanedData[[#This Row],[Delivery Status]])="Late"</f>
        <v>0</v>
      </c>
      <c r="T513" s="10">
        <v>3</v>
      </c>
      <c r="U513" s="8" t="s">
        <v>53</v>
      </c>
      <c r="V513" s="10">
        <v>4403</v>
      </c>
      <c r="W513" s="10">
        <v>22</v>
      </c>
      <c r="X513" s="12">
        <v>3.08123249299719E-2</v>
      </c>
      <c r="Y513" s="8" t="b">
        <f>CleanedData[[#This Row],[Ship Date]]&lt;CleanedData[[#This Row],[Order Date]]</f>
        <v>0</v>
      </c>
      <c r="Z513" s="10">
        <f>YEAR(CleanedData[[#This Row],[Order Date]])</f>
        <v>2024</v>
      </c>
      <c r="AA513" s="8">
        <f>MONTH(CleanedData[[#This Row],[Order Date]])</f>
        <v>2</v>
      </c>
    </row>
    <row r="514" spans="1:27" x14ac:dyDescent="0.35">
      <c r="A514" s="8" t="s">
        <v>1745</v>
      </c>
      <c r="B514" s="9">
        <v>45226</v>
      </c>
      <c r="C514" s="9">
        <v>45038</v>
      </c>
      <c r="D514" s="8" t="s">
        <v>1746</v>
      </c>
      <c r="E514" s="8" t="s">
        <v>58</v>
      </c>
      <c r="F514" s="8" t="s">
        <v>116</v>
      </c>
      <c r="G514" s="8" t="s">
        <v>217</v>
      </c>
      <c r="H514" s="8" t="s">
        <v>340</v>
      </c>
      <c r="I514" s="8" t="s">
        <v>4970</v>
      </c>
      <c r="J514" s="10">
        <v>608</v>
      </c>
      <c r="K514" s="11">
        <v>408.89</v>
      </c>
      <c r="L514" s="11"/>
      <c r="M514" s="11">
        <v>313959.03999999998</v>
      </c>
      <c r="N514" s="11">
        <v>248605.12</v>
      </c>
      <c r="O514" s="11">
        <f>CleanedData[[#This Row],[Total Sales ($)]]-CleanedData[[#This Row],[Total Cost ($)]]</f>
        <v>65353.919999999984</v>
      </c>
      <c r="P514" s="12">
        <f>CleanedData[[#This Row],[Profit ($)]]/CleanedData[[#This Row],[Total Sales ($)]]</f>
        <v>0.20816065688059177</v>
      </c>
      <c r="Q514" s="8" t="s">
        <v>42</v>
      </c>
      <c r="R514" s="8" t="s">
        <v>32</v>
      </c>
      <c r="S514" s="8" t="b">
        <f>_xlfn.SINGLE(CleanedData[[#This Row],[Delivery Status]])="Late"</f>
        <v>1</v>
      </c>
      <c r="T514" s="10">
        <v>15</v>
      </c>
      <c r="U514" s="8" t="s">
        <v>53</v>
      </c>
      <c r="V514" s="10">
        <v>2173</v>
      </c>
      <c r="W514" s="10">
        <v>12</v>
      </c>
      <c r="X514" s="12">
        <v>1.9736842105263101E-2</v>
      </c>
      <c r="Y514" s="8" t="b">
        <f>CleanedData[[#This Row],[Ship Date]]&lt;CleanedData[[#This Row],[Order Date]]</f>
        <v>1</v>
      </c>
      <c r="Z514" s="10">
        <f>YEAR(CleanedData[[#This Row],[Order Date]])</f>
        <v>2023</v>
      </c>
      <c r="AA514" s="8">
        <f>MONTH(CleanedData[[#This Row],[Order Date]])</f>
        <v>10</v>
      </c>
    </row>
    <row r="515" spans="1:27" x14ac:dyDescent="0.35">
      <c r="A515" s="8" t="s">
        <v>1747</v>
      </c>
      <c r="B515" s="9">
        <v>44978</v>
      </c>
      <c r="C515" s="9">
        <v>45135</v>
      </c>
      <c r="D515" s="8" t="s">
        <v>1748</v>
      </c>
      <c r="E515" s="8" t="s">
        <v>68</v>
      </c>
      <c r="F515" s="8" t="s">
        <v>146</v>
      </c>
      <c r="G515" s="8" t="s">
        <v>60</v>
      </c>
      <c r="H515" s="8" t="s">
        <v>834</v>
      </c>
      <c r="I515" s="8" t="s">
        <v>4967</v>
      </c>
      <c r="J515" s="10">
        <v>721</v>
      </c>
      <c r="K515" s="11">
        <v>780.55</v>
      </c>
      <c r="L515" s="11">
        <v>1013.59</v>
      </c>
      <c r="M515" s="11">
        <v>730798.39</v>
      </c>
      <c r="N515" s="11">
        <v>562776.55000000005</v>
      </c>
      <c r="O515" s="11">
        <f>CleanedData[[#This Row],[Total Sales ($)]]-CleanedData[[#This Row],[Total Cost ($)]]</f>
        <v>168021.83999999997</v>
      </c>
      <c r="P515" s="12">
        <f>CleanedData[[#This Row],[Profit ($)]]/CleanedData[[#This Row],[Total Sales ($)]]</f>
        <v>0.22991544904744518</v>
      </c>
      <c r="Q515" s="8" t="s">
        <v>31</v>
      </c>
      <c r="R515" s="8" t="s">
        <v>32</v>
      </c>
      <c r="S515" s="8" t="b">
        <f>_xlfn.SINGLE(CleanedData[[#This Row],[Delivery Status]])="Late"</f>
        <v>1</v>
      </c>
      <c r="T515" s="10">
        <v>15</v>
      </c>
      <c r="U515" s="8" t="s">
        <v>33</v>
      </c>
      <c r="V515" s="10">
        <v>160</v>
      </c>
      <c r="W515" s="10">
        <v>4</v>
      </c>
      <c r="X515" s="12">
        <v>5.5478502080442997E-3</v>
      </c>
      <c r="Y515" s="8" t="b">
        <f>CleanedData[[#This Row],[Ship Date]]&lt;CleanedData[[#This Row],[Order Date]]</f>
        <v>0</v>
      </c>
      <c r="Z515" s="10">
        <f>YEAR(CleanedData[[#This Row],[Order Date]])</f>
        <v>2023</v>
      </c>
      <c r="AA515" s="8">
        <f>MONTH(CleanedData[[#This Row],[Order Date]])</f>
        <v>2</v>
      </c>
    </row>
    <row r="516" spans="1:27" x14ac:dyDescent="0.35">
      <c r="A516" s="8" t="s">
        <v>1749</v>
      </c>
      <c r="B516" s="9">
        <v>45122</v>
      </c>
      <c r="C516" s="9">
        <v>44960</v>
      </c>
      <c r="D516" s="8" t="s">
        <v>1751</v>
      </c>
      <c r="E516" s="8" t="s">
        <v>100</v>
      </c>
      <c r="F516" s="8" t="s">
        <v>330</v>
      </c>
      <c r="G516" s="8" t="s">
        <v>93</v>
      </c>
      <c r="H516" s="8" t="s">
        <v>94</v>
      </c>
      <c r="I516" s="8" t="s">
        <v>4969</v>
      </c>
      <c r="J516" s="10">
        <v>591</v>
      </c>
      <c r="K516" s="11">
        <v>3.4</v>
      </c>
      <c r="L516" s="11">
        <v>5.1100000000000003</v>
      </c>
      <c r="M516" s="11">
        <v>3020.01</v>
      </c>
      <c r="N516" s="11">
        <v>2009.4</v>
      </c>
      <c r="O516" s="11">
        <f>CleanedData[[#This Row],[Total Sales ($)]]-CleanedData[[#This Row],[Total Cost ($)]]</f>
        <v>1010.6100000000001</v>
      </c>
      <c r="P516" s="12">
        <f>CleanedData[[#This Row],[Profit ($)]]/CleanedData[[#This Row],[Total Sales ($)]]</f>
        <v>0.33463796477495111</v>
      </c>
      <c r="Q516" s="8" t="s">
        <v>52</v>
      </c>
      <c r="R516" s="8" t="s">
        <v>32</v>
      </c>
      <c r="S516" s="8" t="b">
        <f>_xlfn.SINGLE(CleanedData[[#This Row],[Delivery Status]])="Late"</f>
        <v>1</v>
      </c>
      <c r="T516" s="10">
        <v>10</v>
      </c>
      <c r="U516" s="8" t="s">
        <v>158</v>
      </c>
      <c r="V516" s="10">
        <v>86</v>
      </c>
      <c r="W516" s="10">
        <v>13</v>
      </c>
      <c r="X516" s="12">
        <v>2.1996615905245299E-2</v>
      </c>
      <c r="Y516" s="8" t="b">
        <f>CleanedData[[#This Row],[Ship Date]]&lt;CleanedData[[#This Row],[Order Date]]</f>
        <v>1</v>
      </c>
      <c r="Z516" s="10">
        <f>YEAR(CleanedData[[#This Row],[Order Date]])</f>
        <v>2023</v>
      </c>
      <c r="AA516" s="8">
        <f>MONTH(CleanedData[[#This Row],[Order Date]])</f>
        <v>7</v>
      </c>
    </row>
    <row r="517" spans="1:27" x14ac:dyDescent="0.35">
      <c r="A517" s="8" t="s">
        <v>1752</v>
      </c>
      <c r="B517" s="9">
        <v>45465</v>
      </c>
      <c r="C517" s="9">
        <v>45573</v>
      </c>
      <c r="D517" s="8" t="s">
        <v>1754</v>
      </c>
      <c r="E517" s="8" t="s">
        <v>100</v>
      </c>
      <c r="F517" s="8" t="s">
        <v>538</v>
      </c>
      <c r="G517" s="8" t="s">
        <v>28</v>
      </c>
      <c r="H517" s="8" t="s">
        <v>254</v>
      </c>
      <c r="I517" s="8" t="s">
        <v>4977</v>
      </c>
      <c r="J517" s="10">
        <v>166</v>
      </c>
      <c r="K517" s="11">
        <v>601.03</v>
      </c>
      <c r="L517" s="11">
        <v>940.31</v>
      </c>
      <c r="M517" s="11">
        <v>156091.46</v>
      </c>
      <c r="N517" s="11">
        <v>99770.98</v>
      </c>
      <c r="O517" s="11">
        <f>CleanedData[[#This Row],[Total Sales ($)]]-CleanedData[[#This Row],[Total Cost ($)]]</f>
        <v>56320.479999999996</v>
      </c>
      <c r="P517" s="12">
        <f>CleanedData[[#This Row],[Profit ($)]]/CleanedData[[#This Row],[Total Sales ($)]]</f>
        <v>0.36081717731386459</v>
      </c>
      <c r="Q517" s="8" t="s">
        <v>52</v>
      </c>
      <c r="R517" s="8" t="s">
        <v>32</v>
      </c>
      <c r="S517" s="8" t="b">
        <f>_xlfn.SINGLE(CleanedData[[#This Row],[Delivery Status]])="Late"</f>
        <v>1</v>
      </c>
      <c r="T517" s="10">
        <v>15</v>
      </c>
      <c r="U517" s="8" t="s">
        <v>43</v>
      </c>
      <c r="V517" s="10">
        <v>4379</v>
      </c>
      <c r="W517" s="10">
        <v>7</v>
      </c>
      <c r="X517" s="12">
        <v>4.2168674698795101E-2</v>
      </c>
      <c r="Y517" s="8" t="b">
        <f>CleanedData[[#This Row],[Ship Date]]&lt;CleanedData[[#This Row],[Order Date]]</f>
        <v>0</v>
      </c>
      <c r="Z517" s="10">
        <f>YEAR(CleanedData[[#This Row],[Order Date]])</f>
        <v>2024</v>
      </c>
      <c r="AA517" s="8">
        <f>MONTH(CleanedData[[#This Row],[Order Date]])</f>
        <v>6</v>
      </c>
    </row>
    <row r="518" spans="1:27" x14ac:dyDescent="0.35">
      <c r="A518" s="8" t="s">
        <v>1755</v>
      </c>
      <c r="B518" s="9">
        <v>44949</v>
      </c>
      <c r="C518" s="9">
        <v>45004</v>
      </c>
      <c r="D518" s="8" t="s">
        <v>1756</v>
      </c>
      <c r="E518" s="8" t="s">
        <v>26</v>
      </c>
      <c r="F518" s="8" t="s">
        <v>228</v>
      </c>
      <c r="G518" s="8" t="s">
        <v>60</v>
      </c>
      <c r="H518" s="8" t="s">
        <v>229</v>
      </c>
      <c r="I518" s="8" t="s">
        <v>4978</v>
      </c>
      <c r="J518" s="10">
        <v>710</v>
      </c>
      <c r="K518" s="11">
        <v>227.6</v>
      </c>
      <c r="L518" s="11">
        <v>322.8</v>
      </c>
      <c r="M518" s="11">
        <v>229188</v>
      </c>
      <c r="N518" s="11">
        <v>161596</v>
      </c>
      <c r="O518" s="11">
        <f>CleanedData[[#This Row],[Total Sales ($)]]-CleanedData[[#This Row],[Total Cost ($)]]</f>
        <v>67592</v>
      </c>
      <c r="P518" s="12">
        <f>CleanedData[[#This Row],[Profit ($)]]/CleanedData[[#This Row],[Total Sales ($)]]</f>
        <v>0.29491945477075587</v>
      </c>
      <c r="Q518" s="8" t="s">
        <v>95</v>
      </c>
      <c r="R518" s="8" t="s">
        <v>63</v>
      </c>
      <c r="S518" s="8" t="b">
        <f>_xlfn.SINGLE(CleanedData[[#This Row],[Delivery Status]])="Late"</f>
        <v>0</v>
      </c>
      <c r="T518" s="10">
        <v>5</v>
      </c>
      <c r="U518" s="8" t="s">
        <v>112</v>
      </c>
      <c r="V518" s="10">
        <v>4825</v>
      </c>
      <c r="W518" s="10">
        <v>26</v>
      </c>
      <c r="X518" s="12">
        <v>3.6619718309859099E-2</v>
      </c>
      <c r="Y518" s="8" t="b">
        <f>CleanedData[[#This Row],[Ship Date]]&lt;CleanedData[[#This Row],[Order Date]]</f>
        <v>0</v>
      </c>
      <c r="Z518" s="10">
        <f>YEAR(CleanedData[[#This Row],[Order Date]])</f>
        <v>2023</v>
      </c>
      <c r="AA518" s="8">
        <f>MONTH(CleanedData[[#This Row],[Order Date]])</f>
        <v>1</v>
      </c>
    </row>
    <row r="519" spans="1:27" x14ac:dyDescent="0.35">
      <c r="A519" s="8" t="s">
        <v>1757</v>
      </c>
      <c r="B519" s="9">
        <v>45104</v>
      </c>
      <c r="C519" s="9">
        <v>45056</v>
      </c>
      <c r="D519" s="8" t="s">
        <v>1758</v>
      </c>
      <c r="E519" s="8" t="s">
        <v>48</v>
      </c>
      <c r="F519" s="8" t="s">
        <v>49</v>
      </c>
      <c r="G519" s="8" t="s">
        <v>78</v>
      </c>
      <c r="H519" s="8" t="s">
        <v>123</v>
      </c>
      <c r="I519" s="8" t="s">
        <v>4979</v>
      </c>
      <c r="J519" s="10">
        <v>290</v>
      </c>
      <c r="K519" s="11">
        <v>739.2</v>
      </c>
      <c r="L519" s="11">
        <v>1148.8</v>
      </c>
      <c r="M519" s="11">
        <v>333152</v>
      </c>
      <c r="N519" s="11">
        <v>214368</v>
      </c>
      <c r="O519" s="11">
        <f>CleanedData[[#This Row],[Total Sales ($)]]-CleanedData[[#This Row],[Total Cost ($)]]</f>
        <v>118784</v>
      </c>
      <c r="P519" s="12">
        <f>CleanedData[[#This Row],[Profit ($)]]/CleanedData[[#This Row],[Total Sales ($)]]</f>
        <v>0.35654596100278552</v>
      </c>
      <c r="Q519" s="8" t="s">
        <v>31</v>
      </c>
      <c r="R519" s="8" t="s">
        <v>32</v>
      </c>
      <c r="S519" s="8" t="b">
        <f>_xlfn.SINGLE(CleanedData[[#This Row],[Delivery Status]])="Late"</f>
        <v>1</v>
      </c>
      <c r="T519" s="10">
        <v>6</v>
      </c>
      <c r="U519" s="8" t="s">
        <v>158</v>
      </c>
      <c r="V519" s="10">
        <v>4177</v>
      </c>
      <c r="W519" s="10">
        <v>4</v>
      </c>
      <c r="X519" s="12">
        <v>1.3793103448275799E-2</v>
      </c>
      <c r="Y519" s="8" t="b">
        <f>CleanedData[[#This Row],[Ship Date]]&lt;CleanedData[[#This Row],[Order Date]]</f>
        <v>1</v>
      </c>
      <c r="Z519" s="10">
        <f>YEAR(CleanedData[[#This Row],[Order Date]])</f>
        <v>2023</v>
      </c>
      <c r="AA519" s="8">
        <f>MONTH(CleanedData[[#This Row],[Order Date]])</f>
        <v>6</v>
      </c>
    </row>
    <row r="520" spans="1:27" x14ac:dyDescent="0.35">
      <c r="A520" s="8" t="s">
        <v>1759</v>
      </c>
      <c r="B520" s="9">
        <v>45343</v>
      </c>
      <c r="C520" s="9">
        <v>45408</v>
      </c>
      <c r="D520" s="8" t="s">
        <v>1760</v>
      </c>
      <c r="E520" s="8" t="s">
        <v>68</v>
      </c>
      <c r="F520" s="8" t="s">
        <v>69</v>
      </c>
      <c r="G520" s="8" t="s">
        <v>60</v>
      </c>
      <c r="H520" s="8" t="s">
        <v>400</v>
      </c>
      <c r="I520" s="8" t="s">
        <v>4968</v>
      </c>
      <c r="J520" s="10">
        <v>684</v>
      </c>
      <c r="K520" s="11">
        <v>392.78</v>
      </c>
      <c r="L520" s="11">
        <v>443.42</v>
      </c>
      <c r="M520" s="11">
        <v>303299.28000000003</v>
      </c>
      <c r="N520" s="11">
        <v>268661.52</v>
      </c>
      <c r="O520" s="11">
        <f>CleanedData[[#This Row],[Total Sales ($)]]-CleanedData[[#This Row],[Total Cost ($)]]</f>
        <v>34637.760000000009</v>
      </c>
      <c r="P520" s="12">
        <f>CleanedData[[#This Row],[Profit ($)]]/CleanedData[[#This Row],[Total Sales ($)]]</f>
        <v>0.11420323846466106</v>
      </c>
      <c r="Q520" s="8" t="s">
        <v>42</v>
      </c>
      <c r="R520" s="8" t="s">
        <v>63</v>
      </c>
      <c r="S520" s="8" t="b">
        <f>_xlfn.SINGLE(CleanedData[[#This Row],[Delivery Status]])="Late"</f>
        <v>0</v>
      </c>
      <c r="T520" s="10">
        <v>5</v>
      </c>
      <c r="U520" s="8" t="s">
        <v>86</v>
      </c>
      <c r="V520" s="10">
        <v>417</v>
      </c>
      <c r="W520" s="10">
        <v>25</v>
      </c>
      <c r="X520" s="12">
        <v>3.6549707602339103E-2</v>
      </c>
      <c r="Y520" s="8" t="b">
        <f>CleanedData[[#This Row],[Ship Date]]&lt;CleanedData[[#This Row],[Order Date]]</f>
        <v>0</v>
      </c>
      <c r="Z520" s="10">
        <f>YEAR(CleanedData[[#This Row],[Order Date]])</f>
        <v>2024</v>
      </c>
      <c r="AA520" s="8">
        <f>MONTH(CleanedData[[#This Row],[Order Date]])</f>
        <v>2</v>
      </c>
    </row>
    <row r="521" spans="1:27" x14ac:dyDescent="0.35">
      <c r="A521" s="8" t="s">
        <v>1762</v>
      </c>
      <c r="B521" s="9">
        <v>45037</v>
      </c>
      <c r="C521" s="9">
        <v>45067</v>
      </c>
      <c r="D521" s="8" t="s">
        <v>1763</v>
      </c>
      <c r="E521" s="8" t="s">
        <v>48</v>
      </c>
      <c r="F521" s="8" t="s">
        <v>49</v>
      </c>
      <c r="G521" s="8" t="s">
        <v>50</v>
      </c>
      <c r="H521" s="8" t="s">
        <v>282</v>
      </c>
      <c r="I521" s="8" t="s">
        <v>4978</v>
      </c>
      <c r="J521" s="10">
        <v>781</v>
      </c>
      <c r="K521" s="11">
        <v>960.86</v>
      </c>
      <c r="L521" s="11">
        <v>1531.65</v>
      </c>
      <c r="M521" s="11">
        <v>1196218.6499999999</v>
      </c>
      <c r="N521" s="11">
        <v>750431.66</v>
      </c>
      <c r="O521" s="11">
        <f>CleanedData[[#This Row],[Total Sales ($)]]-CleanedData[[#This Row],[Total Cost ($)]]</f>
        <v>445786.98999999987</v>
      </c>
      <c r="P521" s="12">
        <f>CleanedData[[#This Row],[Profit ($)]]/CleanedData[[#This Row],[Total Sales ($)]]</f>
        <v>0.37266346750236667</v>
      </c>
      <c r="Q521" s="8" t="s">
        <v>95</v>
      </c>
      <c r="R521" s="8" t="s">
        <v>32</v>
      </c>
      <c r="S521" s="8" t="b">
        <f>_xlfn.SINGLE(CleanedData[[#This Row],[Delivery Status]])="Late"</f>
        <v>1</v>
      </c>
      <c r="T521" s="10">
        <v>14</v>
      </c>
      <c r="U521" s="8" t="s">
        <v>43</v>
      </c>
      <c r="V521" s="10">
        <v>4169</v>
      </c>
      <c r="W521" s="10">
        <v>34</v>
      </c>
      <c r="X521" s="12">
        <v>4.3533930857874499E-2</v>
      </c>
      <c r="Y521" s="8" t="b">
        <f>CleanedData[[#This Row],[Ship Date]]&lt;CleanedData[[#This Row],[Order Date]]</f>
        <v>0</v>
      </c>
      <c r="Z521" s="10">
        <f>YEAR(CleanedData[[#This Row],[Order Date]])</f>
        <v>2023</v>
      </c>
      <c r="AA521" s="8">
        <f>MONTH(CleanedData[[#This Row],[Order Date]])</f>
        <v>4</v>
      </c>
    </row>
    <row r="522" spans="1:27" x14ac:dyDescent="0.35">
      <c r="A522" s="8" t="s">
        <v>1764</v>
      </c>
      <c r="B522" s="9">
        <v>45114</v>
      </c>
      <c r="C522" s="9">
        <v>44964</v>
      </c>
      <c r="D522" s="8" t="s">
        <v>1766</v>
      </c>
      <c r="E522" s="8" t="s">
        <v>48</v>
      </c>
      <c r="F522" s="8" t="s">
        <v>281</v>
      </c>
      <c r="G522" s="8" t="s">
        <v>217</v>
      </c>
      <c r="H522" s="8" t="s">
        <v>335</v>
      </c>
      <c r="I522" s="8" t="s">
        <v>4978</v>
      </c>
      <c r="J522" s="10">
        <v>135</v>
      </c>
      <c r="K522" s="11">
        <v>412.85</v>
      </c>
      <c r="L522" s="11">
        <v>564.47</v>
      </c>
      <c r="M522" s="11">
        <v>76203.45</v>
      </c>
      <c r="N522" s="11">
        <v>55734.75</v>
      </c>
      <c r="O522" s="11">
        <f>CleanedData[[#This Row],[Total Sales ($)]]-CleanedData[[#This Row],[Total Cost ($)]]</f>
        <v>20468.699999999997</v>
      </c>
      <c r="P522" s="12">
        <f>CleanedData[[#This Row],[Profit ($)]]/CleanedData[[#This Row],[Total Sales ($)]]</f>
        <v>0.26860594894325646</v>
      </c>
      <c r="Q522" s="8" t="s">
        <v>31</v>
      </c>
      <c r="R522" s="8" t="s">
        <v>32</v>
      </c>
      <c r="S522" s="8" t="b">
        <f>_xlfn.SINGLE(CleanedData[[#This Row],[Delivery Status]])="Late"</f>
        <v>1</v>
      </c>
      <c r="T522" s="10">
        <v>7</v>
      </c>
      <c r="U522" s="8" t="s">
        <v>43</v>
      </c>
      <c r="V522" s="10">
        <v>2287</v>
      </c>
      <c r="W522" s="10">
        <v>6</v>
      </c>
      <c r="X522" s="12">
        <v>4.4444444444444398E-2</v>
      </c>
      <c r="Y522" s="8" t="b">
        <f>CleanedData[[#This Row],[Ship Date]]&lt;CleanedData[[#This Row],[Order Date]]</f>
        <v>1</v>
      </c>
      <c r="Z522" s="10">
        <f>YEAR(CleanedData[[#This Row],[Order Date]])</f>
        <v>2023</v>
      </c>
      <c r="AA522" s="8">
        <f>MONTH(CleanedData[[#This Row],[Order Date]])</f>
        <v>7</v>
      </c>
    </row>
    <row r="523" spans="1:27" x14ac:dyDescent="0.35">
      <c r="A523" s="8" t="s">
        <v>1767</v>
      </c>
      <c r="B523" s="9">
        <v>45460</v>
      </c>
      <c r="C523" s="9">
        <v>45413</v>
      </c>
      <c r="D523" s="8" t="s">
        <v>4985</v>
      </c>
      <c r="E523" s="8" t="s">
        <v>48</v>
      </c>
      <c r="F523" s="8" t="s">
        <v>49</v>
      </c>
      <c r="G523" s="8" t="s">
        <v>189</v>
      </c>
      <c r="H523" s="8" t="s">
        <v>437</v>
      </c>
      <c r="I523" s="8" t="s">
        <v>4975</v>
      </c>
      <c r="J523" s="10">
        <v>213</v>
      </c>
      <c r="K523" s="11">
        <v>1026.72</v>
      </c>
      <c r="L523" s="11">
        <v>1609.49</v>
      </c>
      <c r="M523" s="11">
        <v>342821.37</v>
      </c>
      <c r="N523" s="11">
        <v>218691.36</v>
      </c>
      <c r="O523" s="11">
        <f>CleanedData[[#This Row],[Total Sales ($)]]-CleanedData[[#This Row],[Total Cost ($)]]</f>
        <v>124130.01000000001</v>
      </c>
      <c r="P523" s="12">
        <f>CleanedData[[#This Row],[Profit ($)]]/CleanedData[[#This Row],[Total Sales ($)]]</f>
        <v>0.36208364140193483</v>
      </c>
      <c r="Q523" s="8" t="s">
        <v>42</v>
      </c>
      <c r="R523" s="8" t="s">
        <v>32</v>
      </c>
      <c r="S523" s="8" t="b">
        <f>_xlfn.SINGLE(CleanedData[[#This Row],[Delivery Status]])="Late"</f>
        <v>1</v>
      </c>
      <c r="T523" s="10">
        <v>11</v>
      </c>
      <c r="U523" s="8" t="s">
        <v>43</v>
      </c>
      <c r="V523" s="10">
        <v>3221</v>
      </c>
      <c r="W523" s="10">
        <v>7</v>
      </c>
      <c r="X523" s="12">
        <v>3.2863849765258198E-2</v>
      </c>
      <c r="Y523" s="8" t="b">
        <f>CleanedData[[#This Row],[Ship Date]]&lt;CleanedData[[#This Row],[Order Date]]</f>
        <v>1</v>
      </c>
      <c r="Z523" s="10">
        <f>YEAR(CleanedData[[#This Row],[Order Date]])</f>
        <v>2024</v>
      </c>
      <c r="AA523" s="8">
        <f>MONTH(CleanedData[[#This Row],[Order Date]])</f>
        <v>6</v>
      </c>
    </row>
    <row r="524" spans="1:27" x14ac:dyDescent="0.35">
      <c r="A524" s="8" t="s">
        <v>1769</v>
      </c>
      <c r="B524" s="9">
        <v>45102</v>
      </c>
      <c r="C524" s="9">
        <v>44935</v>
      </c>
      <c r="D524" s="8" t="s">
        <v>1770</v>
      </c>
      <c r="E524" s="8" t="s">
        <v>26</v>
      </c>
      <c r="F524" s="8" t="s">
        <v>77</v>
      </c>
      <c r="G524" s="8" t="s">
        <v>93</v>
      </c>
      <c r="H524" s="8" t="s">
        <v>94</v>
      </c>
      <c r="I524" s="8" t="s">
        <v>4975</v>
      </c>
      <c r="J524" s="10">
        <v>510</v>
      </c>
      <c r="K524" s="11">
        <v>737.99</v>
      </c>
      <c r="L524" s="11">
        <v>989.19</v>
      </c>
      <c r="M524" s="11">
        <v>504486.9</v>
      </c>
      <c r="N524" s="11">
        <v>376374.9</v>
      </c>
      <c r="O524" s="11">
        <f>CleanedData[[#This Row],[Total Sales ($)]]-CleanedData[[#This Row],[Total Cost ($)]]</f>
        <v>128112</v>
      </c>
      <c r="P524" s="12">
        <f>CleanedData[[#This Row],[Profit ($)]]/CleanedData[[#This Row],[Total Sales ($)]]</f>
        <v>0.25394514703949694</v>
      </c>
      <c r="Q524" s="8" t="s">
        <v>95</v>
      </c>
      <c r="R524" s="8" t="s">
        <v>32</v>
      </c>
      <c r="S524" s="8" t="b">
        <f>_xlfn.SINGLE(CleanedData[[#This Row],[Delivery Status]])="Late"</f>
        <v>1</v>
      </c>
      <c r="T524" s="10">
        <v>6</v>
      </c>
      <c r="U524" s="8" t="s">
        <v>53</v>
      </c>
      <c r="V524" s="10">
        <v>2620</v>
      </c>
      <c r="W524" s="10">
        <v>25</v>
      </c>
      <c r="X524" s="12">
        <v>4.9019607843137199E-2</v>
      </c>
      <c r="Y524" s="8" t="b">
        <f>CleanedData[[#This Row],[Ship Date]]&lt;CleanedData[[#This Row],[Order Date]]</f>
        <v>1</v>
      </c>
      <c r="Z524" s="10">
        <f>YEAR(CleanedData[[#This Row],[Order Date]])</f>
        <v>2023</v>
      </c>
      <c r="AA524" s="8">
        <f>MONTH(CleanedData[[#This Row],[Order Date]])</f>
        <v>6</v>
      </c>
    </row>
    <row r="525" spans="1:27" x14ac:dyDescent="0.35">
      <c r="A525" s="8" t="s">
        <v>1771</v>
      </c>
      <c r="B525" s="9">
        <v>45220</v>
      </c>
      <c r="C525" s="9">
        <v>44958</v>
      </c>
      <c r="D525" s="8" t="s">
        <v>1772</v>
      </c>
      <c r="E525" s="8" t="s">
        <v>48</v>
      </c>
      <c r="F525" s="8" t="s">
        <v>281</v>
      </c>
      <c r="G525" s="8" t="s">
        <v>50</v>
      </c>
      <c r="H525" s="8" t="s">
        <v>107</v>
      </c>
      <c r="I525" s="8" t="s">
        <v>4967</v>
      </c>
      <c r="J525" s="10">
        <v>531</v>
      </c>
      <c r="K525" s="11">
        <v>248.3</v>
      </c>
      <c r="L525" s="11">
        <v>314.18</v>
      </c>
      <c r="M525" s="11">
        <v>166829.57999999999</v>
      </c>
      <c r="N525" s="11">
        <v>131847.29999999999</v>
      </c>
      <c r="O525" s="11">
        <f>CleanedData[[#This Row],[Total Sales ($)]]-CleanedData[[#This Row],[Total Cost ($)]]</f>
        <v>34982.28</v>
      </c>
      <c r="P525" s="12">
        <f>CleanedData[[#This Row],[Profit ($)]]/CleanedData[[#This Row],[Total Sales ($)]]</f>
        <v>0.20968871347635115</v>
      </c>
      <c r="Q525" s="8" t="s">
        <v>95</v>
      </c>
      <c r="R525" s="8" t="s">
        <v>63</v>
      </c>
      <c r="S525" s="8" t="b">
        <f>_xlfn.SINGLE(CleanedData[[#This Row],[Delivery Status]])="Late"</f>
        <v>0</v>
      </c>
      <c r="T525" s="10">
        <v>7</v>
      </c>
      <c r="U525" s="8" t="s">
        <v>112</v>
      </c>
      <c r="V525" s="10">
        <v>2967</v>
      </c>
      <c r="W525" s="10">
        <v>10</v>
      </c>
      <c r="X525" s="12">
        <v>1.88323917137476E-2</v>
      </c>
      <c r="Y525" s="8" t="b">
        <f>CleanedData[[#This Row],[Ship Date]]&lt;CleanedData[[#This Row],[Order Date]]</f>
        <v>1</v>
      </c>
      <c r="Z525" s="10">
        <f>YEAR(CleanedData[[#This Row],[Order Date]])</f>
        <v>2023</v>
      </c>
      <c r="AA525" s="8">
        <f>MONTH(CleanedData[[#This Row],[Order Date]])</f>
        <v>10</v>
      </c>
    </row>
    <row r="526" spans="1:27" x14ac:dyDescent="0.35">
      <c r="A526" s="8" t="s">
        <v>1773</v>
      </c>
      <c r="B526" s="9">
        <v>45614</v>
      </c>
      <c r="C526" s="9">
        <v>45480</v>
      </c>
      <c r="D526" s="8" t="s">
        <v>1300</v>
      </c>
      <c r="E526" s="8" t="s">
        <v>48</v>
      </c>
      <c r="F526" s="8" t="s">
        <v>270</v>
      </c>
      <c r="G526" s="8" t="s">
        <v>28</v>
      </c>
      <c r="H526" s="8" t="s">
        <v>29</v>
      </c>
      <c r="I526" s="8" t="s">
        <v>4978</v>
      </c>
      <c r="J526" s="10">
        <v>526</v>
      </c>
      <c r="K526" s="11">
        <v>777.89</v>
      </c>
      <c r="L526" s="11">
        <v>1104.42</v>
      </c>
      <c r="M526" s="11">
        <v>580924.92000000004</v>
      </c>
      <c r="N526" s="11">
        <v>409170.14</v>
      </c>
      <c r="O526" s="11">
        <f>CleanedData[[#This Row],[Total Sales ($)]]-CleanedData[[#This Row],[Total Cost ($)]]</f>
        <v>171754.78000000003</v>
      </c>
      <c r="P526" s="12">
        <f>CleanedData[[#This Row],[Profit ($)]]/CleanedData[[#This Row],[Total Sales ($)]]</f>
        <v>0.29565744915883452</v>
      </c>
      <c r="Q526" s="8" t="s">
        <v>52</v>
      </c>
      <c r="R526" s="8" t="s">
        <v>32</v>
      </c>
      <c r="S526" s="8" t="b">
        <f>_xlfn.SINGLE(CleanedData[[#This Row],[Delivery Status]])="Late"</f>
        <v>1</v>
      </c>
      <c r="T526" s="10">
        <v>13</v>
      </c>
      <c r="U526" s="8" t="s">
        <v>112</v>
      </c>
      <c r="V526" s="10">
        <v>3956</v>
      </c>
      <c r="W526" s="10">
        <v>19</v>
      </c>
      <c r="X526" s="12">
        <v>3.6121673003802202E-2</v>
      </c>
      <c r="Y526" s="8" t="b">
        <f>CleanedData[[#This Row],[Ship Date]]&lt;CleanedData[[#This Row],[Order Date]]</f>
        <v>1</v>
      </c>
      <c r="Z526" s="10">
        <f>YEAR(CleanedData[[#This Row],[Order Date]])</f>
        <v>2024</v>
      </c>
      <c r="AA526" s="8">
        <f>MONTH(CleanedData[[#This Row],[Order Date]])</f>
        <v>11</v>
      </c>
    </row>
    <row r="527" spans="1:27" x14ac:dyDescent="0.35">
      <c r="A527" s="8" t="s">
        <v>1774</v>
      </c>
      <c r="B527" s="9">
        <v>45286</v>
      </c>
      <c r="C527" s="9">
        <v>44953</v>
      </c>
      <c r="D527" s="8" t="s">
        <v>1777</v>
      </c>
      <c r="E527" s="8" t="s">
        <v>100</v>
      </c>
      <c r="F527" s="8" t="s">
        <v>330</v>
      </c>
      <c r="G527" s="8" t="s">
        <v>78</v>
      </c>
      <c r="H527" s="8" t="s">
        <v>572</v>
      </c>
      <c r="I527" s="8" t="s">
        <v>4975</v>
      </c>
      <c r="J527" s="10">
        <v>46</v>
      </c>
      <c r="K527" s="11">
        <v>790.79</v>
      </c>
      <c r="L527" s="11">
        <v>1285.17</v>
      </c>
      <c r="M527" s="11">
        <v>59117.82</v>
      </c>
      <c r="N527" s="11">
        <v>36376.339999999997</v>
      </c>
      <c r="O527" s="11">
        <f>CleanedData[[#This Row],[Total Sales ($)]]-CleanedData[[#This Row],[Total Cost ($)]]</f>
        <v>22741.480000000003</v>
      </c>
      <c r="P527" s="12">
        <f>CleanedData[[#This Row],[Profit ($)]]/CleanedData[[#This Row],[Total Sales ($)]]</f>
        <v>0.38468062590941282</v>
      </c>
      <c r="Q527" s="8" t="s">
        <v>52</v>
      </c>
      <c r="R527" s="8" t="s">
        <v>63</v>
      </c>
      <c r="S527" s="8" t="b">
        <f>_xlfn.SINGLE(CleanedData[[#This Row],[Delivery Status]])="Late"</f>
        <v>0</v>
      </c>
      <c r="T527" s="10">
        <v>3</v>
      </c>
      <c r="U527" s="8" t="s">
        <v>43</v>
      </c>
      <c r="V527" s="10">
        <v>2289</v>
      </c>
      <c r="W527" s="10">
        <v>2</v>
      </c>
      <c r="X527" s="12">
        <v>4.3478260869565202E-2</v>
      </c>
      <c r="Y527" s="8" t="b">
        <f>CleanedData[[#This Row],[Ship Date]]&lt;CleanedData[[#This Row],[Order Date]]</f>
        <v>1</v>
      </c>
      <c r="Z527" s="10">
        <f>YEAR(CleanedData[[#This Row],[Order Date]])</f>
        <v>2023</v>
      </c>
      <c r="AA527" s="8">
        <f>MONTH(CleanedData[[#This Row],[Order Date]])</f>
        <v>12</v>
      </c>
    </row>
    <row r="528" spans="1:27" x14ac:dyDescent="0.35">
      <c r="A528" s="8" t="s">
        <v>1778</v>
      </c>
      <c r="B528" s="9">
        <v>45440</v>
      </c>
      <c r="C528" s="9">
        <v>45643</v>
      </c>
      <c r="D528" s="8" t="s">
        <v>1780</v>
      </c>
      <c r="E528" s="8" t="s">
        <v>26</v>
      </c>
      <c r="F528" s="8" t="s">
        <v>38</v>
      </c>
      <c r="G528" s="8" t="s">
        <v>78</v>
      </c>
      <c r="H528" s="8" t="s">
        <v>628</v>
      </c>
      <c r="I528" s="8" t="s">
        <v>4969</v>
      </c>
      <c r="J528" s="10">
        <v>366</v>
      </c>
      <c r="K528" s="11">
        <v>789.11</v>
      </c>
      <c r="L528" s="11">
        <v>1039.56</v>
      </c>
      <c r="M528" s="11">
        <v>380478.96</v>
      </c>
      <c r="N528" s="11">
        <v>288814.26</v>
      </c>
      <c r="O528" s="11">
        <f>CleanedData[[#This Row],[Total Sales ($)]]-CleanedData[[#This Row],[Total Cost ($)]]</f>
        <v>91664.700000000012</v>
      </c>
      <c r="P528" s="12">
        <f>CleanedData[[#This Row],[Profit ($)]]/CleanedData[[#This Row],[Total Sales ($)]]</f>
        <v>0.24091923506098736</v>
      </c>
      <c r="Q528" s="8" t="s">
        <v>52</v>
      </c>
      <c r="R528" s="8" t="s">
        <v>63</v>
      </c>
      <c r="S528" s="8" t="b">
        <f>_xlfn.SINGLE(CleanedData[[#This Row],[Delivery Status]])="Late"</f>
        <v>0</v>
      </c>
      <c r="T528" s="10">
        <v>3</v>
      </c>
      <c r="U528" s="8" t="s">
        <v>112</v>
      </c>
      <c r="V528" s="10">
        <v>3539</v>
      </c>
      <c r="W528" s="10">
        <v>11</v>
      </c>
      <c r="X528" s="12">
        <v>3.0054644808743099E-2</v>
      </c>
      <c r="Y528" s="8" t="b">
        <f>CleanedData[[#This Row],[Ship Date]]&lt;CleanedData[[#This Row],[Order Date]]</f>
        <v>0</v>
      </c>
      <c r="Z528" s="10">
        <f>YEAR(CleanedData[[#This Row],[Order Date]])</f>
        <v>2024</v>
      </c>
      <c r="AA528" s="8">
        <f>MONTH(CleanedData[[#This Row],[Order Date]])</f>
        <v>5</v>
      </c>
    </row>
    <row r="529" spans="1:27" x14ac:dyDescent="0.35">
      <c r="A529" s="8" t="s">
        <v>1782</v>
      </c>
      <c r="B529" s="9">
        <v>45190</v>
      </c>
      <c r="C529" s="9">
        <v>45143</v>
      </c>
      <c r="D529" s="8" t="s">
        <v>1783</v>
      </c>
      <c r="E529" s="8" t="s">
        <v>26</v>
      </c>
      <c r="F529" s="8" t="s">
        <v>27</v>
      </c>
      <c r="G529" s="8" t="s">
        <v>189</v>
      </c>
      <c r="H529" s="8" t="s">
        <v>311</v>
      </c>
      <c r="I529" s="8" t="s">
        <v>4975</v>
      </c>
      <c r="J529" s="10">
        <v>90</v>
      </c>
      <c r="K529" s="11">
        <v>201.67</v>
      </c>
      <c r="L529" s="11">
        <v>321.66000000000003</v>
      </c>
      <c r="M529" s="11">
        <v>28949.4</v>
      </c>
      <c r="N529" s="11">
        <v>18150.3</v>
      </c>
      <c r="O529" s="11">
        <f>CleanedData[[#This Row],[Total Sales ($)]]-CleanedData[[#This Row],[Total Cost ($)]]</f>
        <v>10799.100000000002</v>
      </c>
      <c r="P529" s="12">
        <f>CleanedData[[#This Row],[Profit ($)]]/CleanedData[[#This Row],[Total Sales ($)]]</f>
        <v>0.37303363800286021</v>
      </c>
      <c r="Q529" s="8" t="s">
        <v>95</v>
      </c>
      <c r="R529" s="8" t="s">
        <v>63</v>
      </c>
      <c r="S529" s="8" t="b">
        <f>_xlfn.SINGLE(CleanedData[[#This Row],[Delivery Status]])="Late"</f>
        <v>0</v>
      </c>
      <c r="T529" s="10">
        <v>3</v>
      </c>
      <c r="U529" s="8" t="s">
        <v>33</v>
      </c>
      <c r="V529" s="10">
        <v>2884</v>
      </c>
      <c r="W529" s="10">
        <v>1</v>
      </c>
      <c r="X529" s="12">
        <v>1.1111111111111099E-2</v>
      </c>
      <c r="Y529" s="8" t="b">
        <f>CleanedData[[#This Row],[Ship Date]]&lt;CleanedData[[#This Row],[Order Date]]</f>
        <v>1</v>
      </c>
      <c r="Z529" s="10">
        <f>YEAR(CleanedData[[#This Row],[Order Date]])</f>
        <v>2023</v>
      </c>
      <c r="AA529" s="8">
        <f>MONTH(CleanedData[[#This Row],[Order Date]])</f>
        <v>9</v>
      </c>
    </row>
    <row r="530" spans="1:27" x14ac:dyDescent="0.35">
      <c r="A530" s="8" t="s">
        <v>1784</v>
      </c>
      <c r="B530" s="9">
        <v>45006</v>
      </c>
      <c r="C530" s="9">
        <v>45240</v>
      </c>
      <c r="D530" s="8" t="s">
        <v>1785</v>
      </c>
      <c r="E530" s="8" t="s">
        <v>48</v>
      </c>
      <c r="F530" s="8" t="s">
        <v>270</v>
      </c>
      <c r="G530" s="8" t="s">
        <v>129</v>
      </c>
      <c r="H530" s="8" t="s">
        <v>168</v>
      </c>
      <c r="I530" s="8" t="s">
        <v>4971</v>
      </c>
      <c r="J530" s="10">
        <v>675</v>
      </c>
      <c r="K530" s="11">
        <v>545.38</v>
      </c>
      <c r="L530" s="11">
        <v>627.5</v>
      </c>
      <c r="M530" s="11">
        <v>423562.5</v>
      </c>
      <c r="N530" s="11">
        <v>368131.5</v>
      </c>
      <c r="O530" s="11">
        <f>CleanedData[[#This Row],[Total Sales ($)]]-CleanedData[[#This Row],[Total Cost ($)]]</f>
        <v>55431</v>
      </c>
      <c r="P530" s="12">
        <f>CleanedData[[#This Row],[Profit ($)]]/CleanedData[[#This Row],[Total Sales ($)]]</f>
        <v>0.13086852589641434</v>
      </c>
      <c r="Q530" s="8" t="s">
        <v>42</v>
      </c>
      <c r="R530" s="8" t="s">
        <v>32</v>
      </c>
      <c r="S530" s="8" t="b">
        <f>_xlfn.SINGLE(CleanedData[[#This Row],[Delivery Status]])="Late"</f>
        <v>1</v>
      </c>
      <c r="T530" s="10">
        <v>8</v>
      </c>
      <c r="U530" s="8" t="s">
        <v>53</v>
      </c>
      <c r="V530" s="10">
        <v>3696</v>
      </c>
      <c r="W530" s="10">
        <v>21</v>
      </c>
      <c r="X530" s="12">
        <v>3.11111111111111E-2</v>
      </c>
      <c r="Y530" s="8" t="b">
        <f>CleanedData[[#This Row],[Ship Date]]&lt;CleanedData[[#This Row],[Order Date]]</f>
        <v>0</v>
      </c>
      <c r="Z530" s="10">
        <f>YEAR(CleanedData[[#This Row],[Order Date]])</f>
        <v>2023</v>
      </c>
      <c r="AA530" s="8">
        <f>MONTH(CleanedData[[#This Row],[Order Date]])</f>
        <v>3</v>
      </c>
    </row>
    <row r="531" spans="1:27" x14ac:dyDescent="0.35">
      <c r="A531" s="8" t="s">
        <v>1786</v>
      </c>
      <c r="B531" s="9">
        <v>44939</v>
      </c>
      <c r="C531" s="9">
        <v>45256</v>
      </c>
      <c r="D531" s="8" t="s">
        <v>1787</v>
      </c>
      <c r="E531" s="8" t="s">
        <v>100</v>
      </c>
      <c r="F531" s="8" t="s">
        <v>330</v>
      </c>
      <c r="G531" s="8" t="s">
        <v>78</v>
      </c>
      <c r="H531" s="8" t="s">
        <v>178</v>
      </c>
      <c r="I531" s="8" t="s">
        <v>4975</v>
      </c>
      <c r="J531" s="10">
        <v>588</v>
      </c>
      <c r="K531" s="11">
        <v>405.96</v>
      </c>
      <c r="L531" s="11">
        <v>582.83000000000004</v>
      </c>
      <c r="M531" s="11">
        <v>342704.04</v>
      </c>
      <c r="N531" s="11">
        <v>238704.48</v>
      </c>
      <c r="O531" s="11">
        <f>CleanedData[[#This Row],[Total Sales ($)]]-CleanedData[[#This Row],[Total Cost ($)]]</f>
        <v>103999.55999999997</v>
      </c>
      <c r="P531" s="12">
        <f>CleanedData[[#This Row],[Profit ($)]]/CleanedData[[#This Row],[Total Sales ($)]]</f>
        <v>0.30346756344045428</v>
      </c>
      <c r="Q531" s="8" t="s">
        <v>52</v>
      </c>
      <c r="R531" s="8" t="s">
        <v>63</v>
      </c>
      <c r="S531" s="8" t="b">
        <f>_xlfn.SINGLE(CleanedData[[#This Row],[Delivery Status]])="Late"</f>
        <v>0</v>
      </c>
      <c r="T531" s="10">
        <v>2</v>
      </c>
      <c r="U531" s="8" t="s">
        <v>53</v>
      </c>
      <c r="V531" s="10">
        <v>755</v>
      </c>
      <c r="W531" s="10">
        <v>26</v>
      </c>
      <c r="X531" s="12">
        <v>4.4217687074829898E-2</v>
      </c>
      <c r="Y531" s="8" t="b">
        <f>CleanedData[[#This Row],[Ship Date]]&lt;CleanedData[[#This Row],[Order Date]]</f>
        <v>0</v>
      </c>
      <c r="Z531" s="10">
        <f>YEAR(CleanedData[[#This Row],[Order Date]])</f>
        <v>2023</v>
      </c>
      <c r="AA531" s="8">
        <f>MONTH(CleanedData[[#This Row],[Order Date]])</f>
        <v>1</v>
      </c>
    </row>
    <row r="532" spans="1:27" x14ac:dyDescent="0.35">
      <c r="A532" s="8" t="s">
        <v>1788</v>
      </c>
      <c r="B532" s="9">
        <v>45090</v>
      </c>
      <c r="C532" s="9">
        <v>45243</v>
      </c>
      <c r="D532" s="8" t="s">
        <v>1790</v>
      </c>
      <c r="E532" s="8" t="s">
        <v>58</v>
      </c>
      <c r="F532" s="8" t="s">
        <v>122</v>
      </c>
      <c r="G532" s="8" t="s">
        <v>129</v>
      </c>
      <c r="H532" s="8" t="s">
        <v>130</v>
      </c>
      <c r="I532" s="8" t="s">
        <v>4979</v>
      </c>
      <c r="J532" s="10">
        <v>405</v>
      </c>
      <c r="K532" s="11">
        <v>910.57</v>
      </c>
      <c r="L532" s="11">
        <v>1484.68</v>
      </c>
      <c r="M532" s="11">
        <v>601295.4</v>
      </c>
      <c r="N532" s="11">
        <v>368780.85</v>
      </c>
      <c r="O532" s="11">
        <f>CleanedData[[#This Row],[Total Sales ($)]]-CleanedData[[#This Row],[Total Cost ($)]]</f>
        <v>232514.55000000005</v>
      </c>
      <c r="P532" s="12">
        <f>CleanedData[[#This Row],[Profit ($)]]/CleanedData[[#This Row],[Total Sales ($)]]</f>
        <v>0.38668938761214544</v>
      </c>
      <c r="Q532" s="8" t="s">
        <v>52</v>
      </c>
      <c r="R532" s="8" t="s">
        <v>32</v>
      </c>
      <c r="S532" s="8" t="b">
        <f>_xlfn.SINGLE(CleanedData[[#This Row],[Delivery Status]])="Late"</f>
        <v>1</v>
      </c>
      <c r="T532" s="10">
        <v>12</v>
      </c>
      <c r="U532" s="8" t="s">
        <v>86</v>
      </c>
      <c r="V532" s="10">
        <v>1458</v>
      </c>
      <c r="W532" s="10">
        <v>2</v>
      </c>
      <c r="X532" s="12">
        <v>4.9382716049382004E-3</v>
      </c>
      <c r="Y532" s="8" t="b">
        <f>CleanedData[[#This Row],[Ship Date]]&lt;CleanedData[[#This Row],[Order Date]]</f>
        <v>0</v>
      </c>
      <c r="Z532" s="10">
        <f>YEAR(CleanedData[[#This Row],[Order Date]])</f>
        <v>2023</v>
      </c>
      <c r="AA532" s="8">
        <f>MONTH(CleanedData[[#This Row],[Order Date]])</f>
        <v>6</v>
      </c>
    </row>
    <row r="533" spans="1:27" x14ac:dyDescent="0.35">
      <c r="A533" s="8" t="s">
        <v>1791</v>
      </c>
      <c r="B533" s="9">
        <v>44962</v>
      </c>
      <c r="C533" s="9">
        <v>45060</v>
      </c>
      <c r="D533" s="8" t="s">
        <v>1792</v>
      </c>
      <c r="E533" s="8" t="s">
        <v>100</v>
      </c>
      <c r="F533" s="8" t="s">
        <v>330</v>
      </c>
      <c r="G533" s="8" t="s">
        <v>129</v>
      </c>
      <c r="H533" s="8" t="s">
        <v>811</v>
      </c>
      <c r="I533" s="8" t="s">
        <v>4975</v>
      </c>
      <c r="J533" s="10">
        <v>315</v>
      </c>
      <c r="K533" s="11">
        <v>848.37</v>
      </c>
      <c r="L533" s="11">
        <v>962.2</v>
      </c>
      <c r="M533" s="11">
        <v>303093</v>
      </c>
      <c r="N533" s="11">
        <v>267236.55</v>
      </c>
      <c r="O533" s="11">
        <f>CleanedData[[#This Row],[Total Sales ($)]]-CleanedData[[#This Row],[Total Cost ($)]]</f>
        <v>35856.450000000012</v>
      </c>
      <c r="P533" s="12">
        <f>CleanedData[[#This Row],[Profit ($)]]/CleanedData[[#This Row],[Total Sales ($)]]</f>
        <v>0.11830180835585122</v>
      </c>
      <c r="Q533" s="8" t="s">
        <v>31</v>
      </c>
      <c r="R533" s="8" t="s">
        <v>32</v>
      </c>
      <c r="S533" s="8" t="b">
        <f>_xlfn.SINGLE(CleanedData[[#This Row],[Delivery Status]])="Late"</f>
        <v>1</v>
      </c>
      <c r="T533" s="10">
        <v>9</v>
      </c>
      <c r="U533" s="8" t="s">
        <v>86</v>
      </c>
      <c r="V533" s="10">
        <v>3233</v>
      </c>
      <c r="W533" s="10">
        <v>12</v>
      </c>
      <c r="X533" s="12">
        <v>3.8095238095238099E-2</v>
      </c>
      <c r="Y533" s="8" t="b">
        <f>CleanedData[[#This Row],[Ship Date]]&lt;CleanedData[[#This Row],[Order Date]]</f>
        <v>0</v>
      </c>
      <c r="Z533" s="10">
        <f>YEAR(CleanedData[[#This Row],[Order Date]])</f>
        <v>2023</v>
      </c>
      <c r="AA533" s="8">
        <f>MONTH(CleanedData[[#This Row],[Order Date]])</f>
        <v>2</v>
      </c>
    </row>
    <row r="534" spans="1:27" x14ac:dyDescent="0.35">
      <c r="A534" s="8" t="s">
        <v>1793</v>
      </c>
      <c r="B534" s="9">
        <v>45283</v>
      </c>
      <c r="C534" s="9">
        <v>44969</v>
      </c>
      <c r="D534" s="8" t="s">
        <v>195</v>
      </c>
      <c r="E534" s="8" t="s">
        <v>26</v>
      </c>
      <c r="F534" s="8" t="s">
        <v>77</v>
      </c>
      <c r="G534" s="8" t="s">
        <v>28</v>
      </c>
      <c r="H534" s="8" t="s">
        <v>111</v>
      </c>
      <c r="I534" s="8" t="s">
        <v>4969</v>
      </c>
      <c r="J534" s="10">
        <v>146</v>
      </c>
      <c r="K534" s="11">
        <v>340.01</v>
      </c>
      <c r="L534" s="11">
        <v>494.36</v>
      </c>
      <c r="M534" s="11">
        <v>72176.56</v>
      </c>
      <c r="N534" s="11">
        <v>49641.46</v>
      </c>
      <c r="O534" s="11">
        <f>CleanedData[[#This Row],[Total Sales ($)]]-CleanedData[[#This Row],[Total Cost ($)]]</f>
        <v>22535.1</v>
      </c>
      <c r="P534" s="12">
        <f>CleanedData[[#This Row],[Profit ($)]]/CleanedData[[#This Row],[Total Sales ($)]]</f>
        <v>0.31222186261024354</v>
      </c>
      <c r="Q534" s="8" t="s">
        <v>52</v>
      </c>
      <c r="R534" s="8" t="s">
        <v>32</v>
      </c>
      <c r="S534" s="8" t="b">
        <f>_xlfn.SINGLE(CleanedData[[#This Row],[Delivery Status]])="Late"</f>
        <v>1</v>
      </c>
      <c r="T534" s="10">
        <v>13</v>
      </c>
      <c r="U534" s="8" t="s">
        <v>33</v>
      </c>
      <c r="V534" s="10">
        <v>3774</v>
      </c>
      <c r="W534" s="10">
        <v>4</v>
      </c>
      <c r="X534" s="12">
        <v>2.7397260273972601E-2</v>
      </c>
      <c r="Y534" s="8" t="b">
        <f>CleanedData[[#This Row],[Ship Date]]&lt;CleanedData[[#This Row],[Order Date]]</f>
        <v>1</v>
      </c>
      <c r="Z534" s="10">
        <f>YEAR(CleanedData[[#This Row],[Order Date]])</f>
        <v>2023</v>
      </c>
      <c r="AA534" s="8">
        <f>MONTH(CleanedData[[#This Row],[Order Date]])</f>
        <v>12</v>
      </c>
    </row>
    <row r="535" spans="1:27" x14ac:dyDescent="0.35">
      <c r="A535" s="8" t="s">
        <v>1794</v>
      </c>
      <c r="B535" s="9">
        <v>45428</v>
      </c>
      <c r="C535" s="9">
        <v>45395</v>
      </c>
      <c r="D535" s="8" t="s">
        <v>1795</v>
      </c>
      <c r="E535" s="8" t="s">
        <v>48</v>
      </c>
      <c r="F535" s="8" t="s">
        <v>49</v>
      </c>
      <c r="G535" s="8" t="s">
        <v>78</v>
      </c>
      <c r="H535" s="8" t="s">
        <v>123</v>
      </c>
      <c r="I535" s="8" t="s">
        <v>4982</v>
      </c>
      <c r="J535" s="10">
        <v>606</v>
      </c>
      <c r="K535" s="11">
        <v>307.76</v>
      </c>
      <c r="L535" s="11">
        <v>424.46</v>
      </c>
      <c r="M535" s="11">
        <v>257222.76</v>
      </c>
      <c r="N535" s="11">
        <v>186502.56</v>
      </c>
      <c r="O535" s="11">
        <f>CleanedData[[#This Row],[Total Sales ($)]]-CleanedData[[#This Row],[Total Cost ($)]]</f>
        <v>70720.200000000012</v>
      </c>
      <c r="P535" s="12">
        <f>CleanedData[[#This Row],[Profit ($)]]/CleanedData[[#This Row],[Total Sales ($)]]</f>
        <v>0.27493756773311978</v>
      </c>
      <c r="Q535" s="8" t="s">
        <v>95</v>
      </c>
      <c r="R535" s="8" t="s">
        <v>63</v>
      </c>
      <c r="S535" s="8" t="b">
        <f>_xlfn.SINGLE(CleanedData[[#This Row],[Delivery Status]])="Late"</f>
        <v>0</v>
      </c>
      <c r="T535" s="10">
        <v>2</v>
      </c>
      <c r="U535" s="8" t="s">
        <v>112</v>
      </c>
      <c r="V535" s="10">
        <v>4086</v>
      </c>
      <c r="W535" s="10">
        <v>21</v>
      </c>
      <c r="X535" s="12">
        <v>3.4653465346534601E-2</v>
      </c>
      <c r="Y535" s="8" t="b">
        <f>CleanedData[[#This Row],[Ship Date]]&lt;CleanedData[[#This Row],[Order Date]]</f>
        <v>1</v>
      </c>
      <c r="Z535" s="10">
        <f>YEAR(CleanedData[[#This Row],[Order Date]])</f>
        <v>2024</v>
      </c>
      <c r="AA535" s="8">
        <f>MONTH(CleanedData[[#This Row],[Order Date]])</f>
        <v>5</v>
      </c>
    </row>
    <row r="536" spans="1:27" x14ac:dyDescent="0.35">
      <c r="A536" s="8" t="s">
        <v>1796</v>
      </c>
      <c r="B536" s="9">
        <v>45089</v>
      </c>
      <c r="C536" s="9">
        <v>45265</v>
      </c>
      <c r="D536" s="8" t="s">
        <v>1798</v>
      </c>
      <c r="E536" s="8" t="s">
        <v>100</v>
      </c>
      <c r="F536" s="8" t="s">
        <v>101</v>
      </c>
      <c r="G536" s="8" t="s">
        <v>28</v>
      </c>
      <c r="H536" s="8" t="s">
        <v>29</v>
      </c>
      <c r="I536" s="8" t="s">
        <v>4978</v>
      </c>
      <c r="J536" s="10">
        <v>455</v>
      </c>
      <c r="K536" s="11">
        <v>816.52</v>
      </c>
      <c r="L536" s="11">
        <v>920.2</v>
      </c>
      <c r="M536" s="11">
        <v>418691</v>
      </c>
      <c r="N536" s="11">
        <v>371516.6</v>
      </c>
      <c r="O536" s="11">
        <f>CleanedData[[#This Row],[Total Sales ($)]]-CleanedData[[#This Row],[Total Cost ($)]]</f>
        <v>47174.400000000023</v>
      </c>
      <c r="P536" s="12">
        <f>CleanedData[[#This Row],[Profit ($)]]/CleanedData[[#This Row],[Total Sales ($)]]</f>
        <v>0.11267115844381662</v>
      </c>
      <c r="Q536" s="8" t="s">
        <v>52</v>
      </c>
      <c r="R536" s="8" t="s">
        <v>32</v>
      </c>
      <c r="S536" s="8" t="b">
        <f>_xlfn.SINGLE(CleanedData[[#This Row],[Delivery Status]])="Late"</f>
        <v>1</v>
      </c>
      <c r="T536" s="10">
        <v>14</v>
      </c>
      <c r="U536" s="8" t="s">
        <v>86</v>
      </c>
      <c r="V536" s="10">
        <v>2404</v>
      </c>
      <c r="W536" s="10">
        <v>17</v>
      </c>
      <c r="X536" s="12">
        <v>3.7362637362637299E-2</v>
      </c>
      <c r="Y536" s="8" t="b">
        <f>CleanedData[[#This Row],[Ship Date]]&lt;CleanedData[[#This Row],[Order Date]]</f>
        <v>0</v>
      </c>
      <c r="Z536" s="10">
        <f>YEAR(CleanedData[[#This Row],[Order Date]])</f>
        <v>2023</v>
      </c>
      <c r="AA536" s="8">
        <f>MONTH(CleanedData[[#This Row],[Order Date]])</f>
        <v>6</v>
      </c>
    </row>
    <row r="537" spans="1:27" x14ac:dyDescent="0.35">
      <c r="A537" s="8" t="s">
        <v>1799</v>
      </c>
      <c r="B537" s="9">
        <v>45147</v>
      </c>
      <c r="C537" s="9">
        <v>45033</v>
      </c>
      <c r="D537" s="8" t="s">
        <v>1800</v>
      </c>
      <c r="E537" s="8" t="s">
        <v>68</v>
      </c>
      <c r="F537" s="8" t="s">
        <v>69</v>
      </c>
      <c r="G537" s="8" t="s">
        <v>93</v>
      </c>
      <c r="H537" s="8" t="s">
        <v>184</v>
      </c>
      <c r="I537" s="8" t="s">
        <v>4967</v>
      </c>
      <c r="J537" s="10">
        <v>727</v>
      </c>
      <c r="K537" s="11">
        <v>904.25</v>
      </c>
      <c r="L537" s="11">
        <v>1244.33</v>
      </c>
      <c r="M537" s="11">
        <v>904627.91</v>
      </c>
      <c r="N537" s="11">
        <v>657389.75</v>
      </c>
      <c r="O537" s="11">
        <f>CleanedData[[#This Row],[Total Sales ($)]]-CleanedData[[#This Row],[Total Cost ($)]]</f>
        <v>247238.16000000003</v>
      </c>
      <c r="P537" s="12">
        <f>CleanedData[[#This Row],[Profit ($)]]/CleanedData[[#This Row],[Total Sales ($)]]</f>
        <v>0.27330370560864081</v>
      </c>
      <c r="Q537" s="8" t="s">
        <v>52</v>
      </c>
      <c r="R537" s="8" t="s">
        <v>63</v>
      </c>
      <c r="S537" s="8" t="b">
        <f>_xlfn.SINGLE(CleanedData[[#This Row],[Delivery Status]])="Late"</f>
        <v>0</v>
      </c>
      <c r="T537" s="10">
        <v>3</v>
      </c>
      <c r="U537" s="8" t="s">
        <v>33</v>
      </c>
      <c r="V537" s="10">
        <v>4900</v>
      </c>
      <c r="W537" s="10">
        <v>36</v>
      </c>
      <c r="X537" s="12">
        <v>4.9518569463548802E-2</v>
      </c>
      <c r="Y537" s="8" t="b">
        <f>CleanedData[[#This Row],[Ship Date]]&lt;CleanedData[[#This Row],[Order Date]]</f>
        <v>1</v>
      </c>
      <c r="Z537" s="10">
        <f>YEAR(CleanedData[[#This Row],[Order Date]])</f>
        <v>2023</v>
      </c>
      <c r="AA537" s="8">
        <f>MONTH(CleanedData[[#This Row],[Order Date]])</f>
        <v>8</v>
      </c>
    </row>
    <row r="538" spans="1:27" x14ac:dyDescent="0.35">
      <c r="A538" s="8" t="s">
        <v>1801</v>
      </c>
      <c r="B538" s="9">
        <v>45555</v>
      </c>
      <c r="C538" s="9">
        <v>45330</v>
      </c>
      <c r="D538" s="8" t="s">
        <v>1229</v>
      </c>
      <c r="E538" s="8" t="s">
        <v>100</v>
      </c>
      <c r="F538" s="8" t="s">
        <v>538</v>
      </c>
      <c r="G538" s="8" t="s">
        <v>60</v>
      </c>
      <c r="H538" s="8" t="s">
        <v>61</v>
      </c>
      <c r="I538" s="8" t="s">
        <v>4973</v>
      </c>
      <c r="J538" s="10">
        <v>668</v>
      </c>
      <c r="K538" s="11">
        <v>895.64</v>
      </c>
      <c r="L538" s="11">
        <v>1055.1600000000001</v>
      </c>
      <c r="M538" s="11">
        <v>704846.88</v>
      </c>
      <c r="N538" s="11">
        <v>598287.52</v>
      </c>
      <c r="O538" s="11">
        <f>CleanedData[[#This Row],[Total Sales ($)]]-CleanedData[[#This Row],[Total Cost ($)]]</f>
        <v>106559.35999999999</v>
      </c>
      <c r="P538" s="12">
        <f>CleanedData[[#This Row],[Profit ($)]]/CleanedData[[#This Row],[Total Sales ($)]]</f>
        <v>0.15118086356571514</v>
      </c>
      <c r="Q538" s="8" t="s">
        <v>95</v>
      </c>
      <c r="R538" s="8" t="s">
        <v>32</v>
      </c>
      <c r="S538" s="8" t="b">
        <f>_xlfn.SINGLE(CleanedData[[#This Row],[Delivery Status]])="Late"</f>
        <v>1</v>
      </c>
      <c r="T538" s="10">
        <v>12</v>
      </c>
      <c r="U538" s="8" t="s">
        <v>33</v>
      </c>
      <c r="V538" s="10">
        <v>4269</v>
      </c>
      <c r="W538" s="10">
        <v>8</v>
      </c>
      <c r="X538" s="12">
        <v>1.19760479041916E-2</v>
      </c>
      <c r="Y538" s="8" t="b">
        <f>CleanedData[[#This Row],[Ship Date]]&lt;CleanedData[[#This Row],[Order Date]]</f>
        <v>1</v>
      </c>
      <c r="Z538" s="10">
        <f>YEAR(CleanedData[[#This Row],[Order Date]])</f>
        <v>2024</v>
      </c>
      <c r="AA538" s="8">
        <f>MONTH(CleanedData[[#This Row],[Order Date]])</f>
        <v>9</v>
      </c>
    </row>
    <row r="539" spans="1:27" x14ac:dyDescent="0.35">
      <c r="A539" s="8" t="s">
        <v>1803</v>
      </c>
      <c r="B539" s="9">
        <v>45095</v>
      </c>
      <c r="C539" s="9">
        <v>45175</v>
      </c>
      <c r="D539" s="8" t="s">
        <v>1805</v>
      </c>
      <c r="E539" s="8" t="s">
        <v>100</v>
      </c>
      <c r="F539" s="8" t="s">
        <v>238</v>
      </c>
      <c r="G539" s="8" t="s">
        <v>70</v>
      </c>
      <c r="H539" s="8" t="s">
        <v>822</v>
      </c>
      <c r="I539" s="8" t="s">
        <v>4967</v>
      </c>
      <c r="J539" s="10">
        <v>131</v>
      </c>
      <c r="K539" s="11">
        <v>-0.5</v>
      </c>
      <c r="L539" s="11">
        <v>1014.73</v>
      </c>
      <c r="M539" s="11">
        <v>132929.63</v>
      </c>
      <c r="N539" s="11">
        <v>116831.03999999999</v>
      </c>
      <c r="O539" s="11">
        <f>CleanedData[[#This Row],[Total Sales ($)]]-CleanedData[[#This Row],[Total Cost ($)]]</f>
        <v>16098.590000000011</v>
      </c>
      <c r="P539" s="12">
        <f>CleanedData[[#This Row],[Profit ($)]]/CleanedData[[#This Row],[Total Sales ($)]]</f>
        <v>0.12110610704325296</v>
      </c>
      <c r="Q539" s="8" t="s">
        <v>95</v>
      </c>
      <c r="R539" s="8" t="s">
        <v>32</v>
      </c>
      <c r="S539" s="8" t="b">
        <f>_xlfn.SINGLE(CleanedData[[#This Row],[Delivery Status]])="Late"</f>
        <v>1</v>
      </c>
      <c r="T539" s="10">
        <v>8</v>
      </c>
      <c r="U539" s="8" t="s">
        <v>43</v>
      </c>
      <c r="V539" s="10">
        <v>854</v>
      </c>
      <c r="W539" s="10">
        <v>4</v>
      </c>
      <c r="X539" s="12">
        <v>3.0534351145038101E-2</v>
      </c>
      <c r="Y539" s="8" t="b">
        <f>CleanedData[[#This Row],[Ship Date]]&lt;CleanedData[[#This Row],[Order Date]]</f>
        <v>0</v>
      </c>
      <c r="Z539" s="10">
        <f>YEAR(CleanedData[[#This Row],[Order Date]])</f>
        <v>2023</v>
      </c>
      <c r="AA539" s="8">
        <f>MONTH(CleanedData[[#This Row],[Order Date]])</f>
        <v>6</v>
      </c>
    </row>
    <row r="540" spans="1:27" x14ac:dyDescent="0.35">
      <c r="A540" s="8" t="s">
        <v>1806</v>
      </c>
      <c r="B540" s="9">
        <v>45144</v>
      </c>
      <c r="C540" s="9">
        <v>44981</v>
      </c>
      <c r="D540" s="8" t="s">
        <v>1807</v>
      </c>
      <c r="E540" s="8" t="s">
        <v>58</v>
      </c>
      <c r="F540" s="8" t="s">
        <v>59</v>
      </c>
      <c r="G540" s="8" t="s">
        <v>60</v>
      </c>
      <c r="H540" s="8" t="s">
        <v>400</v>
      </c>
      <c r="I540" s="8" t="s">
        <v>4975</v>
      </c>
      <c r="J540" s="10">
        <v>668</v>
      </c>
      <c r="K540" s="11">
        <v>316.3</v>
      </c>
      <c r="L540" s="11"/>
      <c r="M540" s="11">
        <v>313993.40000000002</v>
      </c>
      <c r="N540" s="11">
        <v>211288.4</v>
      </c>
      <c r="O540" s="11">
        <f>CleanedData[[#This Row],[Total Sales ($)]]-CleanedData[[#This Row],[Total Cost ($)]]</f>
        <v>102705.00000000003</v>
      </c>
      <c r="P540" s="12">
        <f>CleanedData[[#This Row],[Profit ($)]]/CleanedData[[#This Row],[Total Sales ($)]]</f>
        <v>0.32709286246144031</v>
      </c>
      <c r="Q540" s="8" t="s">
        <v>31</v>
      </c>
      <c r="R540" s="8" t="s">
        <v>32</v>
      </c>
      <c r="S540" s="8" t="b">
        <f>_xlfn.SINGLE(CleanedData[[#This Row],[Delivery Status]])="Late"</f>
        <v>1</v>
      </c>
      <c r="T540" s="10">
        <v>9</v>
      </c>
      <c r="U540" s="8" t="s">
        <v>53</v>
      </c>
      <c r="V540" s="10">
        <v>1794</v>
      </c>
      <c r="W540" s="10">
        <v>15</v>
      </c>
      <c r="X540" s="12">
        <v>2.2455089820359202E-2</v>
      </c>
      <c r="Y540" s="8" t="b">
        <f>CleanedData[[#This Row],[Ship Date]]&lt;CleanedData[[#This Row],[Order Date]]</f>
        <v>1</v>
      </c>
      <c r="Z540" s="10">
        <f>YEAR(CleanedData[[#This Row],[Order Date]])</f>
        <v>2023</v>
      </c>
      <c r="AA540" s="8">
        <f>MONTH(CleanedData[[#This Row],[Order Date]])</f>
        <v>8</v>
      </c>
    </row>
    <row r="541" spans="1:27" x14ac:dyDescent="0.35">
      <c r="A541" s="8" t="s">
        <v>1808</v>
      </c>
      <c r="B541" s="9">
        <v>44960</v>
      </c>
      <c r="C541" s="9">
        <v>45238</v>
      </c>
      <c r="D541" s="8" t="s">
        <v>1809</v>
      </c>
      <c r="E541" s="8" t="s">
        <v>48</v>
      </c>
      <c r="F541" s="8" t="s">
        <v>223</v>
      </c>
      <c r="G541" s="8" t="s">
        <v>28</v>
      </c>
      <c r="H541" s="8" t="s">
        <v>674</v>
      </c>
      <c r="I541" s="8" t="s">
        <v>4973</v>
      </c>
      <c r="J541" s="10">
        <v>126</v>
      </c>
      <c r="K541" s="11">
        <v>970.97</v>
      </c>
      <c r="L541" s="11">
        <v>1358.54</v>
      </c>
      <c r="M541" s="11">
        <v>171176.04</v>
      </c>
      <c r="N541" s="11">
        <v>122342.22</v>
      </c>
      <c r="O541" s="11">
        <f>CleanedData[[#This Row],[Total Sales ($)]]-CleanedData[[#This Row],[Total Cost ($)]]</f>
        <v>48833.820000000007</v>
      </c>
      <c r="P541" s="12">
        <f>CleanedData[[#This Row],[Profit ($)]]/CleanedData[[#This Row],[Total Sales ($)]]</f>
        <v>0.28528420215819927</v>
      </c>
      <c r="Q541" s="8" t="s">
        <v>95</v>
      </c>
      <c r="R541" s="8" t="s">
        <v>32</v>
      </c>
      <c r="S541" s="8" t="b">
        <f>_xlfn.SINGLE(CleanedData[[#This Row],[Delivery Status]])="Late"</f>
        <v>1</v>
      </c>
      <c r="T541" s="10">
        <v>12</v>
      </c>
      <c r="U541" s="8" t="s">
        <v>53</v>
      </c>
      <c r="V541" s="10">
        <v>2083</v>
      </c>
      <c r="W541" s="10">
        <v>2</v>
      </c>
      <c r="X541" s="12">
        <v>1.5873015873015799E-2</v>
      </c>
      <c r="Y541" s="8" t="b">
        <f>CleanedData[[#This Row],[Ship Date]]&lt;CleanedData[[#This Row],[Order Date]]</f>
        <v>0</v>
      </c>
      <c r="Z541" s="10">
        <f>YEAR(CleanedData[[#This Row],[Order Date]])</f>
        <v>2023</v>
      </c>
      <c r="AA541" s="8">
        <f>MONTH(CleanedData[[#This Row],[Order Date]])</f>
        <v>2</v>
      </c>
    </row>
    <row r="542" spans="1:27" x14ac:dyDescent="0.35">
      <c r="A542" s="8" t="s">
        <v>1810</v>
      </c>
      <c r="B542" s="9">
        <v>45220</v>
      </c>
      <c r="C542" s="9">
        <v>44985</v>
      </c>
      <c r="D542" s="8" t="s">
        <v>1811</v>
      </c>
      <c r="E542" s="8" t="s">
        <v>68</v>
      </c>
      <c r="F542" s="8" t="s">
        <v>276</v>
      </c>
      <c r="G542" s="8" t="s">
        <v>217</v>
      </c>
      <c r="H542" s="8" t="s">
        <v>684</v>
      </c>
      <c r="I542" s="8" t="s">
        <v>4971</v>
      </c>
      <c r="J542" s="10">
        <v>313</v>
      </c>
      <c r="K542" s="11">
        <v>1172.49</v>
      </c>
      <c r="L542" s="11">
        <v>1826.25</v>
      </c>
      <c r="M542" s="11">
        <v>571616.25</v>
      </c>
      <c r="N542" s="11">
        <v>366989.37</v>
      </c>
      <c r="O542" s="11">
        <f>CleanedData[[#This Row],[Total Sales ($)]]-CleanedData[[#This Row],[Total Cost ($)]]</f>
        <v>204626.88</v>
      </c>
      <c r="P542" s="12">
        <f>CleanedData[[#This Row],[Profit ($)]]/CleanedData[[#This Row],[Total Sales ($)]]</f>
        <v>0.35797946611909653</v>
      </c>
      <c r="Q542" s="8" t="s">
        <v>52</v>
      </c>
      <c r="R542" s="8" t="s">
        <v>63</v>
      </c>
      <c r="S542" s="8" t="b">
        <f>_xlfn.SINGLE(CleanedData[[#This Row],[Delivery Status]])="Late"</f>
        <v>0</v>
      </c>
      <c r="T542" s="10">
        <v>5</v>
      </c>
      <c r="U542" s="8" t="s">
        <v>53</v>
      </c>
      <c r="V542" s="10">
        <v>579</v>
      </c>
      <c r="W542" s="10">
        <v>3</v>
      </c>
      <c r="X542" s="12">
        <v>9.5846645367411998E-3</v>
      </c>
      <c r="Y542" s="8" t="b">
        <f>CleanedData[[#This Row],[Ship Date]]&lt;CleanedData[[#This Row],[Order Date]]</f>
        <v>1</v>
      </c>
      <c r="Z542" s="10">
        <f>YEAR(CleanedData[[#This Row],[Order Date]])</f>
        <v>2023</v>
      </c>
      <c r="AA542" s="8">
        <f>MONTH(CleanedData[[#This Row],[Order Date]])</f>
        <v>10</v>
      </c>
    </row>
    <row r="543" spans="1:27" x14ac:dyDescent="0.35">
      <c r="A543" s="8" t="s">
        <v>1812</v>
      </c>
      <c r="B543" s="9">
        <v>45506</v>
      </c>
      <c r="C543" s="9">
        <v>45651</v>
      </c>
      <c r="D543" s="8" t="s">
        <v>1815</v>
      </c>
      <c r="E543" s="8" t="s">
        <v>100</v>
      </c>
      <c r="F543" s="8" t="s">
        <v>538</v>
      </c>
      <c r="G543" s="8" t="s">
        <v>28</v>
      </c>
      <c r="H543" s="8" t="s">
        <v>507</v>
      </c>
      <c r="I543" s="8" t="s">
        <v>4973</v>
      </c>
      <c r="J543" s="10">
        <v>626</v>
      </c>
      <c r="K543" s="11">
        <v>876.28</v>
      </c>
      <c r="L543" s="11">
        <v>1117.8399999999999</v>
      </c>
      <c r="M543" s="11">
        <v>699767.84</v>
      </c>
      <c r="N543" s="11">
        <v>548551.28</v>
      </c>
      <c r="O543" s="11">
        <f>CleanedData[[#This Row],[Total Sales ($)]]-CleanedData[[#This Row],[Total Cost ($)]]</f>
        <v>151216.55999999994</v>
      </c>
      <c r="P543" s="12">
        <f>CleanedData[[#This Row],[Profit ($)]]/CleanedData[[#This Row],[Total Sales ($)]]</f>
        <v>0.21609532670149567</v>
      </c>
      <c r="Q543" s="8" t="s">
        <v>31</v>
      </c>
      <c r="R543" s="8" t="s">
        <v>32</v>
      </c>
      <c r="S543" s="8" t="b">
        <f>_xlfn.SINGLE(CleanedData[[#This Row],[Delivery Status]])="Late"</f>
        <v>1</v>
      </c>
      <c r="T543" s="10">
        <v>7</v>
      </c>
      <c r="U543" s="8" t="s">
        <v>112</v>
      </c>
      <c r="V543" s="10">
        <v>1307</v>
      </c>
      <c r="W543" s="10">
        <v>30</v>
      </c>
      <c r="X543" s="12">
        <v>4.7923322683705999E-2</v>
      </c>
      <c r="Y543" s="8" t="b">
        <f>CleanedData[[#This Row],[Ship Date]]&lt;CleanedData[[#This Row],[Order Date]]</f>
        <v>0</v>
      </c>
      <c r="Z543" s="10">
        <f>YEAR(CleanedData[[#This Row],[Order Date]])</f>
        <v>2024</v>
      </c>
      <c r="AA543" s="8">
        <f>MONTH(CleanedData[[#This Row],[Order Date]])</f>
        <v>8</v>
      </c>
    </row>
    <row r="544" spans="1:27" x14ac:dyDescent="0.35">
      <c r="A544" s="8" t="s">
        <v>1817</v>
      </c>
      <c r="B544" s="9">
        <v>45069</v>
      </c>
      <c r="C544" s="9">
        <v>45265</v>
      </c>
      <c r="D544" s="8" t="s">
        <v>1818</v>
      </c>
      <c r="E544" s="8" t="s">
        <v>26</v>
      </c>
      <c r="F544" s="8" t="s">
        <v>228</v>
      </c>
      <c r="G544" s="8" t="s">
        <v>129</v>
      </c>
      <c r="H544" s="8" t="s">
        <v>704</v>
      </c>
      <c r="I544" s="8" t="s">
        <v>4979</v>
      </c>
      <c r="J544" s="10">
        <v>734</v>
      </c>
      <c r="K544" s="11">
        <v>937.33</v>
      </c>
      <c r="L544" s="11">
        <v>1057.79</v>
      </c>
      <c r="M544" s="11">
        <v>776417.86</v>
      </c>
      <c r="N544" s="11">
        <v>688000.22</v>
      </c>
      <c r="O544" s="11">
        <f>CleanedData[[#This Row],[Total Sales ($)]]-CleanedData[[#This Row],[Total Cost ($)]]</f>
        <v>88417.640000000014</v>
      </c>
      <c r="P544" s="12">
        <f>CleanedData[[#This Row],[Profit ($)]]/CleanedData[[#This Row],[Total Sales ($)]]</f>
        <v>0.11387893627279519</v>
      </c>
      <c r="Q544" s="8" t="s">
        <v>95</v>
      </c>
      <c r="R544" s="8" t="s">
        <v>32</v>
      </c>
      <c r="S544" s="8" t="b">
        <f>_xlfn.SINGLE(CleanedData[[#This Row],[Delivery Status]])="Late"</f>
        <v>1</v>
      </c>
      <c r="T544" s="10">
        <v>14</v>
      </c>
      <c r="U544" s="8" t="s">
        <v>112</v>
      </c>
      <c r="V544" s="10">
        <v>706</v>
      </c>
      <c r="W544" s="10">
        <v>14</v>
      </c>
      <c r="X544" s="12">
        <v>1.9073569482288801E-2</v>
      </c>
      <c r="Y544" s="8" t="b">
        <f>CleanedData[[#This Row],[Ship Date]]&lt;CleanedData[[#This Row],[Order Date]]</f>
        <v>0</v>
      </c>
      <c r="Z544" s="10">
        <f>YEAR(CleanedData[[#This Row],[Order Date]])</f>
        <v>2023</v>
      </c>
      <c r="AA544" s="8">
        <f>MONTH(CleanedData[[#This Row],[Order Date]])</f>
        <v>5</v>
      </c>
    </row>
    <row r="545" spans="1:27" x14ac:dyDescent="0.35">
      <c r="A545" s="8" t="s">
        <v>1819</v>
      </c>
      <c r="B545" s="9">
        <v>45539</v>
      </c>
      <c r="C545" s="9">
        <v>45399</v>
      </c>
      <c r="D545" s="8" t="s">
        <v>1822</v>
      </c>
      <c r="E545" s="8" t="s">
        <v>100</v>
      </c>
      <c r="F545" s="8" t="s">
        <v>238</v>
      </c>
      <c r="G545" s="8" t="s">
        <v>217</v>
      </c>
      <c r="H545" s="8" t="s">
        <v>292</v>
      </c>
      <c r="I545" s="8" t="s">
        <v>4969</v>
      </c>
      <c r="J545" s="10">
        <v>678</v>
      </c>
      <c r="K545" s="11">
        <v>290.94</v>
      </c>
      <c r="L545" s="11"/>
      <c r="M545" s="11">
        <v>298855.62</v>
      </c>
      <c r="N545" s="11">
        <v>197257.32</v>
      </c>
      <c r="O545" s="11">
        <f>CleanedData[[#This Row],[Total Sales ($)]]-CleanedData[[#This Row],[Total Cost ($)]]</f>
        <v>101598.29999999999</v>
      </c>
      <c r="P545" s="12">
        <f>CleanedData[[#This Row],[Profit ($)]]/CleanedData[[#This Row],[Total Sales ($)]]</f>
        <v>0.33995780303545903</v>
      </c>
      <c r="Q545" s="8" t="s">
        <v>42</v>
      </c>
      <c r="R545" s="8" t="s">
        <v>32</v>
      </c>
      <c r="S545" s="8" t="b">
        <f>_xlfn.SINGLE(CleanedData[[#This Row],[Delivery Status]])="Late"</f>
        <v>1</v>
      </c>
      <c r="T545" s="10">
        <v>12</v>
      </c>
      <c r="U545" s="8" t="s">
        <v>43</v>
      </c>
      <c r="V545" s="10">
        <v>1880</v>
      </c>
      <c r="W545" s="10">
        <v>0</v>
      </c>
      <c r="X545" s="12">
        <v>0</v>
      </c>
      <c r="Y545" s="8" t="b">
        <f>CleanedData[[#This Row],[Ship Date]]&lt;CleanedData[[#This Row],[Order Date]]</f>
        <v>1</v>
      </c>
      <c r="Z545" s="10">
        <f>YEAR(CleanedData[[#This Row],[Order Date]])</f>
        <v>2024</v>
      </c>
      <c r="AA545" s="8">
        <f>MONTH(CleanedData[[#This Row],[Order Date]])</f>
        <v>9</v>
      </c>
    </row>
    <row r="546" spans="1:27" x14ac:dyDescent="0.35">
      <c r="A546" s="8" t="s">
        <v>1823</v>
      </c>
      <c r="B546" s="9">
        <v>45492</v>
      </c>
      <c r="C546" s="9">
        <v>45389</v>
      </c>
      <c r="D546" s="8" t="s">
        <v>1825</v>
      </c>
      <c r="E546" s="8" t="s">
        <v>100</v>
      </c>
      <c r="F546" s="8" t="s">
        <v>238</v>
      </c>
      <c r="G546" s="8" t="s">
        <v>28</v>
      </c>
      <c r="H546" s="8" t="s">
        <v>212</v>
      </c>
      <c r="I546" s="8" t="s">
        <v>4971</v>
      </c>
      <c r="J546" s="10">
        <v>493</v>
      </c>
      <c r="K546" s="11">
        <v>1196.8900000000001</v>
      </c>
      <c r="L546" s="11">
        <v>1667.69</v>
      </c>
      <c r="M546" s="11">
        <v>822171.17</v>
      </c>
      <c r="N546" s="11">
        <v>590066.77</v>
      </c>
      <c r="O546" s="11">
        <f>CleanedData[[#This Row],[Total Sales ($)]]-CleanedData[[#This Row],[Total Cost ($)]]</f>
        <v>232104.40000000002</v>
      </c>
      <c r="P546" s="12">
        <f>CleanedData[[#This Row],[Profit ($)]]/CleanedData[[#This Row],[Total Sales ($)]]</f>
        <v>0.28230666370848301</v>
      </c>
      <c r="Q546" s="8" t="s">
        <v>52</v>
      </c>
      <c r="R546" s="8" t="s">
        <v>32</v>
      </c>
      <c r="S546" s="8" t="b">
        <f>_xlfn.SINGLE(CleanedData[[#This Row],[Delivery Status]])="Late"</f>
        <v>1</v>
      </c>
      <c r="T546" s="10">
        <v>6</v>
      </c>
      <c r="U546" s="8" t="s">
        <v>158</v>
      </c>
      <c r="V546" s="10">
        <v>447</v>
      </c>
      <c r="W546" s="10">
        <v>16</v>
      </c>
      <c r="X546" s="12">
        <v>3.2454361054766699E-2</v>
      </c>
      <c r="Y546" s="8" t="b">
        <f>CleanedData[[#This Row],[Ship Date]]&lt;CleanedData[[#This Row],[Order Date]]</f>
        <v>1</v>
      </c>
      <c r="Z546" s="10">
        <f>YEAR(CleanedData[[#This Row],[Order Date]])</f>
        <v>2024</v>
      </c>
      <c r="AA546" s="8">
        <f>MONTH(CleanedData[[#This Row],[Order Date]])</f>
        <v>7</v>
      </c>
    </row>
    <row r="547" spans="1:27" x14ac:dyDescent="0.35">
      <c r="A547" s="8" t="s">
        <v>1826</v>
      </c>
      <c r="B547" s="9">
        <v>45142</v>
      </c>
      <c r="C547" s="9">
        <v>45108</v>
      </c>
      <c r="D547" s="8" t="s">
        <v>1827</v>
      </c>
      <c r="E547" s="8" t="s">
        <v>68</v>
      </c>
      <c r="F547" s="8" t="s">
        <v>249</v>
      </c>
      <c r="G547" s="8" t="s">
        <v>93</v>
      </c>
      <c r="H547" s="8" t="s">
        <v>184</v>
      </c>
      <c r="I547" s="8" t="s">
        <v>4976</v>
      </c>
      <c r="J547" s="10">
        <v>301</v>
      </c>
      <c r="K547" s="11">
        <v>361.78</v>
      </c>
      <c r="L547" s="11">
        <v>511.01</v>
      </c>
      <c r="M547" s="11">
        <v>153814.01</v>
      </c>
      <c r="N547" s="11">
        <v>108895.78</v>
      </c>
      <c r="O547" s="11">
        <f>CleanedData[[#This Row],[Total Sales ($)]]-CleanedData[[#This Row],[Total Cost ($)]]</f>
        <v>44918.23000000001</v>
      </c>
      <c r="P547" s="12">
        <f>CleanedData[[#This Row],[Profit ($)]]/CleanedData[[#This Row],[Total Sales ($)]]</f>
        <v>0.29202951018571072</v>
      </c>
      <c r="Q547" s="8" t="s">
        <v>42</v>
      </c>
      <c r="R547" s="8" t="s">
        <v>32</v>
      </c>
      <c r="S547" s="8" t="b">
        <f>_xlfn.SINGLE(CleanedData[[#This Row],[Delivery Status]])="Late"</f>
        <v>1</v>
      </c>
      <c r="T547" s="10">
        <v>13</v>
      </c>
      <c r="U547" s="8" t="s">
        <v>112</v>
      </c>
      <c r="V547" s="10">
        <v>1047</v>
      </c>
      <c r="W547" s="10">
        <v>10</v>
      </c>
      <c r="X547" s="12">
        <v>3.32225913621262E-2</v>
      </c>
      <c r="Y547" s="8" t="b">
        <f>CleanedData[[#This Row],[Ship Date]]&lt;CleanedData[[#This Row],[Order Date]]</f>
        <v>1</v>
      </c>
      <c r="Z547" s="10">
        <f>YEAR(CleanedData[[#This Row],[Order Date]])</f>
        <v>2023</v>
      </c>
      <c r="AA547" s="8">
        <f>MONTH(CleanedData[[#This Row],[Order Date]])</f>
        <v>8</v>
      </c>
    </row>
    <row r="548" spans="1:27" x14ac:dyDescent="0.35">
      <c r="A548" s="8" t="s">
        <v>1828</v>
      </c>
      <c r="B548" s="9">
        <v>45233</v>
      </c>
      <c r="C548" s="9">
        <v>45273</v>
      </c>
      <c r="D548" s="8" t="s">
        <v>1829</v>
      </c>
      <c r="E548" s="8" t="s">
        <v>100</v>
      </c>
      <c r="F548" s="8" t="s">
        <v>101</v>
      </c>
      <c r="G548" s="8" t="s">
        <v>217</v>
      </c>
      <c r="H548" s="8" t="s">
        <v>524</v>
      </c>
      <c r="I548" s="8" t="s">
        <v>4973</v>
      </c>
      <c r="J548" s="10">
        <v>115</v>
      </c>
      <c r="K548" s="11">
        <v>382.22</v>
      </c>
      <c r="L548" s="11">
        <v>616.38</v>
      </c>
      <c r="M548" s="11">
        <v>70883.7</v>
      </c>
      <c r="N548" s="11">
        <v>43955.3</v>
      </c>
      <c r="O548" s="11">
        <f>CleanedData[[#This Row],[Total Sales ($)]]-CleanedData[[#This Row],[Total Cost ($)]]</f>
        <v>26928.399999999994</v>
      </c>
      <c r="P548" s="12">
        <f>CleanedData[[#This Row],[Profit ($)]]/CleanedData[[#This Row],[Total Sales ($)]]</f>
        <v>0.37989551899802065</v>
      </c>
      <c r="Q548" s="8" t="s">
        <v>52</v>
      </c>
      <c r="R548" s="8" t="s">
        <v>63</v>
      </c>
      <c r="S548" s="8" t="b">
        <f>_xlfn.SINGLE(CleanedData[[#This Row],[Delivery Status]])="Late"</f>
        <v>0</v>
      </c>
      <c r="T548" s="10">
        <v>5</v>
      </c>
      <c r="U548" s="8" t="s">
        <v>33</v>
      </c>
      <c r="V548" s="10">
        <v>958</v>
      </c>
      <c r="W548" s="10">
        <v>4</v>
      </c>
      <c r="X548" s="12">
        <v>3.4782608695652098E-2</v>
      </c>
      <c r="Y548" s="8" t="b">
        <f>CleanedData[[#This Row],[Ship Date]]&lt;CleanedData[[#This Row],[Order Date]]</f>
        <v>0</v>
      </c>
      <c r="Z548" s="10">
        <f>YEAR(CleanedData[[#This Row],[Order Date]])</f>
        <v>2023</v>
      </c>
      <c r="AA548" s="8">
        <f>MONTH(CleanedData[[#This Row],[Order Date]])</f>
        <v>11</v>
      </c>
    </row>
    <row r="549" spans="1:27" x14ac:dyDescent="0.35">
      <c r="A549" s="8" t="s">
        <v>1830</v>
      </c>
      <c r="B549" s="9">
        <v>45360</v>
      </c>
      <c r="C549" s="9">
        <v>45330</v>
      </c>
      <c r="D549" s="8" t="s">
        <v>1831</v>
      </c>
      <c r="E549" s="8" t="s">
        <v>26</v>
      </c>
      <c r="F549" s="8" t="s">
        <v>38</v>
      </c>
      <c r="G549" s="8" t="s">
        <v>60</v>
      </c>
      <c r="H549" s="8" t="s">
        <v>229</v>
      </c>
      <c r="I549" s="8" t="s">
        <v>4974</v>
      </c>
      <c r="J549" s="10">
        <v>82</v>
      </c>
      <c r="K549" s="11">
        <v>667.04</v>
      </c>
      <c r="L549" s="11">
        <v>932.1</v>
      </c>
      <c r="M549" s="11">
        <v>76432.2</v>
      </c>
      <c r="N549" s="11">
        <v>54697.279999999999</v>
      </c>
      <c r="O549" s="11">
        <f>CleanedData[[#This Row],[Total Sales ($)]]-CleanedData[[#This Row],[Total Cost ($)]]</f>
        <v>21734.92</v>
      </c>
      <c r="P549" s="12">
        <f>CleanedData[[#This Row],[Profit ($)]]/CleanedData[[#This Row],[Total Sales ($)]]</f>
        <v>0.28436862997532453</v>
      </c>
      <c r="Q549" s="8" t="s">
        <v>42</v>
      </c>
      <c r="R549" s="8" t="s">
        <v>63</v>
      </c>
      <c r="S549" s="8" t="b">
        <f>_xlfn.SINGLE(CleanedData[[#This Row],[Delivery Status]])="Late"</f>
        <v>0</v>
      </c>
      <c r="T549" s="10">
        <v>2</v>
      </c>
      <c r="U549" s="8" t="s">
        <v>53</v>
      </c>
      <c r="V549" s="10">
        <v>2962</v>
      </c>
      <c r="W549" s="10">
        <v>4</v>
      </c>
      <c r="X549" s="12">
        <v>4.8780487804878002E-2</v>
      </c>
      <c r="Y549" s="8" t="b">
        <f>CleanedData[[#This Row],[Ship Date]]&lt;CleanedData[[#This Row],[Order Date]]</f>
        <v>1</v>
      </c>
      <c r="Z549" s="10">
        <f>YEAR(CleanedData[[#This Row],[Order Date]])</f>
        <v>2024</v>
      </c>
      <c r="AA549" s="8">
        <f>MONTH(CleanedData[[#This Row],[Order Date]])</f>
        <v>3</v>
      </c>
    </row>
    <row r="550" spans="1:27" x14ac:dyDescent="0.35">
      <c r="A550" s="8" t="s">
        <v>1832</v>
      </c>
      <c r="B550" s="9">
        <v>45275</v>
      </c>
      <c r="C550" s="9">
        <v>45244</v>
      </c>
      <c r="D550" s="8" t="s">
        <v>1833</v>
      </c>
      <c r="E550" s="8" t="s">
        <v>58</v>
      </c>
      <c r="F550" s="8" t="s">
        <v>259</v>
      </c>
      <c r="G550" s="8" t="s">
        <v>93</v>
      </c>
      <c r="H550" s="8" t="s">
        <v>184</v>
      </c>
      <c r="I550" s="8" t="s">
        <v>4972</v>
      </c>
      <c r="J550" s="10">
        <v>354</v>
      </c>
      <c r="K550" s="11">
        <v>416.9</v>
      </c>
      <c r="L550" s="11">
        <v>470.42</v>
      </c>
      <c r="M550" s="11">
        <v>166528.68</v>
      </c>
      <c r="N550" s="11">
        <v>147582.6</v>
      </c>
      <c r="O550" s="11">
        <f>CleanedData[[#This Row],[Total Sales ($)]]-CleanedData[[#This Row],[Total Cost ($)]]</f>
        <v>18946.079999999987</v>
      </c>
      <c r="P550" s="12">
        <f>CleanedData[[#This Row],[Profit ($)]]/CleanedData[[#This Row],[Total Sales ($)]]</f>
        <v>0.11377067301560301</v>
      </c>
      <c r="Q550" s="8" t="s">
        <v>95</v>
      </c>
      <c r="R550" s="8" t="s">
        <v>63</v>
      </c>
      <c r="S550" s="8" t="b">
        <f>_xlfn.SINGLE(CleanedData[[#This Row],[Delivery Status]])="Late"</f>
        <v>0</v>
      </c>
      <c r="T550" s="10">
        <v>1</v>
      </c>
      <c r="U550" s="8" t="s">
        <v>112</v>
      </c>
      <c r="V550" s="10">
        <v>3794</v>
      </c>
      <c r="W550" s="10">
        <v>13</v>
      </c>
      <c r="X550" s="12">
        <v>3.6723163841807897E-2</v>
      </c>
      <c r="Y550" s="8" t="b">
        <f>CleanedData[[#This Row],[Ship Date]]&lt;CleanedData[[#This Row],[Order Date]]</f>
        <v>1</v>
      </c>
      <c r="Z550" s="10">
        <f>YEAR(CleanedData[[#This Row],[Order Date]])</f>
        <v>2023</v>
      </c>
      <c r="AA550" s="8">
        <f>MONTH(CleanedData[[#This Row],[Order Date]])</f>
        <v>12</v>
      </c>
    </row>
    <row r="551" spans="1:27" x14ac:dyDescent="0.35">
      <c r="A551" s="8" t="s">
        <v>1834</v>
      </c>
      <c r="B551" s="9">
        <v>45060</v>
      </c>
      <c r="C551" s="9">
        <v>45162</v>
      </c>
      <c r="D551" s="8" t="s">
        <v>1835</v>
      </c>
      <c r="E551" s="8" t="s">
        <v>48</v>
      </c>
      <c r="F551" s="8" t="s">
        <v>223</v>
      </c>
      <c r="G551" s="8" t="s">
        <v>39</v>
      </c>
      <c r="H551" s="8" t="s">
        <v>527</v>
      </c>
      <c r="I551" s="8" t="s">
        <v>4971</v>
      </c>
      <c r="J551" s="10">
        <v>285</v>
      </c>
      <c r="K551" s="11">
        <v>619.28</v>
      </c>
      <c r="L551" s="11">
        <v>949.49</v>
      </c>
      <c r="M551" s="11">
        <v>270604.65000000002</v>
      </c>
      <c r="N551" s="11">
        <v>176494.8</v>
      </c>
      <c r="O551" s="11">
        <f>CleanedData[[#This Row],[Total Sales ($)]]-CleanedData[[#This Row],[Total Cost ($)]]</f>
        <v>94109.850000000035</v>
      </c>
      <c r="P551" s="12">
        <f>CleanedData[[#This Row],[Profit ($)]]/CleanedData[[#This Row],[Total Sales ($)]]</f>
        <v>0.34777617457793142</v>
      </c>
      <c r="Q551" s="8" t="s">
        <v>42</v>
      </c>
      <c r="R551" s="8" t="s">
        <v>32</v>
      </c>
      <c r="S551" s="8" t="b">
        <f>_xlfn.SINGLE(CleanedData[[#This Row],[Delivery Status]])="Late"</f>
        <v>1</v>
      </c>
      <c r="T551" s="10">
        <v>6</v>
      </c>
      <c r="U551" s="8" t="s">
        <v>158</v>
      </c>
      <c r="V551" s="10">
        <v>3936</v>
      </c>
      <c r="W551" s="10">
        <v>5</v>
      </c>
      <c r="X551" s="12">
        <v>1.7543859649122799E-2</v>
      </c>
      <c r="Y551" s="8" t="b">
        <f>CleanedData[[#This Row],[Ship Date]]&lt;CleanedData[[#This Row],[Order Date]]</f>
        <v>0</v>
      </c>
      <c r="Z551" s="10">
        <f>YEAR(CleanedData[[#This Row],[Order Date]])</f>
        <v>2023</v>
      </c>
      <c r="AA551" s="8">
        <f>MONTH(CleanedData[[#This Row],[Order Date]])</f>
        <v>5</v>
      </c>
    </row>
    <row r="552" spans="1:27" x14ac:dyDescent="0.35">
      <c r="A552" s="8" t="s">
        <v>1836</v>
      </c>
      <c r="B552" s="9">
        <v>45009</v>
      </c>
      <c r="C552" s="9">
        <v>44982</v>
      </c>
      <c r="D552" s="8" t="s">
        <v>1837</v>
      </c>
      <c r="E552" s="8" t="s">
        <v>68</v>
      </c>
      <c r="F552" s="8" t="s">
        <v>249</v>
      </c>
      <c r="G552" s="8" t="s">
        <v>217</v>
      </c>
      <c r="H552" s="8" t="s">
        <v>684</v>
      </c>
      <c r="I552" s="8" t="s">
        <v>4984</v>
      </c>
      <c r="J552" s="10">
        <v>491</v>
      </c>
      <c r="K552" s="11">
        <v>706.2</v>
      </c>
      <c r="L552" s="11">
        <v>995.49</v>
      </c>
      <c r="M552" s="11">
        <v>488785.59</v>
      </c>
      <c r="N552" s="11">
        <v>346744.2</v>
      </c>
      <c r="O552" s="11">
        <f>CleanedData[[#This Row],[Total Sales ($)]]-CleanedData[[#This Row],[Total Cost ($)]]</f>
        <v>142041.39000000001</v>
      </c>
      <c r="P552" s="12">
        <f>CleanedData[[#This Row],[Profit ($)]]/CleanedData[[#This Row],[Total Sales ($)]]</f>
        <v>0.29060060874544197</v>
      </c>
      <c r="Q552" s="8" t="s">
        <v>52</v>
      </c>
      <c r="R552" s="8" t="s">
        <v>63</v>
      </c>
      <c r="S552" s="8" t="b">
        <f>_xlfn.SINGLE(CleanedData[[#This Row],[Delivery Status]])="Late"</f>
        <v>0</v>
      </c>
      <c r="T552" s="10">
        <v>2</v>
      </c>
      <c r="U552" s="8" t="s">
        <v>158</v>
      </c>
      <c r="V552" s="10">
        <v>441</v>
      </c>
      <c r="W552" s="10">
        <v>12</v>
      </c>
      <c r="X552" s="12">
        <v>2.4439918533604801E-2</v>
      </c>
      <c r="Y552" s="8" t="b">
        <f>CleanedData[[#This Row],[Ship Date]]&lt;CleanedData[[#This Row],[Order Date]]</f>
        <v>1</v>
      </c>
      <c r="Z552" s="10">
        <f>YEAR(CleanedData[[#This Row],[Order Date]])</f>
        <v>2023</v>
      </c>
      <c r="AA552" s="8">
        <f>MONTH(CleanedData[[#This Row],[Order Date]])</f>
        <v>3</v>
      </c>
    </row>
    <row r="553" spans="1:27" x14ac:dyDescent="0.35">
      <c r="A553" s="8" t="s">
        <v>1838</v>
      </c>
      <c r="B553" s="9">
        <v>45105</v>
      </c>
      <c r="C553" s="9">
        <v>45018</v>
      </c>
      <c r="D553" s="8" t="s">
        <v>1840</v>
      </c>
      <c r="E553" s="8" t="s">
        <v>100</v>
      </c>
      <c r="F553" s="8" t="s">
        <v>238</v>
      </c>
      <c r="G553" s="8" t="s">
        <v>93</v>
      </c>
      <c r="H553" s="8" t="s">
        <v>94</v>
      </c>
      <c r="I553" s="8" t="s">
        <v>4976</v>
      </c>
      <c r="J553" s="10">
        <v>518</v>
      </c>
      <c r="K553" s="11">
        <v>1029.5899999999999</v>
      </c>
      <c r="L553" s="11">
        <v>1446.33</v>
      </c>
      <c r="M553" s="11">
        <v>749198.94</v>
      </c>
      <c r="N553" s="11">
        <v>533327.62</v>
      </c>
      <c r="O553" s="11">
        <f>CleanedData[[#This Row],[Total Sales ($)]]-CleanedData[[#This Row],[Total Cost ($)]]</f>
        <v>215871.31999999995</v>
      </c>
      <c r="P553" s="12">
        <f>CleanedData[[#This Row],[Profit ($)]]/CleanedData[[#This Row],[Total Sales ($)]]</f>
        <v>0.28813617915690054</v>
      </c>
      <c r="Q553" s="8" t="s">
        <v>42</v>
      </c>
      <c r="R553" s="8" t="s">
        <v>32</v>
      </c>
      <c r="S553" s="8" t="b">
        <f>_xlfn.SINGLE(CleanedData[[#This Row],[Delivery Status]])="Late"</f>
        <v>1</v>
      </c>
      <c r="T553" s="10">
        <v>7</v>
      </c>
      <c r="U553" s="8" t="s">
        <v>158</v>
      </c>
      <c r="V553" s="10">
        <v>91</v>
      </c>
      <c r="W553" s="10">
        <v>0</v>
      </c>
      <c r="X553" s="12">
        <v>0</v>
      </c>
      <c r="Y553" s="8" t="b">
        <f>CleanedData[[#This Row],[Ship Date]]&lt;CleanedData[[#This Row],[Order Date]]</f>
        <v>1</v>
      </c>
      <c r="Z553" s="10">
        <f>YEAR(CleanedData[[#This Row],[Order Date]])</f>
        <v>2023</v>
      </c>
      <c r="AA553" s="8">
        <f>MONTH(CleanedData[[#This Row],[Order Date]])</f>
        <v>6</v>
      </c>
    </row>
    <row r="554" spans="1:27" x14ac:dyDescent="0.35">
      <c r="A554" s="8" t="s">
        <v>1841</v>
      </c>
      <c r="B554" s="9">
        <v>44985</v>
      </c>
      <c r="C554" s="9">
        <v>45173</v>
      </c>
      <c r="D554" s="8" t="s">
        <v>1843</v>
      </c>
      <c r="E554" s="8" t="s">
        <v>48</v>
      </c>
      <c r="F554" s="8" t="s">
        <v>49</v>
      </c>
      <c r="G554" s="8" t="s">
        <v>93</v>
      </c>
      <c r="H554" s="8" t="s">
        <v>485</v>
      </c>
      <c r="I554" s="8" t="s">
        <v>4971</v>
      </c>
      <c r="J554" s="10">
        <v>624</v>
      </c>
      <c r="K554" s="11">
        <v>889.12</v>
      </c>
      <c r="L554" s="11">
        <v>1070.6500000000001</v>
      </c>
      <c r="M554" s="11">
        <v>668085.6</v>
      </c>
      <c r="N554" s="11">
        <v>554810.88</v>
      </c>
      <c r="O554" s="11">
        <f>CleanedData[[#This Row],[Total Sales ($)]]-CleanedData[[#This Row],[Total Cost ($)]]</f>
        <v>113274.71999999997</v>
      </c>
      <c r="P554" s="12">
        <f>CleanedData[[#This Row],[Profit ($)]]/CleanedData[[#This Row],[Total Sales ($)]]</f>
        <v>0.16955120721057299</v>
      </c>
      <c r="Q554" s="8" t="s">
        <v>31</v>
      </c>
      <c r="R554" s="8" t="s">
        <v>32</v>
      </c>
      <c r="S554" s="8" t="b">
        <f>_xlfn.SINGLE(CleanedData[[#This Row],[Delivery Status]])="Late"</f>
        <v>1</v>
      </c>
      <c r="T554" s="10">
        <v>9</v>
      </c>
      <c r="U554" s="8" t="s">
        <v>112</v>
      </c>
      <c r="V554" s="10">
        <v>2069</v>
      </c>
      <c r="W554" s="10">
        <v>8</v>
      </c>
      <c r="X554" s="12">
        <v>1.2820512820512799E-2</v>
      </c>
      <c r="Y554" s="8" t="b">
        <f>CleanedData[[#This Row],[Ship Date]]&lt;CleanedData[[#This Row],[Order Date]]</f>
        <v>0</v>
      </c>
      <c r="Z554" s="10">
        <f>YEAR(CleanedData[[#This Row],[Order Date]])</f>
        <v>2023</v>
      </c>
      <c r="AA554" s="8">
        <f>MONTH(CleanedData[[#This Row],[Order Date]])</f>
        <v>2</v>
      </c>
    </row>
    <row r="555" spans="1:27" x14ac:dyDescent="0.35">
      <c r="A555" s="8" t="s">
        <v>1844</v>
      </c>
      <c r="B555" s="9">
        <v>45577</v>
      </c>
      <c r="C555" s="9">
        <v>45308</v>
      </c>
      <c r="D555" s="8" t="s">
        <v>1845</v>
      </c>
      <c r="E555" s="8" t="s">
        <v>58</v>
      </c>
      <c r="F555" s="8" t="s">
        <v>122</v>
      </c>
      <c r="G555" s="8" t="s">
        <v>189</v>
      </c>
      <c r="H555" s="8" t="s">
        <v>271</v>
      </c>
      <c r="I555" s="8" t="s">
        <v>4968</v>
      </c>
      <c r="J555" s="10">
        <v>283</v>
      </c>
      <c r="K555" s="11">
        <v>1067.33</v>
      </c>
      <c r="L555" s="11">
        <v>1469.88</v>
      </c>
      <c r="M555" s="11">
        <v>415976.04</v>
      </c>
      <c r="N555" s="11">
        <v>302054.39</v>
      </c>
      <c r="O555" s="11">
        <f>CleanedData[[#This Row],[Total Sales ($)]]-CleanedData[[#This Row],[Total Cost ($)]]</f>
        <v>113921.64999999997</v>
      </c>
      <c r="P555" s="12">
        <f>CleanedData[[#This Row],[Profit ($)]]/CleanedData[[#This Row],[Total Sales ($)]]</f>
        <v>0.27386589381446097</v>
      </c>
      <c r="Q555" s="8" t="s">
        <v>31</v>
      </c>
      <c r="R555" s="8" t="s">
        <v>63</v>
      </c>
      <c r="S555" s="8" t="b">
        <f>_xlfn.SINGLE(CleanedData[[#This Row],[Delivery Status]])="Late"</f>
        <v>0</v>
      </c>
      <c r="T555" s="10">
        <v>2</v>
      </c>
      <c r="U555" s="8" t="s">
        <v>112</v>
      </c>
      <c r="V555" s="10">
        <v>4537</v>
      </c>
      <c r="W555" s="10"/>
      <c r="X555" s="12"/>
      <c r="Y555" s="8" t="b">
        <f>CleanedData[[#This Row],[Ship Date]]&lt;CleanedData[[#This Row],[Order Date]]</f>
        <v>1</v>
      </c>
      <c r="Z555" s="10">
        <f>YEAR(CleanedData[[#This Row],[Order Date]])</f>
        <v>2024</v>
      </c>
      <c r="AA555" s="8">
        <f>MONTH(CleanedData[[#This Row],[Order Date]])</f>
        <v>10</v>
      </c>
    </row>
    <row r="556" spans="1:27" x14ac:dyDescent="0.35">
      <c r="A556" s="8" t="s">
        <v>1846</v>
      </c>
      <c r="B556" s="9">
        <v>45171</v>
      </c>
      <c r="C556" s="9">
        <v>45242</v>
      </c>
      <c r="D556" s="8" t="s">
        <v>1481</v>
      </c>
      <c r="E556" s="8" t="s">
        <v>26</v>
      </c>
      <c r="F556" s="8" t="s">
        <v>77</v>
      </c>
      <c r="G556" s="8" t="s">
        <v>217</v>
      </c>
      <c r="H556" s="8" t="s">
        <v>684</v>
      </c>
      <c r="I556" s="8" t="s">
        <v>4968</v>
      </c>
      <c r="J556" s="10">
        <v>441</v>
      </c>
      <c r="K556" s="11">
        <v>928.12</v>
      </c>
      <c r="L556" s="11">
        <v>1139.1099999999999</v>
      </c>
      <c r="M556" s="11">
        <v>502347.51</v>
      </c>
      <c r="N556" s="11">
        <v>409300.92</v>
      </c>
      <c r="O556" s="11">
        <f>CleanedData[[#This Row],[Total Sales ($)]]-CleanedData[[#This Row],[Total Cost ($)]]</f>
        <v>93046.590000000026</v>
      </c>
      <c r="P556" s="12">
        <f>CleanedData[[#This Row],[Profit ($)]]/CleanedData[[#This Row],[Total Sales ($)]]</f>
        <v>0.18522355172020266</v>
      </c>
      <c r="Q556" s="8" t="s">
        <v>95</v>
      </c>
      <c r="R556" s="8" t="s">
        <v>32</v>
      </c>
      <c r="S556" s="8" t="b">
        <f>_xlfn.SINGLE(CleanedData[[#This Row],[Delivery Status]])="Late"</f>
        <v>1</v>
      </c>
      <c r="T556" s="10">
        <v>8</v>
      </c>
      <c r="U556" s="8" t="s">
        <v>33</v>
      </c>
      <c r="V556" s="10">
        <v>4821</v>
      </c>
      <c r="W556" s="10">
        <v>8</v>
      </c>
      <c r="X556" s="12">
        <v>1.8140589569160901E-2</v>
      </c>
      <c r="Y556" s="8" t="b">
        <f>CleanedData[[#This Row],[Ship Date]]&lt;CleanedData[[#This Row],[Order Date]]</f>
        <v>0</v>
      </c>
      <c r="Z556" s="10">
        <f>YEAR(CleanedData[[#This Row],[Order Date]])</f>
        <v>2023</v>
      </c>
      <c r="AA556" s="8">
        <f>MONTH(CleanedData[[#This Row],[Order Date]])</f>
        <v>9</v>
      </c>
    </row>
    <row r="557" spans="1:27" x14ac:dyDescent="0.35">
      <c r="A557" s="8" t="s">
        <v>1847</v>
      </c>
      <c r="B557" s="9">
        <v>44981</v>
      </c>
      <c r="C557" s="9">
        <v>45080</v>
      </c>
      <c r="D557" s="8" t="s">
        <v>825</v>
      </c>
      <c r="E557" s="8" t="s">
        <v>58</v>
      </c>
      <c r="F557" s="8" t="s">
        <v>59</v>
      </c>
      <c r="G557" s="8" t="s">
        <v>217</v>
      </c>
      <c r="H557" s="8" t="s">
        <v>292</v>
      </c>
      <c r="I557" s="8" t="s">
        <v>4967</v>
      </c>
      <c r="J557" s="10">
        <v>664</v>
      </c>
      <c r="K557" s="11">
        <v>769.8</v>
      </c>
      <c r="L557" s="11">
        <v>925.72</v>
      </c>
      <c r="M557" s="11">
        <v>614678.07999999996</v>
      </c>
      <c r="N557" s="11">
        <v>511147.2</v>
      </c>
      <c r="O557" s="11">
        <f>CleanedData[[#This Row],[Total Sales ($)]]-CleanedData[[#This Row],[Total Cost ($)]]</f>
        <v>103530.87999999995</v>
      </c>
      <c r="P557" s="12">
        <f>CleanedData[[#This Row],[Profit ($)]]/CleanedData[[#This Row],[Total Sales ($)]]</f>
        <v>0.16843105906753655</v>
      </c>
      <c r="Q557" s="8" t="s">
        <v>95</v>
      </c>
      <c r="R557" s="8" t="s">
        <v>32</v>
      </c>
      <c r="S557" s="8" t="b">
        <f>_xlfn.SINGLE(CleanedData[[#This Row],[Delivery Status]])="Late"</f>
        <v>1</v>
      </c>
      <c r="T557" s="10">
        <v>8</v>
      </c>
      <c r="U557" s="8" t="s">
        <v>158</v>
      </c>
      <c r="V557" s="10">
        <v>3670</v>
      </c>
      <c r="W557" s="10">
        <v>12</v>
      </c>
      <c r="X557" s="12">
        <v>1.8072289156626498E-2</v>
      </c>
      <c r="Y557" s="8" t="b">
        <f>CleanedData[[#This Row],[Ship Date]]&lt;CleanedData[[#This Row],[Order Date]]</f>
        <v>0</v>
      </c>
      <c r="Z557" s="10">
        <f>YEAR(CleanedData[[#This Row],[Order Date]])</f>
        <v>2023</v>
      </c>
      <c r="AA557" s="8">
        <f>MONTH(CleanedData[[#This Row],[Order Date]])</f>
        <v>2</v>
      </c>
    </row>
    <row r="558" spans="1:27" x14ac:dyDescent="0.35">
      <c r="A558" s="8" t="s">
        <v>1848</v>
      </c>
      <c r="B558" s="9">
        <v>45190</v>
      </c>
      <c r="C558" s="9">
        <v>44982</v>
      </c>
      <c r="D558" s="8" t="s">
        <v>1849</v>
      </c>
      <c r="E558" s="8" t="s">
        <v>58</v>
      </c>
      <c r="F558" s="8" t="s">
        <v>59</v>
      </c>
      <c r="G558" s="8" t="s">
        <v>28</v>
      </c>
      <c r="H558" s="8" t="s">
        <v>29</v>
      </c>
      <c r="I558" s="8" t="s">
        <v>4977</v>
      </c>
      <c r="J558" s="10">
        <v>208</v>
      </c>
      <c r="K558" s="11">
        <v>941.05</v>
      </c>
      <c r="L558" s="11">
        <v>1143.7</v>
      </c>
      <c r="M558" s="11">
        <v>237889.6</v>
      </c>
      <c r="N558" s="11">
        <v>195738.4</v>
      </c>
      <c r="O558" s="11">
        <f>CleanedData[[#This Row],[Total Sales ($)]]-CleanedData[[#This Row],[Total Cost ($)]]</f>
        <v>42151.200000000012</v>
      </c>
      <c r="P558" s="12">
        <f>CleanedData[[#This Row],[Profit ($)]]/CleanedData[[#This Row],[Total Sales ($)]]</f>
        <v>0.1771880737955758</v>
      </c>
      <c r="Q558" s="8" t="s">
        <v>95</v>
      </c>
      <c r="R558" s="8" t="s">
        <v>63</v>
      </c>
      <c r="S558" s="8" t="b">
        <f>_xlfn.SINGLE(CleanedData[[#This Row],[Delivery Status]])="Late"</f>
        <v>0</v>
      </c>
      <c r="T558" s="10">
        <v>5</v>
      </c>
      <c r="U558" s="8" t="s">
        <v>112</v>
      </c>
      <c r="V558" s="10">
        <v>2602</v>
      </c>
      <c r="W558" s="10">
        <v>5</v>
      </c>
      <c r="X558" s="12">
        <v>2.4038461538461502E-2</v>
      </c>
      <c r="Y558" s="8" t="b">
        <f>CleanedData[[#This Row],[Ship Date]]&lt;CleanedData[[#This Row],[Order Date]]</f>
        <v>1</v>
      </c>
      <c r="Z558" s="10">
        <f>YEAR(CleanedData[[#This Row],[Order Date]])</f>
        <v>2023</v>
      </c>
      <c r="AA558" s="8">
        <f>MONTH(CleanedData[[#This Row],[Order Date]])</f>
        <v>9</v>
      </c>
    </row>
    <row r="559" spans="1:27" x14ac:dyDescent="0.35">
      <c r="A559" s="8" t="s">
        <v>1850</v>
      </c>
      <c r="B559" s="9">
        <v>44951</v>
      </c>
      <c r="C559" s="9">
        <v>45253</v>
      </c>
      <c r="D559" s="8" t="s">
        <v>1852</v>
      </c>
      <c r="E559" s="8" t="s">
        <v>48</v>
      </c>
      <c r="F559" s="8" t="s">
        <v>183</v>
      </c>
      <c r="G559" s="8" t="s">
        <v>39</v>
      </c>
      <c r="H559" s="8" t="s">
        <v>527</v>
      </c>
      <c r="I559" s="8" t="s">
        <v>4968</v>
      </c>
      <c r="J559" s="10">
        <v>279</v>
      </c>
      <c r="K559" s="11">
        <v>1001.05</v>
      </c>
      <c r="L559" s="11">
        <v>1161.02</v>
      </c>
      <c r="M559" s="11">
        <v>323924.58</v>
      </c>
      <c r="N559" s="11">
        <v>279292.95</v>
      </c>
      <c r="O559" s="11">
        <f>CleanedData[[#This Row],[Total Sales ($)]]-CleanedData[[#This Row],[Total Cost ($)]]</f>
        <v>44631.630000000005</v>
      </c>
      <c r="P559" s="12">
        <f>CleanedData[[#This Row],[Profit ($)]]/CleanedData[[#This Row],[Total Sales ($)]]</f>
        <v>0.13778401750185182</v>
      </c>
      <c r="Q559" s="8" t="s">
        <v>95</v>
      </c>
      <c r="R559" s="8" t="s">
        <v>63</v>
      </c>
      <c r="S559" s="8" t="b">
        <f>_xlfn.SINGLE(CleanedData[[#This Row],[Delivery Status]])="Late"</f>
        <v>0</v>
      </c>
      <c r="T559" s="10">
        <v>3</v>
      </c>
      <c r="U559" s="8" t="s">
        <v>53</v>
      </c>
      <c r="V559" s="10">
        <v>3184</v>
      </c>
      <c r="W559" s="10">
        <v>2</v>
      </c>
      <c r="X559" s="12">
        <v>7.1684587813620002E-3</v>
      </c>
      <c r="Y559" s="8" t="b">
        <f>CleanedData[[#This Row],[Ship Date]]&lt;CleanedData[[#This Row],[Order Date]]</f>
        <v>0</v>
      </c>
      <c r="Z559" s="10">
        <f>YEAR(CleanedData[[#This Row],[Order Date]])</f>
        <v>2023</v>
      </c>
      <c r="AA559" s="8">
        <f>MONTH(CleanedData[[#This Row],[Order Date]])</f>
        <v>1</v>
      </c>
    </row>
    <row r="560" spans="1:27" x14ac:dyDescent="0.35">
      <c r="A560" s="8" t="s">
        <v>1854</v>
      </c>
      <c r="B560" s="9">
        <v>45114</v>
      </c>
      <c r="C560" s="9">
        <v>45236</v>
      </c>
      <c r="D560" s="8" t="s">
        <v>1855</v>
      </c>
      <c r="E560" s="8" t="s">
        <v>68</v>
      </c>
      <c r="F560" s="8" t="s">
        <v>276</v>
      </c>
      <c r="G560" s="8" t="s">
        <v>28</v>
      </c>
      <c r="H560" s="8" t="s">
        <v>714</v>
      </c>
      <c r="I560" s="8" t="s">
        <v>4969</v>
      </c>
      <c r="J560" s="10">
        <v>571</v>
      </c>
      <c r="K560" s="11">
        <v>396.7</v>
      </c>
      <c r="L560" s="11">
        <v>645.15</v>
      </c>
      <c r="M560" s="11">
        <v>368380.65</v>
      </c>
      <c r="N560" s="11">
        <v>226515.7</v>
      </c>
      <c r="O560" s="11">
        <f>CleanedData[[#This Row],[Total Sales ($)]]-CleanedData[[#This Row],[Total Cost ($)]]</f>
        <v>141864.95000000001</v>
      </c>
      <c r="P560" s="12">
        <f>CleanedData[[#This Row],[Profit ($)]]/CleanedData[[#This Row],[Total Sales ($)]]</f>
        <v>0.38510423932418819</v>
      </c>
      <c r="Q560" s="8" t="s">
        <v>95</v>
      </c>
      <c r="R560" s="8" t="s">
        <v>32</v>
      </c>
      <c r="S560" s="8" t="b">
        <f>_xlfn.SINGLE(CleanedData[[#This Row],[Delivery Status]])="Late"</f>
        <v>1</v>
      </c>
      <c r="T560" s="10">
        <v>12</v>
      </c>
      <c r="U560" s="8" t="s">
        <v>112</v>
      </c>
      <c r="V560" s="10">
        <v>2421</v>
      </c>
      <c r="W560" s="10">
        <v>1</v>
      </c>
      <c r="X560" s="12">
        <v>1.7513134851138E-3</v>
      </c>
      <c r="Y560" s="8" t="b">
        <f>CleanedData[[#This Row],[Ship Date]]&lt;CleanedData[[#This Row],[Order Date]]</f>
        <v>0</v>
      </c>
      <c r="Z560" s="10">
        <f>YEAR(CleanedData[[#This Row],[Order Date]])</f>
        <v>2023</v>
      </c>
      <c r="AA560" s="8">
        <f>MONTH(CleanedData[[#This Row],[Order Date]])</f>
        <v>7</v>
      </c>
    </row>
    <row r="561" spans="1:27" x14ac:dyDescent="0.35">
      <c r="A561" s="8" t="s">
        <v>1856</v>
      </c>
      <c r="B561" s="9">
        <v>44936</v>
      </c>
      <c r="C561" s="9">
        <v>44984</v>
      </c>
      <c r="D561" s="8" t="s">
        <v>1857</v>
      </c>
      <c r="E561" s="8" t="s">
        <v>58</v>
      </c>
      <c r="F561" s="8" t="s">
        <v>417</v>
      </c>
      <c r="G561" s="8" t="s">
        <v>93</v>
      </c>
      <c r="H561" s="8" t="s">
        <v>184</v>
      </c>
      <c r="I561" s="8" t="s">
        <v>4971</v>
      </c>
      <c r="J561" s="10">
        <v>432</v>
      </c>
      <c r="K561" s="11">
        <v>285.13</v>
      </c>
      <c r="L561" s="11">
        <v>350.68</v>
      </c>
      <c r="M561" s="11">
        <v>151493.76000000001</v>
      </c>
      <c r="N561" s="11">
        <v>123176.16</v>
      </c>
      <c r="O561" s="11">
        <f>CleanedData[[#This Row],[Total Sales ($)]]-CleanedData[[#This Row],[Total Cost ($)]]</f>
        <v>28317.600000000006</v>
      </c>
      <c r="P561" s="12">
        <f>CleanedData[[#This Row],[Profit ($)]]/CleanedData[[#This Row],[Total Sales ($)]]</f>
        <v>0.18692255047336606</v>
      </c>
      <c r="Q561" s="8" t="s">
        <v>31</v>
      </c>
      <c r="R561" s="8" t="s">
        <v>32</v>
      </c>
      <c r="S561" s="8" t="b">
        <f>_xlfn.SINGLE(CleanedData[[#This Row],[Delivery Status]])="Late"</f>
        <v>1</v>
      </c>
      <c r="T561" s="10">
        <v>7</v>
      </c>
      <c r="U561" s="8" t="s">
        <v>33</v>
      </c>
      <c r="V561" s="10">
        <v>3796</v>
      </c>
      <c r="W561" s="10">
        <v>3</v>
      </c>
      <c r="X561" s="12">
        <v>6.9444444444443998E-3</v>
      </c>
      <c r="Y561" s="8" t="b">
        <f>CleanedData[[#This Row],[Ship Date]]&lt;CleanedData[[#This Row],[Order Date]]</f>
        <v>0</v>
      </c>
      <c r="Z561" s="10">
        <f>YEAR(CleanedData[[#This Row],[Order Date]])</f>
        <v>2023</v>
      </c>
      <c r="AA561" s="8">
        <f>MONTH(CleanedData[[#This Row],[Order Date]])</f>
        <v>1</v>
      </c>
    </row>
    <row r="562" spans="1:27" x14ac:dyDescent="0.35">
      <c r="A562" s="8" t="s">
        <v>1858</v>
      </c>
      <c r="B562" s="9">
        <v>44927</v>
      </c>
      <c r="C562" s="9">
        <v>44965</v>
      </c>
      <c r="D562" s="8" t="s">
        <v>1859</v>
      </c>
      <c r="E562" s="8" t="s">
        <v>68</v>
      </c>
      <c r="F562" s="8" t="s">
        <v>69</v>
      </c>
      <c r="G562" s="8" t="s">
        <v>93</v>
      </c>
      <c r="H562" s="8" t="s">
        <v>140</v>
      </c>
      <c r="I562" s="8" t="s">
        <v>4969</v>
      </c>
      <c r="J562" s="10">
        <v>123</v>
      </c>
      <c r="K562" s="11">
        <v>230.69</v>
      </c>
      <c r="L562" s="11">
        <v>267.17</v>
      </c>
      <c r="M562" s="11">
        <v>32861.910000000003</v>
      </c>
      <c r="N562" s="11">
        <v>28374.87</v>
      </c>
      <c r="O562" s="11">
        <f>CleanedData[[#This Row],[Total Sales ($)]]-CleanedData[[#This Row],[Total Cost ($)]]</f>
        <v>4487.0400000000045</v>
      </c>
      <c r="P562" s="12">
        <f>CleanedData[[#This Row],[Profit ($)]]/CleanedData[[#This Row],[Total Sales ($)]]</f>
        <v>0.13654227645319472</v>
      </c>
      <c r="Q562" s="8" t="s">
        <v>52</v>
      </c>
      <c r="R562" s="8" t="s">
        <v>32</v>
      </c>
      <c r="S562" s="8" t="b">
        <f>_xlfn.SINGLE(CleanedData[[#This Row],[Delivery Status]])="Late"</f>
        <v>1</v>
      </c>
      <c r="T562" s="10">
        <v>11</v>
      </c>
      <c r="U562" s="8" t="s">
        <v>43</v>
      </c>
      <c r="V562" s="10">
        <v>1730</v>
      </c>
      <c r="W562" s="10">
        <v>5</v>
      </c>
      <c r="X562" s="12">
        <v>4.0650406504064998E-2</v>
      </c>
      <c r="Y562" s="8" t="b">
        <f>CleanedData[[#This Row],[Ship Date]]&lt;CleanedData[[#This Row],[Order Date]]</f>
        <v>0</v>
      </c>
      <c r="Z562" s="10">
        <f>YEAR(CleanedData[[#This Row],[Order Date]])</f>
        <v>2023</v>
      </c>
      <c r="AA562" s="8">
        <f>MONTH(CleanedData[[#This Row],[Order Date]])</f>
        <v>1</v>
      </c>
    </row>
    <row r="563" spans="1:27" x14ac:dyDescent="0.35">
      <c r="A563" s="8" t="s">
        <v>1860</v>
      </c>
      <c r="B563" s="9">
        <v>45212</v>
      </c>
      <c r="C563" s="9">
        <v>45102</v>
      </c>
      <c r="D563" s="8" t="s">
        <v>1861</v>
      </c>
      <c r="E563" s="8" t="s">
        <v>100</v>
      </c>
      <c r="F563" s="8" t="s">
        <v>330</v>
      </c>
      <c r="G563" s="8" t="s">
        <v>39</v>
      </c>
      <c r="H563" s="8" t="s">
        <v>527</v>
      </c>
      <c r="I563" s="8" t="s">
        <v>4969</v>
      </c>
      <c r="J563" s="10">
        <v>780</v>
      </c>
      <c r="K563" s="11">
        <v>463.46</v>
      </c>
      <c r="L563" s="11">
        <v>708.57</v>
      </c>
      <c r="M563" s="11">
        <v>552684.6</v>
      </c>
      <c r="N563" s="11">
        <v>361498.8</v>
      </c>
      <c r="O563" s="11">
        <f>CleanedData[[#This Row],[Total Sales ($)]]-CleanedData[[#This Row],[Total Cost ($)]]</f>
        <v>191185.8</v>
      </c>
      <c r="P563" s="12">
        <f>CleanedData[[#This Row],[Profit ($)]]/CleanedData[[#This Row],[Total Sales ($)]]</f>
        <v>0.34592206839126693</v>
      </c>
      <c r="Q563" s="8" t="s">
        <v>42</v>
      </c>
      <c r="R563" s="8" t="s">
        <v>32</v>
      </c>
      <c r="S563" s="8" t="b">
        <f>_xlfn.SINGLE(CleanedData[[#This Row],[Delivery Status]])="Late"</f>
        <v>1</v>
      </c>
      <c r="T563" s="10">
        <v>12</v>
      </c>
      <c r="U563" s="8" t="s">
        <v>86</v>
      </c>
      <c r="V563" s="10">
        <v>144</v>
      </c>
      <c r="W563" s="10">
        <v>14</v>
      </c>
      <c r="X563" s="12">
        <v>1.7948717948717899E-2</v>
      </c>
      <c r="Y563" s="8" t="b">
        <f>CleanedData[[#This Row],[Ship Date]]&lt;CleanedData[[#This Row],[Order Date]]</f>
        <v>1</v>
      </c>
      <c r="Z563" s="10">
        <f>YEAR(CleanedData[[#This Row],[Order Date]])</f>
        <v>2023</v>
      </c>
      <c r="AA563" s="8">
        <f>MONTH(CleanedData[[#This Row],[Order Date]])</f>
        <v>10</v>
      </c>
    </row>
    <row r="564" spans="1:27" x14ac:dyDescent="0.35">
      <c r="A564" s="8" t="s">
        <v>1862</v>
      </c>
      <c r="B564" s="9">
        <v>45186</v>
      </c>
      <c r="C564" s="9">
        <v>45054</v>
      </c>
      <c r="D564" s="8" t="s">
        <v>1863</v>
      </c>
      <c r="E564" s="8" t="s">
        <v>58</v>
      </c>
      <c r="F564" s="8" t="s">
        <v>417</v>
      </c>
      <c r="G564" s="8" t="s">
        <v>28</v>
      </c>
      <c r="H564" s="8" t="s">
        <v>674</v>
      </c>
      <c r="I564" s="8" t="s">
        <v>4968</v>
      </c>
      <c r="J564" s="10">
        <v>438</v>
      </c>
      <c r="K564" s="11">
        <v>216.84</v>
      </c>
      <c r="L564" s="11">
        <v>310.79000000000002</v>
      </c>
      <c r="M564" s="11">
        <v>136126.01999999999</v>
      </c>
      <c r="N564" s="11">
        <v>94975.92</v>
      </c>
      <c r="O564" s="11">
        <f>CleanedData[[#This Row],[Total Sales ($)]]-CleanedData[[#This Row],[Total Cost ($)]]</f>
        <v>41150.099999999991</v>
      </c>
      <c r="P564" s="12">
        <f>CleanedData[[#This Row],[Profit ($)]]/CleanedData[[#This Row],[Total Sales ($)]]</f>
        <v>0.30229415360854595</v>
      </c>
      <c r="Q564" s="8" t="s">
        <v>52</v>
      </c>
      <c r="R564" s="8" t="s">
        <v>32</v>
      </c>
      <c r="S564" s="8" t="b">
        <f>_xlfn.SINGLE(CleanedData[[#This Row],[Delivery Status]])="Late"</f>
        <v>1</v>
      </c>
      <c r="T564" s="10">
        <v>11</v>
      </c>
      <c r="U564" s="8" t="s">
        <v>43</v>
      </c>
      <c r="V564" s="10">
        <v>1623</v>
      </c>
      <c r="W564" s="10">
        <v>13</v>
      </c>
      <c r="X564" s="12">
        <v>2.9680365296803599E-2</v>
      </c>
      <c r="Y564" s="8" t="b">
        <f>CleanedData[[#This Row],[Ship Date]]&lt;CleanedData[[#This Row],[Order Date]]</f>
        <v>1</v>
      </c>
      <c r="Z564" s="10">
        <f>YEAR(CleanedData[[#This Row],[Order Date]])</f>
        <v>2023</v>
      </c>
      <c r="AA564" s="8">
        <f>MONTH(CleanedData[[#This Row],[Order Date]])</f>
        <v>9</v>
      </c>
    </row>
    <row r="565" spans="1:27" x14ac:dyDescent="0.35">
      <c r="A565" s="8" t="s">
        <v>1864</v>
      </c>
      <c r="B565" s="9">
        <v>45125</v>
      </c>
      <c r="C565" s="9">
        <v>44972</v>
      </c>
      <c r="D565" s="8" t="s">
        <v>1865</v>
      </c>
      <c r="E565" s="8" t="s">
        <v>48</v>
      </c>
      <c r="F565" s="8" t="s">
        <v>281</v>
      </c>
      <c r="G565" s="8" t="s">
        <v>93</v>
      </c>
      <c r="H565" s="8" t="s">
        <v>94</v>
      </c>
      <c r="I565" s="8" t="s">
        <v>4970</v>
      </c>
      <c r="J565" s="10">
        <v>787</v>
      </c>
      <c r="K565" s="11">
        <v>598.29999999999995</v>
      </c>
      <c r="L565" s="11">
        <v>710.74</v>
      </c>
      <c r="M565" s="11">
        <v>559352.38</v>
      </c>
      <c r="N565" s="11">
        <v>470862.1</v>
      </c>
      <c r="O565" s="11">
        <f>CleanedData[[#This Row],[Total Sales ($)]]-CleanedData[[#This Row],[Total Cost ($)]]</f>
        <v>88490.280000000028</v>
      </c>
      <c r="P565" s="12">
        <f>CleanedData[[#This Row],[Profit ($)]]/CleanedData[[#This Row],[Total Sales ($)]]</f>
        <v>0.15820131130933962</v>
      </c>
      <c r="Q565" s="8" t="s">
        <v>52</v>
      </c>
      <c r="R565" s="8" t="s">
        <v>32</v>
      </c>
      <c r="S565" s="8" t="b">
        <f>_xlfn.SINGLE(CleanedData[[#This Row],[Delivery Status]])="Late"</f>
        <v>1</v>
      </c>
      <c r="T565" s="10">
        <v>14</v>
      </c>
      <c r="U565" s="8" t="s">
        <v>43</v>
      </c>
      <c r="V565" s="10">
        <v>2000</v>
      </c>
      <c r="W565" s="10">
        <v>21</v>
      </c>
      <c r="X565" s="12">
        <v>2.66836086404066E-2</v>
      </c>
      <c r="Y565" s="8" t="b">
        <f>CleanedData[[#This Row],[Ship Date]]&lt;CleanedData[[#This Row],[Order Date]]</f>
        <v>1</v>
      </c>
      <c r="Z565" s="10">
        <f>YEAR(CleanedData[[#This Row],[Order Date]])</f>
        <v>2023</v>
      </c>
      <c r="AA565" s="8">
        <f>MONTH(CleanedData[[#This Row],[Order Date]])</f>
        <v>7</v>
      </c>
    </row>
    <row r="566" spans="1:27" x14ac:dyDescent="0.35">
      <c r="A566" s="8" t="s">
        <v>1866</v>
      </c>
      <c r="B566" s="9">
        <v>45189</v>
      </c>
      <c r="C566" s="9">
        <v>45245</v>
      </c>
      <c r="D566" s="8" t="s">
        <v>1867</v>
      </c>
      <c r="E566" s="8" t="s">
        <v>58</v>
      </c>
      <c r="F566" s="8" t="s">
        <v>122</v>
      </c>
      <c r="G566" s="8" t="s">
        <v>78</v>
      </c>
      <c r="H566" s="8" t="s">
        <v>123</v>
      </c>
      <c r="I566" s="8" t="s">
        <v>4968</v>
      </c>
      <c r="J566" s="10">
        <v>293</v>
      </c>
      <c r="K566" s="11">
        <v>945.28</v>
      </c>
      <c r="L566" s="11">
        <v>1335.46</v>
      </c>
      <c r="M566" s="11">
        <v>391289.78</v>
      </c>
      <c r="N566" s="11">
        <v>276967.03999999998</v>
      </c>
      <c r="O566" s="11">
        <f>CleanedData[[#This Row],[Total Sales ($)]]-CleanedData[[#This Row],[Total Cost ($)]]</f>
        <v>114322.74000000005</v>
      </c>
      <c r="P566" s="12">
        <f>CleanedData[[#This Row],[Profit ($)]]/CleanedData[[#This Row],[Total Sales ($)]]</f>
        <v>0.29216899046021605</v>
      </c>
      <c r="Q566" s="8" t="s">
        <v>52</v>
      </c>
      <c r="R566" s="8" t="s">
        <v>63</v>
      </c>
      <c r="S566" s="8" t="b">
        <f>_xlfn.SINGLE(CleanedData[[#This Row],[Delivery Status]])="Late"</f>
        <v>0</v>
      </c>
      <c r="T566" s="10">
        <v>3</v>
      </c>
      <c r="U566" s="8" t="s">
        <v>112</v>
      </c>
      <c r="V566" s="10">
        <v>3559</v>
      </c>
      <c r="W566" s="10">
        <v>4</v>
      </c>
      <c r="X566" s="12">
        <v>1.36518771331058E-2</v>
      </c>
      <c r="Y566" s="8" t="b">
        <f>CleanedData[[#This Row],[Ship Date]]&lt;CleanedData[[#This Row],[Order Date]]</f>
        <v>0</v>
      </c>
      <c r="Z566" s="10">
        <f>YEAR(CleanedData[[#This Row],[Order Date]])</f>
        <v>2023</v>
      </c>
      <c r="AA566" s="8">
        <f>MONTH(CleanedData[[#This Row],[Order Date]])</f>
        <v>9</v>
      </c>
    </row>
    <row r="567" spans="1:27" x14ac:dyDescent="0.35">
      <c r="A567" s="8" t="s">
        <v>1868</v>
      </c>
      <c r="B567" s="9">
        <v>45363</v>
      </c>
      <c r="C567" s="9">
        <v>45295</v>
      </c>
      <c r="D567" s="8" t="s">
        <v>1663</v>
      </c>
      <c r="E567" s="8" t="s">
        <v>48</v>
      </c>
      <c r="F567" s="8" t="s">
        <v>183</v>
      </c>
      <c r="G567" s="8" t="s">
        <v>217</v>
      </c>
      <c r="H567" s="8" t="s">
        <v>218</v>
      </c>
      <c r="I567" s="8" t="s">
        <v>4969</v>
      </c>
      <c r="J567" s="10">
        <v>334</v>
      </c>
      <c r="K567" s="11">
        <v>553.16</v>
      </c>
      <c r="L567" s="11">
        <v>698.74</v>
      </c>
      <c r="M567" s="11">
        <v>233379.16</v>
      </c>
      <c r="N567" s="11">
        <v>184755.44</v>
      </c>
      <c r="O567" s="11">
        <f>CleanedData[[#This Row],[Total Sales ($)]]-CleanedData[[#This Row],[Total Cost ($)]]</f>
        <v>48623.72</v>
      </c>
      <c r="P567" s="12">
        <f>CleanedData[[#This Row],[Profit ($)]]/CleanedData[[#This Row],[Total Sales ($)]]</f>
        <v>0.20834645218536221</v>
      </c>
      <c r="Q567" s="8" t="s">
        <v>31</v>
      </c>
      <c r="R567" s="8" t="s">
        <v>32</v>
      </c>
      <c r="S567" s="8" t="b">
        <f>_xlfn.SINGLE(CleanedData[[#This Row],[Delivery Status]])="Late"</f>
        <v>1</v>
      </c>
      <c r="T567" s="10">
        <v>15</v>
      </c>
      <c r="U567" s="8" t="s">
        <v>86</v>
      </c>
      <c r="V567" s="10">
        <v>3053</v>
      </c>
      <c r="W567" s="10">
        <v>16</v>
      </c>
      <c r="X567" s="12">
        <v>4.7904191616766401E-2</v>
      </c>
      <c r="Y567" s="8" t="b">
        <f>CleanedData[[#This Row],[Ship Date]]&lt;CleanedData[[#This Row],[Order Date]]</f>
        <v>1</v>
      </c>
      <c r="Z567" s="10">
        <f>YEAR(CleanedData[[#This Row],[Order Date]])</f>
        <v>2024</v>
      </c>
      <c r="AA567" s="8">
        <f>MONTH(CleanedData[[#This Row],[Order Date]])</f>
        <v>3</v>
      </c>
    </row>
    <row r="568" spans="1:27" x14ac:dyDescent="0.35">
      <c r="A568" s="8" t="s">
        <v>1870</v>
      </c>
      <c r="B568" s="9">
        <v>44951</v>
      </c>
      <c r="C568" s="9">
        <v>45159</v>
      </c>
      <c r="D568" s="8" t="s">
        <v>1871</v>
      </c>
      <c r="E568" s="8" t="s">
        <v>100</v>
      </c>
      <c r="F568" s="8" t="s">
        <v>538</v>
      </c>
      <c r="G568" s="8" t="s">
        <v>93</v>
      </c>
      <c r="H568" s="8" t="s">
        <v>1442</v>
      </c>
      <c r="I568" s="8" t="s">
        <v>4967</v>
      </c>
      <c r="J568" s="10">
        <v>434</v>
      </c>
      <c r="K568" s="11">
        <v>834.67</v>
      </c>
      <c r="L568" s="11">
        <v>1226.04</v>
      </c>
      <c r="M568" s="11">
        <v>532101.36</v>
      </c>
      <c r="N568" s="11">
        <v>362246.78</v>
      </c>
      <c r="O568" s="11">
        <f>CleanedData[[#This Row],[Total Sales ($)]]-CleanedData[[#This Row],[Total Cost ($)]]</f>
        <v>169854.57999999996</v>
      </c>
      <c r="P568" s="12">
        <f>CleanedData[[#This Row],[Profit ($)]]/CleanedData[[#This Row],[Total Sales ($)]]</f>
        <v>0.31921470751362102</v>
      </c>
      <c r="Q568" s="8" t="s">
        <v>31</v>
      </c>
      <c r="R568" s="8" t="s">
        <v>32</v>
      </c>
      <c r="S568" s="8" t="b">
        <f>_xlfn.SINGLE(CleanedData[[#This Row],[Delivery Status]])="Late"</f>
        <v>1</v>
      </c>
      <c r="T568" s="10">
        <v>8</v>
      </c>
      <c r="U568" s="8" t="s">
        <v>112</v>
      </c>
      <c r="V568" s="10">
        <v>612</v>
      </c>
      <c r="W568" s="10">
        <v>7</v>
      </c>
      <c r="X568" s="12">
        <v>1.6129032258064498E-2</v>
      </c>
      <c r="Y568" s="8" t="b">
        <f>CleanedData[[#This Row],[Ship Date]]&lt;CleanedData[[#This Row],[Order Date]]</f>
        <v>0</v>
      </c>
      <c r="Z568" s="10">
        <f>YEAR(CleanedData[[#This Row],[Order Date]])</f>
        <v>2023</v>
      </c>
      <c r="AA568" s="8">
        <f>MONTH(CleanedData[[#This Row],[Order Date]])</f>
        <v>1</v>
      </c>
    </row>
    <row r="569" spans="1:27" x14ac:dyDescent="0.35">
      <c r="A569" s="8" t="s">
        <v>1872</v>
      </c>
      <c r="B569" s="9">
        <v>44990</v>
      </c>
      <c r="C569" s="9">
        <v>44994</v>
      </c>
      <c r="D569" s="8" t="s">
        <v>1874</v>
      </c>
      <c r="E569" s="8" t="s">
        <v>48</v>
      </c>
      <c r="F569" s="8" t="s">
        <v>270</v>
      </c>
      <c r="G569" s="8" t="s">
        <v>60</v>
      </c>
      <c r="H569" s="8" t="s">
        <v>780</v>
      </c>
      <c r="I569" s="8" t="s">
        <v>4977</v>
      </c>
      <c r="J569" s="10">
        <v>799</v>
      </c>
      <c r="K569" s="11">
        <v>939.7</v>
      </c>
      <c r="L569" s="11">
        <v>1463.31</v>
      </c>
      <c r="M569" s="11">
        <v>1169184.69</v>
      </c>
      <c r="N569" s="11">
        <v>750820.3</v>
      </c>
      <c r="O569" s="11">
        <f>CleanedData[[#This Row],[Total Sales ($)]]-CleanedData[[#This Row],[Total Cost ($)]]</f>
        <v>418364.3899999999</v>
      </c>
      <c r="P569" s="12">
        <f>CleanedData[[#This Row],[Profit ($)]]/CleanedData[[#This Row],[Total Sales ($)]]</f>
        <v>0.35782575120787796</v>
      </c>
      <c r="Q569" s="8" t="s">
        <v>42</v>
      </c>
      <c r="R569" s="8" t="s">
        <v>32</v>
      </c>
      <c r="S569" s="8" t="b">
        <f>_xlfn.SINGLE(CleanedData[[#This Row],[Delivery Status]])="Late"</f>
        <v>1</v>
      </c>
      <c r="T569" s="10">
        <v>13</v>
      </c>
      <c r="U569" s="8" t="s">
        <v>112</v>
      </c>
      <c r="V569" s="10">
        <v>4639</v>
      </c>
      <c r="W569" s="10">
        <v>2</v>
      </c>
      <c r="X569" s="12">
        <v>2.5031289111388999E-3</v>
      </c>
      <c r="Y569" s="8" t="b">
        <f>CleanedData[[#This Row],[Ship Date]]&lt;CleanedData[[#This Row],[Order Date]]</f>
        <v>0</v>
      </c>
      <c r="Z569" s="10">
        <f>YEAR(CleanedData[[#This Row],[Order Date]])</f>
        <v>2023</v>
      </c>
      <c r="AA569" s="8">
        <f>MONTH(CleanedData[[#This Row],[Order Date]])</f>
        <v>3</v>
      </c>
    </row>
    <row r="570" spans="1:27" x14ac:dyDescent="0.35">
      <c r="A570" s="8" t="s">
        <v>1875</v>
      </c>
      <c r="B570" s="9">
        <v>44945</v>
      </c>
      <c r="C570" s="9">
        <v>45205</v>
      </c>
      <c r="D570" s="8" t="s">
        <v>1876</v>
      </c>
      <c r="E570" s="8" t="s">
        <v>58</v>
      </c>
      <c r="F570" s="8" t="s">
        <v>59</v>
      </c>
      <c r="G570" s="8" t="s">
        <v>60</v>
      </c>
      <c r="H570" s="8" t="s">
        <v>229</v>
      </c>
      <c r="I570" s="8" t="s">
        <v>4976</v>
      </c>
      <c r="J570" s="10">
        <v>524</v>
      </c>
      <c r="K570" s="11">
        <v>10.44</v>
      </c>
      <c r="L570" s="11">
        <v>16.75</v>
      </c>
      <c r="M570" s="11">
        <v>8777</v>
      </c>
      <c r="N570" s="11">
        <v>5470.56</v>
      </c>
      <c r="O570" s="11">
        <f>CleanedData[[#This Row],[Total Sales ($)]]-CleanedData[[#This Row],[Total Cost ($)]]</f>
        <v>3306.4399999999996</v>
      </c>
      <c r="P570" s="12">
        <f>CleanedData[[#This Row],[Profit ($)]]/CleanedData[[#This Row],[Total Sales ($)]]</f>
        <v>0.37671641791044774</v>
      </c>
      <c r="Q570" s="8" t="s">
        <v>95</v>
      </c>
      <c r="R570" s="8" t="s">
        <v>32</v>
      </c>
      <c r="S570" s="8" t="b">
        <f>_xlfn.SINGLE(CleanedData[[#This Row],[Delivery Status]])="Late"</f>
        <v>1</v>
      </c>
      <c r="T570" s="10">
        <v>13</v>
      </c>
      <c r="U570" s="8" t="s">
        <v>43</v>
      </c>
      <c r="V570" s="10">
        <v>933</v>
      </c>
      <c r="W570" s="10">
        <v>11</v>
      </c>
      <c r="X570" s="12">
        <v>2.0992366412213699E-2</v>
      </c>
      <c r="Y570" s="8" t="b">
        <f>CleanedData[[#This Row],[Ship Date]]&lt;CleanedData[[#This Row],[Order Date]]</f>
        <v>0</v>
      </c>
      <c r="Z570" s="10">
        <f>YEAR(CleanedData[[#This Row],[Order Date]])</f>
        <v>2023</v>
      </c>
      <c r="AA570" s="8">
        <f>MONTH(CleanedData[[#This Row],[Order Date]])</f>
        <v>1</v>
      </c>
    </row>
    <row r="571" spans="1:27" x14ac:dyDescent="0.35">
      <c r="A571" s="8" t="s">
        <v>1877</v>
      </c>
      <c r="B571" s="9">
        <v>44965</v>
      </c>
      <c r="C571" s="9">
        <v>45146</v>
      </c>
      <c r="D571" s="8" t="s">
        <v>1878</v>
      </c>
      <c r="E571" s="8" t="s">
        <v>100</v>
      </c>
      <c r="F571" s="8" t="s">
        <v>238</v>
      </c>
      <c r="G571" s="8" t="s">
        <v>28</v>
      </c>
      <c r="H571" s="8" t="s">
        <v>254</v>
      </c>
      <c r="I571" s="8" t="s">
        <v>4970</v>
      </c>
      <c r="J571" s="10">
        <v>26</v>
      </c>
      <c r="K571" s="11">
        <v>1120.55</v>
      </c>
      <c r="L571" s="11">
        <v>1686.17</v>
      </c>
      <c r="M571" s="11">
        <v>43840.42</v>
      </c>
      <c r="N571" s="11">
        <v>29134.3</v>
      </c>
      <c r="O571" s="11">
        <f>CleanedData[[#This Row],[Total Sales ($)]]-CleanedData[[#This Row],[Total Cost ($)]]</f>
        <v>14706.119999999999</v>
      </c>
      <c r="P571" s="12">
        <f>CleanedData[[#This Row],[Profit ($)]]/CleanedData[[#This Row],[Total Sales ($)]]</f>
        <v>0.33544660384184277</v>
      </c>
      <c r="Q571" s="8" t="s">
        <v>42</v>
      </c>
      <c r="R571" s="8" t="s">
        <v>32</v>
      </c>
      <c r="S571" s="8" t="b">
        <f>_xlfn.SINGLE(CleanedData[[#This Row],[Delivery Status]])="Late"</f>
        <v>1</v>
      </c>
      <c r="T571" s="10">
        <v>8</v>
      </c>
      <c r="U571" s="8" t="s">
        <v>53</v>
      </c>
      <c r="V571" s="10">
        <v>2386</v>
      </c>
      <c r="W571" s="10">
        <v>1</v>
      </c>
      <c r="X571" s="12">
        <v>3.8461538461538401E-2</v>
      </c>
      <c r="Y571" s="8" t="b">
        <f>CleanedData[[#This Row],[Ship Date]]&lt;CleanedData[[#This Row],[Order Date]]</f>
        <v>0</v>
      </c>
      <c r="Z571" s="10">
        <f>YEAR(CleanedData[[#This Row],[Order Date]])</f>
        <v>2023</v>
      </c>
      <c r="AA571" s="8">
        <f>MONTH(CleanedData[[#This Row],[Order Date]])</f>
        <v>2</v>
      </c>
    </row>
    <row r="572" spans="1:27" x14ac:dyDescent="0.35">
      <c r="A572" s="8" t="s">
        <v>1879</v>
      </c>
      <c r="B572" s="9">
        <v>45618</v>
      </c>
      <c r="C572" s="9">
        <v>45353</v>
      </c>
      <c r="D572" s="8" t="s">
        <v>1880</v>
      </c>
      <c r="E572" s="8" t="s">
        <v>68</v>
      </c>
      <c r="F572" s="8" t="s">
        <v>163</v>
      </c>
      <c r="G572" s="8" t="s">
        <v>50</v>
      </c>
      <c r="H572" s="8" t="s">
        <v>260</v>
      </c>
      <c r="I572" s="8" t="s">
        <v>4968</v>
      </c>
      <c r="J572" s="10">
        <v>71</v>
      </c>
      <c r="K572" s="11">
        <v>220.67</v>
      </c>
      <c r="L572" s="11">
        <v>356.06</v>
      </c>
      <c r="M572" s="11">
        <v>25280.26</v>
      </c>
      <c r="N572" s="11">
        <v>15667.57</v>
      </c>
      <c r="O572" s="11">
        <f>CleanedData[[#This Row],[Total Sales ($)]]-CleanedData[[#This Row],[Total Cost ($)]]</f>
        <v>9612.6899999999987</v>
      </c>
      <c r="P572" s="12">
        <f>CleanedData[[#This Row],[Profit ($)]]/CleanedData[[#This Row],[Total Sales ($)]]</f>
        <v>0.38024490254451493</v>
      </c>
      <c r="Q572" s="8" t="s">
        <v>42</v>
      </c>
      <c r="R572" s="8" t="s">
        <v>32</v>
      </c>
      <c r="S572" s="8" t="b">
        <f>_xlfn.SINGLE(CleanedData[[#This Row],[Delivery Status]])="Late"</f>
        <v>1</v>
      </c>
      <c r="T572" s="10">
        <v>0</v>
      </c>
      <c r="U572" s="8" t="s">
        <v>112</v>
      </c>
      <c r="V572" s="10">
        <v>2077</v>
      </c>
      <c r="W572" s="10">
        <v>2</v>
      </c>
      <c r="X572" s="12">
        <v>2.8169014084507001E-2</v>
      </c>
      <c r="Y572" s="8" t="b">
        <f>CleanedData[[#This Row],[Ship Date]]&lt;CleanedData[[#This Row],[Order Date]]</f>
        <v>1</v>
      </c>
      <c r="Z572" s="10">
        <f>YEAR(CleanedData[[#This Row],[Order Date]])</f>
        <v>2024</v>
      </c>
      <c r="AA572" s="8">
        <f>MONTH(CleanedData[[#This Row],[Order Date]])</f>
        <v>11</v>
      </c>
    </row>
    <row r="573" spans="1:27" x14ac:dyDescent="0.35">
      <c r="A573" s="8" t="s">
        <v>1881</v>
      </c>
      <c r="B573" s="9">
        <v>45344</v>
      </c>
      <c r="C573" s="9">
        <v>45466</v>
      </c>
      <c r="D573" s="8" t="s">
        <v>1883</v>
      </c>
      <c r="E573" s="8" t="s">
        <v>48</v>
      </c>
      <c r="F573" s="8" t="s">
        <v>223</v>
      </c>
      <c r="G573" s="8" t="s">
        <v>50</v>
      </c>
      <c r="H573" s="8" t="s">
        <v>135</v>
      </c>
      <c r="I573" s="8" t="s">
        <v>4979</v>
      </c>
      <c r="J573" s="10">
        <v>63</v>
      </c>
      <c r="K573" s="11"/>
      <c r="L573" s="11">
        <v>286.81</v>
      </c>
      <c r="M573" s="11">
        <v>18069.03</v>
      </c>
      <c r="N573" s="11">
        <v>14757.75</v>
      </c>
      <c r="O573" s="11">
        <f>CleanedData[[#This Row],[Total Sales ($)]]-CleanedData[[#This Row],[Total Cost ($)]]</f>
        <v>3311.2799999999988</v>
      </c>
      <c r="P573" s="12">
        <f>CleanedData[[#This Row],[Profit ($)]]/CleanedData[[#This Row],[Total Sales ($)]]</f>
        <v>0.18325720860499978</v>
      </c>
      <c r="Q573" s="8" t="s">
        <v>95</v>
      </c>
      <c r="R573" s="8" t="s">
        <v>32</v>
      </c>
      <c r="S573" s="8" t="b">
        <f>_xlfn.SINGLE(CleanedData[[#This Row],[Delivery Status]])="Late"</f>
        <v>1</v>
      </c>
      <c r="T573" s="10">
        <v>10</v>
      </c>
      <c r="U573" s="8" t="s">
        <v>158</v>
      </c>
      <c r="V573" s="10">
        <v>1562</v>
      </c>
      <c r="W573" s="10">
        <v>1</v>
      </c>
      <c r="X573" s="12">
        <v>1.5873015873015799E-2</v>
      </c>
      <c r="Y573" s="8" t="b">
        <f>CleanedData[[#This Row],[Ship Date]]&lt;CleanedData[[#This Row],[Order Date]]</f>
        <v>0</v>
      </c>
      <c r="Z573" s="10">
        <f>YEAR(CleanedData[[#This Row],[Order Date]])</f>
        <v>2024</v>
      </c>
      <c r="AA573" s="8">
        <f>MONTH(CleanedData[[#This Row],[Order Date]])</f>
        <v>2</v>
      </c>
    </row>
    <row r="574" spans="1:27" x14ac:dyDescent="0.35">
      <c r="A574" s="8" t="s">
        <v>1884</v>
      </c>
      <c r="B574" s="9">
        <v>45000</v>
      </c>
      <c r="C574" s="9">
        <v>45272</v>
      </c>
      <c r="D574" s="8" t="s">
        <v>1885</v>
      </c>
      <c r="E574" s="8" t="s">
        <v>48</v>
      </c>
      <c r="F574" s="8" t="s">
        <v>183</v>
      </c>
      <c r="G574" s="8" t="s">
        <v>50</v>
      </c>
      <c r="H574" s="8" t="s">
        <v>260</v>
      </c>
      <c r="I574" s="8" t="s">
        <v>4973</v>
      </c>
      <c r="J574" s="10">
        <v>473</v>
      </c>
      <c r="K574" s="11">
        <v>831.98</v>
      </c>
      <c r="L574" s="11">
        <v>1166.8599999999999</v>
      </c>
      <c r="M574" s="11">
        <v>551924.78</v>
      </c>
      <c r="N574" s="11">
        <v>393526.54</v>
      </c>
      <c r="O574" s="11">
        <f>CleanedData[[#This Row],[Total Sales ($)]]-CleanedData[[#This Row],[Total Cost ($)]]</f>
        <v>158398.24000000005</v>
      </c>
      <c r="P574" s="12">
        <f>CleanedData[[#This Row],[Profit ($)]]/CleanedData[[#This Row],[Total Sales ($)]]</f>
        <v>0.28699244125259249</v>
      </c>
      <c r="Q574" s="8" t="s">
        <v>42</v>
      </c>
      <c r="R574" s="8" t="s">
        <v>32</v>
      </c>
      <c r="S574" s="8" t="b">
        <f>_xlfn.SINGLE(CleanedData[[#This Row],[Delivery Status]])="Late"</f>
        <v>1</v>
      </c>
      <c r="T574" s="10">
        <v>11</v>
      </c>
      <c r="U574" s="8" t="s">
        <v>158</v>
      </c>
      <c r="V574" s="10">
        <v>1753</v>
      </c>
      <c r="W574" s="10">
        <v>5</v>
      </c>
      <c r="X574" s="12">
        <v>1.0570824524312799E-2</v>
      </c>
      <c r="Y574" s="8" t="b">
        <f>CleanedData[[#This Row],[Ship Date]]&lt;CleanedData[[#This Row],[Order Date]]</f>
        <v>0</v>
      </c>
      <c r="Z574" s="10">
        <f>YEAR(CleanedData[[#This Row],[Order Date]])</f>
        <v>2023</v>
      </c>
      <c r="AA574" s="8">
        <f>MONTH(CleanedData[[#This Row],[Order Date]])</f>
        <v>3</v>
      </c>
    </row>
    <row r="575" spans="1:27" x14ac:dyDescent="0.35">
      <c r="A575" s="8" t="s">
        <v>1886</v>
      </c>
      <c r="B575" s="9">
        <v>45257</v>
      </c>
      <c r="C575" s="9">
        <v>45092</v>
      </c>
      <c r="D575" s="8" t="s">
        <v>1888</v>
      </c>
      <c r="E575" s="8" t="s">
        <v>26</v>
      </c>
      <c r="F575" s="8" t="s">
        <v>77</v>
      </c>
      <c r="G575" s="8" t="s">
        <v>129</v>
      </c>
      <c r="H575" s="8" t="s">
        <v>168</v>
      </c>
      <c r="I575" s="8" t="s">
        <v>4970</v>
      </c>
      <c r="J575" s="10">
        <v>543</v>
      </c>
      <c r="K575" s="11">
        <v>448.63</v>
      </c>
      <c r="L575" s="11">
        <v>674.96</v>
      </c>
      <c r="M575" s="11">
        <v>366503.28</v>
      </c>
      <c r="N575" s="11">
        <v>243606.09</v>
      </c>
      <c r="O575" s="11">
        <f>CleanedData[[#This Row],[Total Sales ($)]]-CleanedData[[#This Row],[Total Cost ($)]]</f>
        <v>122897.19000000003</v>
      </c>
      <c r="P575" s="12">
        <f>CleanedData[[#This Row],[Profit ($)]]/CleanedData[[#This Row],[Total Sales ($)]]</f>
        <v>0.33532357473035446</v>
      </c>
      <c r="Q575" s="8" t="s">
        <v>42</v>
      </c>
      <c r="R575" s="8" t="s">
        <v>63</v>
      </c>
      <c r="S575" s="8" t="b">
        <f>_xlfn.SINGLE(CleanedData[[#This Row],[Delivery Status]])="Late"</f>
        <v>0</v>
      </c>
      <c r="T575" s="10">
        <v>3</v>
      </c>
      <c r="U575" s="8" t="s">
        <v>158</v>
      </c>
      <c r="V575" s="10">
        <v>1177</v>
      </c>
      <c r="W575" s="10">
        <v>12</v>
      </c>
      <c r="X575" s="12">
        <v>2.2099447513812102E-2</v>
      </c>
      <c r="Y575" s="8" t="b">
        <f>CleanedData[[#This Row],[Ship Date]]&lt;CleanedData[[#This Row],[Order Date]]</f>
        <v>1</v>
      </c>
      <c r="Z575" s="10">
        <f>YEAR(CleanedData[[#This Row],[Order Date]])</f>
        <v>2023</v>
      </c>
      <c r="AA575" s="8">
        <f>MONTH(CleanedData[[#This Row],[Order Date]])</f>
        <v>11</v>
      </c>
    </row>
    <row r="576" spans="1:27" x14ac:dyDescent="0.35">
      <c r="A576" s="8" t="s">
        <v>1889</v>
      </c>
      <c r="B576" s="9">
        <v>45620</v>
      </c>
      <c r="C576" s="9">
        <v>45558</v>
      </c>
      <c r="D576" s="8" t="s">
        <v>1891</v>
      </c>
      <c r="E576" s="8" t="s">
        <v>68</v>
      </c>
      <c r="F576" s="8" t="s">
        <v>249</v>
      </c>
      <c r="G576" s="8" t="s">
        <v>28</v>
      </c>
      <c r="H576" s="8" t="s">
        <v>507</v>
      </c>
      <c r="I576" s="8" t="s">
        <v>4967</v>
      </c>
      <c r="J576" s="10">
        <v>430</v>
      </c>
      <c r="K576" s="11">
        <v>1024.7</v>
      </c>
      <c r="L576" s="11">
        <v>1417.8</v>
      </c>
      <c r="M576" s="11">
        <v>609654</v>
      </c>
      <c r="N576" s="11">
        <v>440621</v>
      </c>
      <c r="O576" s="11">
        <f>CleanedData[[#This Row],[Total Sales ($)]]-CleanedData[[#This Row],[Total Cost ($)]]</f>
        <v>169033</v>
      </c>
      <c r="P576" s="12">
        <f>CleanedData[[#This Row],[Profit ($)]]/CleanedData[[#This Row],[Total Sales ($)]]</f>
        <v>0.27726054450557203</v>
      </c>
      <c r="Q576" s="8" t="s">
        <v>95</v>
      </c>
      <c r="R576" s="8" t="s">
        <v>32</v>
      </c>
      <c r="S576" s="8" t="b">
        <f>_xlfn.SINGLE(CleanedData[[#This Row],[Delivery Status]])="Late"</f>
        <v>1</v>
      </c>
      <c r="T576" s="10"/>
      <c r="U576" s="8" t="s">
        <v>43</v>
      </c>
      <c r="V576" s="10">
        <v>4656</v>
      </c>
      <c r="W576" s="10">
        <v>20</v>
      </c>
      <c r="X576" s="12">
        <v>4.6511627906976702E-2</v>
      </c>
      <c r="Y576" s="8" t="b">
        <f>CleanedData[[#This Row],[Ship Date]]&lt;CleanedData[[#This Row],[Order Date]]</f>
        <v>1</v>
      </c>
      <c r="Z576" s="10">
        <f>YEAR(CleanedData[[#This Row],[Order Date]])</f>
        <v>2024</v>
      </c>
      <c r="AA576" s="8">
        <f>MONTH(CleanedData[[#This Row],[Order Date]])</f>
        <v>11</v>
      </c>
    </row>
    <row r="577" spans="1:27" x14ac:dyDescent="0.35">
      <c r="A577" s="8" t="s">
        <v>1894</v>
      </c>
      <c r="B577" s="9">
        <v>45477</v>
      </c>
      <c r="C577" s="9">
        <v>45491</v>
      </c>
      <c r="D577" s="8" t="s">
        <v>1895</v>
      </c>
      <c r="E577" s="8" t="s">
        <v>48</v>
      </c>
      <c r="F577" s="8" t="s">
        <v>270</v>
      </c>
      <c r="G577" s="8" t="s">
        <v>39</v>
      </c>
      <c r="H577" s="8" t="s">
        <v>527</v>
      </c>
      <c r="I577" s="8" t="s">
        <v>4970</v>
      </c>
      <c r="J577" s="10">
        <v>187</v>
      </c>
      <c r="K577" s="11">
        <v>139.19</v>
      </c>
      <c r="L577" s="11">
        <v>165.65</v>
      </c>
      <c r="M577" s="11">
        <v>30976.55</v>
      </c>
      <c r="N577" s="11">
        <v>26028.53</v>
      </c>
      <c r="O577" s="11">
        <f>CleanedData[[#This Row],[Total Sales ($)]]-CleanedData[[#This Row],[Total Cost ($)]]</f>
        <v>4948.0200000000004</v>
      </c>
      <c r="P577" s="12">
        <f>CleanedData[[#This Row],[Profit ($)]]/CleanedData[[#This Row],[Total Sales ($)]]</f>
        <v>0.15973437971626925</v>
      </c>
      <c r="Q577" s="8" t="s">
        <v>52</v>
      </c>
      <c r="R577" s="8" t="s">
        <v>32</v>
      </c>
      <c r="S577" s="8" t="b">
        <f>_xlfn.SINGLE(CleanedData[[#This Row],[Delivery Status]])="Late"</f>
        <v>1</v>
      </c>
      <c r="T577" s="10">
        <v>11</v>
      </c>
      <c r="U577" s="8" t="s">
        <v>53</v>
      </c>
      <c r="V577" s="10">
        <v>2175</v>
      </c>
      <c r="W577" s="10">
        <v>0</v>
      </c>
      <c r="X577" s="12">
        <v>0</v>
      </c>
      <c r="Y577" s="8" t="b">
        <f>CleanedData[[#This Row],[Ship Date]]&lt;CleanedData[[#This Row],[Order Date]]</f>
        <v>0</v>
      </c>
      <c r="Z577" s="10">
        <f>YEAR(CleanedData[[#This Row],[Order Date]])</f>
        <v>2024</v>
      </c>
      <c r="AA577" s="8">
        <f>MONTH(CleanedData[[#This Row],[Order Date]])</f>
        <v>7</v>
      </c>
    </row>
    <row r="578" spans="1:27" x14ac:dyDescent="0.35">
      <c r="A578" s="8" t="s">
        <v>1896</v>
      </c>
      <c r="B578" s="9">
        <v>45037</v>
      </c>
      <c r="C578" s="9">
        <v>45052</v>
      </c>
      <c r="D578" s="8" t="s">
        <v>1897</v>
      </c>
      <c r="E578" s="8" t="s">
        <v>100</v>
      </c>
      <c r="F578" s="8" t="s">
        <v>238</v>
      </c>
      <c r="G578" s="8" t="s">
        <v>39</v>
      </c>
      <c r="H578" s="8" t="s">
        <v>527</v>
      </c>
      <c r="I578" s="8" t="s">
        <v>4967</v>
      </c>
      <c r="J578" s="10">
        <v>414</v>
      </c>
      <c r="K578" s="11">
        <v>504.66</v>
      </c>
      <c r="L578" s="11">
        <v>756.62</v>
      </c>
      <c r="M578" s="11">
        <v>313240.68</v>
      </c>
      <c r="N578" s="11">
        <v>208929.24</v>
      </c>
      <c r="O578" s="11">
        <f>CleanedData[[#This Row],[Total Sales ($)]]-CleanedData[[#This Row],[Total Cost ($)]]</f>
        <v>104311.44</v>
      </c>
      <c r="P578" s="12">
        <f>CleanedData[[#This Row],[Profit ($)]]/CleanedData[[#This Row],[Total Sales ($)]]</f>
        <v>0.33300732203748251</v>
      </c>
      <c r="Q578" s="8" t="s">
        <v>31</v>
      </c>
      <c r="R578" s="8" t="s">
        <v>63</v>
      </c>
      <c r="S578" s="8" t="b">
        <f>_xlfn.SINGLE(CleanedData[[#This Row],[Delivery Status]])="Late"</f>
        <v>0</v>
      </c>
      <c r="T578" s="10">
        <v>3</v>
      </c>
      <c r="U578" s="8" t="s">
        <v>112</v>
      </c>
      <c r="V578" s="10">
        <v>3328</v>
      </c>
      <c r="W578" s="10">
        <v>1</v>
      </c>
      <c r="X578" s="12">
        <v>2.4154589371979999E-3</v>
      </c>
      <c r="Y578" s="8" t="b">
        <f>CleanedData[[#This Row],[Ship Date]]&lt;CleanedData[[#This Row],[Order Date]]</f>
        <v>0</v>
      </c>
      <c r="Z578" s="10">
        <f>YEAR(CleanedData[[#This Row],[Order Date]])</f>
        <v>2023</v>
      </c>
      <c r="AA578" s="8">
        <f>MONTH(CleanedData[[#This Row],[Order Date]])</f>
        <v>4</v>
      </c>
    </row>
    <row r="579" spans="1:27" x14ac:dyDescent="0.35">
      <c r="A579" s="8" t="s">
        <v>1898</v>
      </c>
      <c r="B579" s="9">
        <v>45108</v>
      </c>
      <c r="C579" s="9">
        <v>45268</v>
      </c>
      <c r="D579" s="8" t="s">
        <v>1900</v>
      </c>
      <c r="E579" s="8" t="s">
        <v>100</v>
      </c>
      <c r="F579" s="8" t="s">
        <v>538</v>
      </c>
      <c r="G579" s="8" t="s">
        <v>129</v>
      </c>
      <c r="H579" s="8" t="s">
        <v>316</v>
      </c>
      <c r="I579" s="8" t="s">
        <v>4974</v>
      </c>
      <c r="J579" s="10">
        <v>759</v>
      </c>
      <c r="K579" s="11">
        <v>492.85</v>
      </c>
      <c r="L579" s="11">
        <v>577.46</v>
      </c>
      <c r="M579" s="11">
        <v>438292.14</v>
      </c>
      <c r="N579" s="11">
        <v>374073.15</v>
      </c>
      <c r="O579" s="11">
        <f>CleanedData[[#This Row],[Total Sales ($)]]-CleanedData[[#This Row],[Total Cost ($)]]</f>
        <v>64218.989999999991</v>
      </c>
      <c r="P579" s="12">
        <f>CleanedData[[#This Row],[Profit ($)]]/CleanedData[[#This Row],[Total Sales ($)]]</f>
        <v>0.14652097114951682</v>
      </c>
      <c r="Q579" s="8" t="s">
        <v>95</v>
      </c>
      <c r="R579" s="8" t="s">
        <v>32</v>
      </c>
      <c r="S579" s="8" t="b">
        <f>_xlfn.SINGLE(CleanedData[[#This Row],[Delivery Status]])="Late"</f>
        <v>1</v>
      </c>
      <c r="T579" s="10">
        <v>9</v>
      </c>
      <c r="U579" s="8" t="s">
        <v>112</v>
      </c>
      <c r="V579" s="10">
        <v>3111</v>
      </c>
      <c r="W579" s="10">
        <v>15</v>
      </c>
      <c r="X579" s="12">
        <v>1.9762845849802299E-2</v>
      </c>
      <c r="Y579" s="8" t="b">
        <f>CleanedData[[#This Row],[Ship Date]]&lt;CleanedData[[#This Row],[Order Date]]</f>
        <v>0</v>
      </c>
      <c r="Z579" s="10">
        <f>YEAR(CleanedData[[#This Row],[Order Date]])</f>
        <v>2023</v>
      </c>
      <c r="AA579" s="8">
        <f>MONTH(CleanedData[[#This Row],[Order Date]])</f>
        <v>7</v>
      </c>
    </row>
    <row r="580" spans="1:27" x14ac:dyDescent="0.35">
      <c r="A580" s="8" t="s">
        <v>1901</v>
      </c>
      <c r="B580" s="9">
        <v>45567</v>
      </c>
      <c r="C580" s="9">
        <v>45542</v>
      </c>
      <c r="D580" s="8" t="s">
        <v>1903</v>
      </c>
      <c r="E580" s="8" t="s">
        <v>26</v>
      </c>
      <c r="F580" s="8" t="s">
        <v>27</v>
      </c>
      <c r="G580" s="8" t="s">
        <v>60</v>
      </c>
      <c r="H580" s="8" t="s">
        <v>265</v>
      </c>
      <c r="I580" s="8" t="s">
        <v>4970</v>
      </c>
      <c r="J580" s="10">
        <v>201</v>
      </c>
      <c r="K580" s="11">
        <v>125.69</v>
      </c>
      <c r="L580" s="11">
        <v>156.43</v>
      </c>
      <c r="M580" s="11">
        <v>31442.43</v>
      </c>
      <c r="N580" s="11">
        <v>25263.69</v>
      </c>
      <c r="O580" s="11">
        <f>CleanedData[[#This Row],[Total Sales ($)]]-CleanedData[[#This Row],[Total Cost ($)]]</f>
        <v>6178.7400000000016</v>
      </c>
      <c r="P580" s="12">
        <f>CleanedData[[#This Row],[Profit ($)]]/CleanedData[[#This Row],[Total Sales ($)]]</f>
        <v>0.19650962091670401</v>
      </c>
      <c r="Q580" s="8" t="s">
        <v>31</v>
      </c>
      <c r="R580" s="8" t="s">
        <v>32</v>
      </c>
      <c r="S580" s="8" t="b">
        <f>_xlfn.SINGLE(CleanedData[[#This Row],[Delivery Status]])="Late"</f>
        <v>1</v>
      </c>
      <c r="T580" s="10">
        <v>13</v>
      </c>
      <c r="U580" s="8" t="s">
        <v>33</v>
      </c>
      <c r="V580" s="10">
        <v>3177</v>
      </c>
      <c r="W580" s="10">
        <v>1</v>
      </c>
      <c r="X580" s="12">
        <v>4.9751243781093997E-3</v>
      </c>
      <c r="Y580" s="8" t="b">
        <f>CleanedData[[#This Row],[Ship Date]]&lt;CleanedData[[#This Row],[Order Date]]</f>
        <v>1</v>
      </c>
      <c r="Z580" s="10">
        <f>YEAR(CleanedData[[#This Row],[Order Date]])</f>
        <v>2024</v>
      </c>
      <c r="AA580" s="8">
        <f>MONTH(CleanedData[[#This Row],[Order Date]])</f>
        <v>10</v>
      </c>
    </row>
    <row r="581" spans="1:27" x14ac:dyDescent="0.35">
      <c r="A581" s="8" t="s">
        <v>1904</v>
      </c>
      <c r="B581" s="9">
        <v>45145</v>
      </c>
      <c r="C581" s="9">
        <v>45209</v>
      </c>
      <c r="D581" s="8" t="s">
        <v>1905</v>
      </c>
      <c r="E581" s="8" t="s">
        <v>100</v>
      </c>
      <c r="F581" s="8" t="s">
        <v>106</v>
      </c>
      <c r="G581" s="8" t="s">
        <v>217</v>
      </c>
      <c r="H581" s="8" t="s">
        <v>292</v>
      </c>
      <c r="I581" s="8" t="s">
        <v>4967</v>
      </c>
      <c r="J581" s="10">
        <v>19</v>
      </c>
      <c r="K581" s="11">
        <v>667.03</v>
      </c>
      <c r="L581" s="11">
        <v>1041.52</v>
      </c>
      <c r="M581" s="11">
        <v>19788.88</v>
      </c>
      <c r="N581" s="11">
        <v>12673.57</v>
      </c>
      <c r="O581" s="11">
        <f>CleanedData[[#This Row],[Total Sales ($)]]-CleanedData[[#This Row],[Total Cost ($)]]</f>
        <v>7115.3100000000013</v>
      </c>
      <c r="P581" s="12">
        <f>CleanedData[[#This Row],[Profit ($)]]/CleanedData[[#This Row],[Total Sales ($)]]</f>
        <v>0.35956102619248798</v>
      </c>
      <c r="Q581" s="8" t="s">
        <v>52</v>
      </c>
      <c r="R581" s="8" t="s">
        <v>32</v>
      </c>
      <c r="S581" s="8" t="b">
        <f>_xlfn.SINGLE(CleanedData[[#This Row],[Delivery Status]])="Late"</f>
        <v>1</v>
      </c>
      <c r="T581" s="10">
        <v>11</v>
      </c>
      <c r="U581" s="8" t="s">
        <v>112</v>
      </c>
      <c r="V581" s="10">
        <v>2477</v>
      </c>
      <c r="W581" s="10">
        <v>0</v>
      </c>
      <c r="X581" s="12">
        <v>0</v>
      </c>
      <c r="Y581" s="8" t="b">
        <f>CleanedData[[#This Row],[Ship Date]]&lt;CleanedData[[#This Row],[Order Date]]</f>
        <v>0</v>
      </c>
      <c r="Z581" s="10">
        <f>YEAR(CleanedData[[#This Row],[Order Date]])</f>
        <v>2023</v>
      </c>
      <c r="AA581" s="8">
        <f>MONTH(CleanedData[[#This Row],[Order Date]])</f>
        <v>8</v>
      </c>
    </row>
    <row r="582" spans="1:27" x14ac:dyDescent="0.35">
      <c r="A582" s="8" t="s">
        <v>1906</v>
      </c>
      <c r="B582" s="9">
        <v>45073</v>
      </c>
      <c r="C582" s="9">
        <v>44937</v>
      </c>
      <c r="D582" s="8" t="s">
        <v>1907</v>
      </c>
      <c r="E582" s="8" t="s">
        <v>26</v>
      </c>
      <c r="F582" s="8" t="s">
        <v>38</v>
      </c>
      <c r="G582" s="8" t="s">
        <v>129</v>
      </c>
      <c r="H582" s="8" t="s">
        <v>130</v>
      </c>
      <c r="I582" s="8" t="s">
        <v>4969</v>
      </c>
      <c r="J582" s="10">
        <v>679</v>
      </c>
      <c r="K582" s="11">
        <v>237.41</v>
      </c>
      <c r="L582" s="11">
        <v>312.81</v>
      </c>
      <c r="M582" s="11">
        <v>212397.99</v>
      </c>
      <c r="N582" s="11">
        <v>161201.39000000001</v>
      </c>
      <c r="O582" s="11">
        <f>CleanedData[[#This Row],[Total Sales ($)]]-CleanedData[[#This Row],[Total Cost ($)]]</f>
        <v>51196.599999999977</v>
      </c>
      <c r="P582" s="12">
        <f>CleanedData[[#This Row],[Profit ($)]]/CleanedData[[#This Row],[Total Sales ($)]]</f>
        <v>0.24104088743965976</v>
      </c>
      <c r="Q582" s="8" t="s">
        <v>95</v>
      </c>
      <c r="R582" s="8" t="s">
        <v>32</v>
      </c>
      <c r="S582" s="8" t="b">
        <f>_xlfn.SINGLE(CleanedData[[#This Row],[Delivery Status]])="Late"</f>
        <v>1</v>
      </c>
      <c r="T582" s="10">
        <v>10</v>
      </c>
      <c r="U582" s="8" t="s">
        <v>158</v>
      </c>
      <c r="V582" s="10">
        <v>984</v>
      </c>
      <c r="W582" s="10">
        <v>27</v>
      </c>
      <c r="X582" s="12">
        <v>3.9764359351988202E-2</v>
      </c>
      <c r="Y582" s="8" t="b">
        <f>CleanedData[[#This Row],[Ship Date]]&lt;CleanedData[[#This Row],[Order Date]]</f>
        <v>1</v>
      </c>
      <c r="Z582" s="10">
        <f>YEAR(CleanedData[[#This Row],[Order Date]])</f>
        <v>2023</v>
      </c>
      <c r="AA582" s="8">
        <f>MONTH(CleanedData[[#This Row],[Order Date]])</f>
        <v>5</v>
      </c>
    </row>
    <row r="583" spans="1:27" x14ac:dyDescent="0.35">
      <c r="A583" s="8" t="s">
        <v>1908</v>
      </c>
      <c r="B583" s="9">
        <v>45153</v>
      </c>
      <c r="C583" s="9">
        <v>45190</v>
      </c>
      <c r="D583" s="8" t="s">
        <v>1910</v>
      </c>
      <c r="E583" s="8" t="s">
        <v>58</v>
      </c>
      <c r="F583" s="8" t="s">
        <v>259</v>
      </c>
      <c r="G583" s="8" t="s">
        <v>189</v>
      </c>
      <c r="H583" s="8" t="s">
        <v>437</v>
      </c>
      <c r="I583" s="8" t="s">
        <v>4978</v>
      </c>
      <c r="J583" s="10">
        <v>744</v>
      </c>
      <c r="K583" s="11">
        <v>446.6</v>
      </c>
      <c r="L583" s="11">
        <v>644.5</v>
      </c>
      <c r="M583" s="11">
        <v>479508</v>
      </c>
      <c r="N583" s="11">
        <v>332270.40000000002</v>
      </c>
      <c r="O583" s="11">
        <f>CleanedData[[#This Row],[Total Sales ($)]]-CleanedData[[#This Row],[Total Cost ($)]]</f>
        <v>147237.59999999998</v>
      </c>
      <c r="P583" s="12">
        <f>CleanedData[[#This Row],[Profit ($)]]/CleanedData[[#This Row],[Total Sales ($)]]</f>
        <v>0.30705973622963534</v>
      </c>
      <c r="Q583" s="8" t="s">
        <v>52</v>
      </c>
      <c r="R583" s="8" t="s">
        <v>32</v>
      </c>
      <c r="S583" s="8" t="b">
        <f>_xlfn.SINGLE(CleanedData[[#This Row],[Delivery Status]])="Late"</f>
        <v>1</v>
      </c>
      <c r="T583" s="10">
        <v>10</v>
      </c>
      <c r="U583" s="8" t="s">
        <v>86</v>
      </c>
      <c r="V583" s="10">
        <v>65</v>
      </c>
      <c r="W583" s="10">
        <v>14</v>
      </c>
      <c r="X583" s="12">
        <v>1.88172043010752E-2</v>
      </c>
      <c r="Y583" s="8" t="b">
        <f>CleanedData[[#This Row],[Ship Date]]&lt;CleanedData[[#This Row],[Order Date]]</f>
        <v>0</v>
      </c>
      <c r="Z583" s="10">
        <f>YEAR(CleanedData[[#This Row],[Order Date]])</f>
        <v>2023</v>
      </c>
      <c r="AA583" s="8">
        <f>MONTH(CleanedData[[#This Row],[Order Date]])</f>
        <v>8</v>
      </c>
    </row>
    <row r="584" spans="1:27" x14ac:dyDescent="0.35">
      <c r="A584" s="8" t="s">
        <v>1911</v>
      </c>
      <c r="B584" s="9">
        <v>45598</v>
      </c>
      <c r="C584" s="9">
        <v>45391</v>
      </c>
      <c r="D584" s="8" t="s">
        <v>1914</v>
      </c>
      <c r="E584" s="8" t="s">
        <v>26</v>
      </c>
      <c r="F584" s="8" t="s">
        <v>1576</v>
      </c>
      <c r="G584" s="8" t="s">
        <v>28</v>
      </c>
      <c r="H584" s="8" t="s">
        <v>212</v>
      </c>
      <c r="I584" s="8" t="s">
        <v>4976</v>
      </c>
      <c r="J584" s="10">
        <v>231</v>
      </c>
      <c r="K584" s="11">
        <v>857.64</v>
      </c>
      <c r="L584" s="11">
        <v>1006.32</v>
      </c>
      <c r="M584" s="11">
        <v>232459.92</v>
      </c>
      <c r="N584" s="11">
        <v>198114.84</v>
      </c>
      <c r="O584" s="11">
        <f>CleanedData[[#This Row],[Total Sales ($)]]-CleanedData[[#This Row],[Total Cost ($)]]</f>
        <v>34345.080000000016</v>
      </c>
      <c r="P584" s="12">
        <f>CleanedData[[#This Row],[Profit ($)]]/CleanedData[[#This Row],[Total Sales ($)]]</f>
        <v>0.14774624373956602</v>
      </c>
      <c r="Q584" s="8" t="s">
        <v>52</v>
      </c>
      <c r="R584" s="8" t="s">
        <v>63</v>
      </c>
      <c r="S584" s="8" t="b">
        <f>_xlfn.SINGLE(CleanedData[[#This Row],[Delivery Status]])="Late"</f>
        <v>0</v>
      </c>
      <c r="T584" s="10">
        <v>3</v>
      </c>
      <c r="U584" s="8" t="s">
        <v>158</v>
      </c>
      <c r="V584" s="10">
        <v>1554</v>
      </c>
      <c r="W584" s="10">
        <v>5</v>
      </c>
      <c r="X584" s="12">
        <v>2.1645021645021599E-2</v>
      </c>
      <c r="Y584" s="8" t="b">
        <f>CleanedData[[#This Row],[Ship Date]]&lt;CleanedData[[#This Row],[Order Date]]</f>
        <v>1</v>
      </c>
      <c r="Z584" s="10">
        <f>YEAR(CleanedData[[#This Row],[Order Date]])</f>
        <v>2024</v>
      </c>
      <c r="AA584" s="8">
        <f>MONTH(CleanedData[[#This Row],[Order Date]])</f>
        <v>11</v>
      </c>
    </row>
    <row r="585" spans="1:27" x14ac:dyDescent="0.35">
      <c r="A585" s="8" t="s">
        <v>1915</v>
      </c>
      <c r="B585" s="9">
        <v>45165</v>
      </c>
      <c r="C585" s="9">
        <v>45253</v>
      </c>
      <c r="D585" s="8" t="s">
        <v>1916</v>
      </c>
      <c r="E585" s="8" t="s">
        <v>100</v>
      </c>
      <c r="F585" s="8" t="s">
        <v>330</v>
      </c>
      <c r="G585" s="8" t="s">
        <v>70</v>
      </c>
      <c r="H585" s="8" t="s">
        <v>239</v>
      </c>
      <c r="I585" s="8" t="s">
        <v>4969</v>
      </c>
      <c r="J585" s="10">
        <v>533</v>
      </c>
      <c r="K585" s="11">
        <v>564.27</v>
      </c>
      <c r="L585" s="11">
        <v>694.58</v>
      </c>
      <c r="M585" s="11">
        <v>370211.14</v>
      </c>
      <c r="N585" s="11">
        <v>300755.90999999997</v>
      </c>
      <c r="O585" s="11">
        <f>CleanedData[[#This Row],[Total Sales ($)]]-CleanedData[[#This Row],[Total Cost ($)]]</f>
        <v>69455.23000000004</v>
      </c>
      <c r="P585" s="12">
        <f>CleanedData[[#This Row],[Profit ($)]]/CleanedData[[#This Row],[Total Sales ($)]]</f>
        <v>0.18760977857122299</v>
      </c>
      <c r="Q585" s="8" t="s">
        <v>95</v>
      </c>
      <c r="R585" s="8" t="s">
        <v>32</v>
      </c>
      <c r="S585" s="8" t="b">
        <f>_xlfn.SINGLE(CleanedData[[#This Row],[Delivery Status]])="Late"</f>
        <v>1</v>
      </c>
      <c r="T585" s="10">
        <v>12</v>
      </c>
      <c r="U585" s="8" t="s">
        <v>33</v>
      </c>
      <c r="V585" s="10">
        <v>4769</v>
      </c>
      <c r="W585" s="10">
        <v>13</v>
      </c>
      <c r="X585" s="12">
        <v>2.4390243902439001E-2</v>
      </c>
      <c r="Y585" s="8" t="b">
        <f>CleanedData[[#This Row],[Ship Date]]&lt;CleanedData[[#This Row],[Order Date]]</f>
        <v>0</v>
      </c>
      <c r="Z585" s="10">
        <f>YEAR(CleanedData[[#This Row],[Order Date]])</f>
        <v>2023</v>
      </c>
      <c r="AA585" s="8">
        <f>MONTH(CleanedData[[#This Row],[Order Date]])</f>
        <v>8</v>
      </c>
    </row>
    <row r="586" spans="1:27" x14ac:dyDescent="0.35">
      <c r="A586" s="8" t="s">
        <v>1917</v>
      </c>
      <c r="B586" s="9">
        <v>45255</v>
      </c>
      <c r="C586" s="9">
        <v>45172</v>
      </c>
      <c r="D586" s="8" t="s">
        <v>1918</v>
      </c>
      <c r="E586" s="8" t="s">
        <v>100</v>
      </c>
      <c r="F586" s="8" t="s">
        <v>330</v>
      </c>
      <c r="G586" s="8" t="s">
        <v>129</v>
      </c>
      <c r="H586" s="8" t="s">
        <v>316</v>
      </c>
      <c r="I586" s="8" t="s">
        <v>4970</v>
      </c>
      <c r="J586" s="10">
        <v>507</v>
      </c>
      <c r="K586" s="11">
        <v>198.95</v>
      </c>
      <c r="L586" s="11">
        <v>249.14</v>
      </c>
      <c r="M586" s="11">
        <v>126313.98</v>
      </c>
      <c r="N586" s="11">
        <v>100867.65</v>
      </c>
      <c r="O586" s="11">
        <f>CleanedData[[#This Row],[Total Sales ($)]]-CleanedData[[#This Row],[Total Cost ($)]]</f>
        <v>25446.33</v>
      </c>
      <c r="P586" s="12">
        <f>CleanedData[[#This Row],[Profit ($)]]/CleanedData[[#This Row],[Total Sales ($)]]</f>
        <v>0.20145299831420088</v>
      </c>
      <c r="Q586" s="8" t="s">
        <v>52</v>
      </c>
      <c r="R586" s="8" t="s">
        <v>63</v>
      </c>
      <c r="S586" s="8" t="b">
        <f>_xlfn.SINGLE(CleanedData[[#This Row],[Delivery Status]])="Late"</f>
        <v>0</v>
      </c>
      <c r="T586" s="10">
        <v>1</v>
      </c>
      <c r="U586" s="8" t="s">
        <v>112</v>
      </c>
      <c r="V586" s="10">
        <v>1501</v>
      </c>
      <c r="W586" s="10">
        <v>18</v>
      </c>
      <c r="X586" s="12">
        <v>3.5502958579881602E-2</v>
      </c>
      <c r="Y586" s="8" t="b">
        <f>CleanedData[[#This Row],[Ship Date]]&lt;CleanedData[[#This Row],[Order Date]]</f>
        <v>1</v>
      </c>
      <c r="Z586" s="10">
        <f>YEAR(CleanedData[[#This Row],[Order Date]])</f>
        <v>2023</v>
      </c>
      <c r="AA586" s="8">
        <f>MONTH(CleanedData[[#This Row],[Order Date]])</f>
        <v>11</v>
      </c>
    </row>
    <row r="587" spans="1:27" x14ac:dyDescent="0.35">
      <c r="A587" s="8" t="s">
        <v>1919</v>
      </c>
      <c r="B587" s="9">
        <v>45056</v>
      </c>
      <c r="C587" s="9">
        <v>44941</v>
      </c>
      <c r="D587" s="8" t="s">
        <v>1920</v>
      </c>
      <c r="E587" s="8" t="s">
        <v>48</v>
      </c>
      <c r="F587" s="8" t="s">
        <v>223</v>
      </c>
      <c r="G587" s="8" t="s">
        <v>93</v>
      </c>
      <c r="H587" s="8" t="s">
        <v>184</v>
      </c>
      <c r="I587" s="8" t="s">
        <v>4979</v>
      </c>
      <c r="J587" s="10">
        <v>301</v>
      </c>
      <c r="K587" s="11">
        <v>312.18</v>
      </c>
      <c r="L587" s="11">
        <v>497.54</v>
      </c>
      <c r="M587" s="11">
        <v>149759.54</v>
      </c>
      <c r="N587" s="11">
        <v>93966.18</v>
      </c>
      <c r="O587" s="11">
        <f>CleanedData[[#This Row],[Total Sales ($)]]-CleanedData[[#This Row],[Total Cost ($)]]</f>
        <v>55793.360000000015</v>
      </c>
      <c r="P587" s="12">
        <f>CleanedData[[#This Row],[Profit ($)]]/CleanedData[[#This Row],[Total Sales ($)]]</f>
        <v>0.37255296056598475</v>
      </c>
      <c r="Q587" s="8" t="s">
        <v>95</v>
      </c>
      <c r="R587" s="8" t="s">
        <v>63</v>
      </c>
      <c r="S587" s="8" t="b">
        <f>_xlfn.SINGLE(CleanedData[[#This Row],[Delivery Status]])="Late"</f>
        <v>0</v>
      </c>
      <c r="T587" s="10">
        <v>4</v>
      </c>
      <c r="U587" s="8" t="s">
        <v>43</v>
      </c>
      <c r="V587" s="10">
        <v>1959</v>
      </c>
      <c r="W587" s="10">
        <v>2</v>
      </c>
      <c r="X587" s="12">
        <v>6.6445182724251999E-3</v>
      </c>
      <c r="Y587" s="8" t="b">
        <f>CleanedData[[#This Row],[Ship Date]]&lt;CleanedData[[#This Row],[Order Date]]</f>
        <v>1</v>
      </c>
      <c r="Z587" s="10">
        <f>YEAR(CleanedData[[#This Row],[Order Date]])</f>
        <v>2023</v>
      </c>
      <c r="AA587" s="8">
        <f>MONTH(CleanedData[[#This Row],[Order Date]])</f>
        <v>5</v>
      </c>
    </row>
    <row r="588" spans="1:27" x14ac:dyDescent="0.35">
      <c r="A588" s="8" t="s">
        <v>1921</v>
      </c>
      <c r="B588" s="9">
        <v>45097</v>
      </c>
      <c r="C588" s="9">
        <v>45039</v>
      </c>
      <c r="D588" s="8" t="s">
        <v>1922</v>
      </c>
      <c r="E588" s="8" t="s">
        <v>26</v>
      </c>
      <c r="F588" s="8" t="s">
        <v>92</v>
      </c>
      <c r="G588" s="8" t="s">
        <v>189</v>
      </c>
      <c r="H588" s="8" t="s">
        <v>365</v>
      </c>
      <c r="I588" s="8" t="s">
        <v>4968</v>
      </c>
      <c r="J588" s="10">
        <v>107</v>
      </c>
      <c r="K588" s="11">
        <v>117.11</v>
      </c>
      <c r="L588" s="11">
        <v>187.74</v>
      </c>
      <c r="M588" s="11">
        <v>20088.18</v>
      </c>
      <c r="N588" s="11">
        <v>12530.77</v>
      </c>
      <c r="O588" s="11">
        <f>CleanedData[[#This Row],[Total Sales ($)]]-CleanedData[[#This Row],[Total Cost ($)]]</f>
        <v>7557.41</v>
      </c>
      <c r="P588" s="12">
        <f>CleanedData[[#This Row],[Profit ($)]]/CleanedData[[#This Row],[Total Sales ($)]]</f>
        <v>0.37621178225205071</v>
      </c>
      <c r="Q588" s="8" t="s">
        <v>42</v>
      </c>
      <c r="R588" s="8" t="s">
        <v>32</v>
      </c>
      <c r="S588" s="8" t="b">
        <f>_xlfn.SINGLE(CleanedData[[#This Row],[Delivery Status]])="Late"</f>
        <v>1</v>
      </c>
      <c r="T588" s="10">
        <v>14</v>
      </c>
      <c r="U588" s="8" t="s">
        <v>158</v>
      </c>
      <c r="V588" s="10">
        <v>1882</v>
      </c>
      <c r="W588" s="10">
        <v>0</v>
      </c>
      <c r="X588" s="12">
        <v>0</v>
      </c>
      <c r="Y588" s="8" t="b">
        <f>CleanedData[[#This Row],[Ship Date]]&lt;CleanedData[[#This Row],[Order Date]]</f>
        <v>1</v>
      </c>
      <c r="Z588" s="10">
        <f>YEAR(CleanedData[[#This Row],[Order Date]])</f>
        <v>2023</v>
      </c>
      <c r="AA588" s="8">
        <f>MONTH(CleanedData[[#This Row],[Order Date]])</f>
        <v>6</v>
      </c>
    </row>
    <row r="589" spans="1:27" x14ac:dyDescent="0.35">
      <c r="A589" s="8" t="s">
        <v>1923</v>
      </c>
      <c r="B589" s="9">
        <v>44927</v>
      </c>
      <c r="C589" s="9">
        <v>45147</v>
      </c>
      <c r="D589" s="8" t="s">
        <v>1924</v>
      </c>
      <c r="E589" s="8" t="s">
        <v>48</v>
      </c>
      <c r="F589" s="8" t="s">
        <v>270</v>
      </c>
      <c r="G589" s="8" t="s">
        <v>217</v>
      </c>
      <c r="H589" s="8" t="s">
        <v>725</v>
      </c>
      <c r="I589" s="8" t="s">
        <v>4979</v>
      </c>
      <c r="J589" s="10">
        <v>436</v>
      </c>
      <c r="K589" s="11">
        <v>1193.71</v>
      </c>
      <c r="L589" s="11">
        <v>1445.36</v>
      </c>
      <c r="M589" s="11">
        <v>630176.96</v>
      </c>
      <c r="N589" s="11">
        <v>520457.56</v>
      </c>
      <c r="O589" s="11">
        <f>CleanedData[[#This Row],[Total Sales ($)]]-CleanedData[[#This Row],[Total Cost ($)]]</f>
        <v>109719.39999999997</v>
      </c>
      <c r="P589" s="12">
        <f>CleanedData[[#This Row],[Profit ($)]]/CleanedData[[#This Row],[Total Sales ($)]]</f>
        <v>0.17410887253002708</v>
      </c>
      <c r="Q589" s="8" t="s">
        <v>42</v>
      </c>
      <c r="R589" s="8" t="s">
        <v>32</v>
      </c>
      <c r="S589" s="8" t="b">
        <f>_xlfn.SINGLE(CleanedData[[#This Row],[Delivery Status]])="Late"</f>
        <v>1</v>
      </c>
      <c r="T589" s="10">
        <v>6</v>
      </c>
      <c r="U589" s="8" t="s">
        <v>53</v>
      </c>
      <c r="V589" s="10">
        <v>1088</v>
      </c>
      <c r="W589" s="10">
        <v>18</v>
      </c>
      <c r="X589" s="12">
        <v>4.1284403669724697E-2</v>
      </c>
      <c r="Y589" s="8" t="b">
        <f>CleanedData[[#This Row],[Ship Date]]&lt;CleanedData[[#This Row],[Order Date]]</f>
        <v>0</v>
      </c>
      <c r="Z589" s="10">
        <f>YEAR(CleanedData[[#This Row],[Order Date]])</f>
        <v>2023</v>
      </c>
      <c r="AA589" s="8">
        <f>MONTH(CleanedData[[#This Row],[Order Date]])</f>
        <v>1</v>
      </c>
    </row>
    <row r="590" spans="1:27" x14ac:dyDescent="0.35">
      <c r="A590" s="8" t="s">
        <v>1925</v>
      </c>
      <c r="B590" s="9">
        <v>45094</v>
      </c>
      <c r="C590" s="9">
        <v>45018</v>
      </c>
      <c r="D590" s="8" t="s">
        <v>1926</v>
      </c>
      <c r="E590" s="8" t="s">
        <v>68</v>
      </c>
      <c r="F590" s="8" t="s">
        <v>163</v>
      </c>
      <c r="G590" s="8" t="s">
        <v>50</v>
      </c>
      <c r="H590" s="8" t="s">
        <v>107</v>
      </c>
      <c r="I590" s="8" t="s">
        <v>4973</v>
      </c>
      <c r="J590" s="10">
        <v>295</v>
      </c>
      <c r="K590" s="11">
        <v>876.25</v>
      </c>
      <c r="L590" s="11">
        <v>1304.3399999999999</v>
      </c>
      <c r="M590" s="11">
        <v>384780.3</v>
      </c>
      <c r="N590" s="11">
        <v>258493.75</v>
      </c>
      <c r="O590" s="11">
        <f>CleanedData[[#This Row],[Total Sales ($)]]-CleanedData[[#This Row],[Total Cost ($)]]</f>
        <v>126286.54999999999</v>
      </c>
      <c r="P590" s="12">
        <f>CleanedData[[#This Row],[Profit ($)]]/CleanedData[[#This Row],[Total Sales ($)]]</f>
        <v>0.32820430255914868</v>
      </c>
      <c r="Q590" s="8" t="s">
        <v>52</v>
      </c>
      <c r="R590" s="8" t="s">
        <v>32</v>
      </c>
      <c r="S590" s="8" t="b">
        <f>_xlfn.SINGLE(CleanedData[[#This Row],[Delivery Status]])="Late"</f>
        <v>1</v>
      </c>
      <c r="T590" s="10">
        <v>7</v>
      </c>
      <c r="U590" s="8" t="s">
        <v>112</v>
      </c>
      <c r="V590" s="10">
        <v>1971</v>
      </c>
      <c r="W590" s="10">
        <v>4</v>
      </c>
      <c r="X590" s="12">
        <v>1.3559322033898299E-2</v>
      </c>
      <c r="Y590" s="8" t="b">
        <f>CleanedData[[#This Row],[Ship Date]]&lt;CleanedData[[#This Row],[Order Date]]</f>
        <v>1</v>
      </c>
      <c r="Z590" s="10">
        <f>YEAR(CleanedData[[#This Row],[Order Date]])</f>
        <v>2023</v>
      </c>
      <c r="AA590" s="8">
        <f>MONTH(CleanedData[[#This Row],[Order Date]])</f>
        <v>6</v>
      </c>
    </row>
    <row r="591" spans="1:27" x14ac:dyDescent="0.35">
      <c r="A591" s="8" t="s">
        <v>1927</v>
      </c>
      <c r="B591" s="9">
        <v>44958</v>
      </c>
      <c r="C591" s="9">
        <v>45104</v>
      </c>
      <c r="D591" s="8" t="s">
        <v>1928</v>
      </c>
      <c r="E591" s="8" t="s">
        <v>26</v>
      </c>
      <c r="F591" s="8" t="s">
        <v>253</v>
      </c>
      <c r="G591" s="8" t="s">
        <v>50</v>
      </c>
      <c r="H591" s="8" t="s">
        <v>173</v>
      </c>
      <c r="I591" s="8" t="s">
        <v>4968</v>
      </c>
      <c r="J591" s="10">
        <v>665</v>
      </c>
      <c r="K591" s="11">
        <v>973.98</v>
      </c>
      <c r="L591" s="11">
        <v>1576.9</v>
      </c>
      <c r="M591" s="11">
        <v>1048638.5</v>
      </c>
      <c r="N591" s="11">
        <v>647696.69999999995</v>
      </c>
      <c r="O591" s="11">
        <f>CleanedData[[#This Row],[Total Sales ($)]]-CleanedData[[#This Row],[Total Cost ($)]]</f>
        <v>400941.80000000005</v>
      </c>
      <c r="P591" s="12">
        <f>CleanedData[[#This Row],[Profit ($)]]/CleanedData[[#This Row],[Total Sales ($)]]</f>
        <v>0.38234510748937794</v>
      </c>
      <c r="Q591" s="8" t="s">
        <v>42</v>
      </c>
      <c r="R591" s="8" t="s">
        <v>32</v>
      </c>
      <c r="S591" s="8" t="b">
        <f>_xlfn.SINGLE(CleanedData[[#This Row],[Delivery Status]])="Late"</f>
        <v>1</v>
      </c>
      <c r="T591" s="10">
        <v>7</v>
      </c>
      <c r="U591" s="8" t="s">
        <v>112</v>
      </c>
      <c r="V591" s="10">
        <v>3090</v>
      </c>
      <c r="W591" s="10">
        <v>29</v>
      </c>
      <c r="X591" s="12">
        <v>4.3609022556390903E-2</v>
      </c>
      <c r="Y591" s="8" t="b">
        <f>CleanedData[[#This Row],[Ship Date]]&lt;CleanedData[[#This Row],[Order Date]]</f>
        <v>0</v>
      </c>
      <c r="Z591" s="10">
        <f>YEAR(CleanedData[[#This Row],[Order Date]])</f>
        <v>2023</v>
      </c>
      <c r="AA591" s="8">
        <f>MONTH(CleanedData[[#This Row],[Order Date]])</f>
        <v>2</v>
      </c>
    </row>
    <row r="592" spans="1:27" x14ac:dyDescent="0.35">
      <c r="A592" s="8" t="s">
        <v>1929</v>
      </c>
      <c r="B592" s="9">
        <v>45174</v>
      </c>
      <c r="C592" s="9">
        <v>45084</v>
      </c>
      <c r="D592" s="8" t="s">
        <v>830</v>
      </c>
      <c r="E592" s="8" t="s">
        <v>48</v>
      </c>
      <c r="F592" s="8" t="s">
        <v>270</v>
      </c>
      <c r="G592" s="8" t="s">
        <v>78</v>
      </c>
      <c r="H592" s="8" t="s">
        <v>425</v>
      </c>
      <c r="I592" s="8" t="s">
        <v>4967</v>
      </c>
      <c r="J592" s="10">
        <v>41</v>
      </c>
      <c r="K592" s="11">
        <v>236.27</v>
      </c>
      <c r="L592" s="11">
        <v>335.87</v>
      </c>
      <c r="M592" s="11">
        <v>13770.67</v>
      </c>
      <c r="N592" s="11">
        <v>9687.07</v>
      </c>
      <c r="O592" s="11">
        <f>CleanedData[[#This Row],[Total Sales ($)]]-CleanedData[[#This Row],[Total Cost ($)]]</f>
        <v>4083.6000000000004</v>
      </c>
      <c r="P592" s="12">
        <f>CleanedData[[#This Row],[Profit ($)]]/CleanedData[[#This Row],[Total Sales ($)]]</f>
        <v>0.29654330544555929</v>
      </c>
      <c r="Q592" s="8" t="s">
        <v>42</v>
      </c>
      <c r="R592" s="8" t="s">
        <v>32</v>
      </c>
      <c r="S592" s="8" t="b">
        <f>_xlfn.SINGLE(CleanedData[[#This Row],[Delivery Status]])="Late"</f>
        <v>1</v>
      </c>
      <c r="T592" s="10">
        <v>12</v>
      </c>
      <c r="U592" s="8" t="s">
        <v>86</v>
      </c>
      <c r="V592" s="10">
        <v>1891</v>
      </c>
      <c r="W592" s="10">
        <v>0</v>
      </c>
      <c r="X592" s="12">
        <v>0</v>
      </c>
      <c r="Y592" s="8" t="b">
        <f>CleanedData[[#This Row],[Ship Date]]&lt;CleanedData[[#This Row],[Order Date]]</f>
        <v>1</v>
      </c>
      <c r="Z592" s="10">
        <f>YEAR(CleanedData[[#This Row],[Order Date]])</f>
        <v>2023</v>
      </c>
      <c r="AA592" s="8">
        <f>MONTH(CleanedData[[#This Row],[Order Date]])</f>
        <v>9</v>
      </c>
    </row>
    <row r="593" spans="1:27" x14ac:dyDescent="0.35">
      <c r="A593" s="8" t="s">
        <v>1931</v>
      </c>
      <c r="B593" s="9">
        <v>45286</v>
      </c>
      <c r="C593" s="9">
        <v>45161</v>
      </c>
      <c r="D593" s="8" t="s">
        <v>1431</v>
      </c>
      <c r="E593" s="8" t="s">
        <v>68</v>
      </c>
      <c r="F593" s="8" t="s">
        <v>276</v>
      </c>
      <c r="G593" s="8" t="s">
        <v>189</v>
      </c>
      <c r="H593" s="8" t="s">
        <v>271</v>
      </c>
      <c r="I593" s="8" t="s">
        <v>4970</v>
      </c>
      <c r="J593" s="10">
        <v>386</v>
      </c>
      <c r="K593" s="11">
        <v>809.07</v>
      </c>
      <c r="L593" s="11">
        <v>996.1</v>
      </c>
      <c r="M593" s="11">
        <v>384494.6</v>
      </c>
      <c r="N593" s="11">
        <v>312301.02</v>
      </c>
      <c r="O593" s="11">
        <f>CleanedData[[#This Row],[Total Sales ($)]]-CleanedData[[#This Row],[Total Cost ($)]]</f>
        <v>72193.579999999958</v>
      </c>
      <c r="P593" s="12">
        <f>CleanedData[[#This Row],[Profit ($)]]/CleanedData[[#This Row],[Total Sales ($)]]</f>
        <v>0.18776227286417016</v>
      </c>
      <c r="Q593" s="8" t="s">
        <v>42</v>
      </c>
      <c r="R593" s="8" t="s">
        <v>63</v>
      </c>
      <c r="S593" s="8" t="b">
        <f>_xlfn.SINGLE(CleanedData[[#This Row],[Delivery Status]])="Late"</f>
        <v>0</v>
      </c>
      <c r="T593" s="10">
        <v>5</v>
      </c>
      <c r="U593" s="8" t="s">
        <v>33</v>
      </c>
      <c r="V593" s="10">
        <v>4154</v>
      </c>
      <c r="W593" s="10">
        <v>18</v>
      </c>
      <c r="X593" s="12">
        <v>4.6632124352331598E-2</v>
      </c>
      <c r="Y593" s="8" t="b">
        <f>CleanedData[[#This Row],[Ship Date]]&lt;CleanedData[[#This Row],[Order Date]]</f>
        <v>1</v>
      </c>
      <c r="Z593" s="10">
        <f>YEAR(CleanedData[[#This Row],[Order Date]])</f>
        <v>2023</v>
      </c>
      <c r="AA593" s="8">
        <f>MONTH(CleanedData[[#This Row],[Order Date]])</f>
        <v>12</v>
      </c>
    </row>
    <row r="594" spans="1:27" x14ac:dyDescent="0.35">
      <c r="A594" s="8" t="s">
        <v>1933</v>
      </c>
      <c r="B594" s="9">
        <v>45505</v>
      </c>
      <c r="C594" s="9">
        <v>45434</v>
      </c>
      <c r="D594" s="8" t="s">
        <v>1936</v>
      </c>
      <c r="E594" s="8" t="s">
        <v>48</v>
      </c>
      <c r="F594" s="8" t="s">
        <v>49</v>
      </c>
      <c r="G594" s="8" t="s">
        <v>78</v>
      </c>
      <c r="H594" s="8" t="s">
        <v>481</v>
      </c>
      <c r="I594" s="8" t="s">
        <v>4977</v>
      </c>
      <c r="J594" s="10">
        <v>134</v>
      </c>
      <c r="K594" s="11">
        <v>1096.3399999999999</v>
      </c>
      <c r="L594" s="11">
        <v>1260.6099999999999</v>
      </c>
      <c r="M594" s="11">
        <v>168921.74</v>
      </c>
      <c r="N594" s="11">
        <v>146909.56</v>
      </c>
      <c r="O594" s="11">
        <f>CleanedData[[#This Row],[Total Sales ($)]]-CleanedData[[#This Row],[Total Cost ($)]]</f>
        <v>22012.179999999993</v>
      </c>
      <c r="P594" s="12">
        <f>CleanedData[[#This Row],[Profit ($)]]/CleanedData[[#This Row],[Total Sales ($)]]</f>
        <v>0.13030992931993238</v>
      </c>
      <c r="Q594" s="8" t="s">
        <v>42</v>
      </c>
      <c r="R594" s="8" t="s">
        <v>32</v>
      </c>
      <c r="S594" s="8" t="b">
        <f>_xlfn.SINGLE(CleanedData[[#This Row],[Delivery Status]])="Late"</f>
        <v>1</v>
      </c>
      <c r="T594" s="10">
        <v>10</v>
      </c>
      <c r="U594" s="8" t="s">
        <v>158</v>
      </c>
      <c r="V594" s="10">
        <v>4114</v>
      </c>
      <c r="W594" s="10">
        <v>1</v>
      </c>
      <c r="X594" s="12">
        <v>7.4626865671641E-3</v>
      </c>
      <c r="Y594" s="8" t="b">
        <f>CleanedData[[#This Row],[Ship Date]]&lt;CleanedData[[#This Row],[Order Date]]</f>
        <v>1</v>
      </c>
      <c r="Z594" s="10">
        <f>YEAR(CleanedData[[#This Row],[Order Date]])</f>
        <v>2024</v>
      </c>
      <c r="AA594" s="8">
        <f>MONTH(CleanedData[[#This Row],[Order Date]])</f>
        <v>8</v>
      </c>
    </row>
    <row r="595" spans="1:27" x14ac:dyDescent="0.35">
      <c r="A595" s="8" t="s">
        <v>1937</v>
      </c>
      <c r="B595" s="9">
        <v>44933</v>
      </c>
      <c r="C595" s="9">
        <v>45010</v>
      </c>
      <c r="D595" s="8" t="s">
        <v>1939</v>
      </c>
      <c r="E595" s="8" t="s">
        <v>48</v>
      </c>
      <c r="F595" s="8" t="s">
        <v>49</v>
      </c>
      <c r="G595" s="8" t="s">
        <v>70</v>
      </c>
      <c r="H595" s="8" t="s">
        <v>623</v>
      </c>
      <c r="I595" s="8" t="s">
        <v>4974</v>
      </c>
      <c r="J595" s="10">
        <v>72</v>
      </c>
      <c r="K595" s="11">
        <v>376.23</v>
      </c>
      <c r="L595" s="11">
        <v>582.05999999999995</v>
      </c>
      <c r="M595" s="11">
        <v>41908.32</v>
      </c>
      <c r="N595" s="11">
        <v>27088.560000000001</v>
      </c>
      <c r="O595" s="11">
        <f>CleanedData[[#This Row],[Total Sales ($)]]-CleanedData[[#This Row],[Total Cost ($)]]</f>
        <v>14819.759999999998</v>
      </c>
      <c r="P595" s="12">
        <f>CleanedData[[#This Row],[Profit ($)]]/CleanedData[[#This Row],[Total Sales ($)]]</f>
        <v>0.35362333780022676</v>
      </c>
      <c r="Q595" s="8" t="s">
        <v>52</v>
      </c>
      <c r="R595" s="8" t="s">
        <v>32</v>
      </c>
      <c r="S595" s="8" t="b">
        <f>_xlfn.SINGLE(CleanedData[[#This Row],[Delivery Status]])="Late"</f>
        <v>1</v>
      </c>
      <c r="T595" s="10">
        <v>10</v>
      </c>
      <c r="U595" s="8" t="s">
        <v>158</v>
      </c>
      <c r="V595" s="10">
        <v>2416</v>
      </c>
      <c r="W595" s="10">
        <v>3</v>
      </c>
      <c r="X595" s="12">
        <v>4.1666666666666602E-2</v>
      </c>
      <c r="Y595" s="8" t="b">
        <f>CleanedData[[#This Row],[Ship Date]]&lt;CleanedData[[#This Row],[Order Date]]</f>
        <v>0</v>
      </c>
      <c r="Z595" s="10">
        <f>YEAR(CleanedData[[#This Row],[Order Date]])</f>
        <v>2023</v>
      </c>
      <c r="AA595" s="8">
        <f>MONTH(CleanedData[[#This Row],[Order Date]])</f>
        <v>1</v>
      </c>
    </row>
    <row r="596" spans="1:27" x14ac:dyDescent="0.35">
      <c r="A596" s="8" t="s">
        <v>1940</v>
      </c>
      <c r="B596" s="9">
        <v>45088</v>
      </c>
      <c r="C596" s="9">
        <v>45268</v>
      </c>
      <c r="D596" s="8" t="s">
        <v>1941</v>
      </c>
      <c r="E596" s="8" t="s">
        <v>26</v>
      </c>
      <c r="F596" s="8" t="s">
        <v>228</v>
      </c>
      <c r="G596" s="8" t="s">
        <v>39</v>
      </c>
      <c r="H596" s="8" t="s">
        <v>647</v>
      </c>
      <c r="I596" s="8" t="s">
        <v>4977</v>
      </c>
      <c r="J596" s="10">
        <v>431</v>
      </c>
      <c r="K596" s="11">
        <v>737.59</v>
      </c>
      <c r="L596" s="11">
        <v>1149</v>
      </c>
      <c r="M596" s="11">
        <v>495219</v>
      </c>
      <c r="N596" s="11">
        <v>317901.28999999998</v>
      </c>
      <c r="O596" s="11">
        <f>CleanedData[[#This Row],[Total Sales ($)]]-CleanedData[[#This Row],[Total Cost ($)]]</f>
        <v>177317.71000000002</v>
      </c>
      <c r="P596" s="12">
        <f>CleanedData[[#This Row],[Profit ($)]]/CleanedData[[#This Row],[Total Sales ($)]]</f>
        <v>0.35805918189730207</v>
      </c>
      <c r="Q596" s="8" t="s">
        <v>31</v>
      </c>
      <c r="R596" s="8" t="s">
        <v>63</v>
      </c>
      <c r="S596" s="8" t="b">
        <f>_xlfn.SINGLE(CleanedData[[#This Row],[Delivery Status]])="Late"</f>
        <v>0</v>
      </c>
      <c r="T596" s="10">
        <v>5</v>
      </c>
      <c r="U596" s="8" t="s">
        <v>53</v>
      </c>
      <c r="V596" s="10">
        <v>4657</v>
      </c>
      <c r="W596" s="10">
        <v>1</v>
      </c>
      <c r="X596" s="12">
        <v>2.3201856148490998E-3</v>
      </c>
      <c r="Y596" s="8" t="b">
        <f>CleanedData[[#This Row],[Ship Date]]&lt;CleanedData[[#This Row],[Order Date]]</f>
        <v>0</v>
      </c>
      <c r="Z596" s="10">
        <f>YEAR(CleanedData[[#This Row],[Order Date]])</f>
        <v>2023</v>
      </c>
      <c r="AA596" s="8">
        <f>MONTH(CleanedData[[#This Row],[Order Date]])</f>
        <v>6</v>
      </c>
    </row>
    <row r="597" spans="1:27" x14ac:dyDescent="0.35">
      <c r="A597" s="8" t="s">
        <v>1942</v>
      </c>
      <c r="B597" s="9">
        <v>45088</v>
      </c>
      <c r="C597" s="9">
        <v>45182</v>
      </c>
      <c r="D597" s="8" t="s">
        <v>1944</v>
      </c>
      <c r="E597" s="8" t="s">
        <v>100</v>
      </c>
      <c r="F597" s="8" t="s">
        <v>106</v>
      </c>
      <c r="G597" s="8" t="s">
        <v>93</v>
      </c>
      <c r="H597" s="8" t="s">
        <v>140</v>
      </c>
      <c r="I597" s="8" t="s">
        <v>4978</v>
      </c>
      <c r="J597" s="10">
        <v>19</v>
      </c>
      <c r="K597" s="11">
        <v>242.84</v>
      </c>
      <c r="L597" s="11">
        <v>370.84</v>
      </c>
      <c r="M597" s="11">
        <v>7045.96</v>
      </c>
      <c r="N597" s="11">
        <v>4613.96</v>
      </c>
      <c r="O597" s="11">
        <f>CleanedData[[#This Row],[Total Sales ($)]]-CleanedData[[#This Row],[Total Cost ($)]]</f>
        <v>2432</v>
      </c>
      <c r="P597" s="12">
        <f>CleanedData[[#This Row],[Profit ($)]]/CleanedData[[#This Row],[Total Sales ($)]]</f>
        <v>0.34516233416028475</v>
      </c>
      <c r="Q597" s="8" t="s">
        <v>95</v>
      </c>
      <c r="R597" s="8" t="s">
        <v>63</v>
      </c>
      <c r="S597" s="8" t="b">
        <f>_xlfn.SINGLE(CleanedData[[#This Row],[Delivery Status]])="Late"</f>
        <v>0</v>
      </c>
      <c r="T597" s="10">
        <v>3</v>
      </c>
      <c r="U597" s="8" t="s">
        <v>43</v>
      </c>
      <c r="V597" s="10">
        <v>1380</v>
      </c>
      <c r="W597" s="10">
        <v>0</v>
      </c>
      <c r="X597" s="12">
        <v>0</v>
      </c>
      <c r="Y597" s="8" t="b">
        <f>CleanedData[[#This Row],[Ship Date]]&lt;CleanedData[[#This Row],[Order Date]]</f>
        <v>0</v>
      </c>
      <c r="Z597" s="10">
        <f>YEAR(CleanedData[[#This Row],[Order Date]])</f>
        <v>2023</v>
      </c>
      <c r="AA597" s="8">
        <f>MONTH(CleanedData[[#This Row],[Order Date]])</f>
        <v>6</v>
      </c>
    </row>
    <row r="598" spans="1:27" x14ac:dyDescent="0.35">
      <c r="A598" s="8" t="s">
        <v>1945</v>
      </c>
      <c r="B598" s="9">
        <v>45004</v>
      </c>
      <c r="C598" s="9">
        <v>45165</v>
      </c>
      <c r="D598" s="8" t="s">
        <v>1946</v>
      </c>
      <c r="E598" s="8" t="s">
        <v>58</v>
      </c>
      <c r="F598" s="8" t="s">
        <v>59</v>
      </c>
      <c r="G598" s="8" t="s">
        <v>78</v>
      </c>
      <c r="H598" s="8" t="s">
        <v>425</v>
      </c>
      <c r="I598" s="8" t="s">
        <v>4970</v>
      </c>
      <c r="J598" s="10">
        <v>38</v>
      </c>
      <c r="K598" s="11">
        <v>629.20000000000005</v>
      </c>
      <c r="L598" s="11">
        <v>898.77</v>
      </c>
      <c r="M598" s="11">
        <v>34153.26</v>
      </c>
      <c r="N598" s="11">
        <v>23909.599999999999</v>
      </c>
      <c r="O598" s="11">
        <f>CleanedData[[#This Row],[Total Sales ($)]]-CleanedData[[#This Row],[Total Cost ($)]]</f>
        <v>10243.660000000003</v>
      </c>
      <c r="P598" s="12">
        <f>CleanedData[[#This Row],[Profit ($)]]/CleanedData[[#This Row],[Total Sales ($)]]</f>
        <v>0.29993212946582559</v>
      </c>
      <c r="Q598" s="8" t="s">
        <v>52</v>
      </c>
      <c r="R598" s="8" t="s">
        <v>32</v>
      </c>
      <c r="S598" s="8" t="b">
        <f>_xlfn.SINGLE(CleanedData[[#This Row],[Delivery Status]])="Late"</f>
        <v>1</v>
      </c>
      <c r="T598" s="10">
        <v>6</v>
      </c>
      <c r="U598" s="8" t="s">
        <v>33</v>
      </c>
      <c r="V598" s="10">
        <v>4336</v>
      </c>
      <c r="W598" s="10">
        <v>0</v>
      </c>
      <c r="X598" s="12">
        <v>0</v>
      </c>
      <c r="Y598" s="8" t="b">
        <f>CleanedData[[#This Row],[Ship Date]]&lt;CleanedData[[#This Row],[Order Date]]</f>
        <v>0</v>
      </c>
      <c r="Z598" s="10">
        <f>YEAR(CleanedData[[#This Row],[Order Date]])</f>
        <v>2023</v>
      </c>
      <c r="AA598" s="8">
        <f>MONTH(CleanedData[[#This Row],[Order Date]])</f>
        <v>3</v>
      </c>
    </row>
    <row r="599" spans="1:27" x14ac:dyDescent="0.35">
      <c r="A599" s="8" t="s">
        <v>1947</v>
      </c>
      <c r="B599" s="9">
        <v>45234</v>
      </c>
      <c r="C599" s="9">
        <v>45009</v>
      </c>
      <c r="D599" s="8" t="s">
        <v>1949</v>
      </c>
      <c r="E599" s="8" t="s">
        <v>68</v>
      </c>
      <c r="F599" s="8" t="s">
        <v>276</v>
      </c>
      <c r="G599" s="8" t="s">
        <v>70</v>
      </c>
      <c r="H599" s="8" t="s">
        <v>384</v>
      </c>
      <c r="I599" s="8" t="s">
        <v>4979</v>
      </c>
      <c r="J599" s="10">
        <v>632</v>
      </c>
      <c r="K599" s="11">
        <v>103.35</v>
      </c>
      <c r="L599" s="11">
        <v>147.43</v>
      </c>
      <c r="M599" s="11">
        <v>93175.76</v>
      </c>
      <c r="N599" s="11">
        <v>65317.2</v>
      </c>
      <c r="O599" s="11">
        <f>CleanedData[[#This Row],[Total Sales ($)]]-CleanedData[[#This Row],[Total Cost ($)]]</f>
        <v>27858.559999999998</v>
      </c>
      <c r="P599" s="12">
        <f>CleanedData[[#This Row],[Profit ($)]]/CleanedData[[#This Row],[Total Sales ($)]]</f>
        <v>0.29898935087838296</v>
      </c>
      <c r="Q599" s="8" t="s">
        <v>42</v>
      </c>
      <c r="R599" s="8" t="s">
        <v>63</v>
      </c>
      <c r="S599" s="8" t="b">
        <f>_xlfn.SINGLE(CleanedData[[#This Row],[Delivery Status]])="Late"</f>
        <v>0</v>
      </c>
      <c r="T599" s="10">
        <v>4</v>
      </c>
      <c r="U599" s="8" t="s">
        <v>43</v>
      </c>
      <c r="V599" s="10">
        <v>2652</v>
      </c>
      <c r="W599" s="10">
        <v>6</v>
      </c>
      <c r="X599" s="12">
        <v>9.4936708860758993E-3</v>
      </c>
      <c r="Y599" s="8" t="b">
        <f>CleanedData[[#This Row],[Ship Date]]&lt;CleanedData[[#This Row],[Order Date]]</f>
        <v>1</v>
      </c>
      <c r="Z599" s="10">
        <f>YEAR(CleanedData[[#This Row],[Order Date]])</f>
        <v>2023</v>
      </c>
      <c r="AA599" s="8">
        <f>MONTH(CleanedData[[#This Row],[Order Date]])</f>
        <v>11</v>
      </c>
    </row>
    <row r="600" spans="1:27" x14ac:dyDescent="0.35">
      <c r="A600" s="8" t="s">
        <v>1951</v>
      </c>
      <c r="B600" s="9">
        <v>45547</v>
      </c>
      <c r="C600" s="9">
        <v>45524</v>
      </c>
      <c r="D600" s="8" t="s">
        <v>1953</v>
      </c>
      <c r="E600" s="8" t="s">
        <v>68</v>
      </c>
      <c r="F600" s="8" t="s">
        <v>249</v>
      </c>
      <c r="G600" s="8" t="s">
        <v>39</v>
      </c>
      <c r="H600" s="8" t="s">
        <v>147</v>
      </c>
      <c r="I600" s="8" t="s">
        <v>4979</v>
      </c>
      <c r="J600" s="10">
        <v>472</v>
      </c>
      <c r="K600" s="11">
        <v>424.3</v>
      </c>
      <c r="L600" s="11">
        <v>513.97</v>
      </c>
      <c r="M600" s="11">
        <v>242593.84</v>
      </c>
      <c r="N600" s="11">
        <v>200269.6</v>
      </c>
      <c r="O600" s="11">
        <f>CleanedData[[#This Row],[Total Sales ($)]]-CleanedData[[#This Row],[Total Cost ($)]]</f>
        <v>42324.239999999991</v>
      </c>
      <c r="P600" s="12">
        <f>CleanedData[[#This Row],[Profit ($)]]/CleanedData[[#This Row],[Total Sales ($)]]</f>
        <v>0.17446543572582054</v>
      </c>
      <c r="Q600" s="8" t="s">
        <v>52</v>
      </c>
      <c r="R600" s="8" t="s">
        <v>32</v>
      </c>
      <c r="S600" s="8" t="b">
        <f>_xlfn.SINGLE(CleanedData[[#This Row],[Delivery Status]])="Late"</f>
        <v>1</v>
      </c>
      <c r="T600" s="10">
        <v>11</v>
      </c>
      <c r="U600" s="8" t="s">
        <v>53</v>
      </c>
      <c r="V600" s="10">
        <v>3700</v>
      </c>
      <c r="W600" s="10">
        <v>15</v>
      </c>
      <c r="X600" s="12">
        <v>3.1779661016949103E-2</v>
      </c>
      <c r="Y600" s="8" t="b">
        <f>CleanedData[[#This Row],[Ship Date]]&lt;CleanedData[[#This Row],[Order Date]]</f>
        <v>1</v>
      </c>
      <c r="Z600" s="10">
        <f>YEAR(CleanedData[[#This Row],[Order Date]])</f>
        <v>2024</v>
      </c>
      <c r="AA600" s="8">
        <f>MONTH(CleanedData[[#This Row],[Order Date]])</f>
        <v>9</v>
      </c>
    </row>
    <row r="601" spans="1:27" x14ac:dyDescent="0.35">
      <c r="A601" s="8" t="s">
        <v>1954</v>
      </c>
      <c r="B601" s="9">
        <v>45523</v>
      </c>
      <c r="C601" s="9">
        <v>45649</v>
      </c>
      <c r="D601" s="8" t="s">
        <v>1956</v>
      </c>
      <c r="E601" s="8" t="s">
        <v>26</v>
      </c>
      <c r="F601" s="8" t="s">
        <v>27</v>
      </c>
      <c r="G601" s="8" t="s">
        <v>129</v>
      </c>
      <c r="H601" s="8" t="s">
        <v>811</v>
      </c>
      <c r="I601" s="8" t="s">
        <v>4976</v>
      </c>
      <c r="J601" s="10">
        <v>443</v>
      </c>
      <c r="K601" s="11">
        <v>680.25</v>
      </c>
      <c r="L601" s="11">
        <v>790.64</v>
      </c>
      <c r="M601" s="11">
        <v>350253.52</v>
      </c>
      <c r="N601" s="11">
        <v>301350.75</v>
      </c>
      <c r="O601" s="11">
        <f>CleanedData[[#This Row],[Total Sales ($)]]-CleanedData[[#This Row],[Total Cost ($)]]</f>
        <v>48902.770000000019</v>
      </c>
      <c r="P601" s="12">
        <f>CleanedData[[#This Row],[Profit ($)]]/CleanedData[[#This Row],[Total Sales ($)]]</f>
        <v>0.13962106647779018</v>
      </c>
      <c r="Q601" s="8" t="s">
        <v>95</v>
      </c>
      <c r="R601" s="8" t="s">
        <v>32</v>
      </c>
      <c r="S601" s="8" t="b">
        <f>_xlfn.SINGLE(CleanedData[[#This Row],[Delivery Status]])="Late"</f>
        <v>1</v>
      </c>
      <c r="T601" s="10">
        <v>6</v>
      </c>
      <c r="U601" s="8" t="s">
        <v>112</v>
      </c>
      <c r="V601" s="10">
        <v>2511</v>
      </c>
      <c r="W601" s="10">
        <v>4</v>
      </c>
      <c r="X601" s="12">
        <v>9.0293453724604004E-3</v>
      </c>
      <c r="Y601" s="8" t="b">
        <f>CleanedData[[#This Row],[Ship Date]]&lt;CleanedData[[#This Row],[Order Date]]</f>
        <v>0</v>
      </c>
      <c r="Z601" s="10">
        <f>YEAR(CleanedData[[#This Row],[Order Date]])</f>
        <v>2024</v>
      </c>
      <c r="AA601" s="8">
        <f>MONTH(CleanedData[[#This Row],[Order Date]])</f>
        <v>8</v>
      </c>
    </row>
    <row r="602" spans="1:27" x14ac:dyDescent="0.35">
      <c r="A602" s="8" t="s">
        <v>1957</v>
      </c>
      <c r="B602" s="9">
        <v>45051</v>
      </c>
      <c r="C602" s="9">
        <v>45212</v>
      </c>
      <c r="D602" s="8" t="s">
        <v>1958</v>
      </c>
      <c r="E602" s="8" t="s">
        <v>68</v>
      </c>
      <c r="F602" s="8" t="s">
        <v>276</v>
      </c>
      <c r="G602" s="8" t="s">
        <v>78</v>
      </c>
      <c r="H602" s="8" t="s">
        <v>79</v>
      </c>
      <c r="I602" s="8" t="s">
        <v>4967</v>
      </c>
      <c r="J602" s="10">
        <v>214</v>
      </c>
      <c r="K602" s="11">
        <v>875.06</v>
      </c>
      <c r="L602" s="11">
        <v>1046.23</v>
      </c>
      <c r="M602" s="11">
        <v>223893.22</v>
      </c>
      <c r="N602" s="11">
        <v>187262.84</v>
      </c>
      <c r="O602" s="11">
        <f>CleanedData[[#This Row],[Total Sales ($)]]-CleanedData[[#This Row],[Total Cost ($)]]</f>
        <v>36630.380000000005</v>
      </c>
      <c r="P602" s="12">
        <f>CleanedData[[#This Row],[Profit ($)]]/CleanedData[[#This Row],[Total Sales ($)]]</f>
        <v>0.163606472764115</v>
      </c>
      <c r="Q602" s="8" t="s">
        <v>31</v>
      </c>
      <c r="R602" s="8" t="s">
        <v>63</v>
      </c>
      <c r="S602" s="8" t="b">
        <f>_xlfn.SINGLE(CleanedData[[#This Row],[Delivery Status]])="Late"</f>
        <v>0</v>
      </c>
      <c r="T602" s="10">
        <v>4</v>
      </c>
      <c r="U602" s="8" t="s">
        <v>53</v>
      </c>
      <c r="V602" s="10">
        <v>4341</v>
      </c>
      <c r="W602" s="10">
        <v>4</v>
      </c>
      <c r="X602" s="12">
        <v>1.86915887850467E-2</v>
      </c>
      <c r="Y602" s="8" t="b">
        <f>CleanedData[[#This Row],[Ship Date]]&lt;CleanedData[[#This Row],[Order Date]]</f>
        <v>0</v>
      </c>
      <c r="Z602" s="10">
        <f>YEAR(CleanedData[[#This Row],[Order Date]])</f>
        <v>2023</v>
      </c>
      <c r="AA602" s="8">
        <f>MONTH(CleanedData[[#This Row],[Order Date]])</f>
        <v>5</v>
      </c>
    </row>
    <row r="603" spans="1:27" x14ac:dyDescent="0.35">
      <c r="A603" s="8" t="s">
        <v>1959</v>
      </c>
      <c r="B603" s="9">
        <v>45098</v>
      </c>
      <c r="C603" s="9">
        <v>44948</v>
      </c>
      <c r="D603" s="8" t="s">
        <v>1960</v>
      </c>
      <c r="E603" s="8" t="s">
        <v>26</v>
      </c>
      <c r="F603" s="8" t="s">
        <v>27</v>
      </c>
      <c r="G603" s="8" t="s">
        <v>70</v>
      </c>
      <c r="H603" s="8" t="s">
        <v>384</v>
      </c>
      <c r="I603" s="8" t="s">
        <v>4971</v>
      </c>
      <c r="J603" s="10">
        <v>56</v>
      </c>
      <c r="K603" s="11"/>
      <c r="L603" s="11">
        <v>56.28</v>
      </c>
      <c r="M603" s="11">
        <v>3151.68</v>
      </c>
      <c r="N603" s="11">
        <v>1954.4</v>
      </c>
      <c r="O603" s="11">
        <f>CleanedData[[#This Row],[Total Sales ($)]]-CleanedData[[#This Row],[Total Cost ($)]]</f>
        <v>1197.2799999999997</v>
      </c>
      <c r="P603" s="12">
        <f>CleanedData[[#This Row],[Profit ($)]]/CleanedData[[#This Row],[Total Sales ($)]]</f>
        <v>0.37988628287135745</v>
      </c>
      <c r="Q603" s="8" t="s">
        <v>42</v>
      </c>
      <c r="R603" s="8" t="s">
        <v>63</v>
      </c>
      <c r="S603" s="8" t="b">
        <f>_xlfn.SINGLE(CleanedData[[#This Row],[Delivery Status]])="Late"</f>
        <v>0</v>
      </c>
      <c r="T603" s="10">
        <v>5</v>
      </c>
      <c r="U603" s="8" t="s">
        <v>112</v>
      </c>
      <c r="V603" s="10">
        <v>857</v>
      </c>
      <c r="W603" s="10">
        <v>0</v>
      </c>
      <c r="X603" s="12">
        <v>0</v>
      </c>
      <c r="Y603" s="8" t="b">
        <f>CleanedData[[#This Row],[Ship Date]]&lt;CleanedData[[#This Row],[Order Date]]</f>
        <v>1</v>
      </c>
      <c r="Z603" s="10">
        <f>YEAR(CleanedData[[#This Row],[Order Date]])</f>
        <v>2023</v>
      </c>
      <c r="AA603" s="8">
        <f>MONTH(CleanedData[[#This Row],[Order Date]])</f>
        <v>6</v>
      </c>
    </row>
    <row r="604" spans="1:27" x14ac:dyDescent="0.35">
      <c r="A604" s="8" t="s">
        <v>1961</v>
      </c>
      <c r="B604" s="9">
        <v>44959</v>
      </c>
      <c r="C604" s="9">
        <v>45116</v>
      </c>
      <c r="D604" s="8" t="s">
        <v>1963</v>
      </c>
      <c r="E604" s="8" t="s">
        <v>58</v>
      </c>
      <c r="F604" s="8" t="s">
        <v>59</v>
      </c>
      <c r="G604" s="8" t="s">
        <v>60</v>
      </c>
      <c r="H604" s="8" t="s">
        <v>780</v>
      </c>
      <c r="I604" s="8" t="s">
        <v>4978</v>
      </c>
      <c r="J604" s="10">
        <v>285</v>
      </c>
      <c r="K604" s="11">
        <v>702.26</v>
      </c>
      <c r="L604" s="11">
        <v>877.47</v>
      </c>
      <c r="M604" s="11">
        <v>250078.95</v>
      </c>
      <c r="N604" s="11">
        <v>200144.1</v>
      </c>
      <c r="O604" s="11">
        <f>CleanedData[[#This Row],[Total Sales ($)]]-CleanedData[[#This Row],[Total Cost ($)]]</f>
        <v>49934.850000000006</v>
      </c>
      <c r="P604" s="12">
        <f>CleanedData[[#This Row],[Profit ($)]]/CleanedData[[#This Row],[Total Sales ($)]]</f>
        <v>0.19967634221112973</v>
      </c>
      <c r="Q604" s="8" t="s">
        <v>42</v>
      </c>
      <c r="R604" s="8" t="s">
        <v>63</v>
      </c>
      <c r="S604" s="8" t="b">
        <f>_xlfn.SINGLE(CleanedData[[#This Row],[Delivery Status]])="Late"</f>
        <v>0</v>
      </c>
      <c r="T604" s="10">
        <v>5</v>
      </c>
      <c r="U604" s="8" t="s">
        <v>43</v>
      </c>
      <c r="V604" s="10">
        <v>1742</v>
      </c>
      <c r="W604" s="10">
        <v>12</v>
      </c>
      <c r="X604" s="12">
        <v>4.2105263157894701E-2</v>
      </c>
      <c r="Y604" s="8" t="b">
        <f>CleanedData[[#This Row],[Ship Date]]&lt;CleanedData[[#This Row],[Order Date]]</f>
        <v>0</v>
      </c>
      <c r="Z604" s="10">
        <f>YEAR(CleanedData[[#This Row],[Order Date]])</f>
        <v>2023</v>
      </c>
      <c r="AA604" s="8">
        <f>MONTH(CleanedData[[#This Row],[Order Date]])</f>
        <v>2</v>
      </c>
    </row>
    <row r="605" spans="1:27" x14ac:dyDescent="0.35">
      <c r="A605" s="8" t="s">
        <v>1964</v>
      </c>
      <c r="B605" s="9">
        <v>44991</v>
      </c>
      <c r="C605" s="9">
        <v>45246</v>
      </c>
      <c r="D605" s="8" t="s">
        <v>1965</v>
      </c>
      <c r="E605" s="8" t="s">
        <v>100</v>
      </c>
      <c r="F605" s="8" t="s">
        <v>238</v>
      </c>
      <c r="G605" s="8" t="s">
        <v>93</v>
      </c>
      <c r="H605" s="8" t="s">
        <v>643</v>
      </c>
      <c r="I605" s="8" t="s">
        <v>4969</v>
      </c>
      <c r="J605" s="10">
        <v>383</v>
      </c>
      <c r="K605" s="11">
        <v>934.25</v>
      </c>
      <c r="L605" s="11">
        <v>1170.29</v>
      </c>
      <c r="M605" s="11">
        <v>448221.07</v>
      </c>
      <c r="N605" s="11">
        <v>357817.75</v>
      </c>
      <c r="O605" s="11">
        <f>CleanedData[[#This Row],[Total Sales ($)]]-CleanedData[[#This Row],[Total Cost ($)]]</f>
        <v>90403.32</v>
      </c>
      <c r="P605" s="12">
        <f>CleanedData[[#This Row],[Profit ($)]]/CleanedData[[#This Row],[Total Sales ($)]]</f>
        <v>0.20169359731348641</v>
      </c>
      <c r="Q605" s="8" t="s">
        <v>31</v>
      </c>
      <c r="R605" s="8" t="s">
        <v>63</v>
      </c>
      <c r="S605" s="8" t="b">
        <f>_xlfn.SINGLE(CleanedData[[#This Row],[Delivery Status]])="Late"</f>
        <v>0</v>
      </c>
      <c r="T605" s="10">
        <v>3</v>
      </c>
      <c r="U605" s="8" t="s">
        <v>112</v>
      </c>
      <c r="V605" s="10">
        <v>466</v>
      </c>
      <c r="W605" s="10">
        <v>16</v>
      </c>
      <c r="X605" s="12">
        <v>4.1775456919059997E-2</v>
      </c>
      <c r="Y605" s="8" t="b">
        <f>CleanedData[[#This Row],[Ship Date]]&lt;CleanedData[[#This Row],[Order Date]]</f>
        <v>0</v>
      </c>
      <c r="Z605" s="10">
        <f>YEAR(CleanedData[[#This Row],[Order Date]])</f>
        <v>2023</v>
      </c>
      <c r="AA605" s="8">
        <f>MONTH(CleanedData[[#This Row],[Order Date]])</f>
        <v>3</v>
      </c>
    </row>
    <row r="606" spans="1:27" x14ac:dyDescent="0.35">
      <c r="A606" s="8" t="s">
        <v>1966</v>
      </c>
      <c r="B606" s="9">
        <v>45108</v>
      </c>
      <c r="C606" s="9">
        <v>45070</v>
      </c>
      <c r="D606" s="8" t="s">
        <v>1728</v>
      </c>
      <c r="E606" s="8" t="s">
        <v>68</v>
      </c>
      <c r="F606" s="8" t="s">
        <v>69</v>
      </c>
      <c r="G606" s="8" t="s">
        <v>78</v>
      </c>
      <c r="H606" s="8" t="s">
        <v>425</v>
      </c>
      <c r="I606" s="8" t="s">
        <v>4970</v>
      </c>
      <c r="J606" s="10">
        <v>215</v>
      </c>
      <c r="K606" s="11">
        <v>119.75</v>
      </c>
      <c r="L606" s="11">
        <v>164.25</v>
      </c>
      <c r="M606" s="11">
        <v>35313.75</v>
      </c>
      <c r="N606" s="11">
        <v>25746.25</v>
      </c>
      <c r="O606" s="11">
        <f>CleanedData[[#This Row],[Total Sales ($)]]-CleanedData[[#This Row],[Total Cost ($)]]</f>
        <v>9567.5</v>
      </c>
      <c r="P606" s="12">
        <f>CleanedData[[#This Row],[Profit ($)]]/CleanedData[[#This Row],[Total Sales ($)]]</f>
        <v>0.27092846270928461</v>
      </c>
      <c r="Q606" s="8" t="s">
        <v>95</v>
      </c>
      <c r="R606" s="8" t="s">
        <v>63</v>
      </c>
      <c r="S606" s="8" t="b">
        <f>_xlfn.SINGLE(CleanedData[[#This Row],[Delivery Status]])="Late"</f>
        <v>0</v>
      </c>
      <c r="T606" s="10">
        <v>1</v>
      </c>
      <c r="U606" s="8" t="s">
        <v>86</v>
      </c>
      <c r="V606" s="10">
        <v>1521</v>
      </c>
      <c r="W606" s="10">
        <v>2</v>
      </c>
      <c r="X606" s="12">
        <v>9.3023255813953001E-3</v>
      </c>
      <c r="Y606" s="8" t="b">
        <f>CleanedData[[#This Row],[Ship Date]]&lt;CleanedData[[#This Row],[Order Date]]</f>
        <v>1</v>
      </c>
      <c r="Z606" s="10">
        <f>YEAR(CleanedData[[#This Row],[Order Date]])</f>
        <v>2023</v>
      </c>
      <c r="AA606" s="8">
        <f>MONTH(CleanedData[[#This Row],[Order Date]])</f>
        <v>7</v>
      </c>
    </row>
    <row r="607" spans="1:27" x14ac:dyDescent="0.35">
      <c r="A607" s="8" t="s">
        <v>1968</v>
      </c>
      <c r="B607" s="9">
        <v>45420</v>
      </c>
      <c r="C607" s="9">
        <v>45608</v>
      </c>
      <c r="D607" s="8" t="s">
        <v>1969</v>
      </c>
      <c r="E607" s="8" t="s">
        <v>58</v>
      </c>
      <c r="F607" s="8" t="s">
        <v>259</v>
      </c>
      <c r="G607" s="8" t="s">
        <v>28</v>
      </c>
      <c r="H607" s="8" t="s">
        <v>714</v>
      </c>
      <c r="I607" s="8" t="s">
        <v>4979</v>
      </c>
      <c r="J607" s="10">
        <v>766</v>
      </c>
      <c r="K607" s="11">
        <v>468.15</v>
      </c>
      <c r="L607" s="11">
        <v>626.79999999999995</v>
      </c>
      <c r="M607" s="11">
        <v>480128.8</v>
      </c>
      <c r="N607" s="11">
        <v>358602.9</v>
      </c>
      <c r="O607" s="11">
        <f>CleanedData[[#This Row],[Total Sales ($)]]-CleanedData[[#This Row],[Total Cost ($)]]</f>
        <v>121525.89999999997</v>
      </c>
      <c r="P607" s="12">
        <f>CleanedData[[#This Row],[Profit ($)]]/CleanedData[[#This Row],[Total Sales ($)]]</f>
        <v>0.25311104020421182</v>
      </c>
      <c r="Q607" s="8" t="s">
        <v>42</v>
      </c>
      <c r="R607" s="8" t="s">
        <v>32</v>
      </c>
      <c r="S607" s="8" t="b">
        <f>_xlfn.SINGLE(CleanedData[[#This Row],[Delivery Status]])="Late"</f>
        <v>1</v>
      </c>
      <c r="T607" s="10">
        <v>7</v>
      </c>
      <c r="U607" s="8" t="s">
        <v>43</v>
      </c>
      <c r="V607" s="10">
        <v>2483</v>
      </c>
      <c r="W607" s="10">
        <v>37</v>
      </c>
      <c r="X607" s="12">
        <v>4.8302872062663101E-2</v>
      </c>
      <c r="Y607" s="8" t="b">
        <f>CleanedData[[#This Row],[Ship Date]]&lt;CleanedData[[#This Row],[Order Date]]</f>
        <v>0</v>
      </c>
      <c r="Z607" s="10">
        <f>YEAR(CleanedData[[#This Row],[Order Date]])</f>
        <v>2024</v>
      </c>
      <c r="AA607" s="8">
        <f>MONTH(CleanedData[[#This Row],[Order Date]])</f>
        <v>5</v>
      </c>
    </row>
    <row r="608" spans="1:27" x14ac:dyDescent="0.35">
      <c r="A608" s="8" t="s">
        <v>1970</v>
      </c>
      <c r="B608" s="9">
        <v>45004</v>
      </c>
      <c r="C608" s="9">
        <v>45179</v>
      </c>
      <c r="D608" s="8" t="s">
        <v>1972</v>
      </c>
      <c r="E608" s="8" t="s">
        <v>48</v>
      </c>
      <c r="F608" s="8" t="s">
        <v>281</v>
      </c>
      <c r="G608" s="8" t="s">
        <v>70</v>
      </c>
      <c r="H608" s="8" t="s">
        <v>623</v>
      </c>
      <c r="I608" s="8" t="s">
        <v>4977</v>
      </c>
      <c r="J608" s="10">
        <v>294</v>
      </c>
      <c r="K608" s="11">
        <v>492.23</v>
      </c>
      <c r="L608" s="11">
        <v>731.03</v>
      </c>
      <c r="M608" s="11">
        <v>214922.82</v>
      </c>
      <c r="N608" s="11">
        <v>144715.62</v>
      </c>
      <c r="O608" s="11">
        <f>CleanedData[[#This Row],[Total Sales ($)]]-CleanedData[[#This Row],[Total Cost ($)]]</f>
        <v>70207.200000000012</v>
      </c>
      <c r="P608" s="12">
        <f>CleanedData[[#This Row],[Profit ($)]]/CleanedData[[#This Row],[Total Sales ($)]]</f>
        <v>0.32666238047686147</v>
      </c>
      <c r="Q608" s="8" t="s">
        <v>42</v>
      </c>
      <c r="R608" s="8" t="s">
        <v>32</v>
      </c>
      <c r="S608" s="8" t="b">
        <f>_xlfn.SINGLE(CleanedData[[#This Row],[Delivery Status]])="Late"</f>
        <v>1</v>
      </c>
      <c r="T608" s="10">
        <v>12</v>
      </c>
      <c r="U608" s="8" t="s">
        <v>158</v>
      </c>
      <c r="V608" s="10">
        <v>1295</v>
      </c>
      <c r="W608" s="10">
        <v>5</v>
      </c>
      <c r="X608" s="12">
        <v>1.7006802721088399E-2</v>
      </c>
      <c r="Y608" s="8" t="b">
        <f>CleanedData[[#This Row],[Ship Date]]&lt;CleanedData[[#This Row],[Order Date]]</f>
        <v>0</v>
      </c>
      <c r="Z608" s="10">
        <f>YEAR(CleanedData[[#This Row],[Order Date]])</f>
        <v>2023</v>
      </c>
      <c r="AA608" s="8">
        <f>MONTH(CleanedData[[#This Row],[Order Date]])</f>
        <v>3</v>
      </c>
    </row>
    <row r="609" spans="1:27" x14ac:dyDescent="0.35">
      <c r="A609" s="8" t="s">
        <v>1973</v>
      </c>
      <c r="B609" s="9">
        <v>45121</v>
      </c>
      <c r="C609" s="9">
        <v>45258</v>
      </c>
      <c r="D609" s="8" t="s">
        <v>1974</v>
      </c>
      <c r="E609" s="8" t="s">
        <v>100</v>
      </c>
      <c r="F609" s="8" t="s">
        <v>238</v>
      </c>
      <c r="G609" s="8" t="s">
        <v>60</v>
      </c>
      <c r="H609" s="8" t="s">
        <v>164</v>
      </c>
      <c r="I609" s="8" t="s">
        <v>4971</v>
      </c>
      <c r="J609" s="10">
        <v>458</v>
      </c>
      <c r="K609" s="11">
        <v>744.38</v>
      </c>
      <c r="L609" s="11">
        <v>1057.98</v>
      </c>
      <c r="M609" s="11">
        <v>484554.84</v>
      </c>
      <c r="N609" s="11">
        <v>340926.04</v>
      </c>
      <c r="O609" s="11">
        <f>CleanedData[[#This Row],[Total Sales ($)]]-CleanedData[[#This Row],[Total Cost ($)]]</f>
        <v>143628.80000000005</v>
      </c>
      <c r="P609" s="12">
        <f>CleanedData[[#This Row],[Profit ($)]]/CleanedData[[#This Row],[Total Sales ($)]]</f>
        <v>0.29641392086806945</v>
      </c>
      <c r="Q609" s="8" t="s">
        <v>31</v>
      </c>
      <c r="R609" s="8" t="s">
        <v>63</v>
      </c>
      <c r="S609" s="8" t="b">
        <f>_xlfn.SINGLE(CleanedData[[#This Row],[Delivery Status]])="Late"</f>
        <v>0</v>
      </c>
      <c r="T609" s="10">
        <v>2</v>
      </c>
      <c r="U609" s="8" t="s">
        <v>53</v>
      </c>
      <c r="V609" s="10">
        <v>2569</v>
      </c>
      <c r="W609" s="10">
        <v>2</v>
      </c>
      <c r="X609" s="12">
        <v>4.3668122270742E-3</v>
      </c>
      <c r="Y609" s="8" t="b">
        <f>CleanedData[[#This Row],[Ship Date]]&lt;CleanedData[[#This Row],[Order Date]]</f>
        <v>0</v>
      </c>
      <c r="Z609" s="10">
        <f>YEAR(CleanedData[[#This Row],[Order Date]])</f>
        <v>2023</v>
      </c>
      <c r="AA609" s="8">
        <f>MONTH(CleanedData[[#This Row],[Order Date]])</f>
        <v>7</v>
      </c>
    </row>
    <row r="610" spans="1:27" x14ac:dyDescent="0.35">
      <c r="A610" s="8" t="s">
        <v>1975</v>
      </c>
      <c r="B610" s="9">
        <v>44932</v>
      </c>
      <c r="C610" s="9">
        <v>45024</v>
      </c>
      <c r="D610" s="8" t="s">
        <v>1976</v>
      </c>
      <c r="E610" s="8" t="s">
        <v>26</v>
      </c>
      <c r="F610" s="8" t="s">
        <v>27</v>
      </c>
      <c r="G610" s="8" t="s">
        <v>60</v>
      </c>
      <c r="H610" s="8" t="s">
        <v>265</v>
      </c>
      <c r="I610" s="8" t="s">
        <v>4975</v>
      </c>
      <c r="J610" s="10">
        <v>23</v>
      </c>
      <c r="K610" s="11">
        <v>432.53</v>
      </c>
      <c r="L610" s="11">
        <v>557.33000000000004</v>
      </c>
      <c r="M610" s="11">
        <v>12818.59</v>
      </c>
      <c r="N610" s="11">
        <v>9948.19</v>
      </c>
      <c r="O610" s="11">
        <f>CleanedData[[#This Row],[Total Sales ($)]]-CleanedData[[#This Row],[Total Cost ($)]]</f>
        <v>2870.3999999999996</v>
      </c>
      <c r="P610" s="12">
        <f>CleanedData[[#This Row],[Profit ($)]]/CleanedData[[#This Row],[Total Sales ($)]]</f>
        <v>0.22392478423914017</v>
      </c>
      <c r="Q610" s="8" t="s">
        <v>52</v>
      </c>
      <c r="R610" s="8" t="s">
        <v>63</v>
      </c>
      <c r="S610" s="8" t="b">
        <f>_xlfn.SINGLE(CleanedData[[#This Row],[Delivery Status]])="Late"</f>
        <v>0</v>
      </c>
      <c r="T610" s="10">
        <v>4</v>
      </c>
      <c r="U610" s="8" t="s">
        <v>112</v>
      </c>
      <c r="V610" s="10">
        <v>1256</v>
      </c>
      <c r="W610" s="10">
        <v>0</v>
      </c>
      <c r="X610" s="12">
        <v>0</v>
      </c>
      <c r="Y610" s="8" t="b">
        <f>CleanedData[[#This Row],[Ship Date]]&lt;CleanedData[[#This Row],[Order Date]]</f>
        <v>0</v>
      </c>
      <c r="Z610" s="10">
        <f>YEAR(CleanedData[[#This Row],[Order Date]])</f>
        <v>2023</v>
      </c>
      <c r="AA610" s="8">
        <f>MONTH(CleanedData[[#This Row],[Order Date]])</f>
        <v>1</v>
      </c>
    </row>
    <row r="611" spans="1:27" x14ac:dyDescent="0.35">
      <c r="A611" s="8" t="s">
        <v>1977</v>
      </c>
      <c r="B611" s="9">
        <v>45020</v>
      </c>
      <c r="C611" s="9">
        <v>45071</v>
      </c>
      <c r="D611" s="8" t="s">
        <v>1978</v>
      </c>
      <c r="E611" s="8" t="s">
        <v>68</v>
      </c>
      <c r="F611" s="8" t="s">
        <v>276</v>
      </c>
      <c r="G611" s="8" t="s">
        <v>39</v>
      </c>
      <c r="H611" s="8" t="s">
        <v>647</v>
      </c>
      <c r="I611" s="8" t="s">
        <v>4974</v>
      </c>
      <c r="J611" s="10">
        <v>172</v>
      </c>
      <c r="K611" s="11">
        <v>1029.55</v>
      </c>
      <c r="L611" s="11">
        <v>1605.97</v>
      </c>
      <c r="M611" s="11">
        <v>276226.84000000003</v>
      </c>
      <c r="N611" s="11">
        <v>177082.6</v>
      </c>
      <c r="O611" s="11">
        <f>CleanedData[[#This Row],[Total Sales ($)]]-CleanedData[[#This Row],[Total Cost ($)]]</f>
        <v>99144.24000000002</v>
      </c>
      <c r="P611" s="12">
        <f>CleanedData[[#This Row],[Profit ($)]]/CleanedData[[#This Row],[Total Sales ($)]]</f>
        <v>0.35892326755792453</v>
      </c>
      <c r="Q611" s="8" t="s">
        <v>42</v>
      </c>
      <c r="R611" s="8" t="s">
        <v>63</v>
      </c>
      <c r="S611" s="8" t="b">
        <f>_xlfn.SINGLE(CleanedData[[#This Row],[Delivery Status]])="Late"</f>
        <v>0</v>
      </c>
      <c r="T611" s="10">
        <v>4</v>
      </c>
      <c r="U611" s="8" t="s">
        <v>86</v>
      </c>
      <c r="V611" s="10">
        <v>1839</v>
      </c>
      <c r="W611" s="10">
        <v>3</v>
      </c>
      <c r="X611" s="12">
        <v>1.7441860465116199E-2</v>
      </c>
      <c r="Y611" s="8" t="b">
        <f>CleanedData[[#This Row],[Ship Date]]&lt;CleanedData[[#This Row],[Order Date]]</f>
        <v>0</v>
      </c>
      <c r="Z611" s="10">
        <f>YEAR(CleanedData[[#This Row],[Order Date]])</f>
        <v>2023</v>
      </c>
      <c r="AA611" s="8">
        <f>MONTH(CleanedData[[#This Row],[Order Date]])</f>
        <v>4</v>
      </c>
    </row>
    <row r="612" spans="1:27" x14ac:dyDescent="0.35">
      <c r="A612" s="8" t="s">
        <v>1979</v>
      </c>
      <c r="B612" s="9">
        <v>45084</v>
      </c>
      <c r="C612" s="9">
        <v>45303</v>
      </c>
      <c r="D612" s="8" t="s">
        <v>1980</v>
      </c>
      <c r="E612" s="8" t="s">
        <v>58</v>
      </c>
      <c r="F612" s="8" t="s">
        <v>116</v>
      </c>
      <c r="G612" s="8" t="s">
        <v>50</v>
      </c>
      <c r="H612" s="8" t="s">
        <v>51</v>
      </c>
      <c r="I612" s="8" t="s">
        <v>4979</v>
      </c>
      <c r="J612" s="10">
        <v>172</v>
      </c>
      <c r="K612" s="11">
        <v>38.299999999999997</v>
      </c>
      <c r="L612" s="11">
        <v>62.41</v>
      </c>
      <c r="M612" s="11">
        <v>10734.52</v>
      </c>
      <c r="N612" s="11">
        <v>6587.6</v>
      </c>
      <c r="O612" s="11">
        <f>CleanedData[[#This Row],[Total Sales ($)]]-CleanedData[[#This Row],[Total Cost ($)]]</f>
        <v>4146.92</v>
      </c>
      <c r="P612" s="12">
        <f>CleanedData[[#This Row],[Profit ($)]]/CleanedData[[#This Row],[Total Sales ($)]]</f>
        <v>0.38631629546547025</v>
      </c>
      <c r="Q612" s="8" t="s">
        <v>31</v>
      </c>
      <c r="R612" s="8" t="s">
        <v>32</v>
      </c>
      <c r="S612" s="8" t="b">
        <f>_xlfn.SINGLE(CleanedData[[#This Row],[Delivery Status]])="Late"</f>
        <v>1</v>
      </c>
      <c r="T612" s="10">
        <v>13</v>
      </c>
      <c r="U612" s="8" t="s">
        <v>158</v>
      </c>
      <c r="V612" s="10">
        <v>1676</v>
      </c>
      <c r="W612" s="10">
        <v>0</v>
      </c>
      <c r="X612" s="12">
        <v>0</v>
      </c>
      <c r="Y612" s="8" t="b">
        <f>CleanedData[[#This Row],[Ship Date]]&lt;CleanedData[[#This Row],[Order Date]]</f>
        <v>0</v>
      </c>
      <c r="Z612" s="10">
        <f>YEAR(CleanedData[[#This Row],[Order Date]])</f>
        <v>2023</v>
      </c>
      <c r="AA612" s="8">
        <f>MONTH(CleanedData[[#This Row],[Order Date]])</f>
        <v>6</v>
      </c>
    </row>
    <row r="613" spans="1:27" x14ac:dyDescent="0.35">
      <c r="A613" s="8" t="s">
        <v>1981</v>
      </c>
      <c r="B613" s="9">
        <v>44978</v>
      </c>
      <c r="C613" s="9">
        <v>45126</v>
      </c>
      <c r="D613" s="8" t="s">
        <v>1982</v>
      </c>
      <c r="E613" s="8" t="s">
        <v>26</v>
      </c>
      <c r="F613" s="8" t="s">
        <v>92</v>
      </c>
      <c r="G613" s="8" t="s">
        <v>217</v>
      </c>
      <c r="H613" s="8" t="s">
        <v>335</v>
      </c>
      <c r="I613" s="8" t="s">
        <v>4970</v>
      </c>
      <c r="J613" s="10">
        <v>397</v>
      </c>
      <c r="K613" s="11">
        <v>517.01</v>
      </c>
      <c r="L613" s="11">
        <v>767.35</v>
      </c>
      <c r="M613" s="11">
        <v>304637.95</v>
      </c>
      <c r="N613" s="11">
        <v>205252.97</v>
      </c>
      <c r="O613" s="11">
        <f>CleanedData[[#This Row],[Total Sales ($)]]-CleanedData[[#This Row],[Total Cost ($)]]</f>
        <v>99384.98000000001</v>
      </c>
      <c r="P613" s="12">
        <f>CleanedData[[#This Row],[Profit ($)]]/CleanedData[[#This Row],[Total Sales ($)]]</f>
        <v>0.32623965595881932</v>
      </c>
      <c r="Q613" s="8" t="s">
        <v>31</v>
      </c>
      <c r="R613" s="8" t="s">
        <v>32</v>
      </c>
      <c r="S613" s="8" t="b">
        <f>_xlfn.SINGLE(CleanedData[[#This Row],[Delivery Status]])="Late"</f>
        <v>1</v>
      </c>
      <c r="T613" s="10">
        <v>8</v>
      </c>
      <c r="U613" s="8" t="s">
        <v>158</v>
      </c>
      <c r="V613" s="10">
        <v>2966</v>
      </c>
      <c r="W613" s="10">
        <v>6</v>
      </c>
      <c r="X613" s="12">
        <v>1.5113350125944501E-2</v>
      </c>
      <c r="Y613" s="8" t="b">
        <f>CleanedData[[#This Row],[Ship Date]]&lt;CleanedData[[#This Row],[Order Date]]</f>
        <v>0</v>
      </c>
      <c r="Z613" s="10">
        <f>YEAR(CleanedData[[#This Row],[Order Date]])</f>
        <v>2023</v>
      </c>
      <c r="AA613" s="8">
        <f>MONTH(CleanedData[[#This Row],[Order Date]])</f>
        <v>2</v>
      </c>
    </row>
    <row r="614" spans="1:27" x14ac:dyDescent="0.35">
      <c r="A614" s="8" t="s">
        <v>1983</v>
      </c>
      <c r="B614" s="9">
        <v>44928</v>
      </c>
      <c r="C614" s="9">
        <v>45060</v>
      </c>
      <c r="D614" s="8" t="s">
        <v>1985</v>
      </c>
      <c r="E614" s="8" t="s">
        <v>58</v>
      </c>
      <c r="F614" s="8" t="s">
        <v>122</v>
      </c>
      <c r="G614" s="8" t="s">
        <v>70</v>
      </c>
      <c r="H614" s="8" t="s">
        <v>822</v>
      </c>
      <c r="I614" s="8" t="s">
        <v>4979</v>
      </c>
      <c r="J614" s="10">
        <v>332</v>
      </c>
      <c r="K614" s="11">
        <v>751.59</v>
      </c>
      <c r="L614" s="11">
        <v>929.04</v>
      </c>
      <c r="M614" s="11">
        <v>308441.28000000003</v>
      </c>
      <c r="N614" s="11">
        <v>249527.88</v>
      </c>
      <c r="O614" s="11">
        <f>CleanedData[[#This Row],[Total Sales ($)]]-CleanedData[[#This Row],[Total Cost ($)]]</f>
        <v>58913.400000000023</v>
      </c>
      <c r="P614" s="12">
        <f>CleanedData[[#This Row],[Profit ($)]]/CleanedData[[#This Row],[Total Sales ($)]]</f>
        <v>0.1910036166365281</v>
      </c>
      <c r="Q614" s="8" t="s">
        <v>42</v>
      </c>
      <c r="R614" s="8" t="s">
        <v>63</v>
      </c>
      <c r="S614" s="8" t="b">
        <f>_xlfn.SINGLE(CleanedData[[#This Row],[Delivery Status]])="Late"</f>
        <v>0</v>
      </c>
      <c r="T614" s="10">
        <v>3</v>
      </c>
      <c r="U614" s="8" t="s">
        <v>33</v>
      </c>
      <c r="V614" s="10">
        <v>4862</v>
      </c>
      <c r="W614" s="10">
        <v>15</v>
      </c>
      <c r="X614" s="12">
        <v>4.5180722891566202E-2</v>
      </c>
      <c r="Y614" s="8" t="b">
        <f>CleanedData[[#This Row],[Ship Date]]&lt;CleanedData[[#This Row],[Order Date]]</f>
        <v>0</v>
      </c>
      <c r="Z614" s="10">
        <f>YEAR(CleanedData[[#This Row],[Order Date]])</f>
        <v>2023</v>
      </c>
      <c r="AA614" s="8">
        <f>MONTH(CleanedData[[#This Row],[Order Date]])</f>
        <v>1</v>
      </c>
    </row>
    <row r="615" spans="1:27" x14ac:dyDescent="0.35">
      <c r="A615" s="8" t="s">
        <v>1986</v>
      </c>
      <c r="B615" s="9">
        <v>45063</v>
      </c>
      <c r="C615" s="9">
        <v>45127</v>
      </c>
      <c r="D615" s="8" t="s">
        <v>1987</v>
      </c>
      <c r="E615" s="8" t="s">
        <v>48</v>
      </c>
      <c r="F615" s="8" t="s">
        <v>281</v>
      </c>
      <c r="G615" s="8" t="s">
        <v>78</v>
      </c>
      <c r="H615" s="8" t="s">
        <v>628</v>
      </c>
      <c r="I615" s="8" t="s">
        <v>4967</v>
      </c>
      <c r="J615" s="10">
        <v>686</v>
      </c>
      <c r="K615" s="11">
        <v>824.27</v>
      </c>
      <c r="L615" s="11">
        <v>1221.6300000000001</v>
      </c>
      <c r="M615" s="11">
        <v>838038.18</v>
      </c>
      <c r="N615" s="11">
        <v>565449.22</v>
      </c>
      <c r="O615" s="11">
        <f>CleanedData[[#This Row],[Total Sales ($)]]-CleanedData[[#This Row],[Total Cost ($)]]</f>
        <v>272588.96000000008</v>
      </c>
      <c r="P615" s="12">
        <f>CleanedData[[#This Row],[Profit ($)]]/CleanedData[[#This Row],[Total Sales ($)]]</f>
        <v>0.32527033553530943</v>
      </c>
      <c r="Q615" s="8" t="s">
        <v>42</v>
      </c>
      <c r="R615" s="8" t="s">
        <v>32</v>
      </c>
      <c r="S615" s="8" t="b">
        <f>_xlfn.SINGLE(CleanedData[[#This Row],[Delivery Status]])="Late"</f>
        <v>1</v>
      </c>
      <c r="T615" s="10">
        <v>14</v>
      </c>
      <c r="U615" s="8" t="s">
        <v>33</v>
      </c>
      <c r="V615" s="10">
        <v>2853</v>
      </c>
      <c r="W615" s="10">
        <v>14</v>
      </c>
      <c r="X615" s="12">
        <v>2.04081632653061E-2</v>
      </c>
      <c r="Y615" s="8" t="b">
        <f>CleanedData[[#This Row],[Ship Date]]&lt;CleanedData[[#This Row],[Order Date]]</f>
        <v>0</v>
      </c>
      <c r="Z615" s="10">
        <f>YEAR(CleanedData[[#This Row],[Order Date]])</f>
        <v>2023</v>
      </c>
      <c r="AA615" s="8">
        <f>MONTH(CleanedData[[#This Row],[Order Date]])</f>
        <v>5</v>
      </c>
    </row>
    <row r="616" spans="1:27" x14ac:dyDescent="0.35">
      <c r="A616" s="8" t="s">
        <v>1988</v>
      </c>
      <c r="B616" s="9">
        <v>45149</v>
      </c>
      <c r="C616" s="9">
        <v>45091</v>
      </c>
      <c r="D616" s="8" t="s">
        <v>1989</v>
      </c>
      <c r="E616" s="8" t="s">
        <v>100</v>
      </c>
      <c r="F616" s="8" t="s">
        <v>1606</v>
      </c>
      <c r="G616" s="8" t="s">
        <v>78</v>
      </c>
      <c r="H616" s="8" t="s">
        <v>840</v>
      </c>
      <c r="I616" s="8" t="s">
        <v>4973</v>
      </c>
      <c r="J616" s="10">
        <v>479</v>
      </c>
      <c r="K616" s="11">
        <v>800.68</v>
      </c>
      <c r="L616" s="11">
        <v>1223.8699999999999</v>
      </c>
      <c r="M616" s="11">
        <v>586233.73</v>
      </c>
      <c r="N616" s="11">
        <v>383525.72</v>
      </c>
      <c r="O616" s="11">
        <f>CleanedData[[#This Row],[Total Sales ($)]]-CleanedData[[#This Row],[Total Cost ($)]]</f>
        <v>202708.01</v>
      </c>
      <c r="P616" s="12">
        <f>CleanedData[[#This Row],[Profit ($)]]/CleanedData[[#This Row],[Total Sales ($)]]</f>
        <v>0.34578018907236885</v>
      </c>
      <c r="Q616" s="8" t="s">
        <v>42</v>
      </c>
      <c r="R616" s="8" t="s">
        <v>32</v>
      </c>
      <c r="S616" s="8" t="b">
        <f>_xlfn.SINGLE(CleanedData[[#This Row],[Delivery Status]])="Late"</f>
        <v>1</v>
      </c>
      <c r="T616" s="10">
        <v>11</v>
      </c>
      <c r="U616" s="8" t="s">
        <v>53</v>
      </c>
      <c r="V616" s="10">
        <v>4703</v>
      </c>
      <c r="W616" s="10">
        <v>9</v>
      </c>
      <c r="X616" s="12">
        <v>1.87891440501043E-2</v>
      </c>
      <c r="Y616" s="8" t="b">
        <f>CleanedData[[#This Row],[Ship Date]]&lt;CleanedData[[#This Row],[Order Date]]</f>
        <v>1</v>
      </c>
      <c r="Z616" s="10">
        <f>YEAR(CleanedData[[#This Row],[Order Date]])</f>
        <v>2023</v>
      </c>
      <c r="AA616" s="8">
        <f>MONTH(CleanedData[[#This Row],[Order Date]])</f>
        <v>8</v>
      </c>
    </row>
    <row r="617" spans="1:27" x14ac:dyDescent="0.35">
      <c r="A617" s="8" t="s">
        <v>1990</v>
      </c>
      <c r="B617" s="9">
        <v>45204</v>
      </c>
      <c r="C617" s="9">
        <v>45050</v>
      </c>
      <c r="D617" s="8" t="s">
        <v>1991</v>
      </c>
      <c r="E617" s="8" t="s">
        <v>48</v>
      </c>
      <c r="F617" s="8" t="s">
        <v>270</v>
      </c>
      <c r="G617" s="8" t="s">
        <v>60</v>
      </c>
      <c r="H617" s="8" t="s">
        <v>539</v>
      </c>
      <c r="I617" s="8" t="s">
        <v>4976</v>
      </c>
      <c r="J617" s="10">
        <v>685</v>
      </c>
      <c r="K617" s="11">
        <v>23.2</v>
      </c>
      <c r="L617" s="11">
        <v>32.39</v>
      </c>
      <c r="M617" s="11">
        <v>22187.15</v>
      </c>
      <c r="N617" s="11">
        <v>15892</v>
      </c>
      <c r="O617" s="11">
        <f>CleanedData[[#This Row],[Total Sales ($)]]-CleanedData[[#This Row],[Total Cost ($)]]</f>
        <v>6295.1500000000015</v>
      </c>
      <c r="P617" s="12">
        <f>CleanedData[[#This Row],[Profit ($)]]/CleanedData[[#This Row],[Total Sales ($)]]</f>
        <v>0.28372954615622109</v>
      </c>
      <c r="Q617" s="8" t="s">
        <v>95</v>
      </c>
      <c r="R617" s="8" t="s">
        <v>32</v>
      </c>
      <c r="S617" s="8" t="b">
        <f>_xlfn.SINGLE(CleanedData[[#This Row],[Delivery Status]])="Late"</f>
        <v>1</v>
      </c>
      <c r="T617" s="10">
        <v>9</v>
      </c>
      <c r="U617" s="8" t="s">
        <v>53</v>
      </c>
      <c r="V617" s="10">
        <v>556</v>
      </c>
      <c r="W617" s="10">
        <v>33</v>
      </c>
      <c r="X617" s="12">
        <v>4.8175182481751802E-2</v>
      </c>
      <c r="Y617" s="8" t="b">
        <f>CleanedData[[#This Row],[Ship Date]]&lt;CleanedData[[#This Row],[Order Date]]</f>
        <v>1</v>
      </c>
      <c r="Z617" s="10">
        <f>YEAR(CleanedData[[#This Row],[Order Date]])</f>
        <v>2023</v>
      </c>
      <c r="AA617" s="8">
        <f>MONTH(CleanedData[[#This Row],[Order Date]])</f>
        <v>10</v>
      </c>
    </row>
    <row r="618" spans="1:27" x14ac:dyDescent="0.35">
      <c r="A618" s="8" t="s">
        <v>1992</v>
      </c>
      <c r="B618" s="9">
        <v>45205</v>
      </c>
      <c r="C618" s="9">
        <v>45287</v>
      </c>
      <c r="D618" s="8" t="s">
        <v>1993</v>
      </c>
      <c r="E618" s="8" t="s">
        <v>48</v>
      </c>
      <c r="F618" s="8" t="s">
        <v>223</v>
      </c>
      <c r="G618" s="8" t="s">
        <v>217</v>
      </c>
      <c r="H618" s="8" t="s">
        <v>340</v>
      </c>
      <c r="I618" s="8" t="s">
        <v>4974</v>
      </c>
      <c r="J618" s="10">
        <v>170</v>
      </c>
      <c r="K618" s="11">
        <v>226.85</v>
      </c>
      <c r="L618" s="11">
        <v>295.42</v>
      </c>
      <c r="M618" s="11">
        <v>50221.4</v>
      </c>
      <c r="N618" s="11">
        <v>38564.5</v>
      </c>
      <c r="O618" s="11">
        <f>CleanedData[[#This Row],[Total Sales ($)]]-CleanedData[[#This Row],[Total Cost ($)]]</f>
        <v>11656.900000000001</v>
      </c>
      <c r="P618" s="12">
        <f>CleanedData[[#This Row],[Profit ($)]]/CleanedData[[#This Row],[Total Sales ($)]]</f>
        <v>0.2321102159637127</v>
      </c>
      <c r="Q618" s="8" t="s">
        <v>42</v>
      </c>
      <c r="R618" s="8" t="s">
        <v>32</v>
      </c>
      <c r="S618" s="8" t="b">
        <f>_xlfn.SINGLE(CleanedData[[#This Row],[Delivery Status]])="Late"</f>
        <v>1</v>
      </c>
      <c r="T618" s="10">
        <v>15</v>
      </c>
      <c r="U618" s="8" t="s">
        <v>112</v>
      </c>
      <c r="V618" s="10">
        <v>3579</v>
      </c>
      <c r="W618" s="10">
        <v>8</v>
      </c>
      <c r="X618" s="12">
        <v>4.7058823529411702E-2</v>
      </c>
      <c r="Y618" s="8" t="b">
        <f>CleanedData[[#This Row],[Ship Date]]&lt;CleanedData[[#This Row],[Order Date]]</f>
        <v>0</v>
      </c>
      <c r="Z618" s="10">
        <f>YEAR(CleanedData[[#This Row],[Order Date]])</f>
        <v>2023</v>
      </c>
      <c r="AA618" s="8">
        <f>MONTH(CleanedData[[#This Row],[Order Date]])</f>
        <v>10</v>
      </c>
    </row>
    <row r="619" spans="1:27" x14ac:dyDescent="0.35">
      <c r="A619" s="8" t="s">
        <v>1994</v>
      </c>
      <c r="B619" s="9">
        <v>45285</v>
      </c>
      <c r="C619" s="9">
        <v>45205</v>
      </c>
      <c r="D619" s="8" t="s">
        <v>1996</v>
      </c>
      <c r="E619" s="8" t="s">
        <v>68</v>
      </c>
      <c r="F619" s="8" t="s">
        <v>276</v>
      </c>
      <c r="G619" s="8" t="s">
        <v>93</v>
      </c>
      <c r="H619" s="8" t="s">
        <v>140</v>
      </c>
      <c r="I619" s="8" t="s">
        <v>4978</v>
      </c>
      <c r="J619" s="10">
        <v>676</v>
      </c>
      <c r="K619" s="11">
        <v>1190.08</v>
      </c>
      <c r="L619" s="11">
        <v>1481.43</v>
      </c>
      <c r="M619" s="11">
        <v>1001446.68</v>
      </c>
      <c r="N619" s="11">
        <v>804494.08</v>
      </c>
      <c r="O619" s="11">
        <f>CleanedData[[#This Row],[Total Sales ($)]]-CleanedData[[#This Row],[Total Cost ($)]]</f>
        <v>196952.60000000009</v>
      </c>
      <c r="P619" s="12">
        <f>CleanedData[[#This Row],[Profit ($)]]/CleanedData[[#This Row],[Total Sales ($)]]</f>
        <v>0.19666808421592658</v>
      </c>
      <c r="Q619" s="8" t="s">
        <v>52</v>
      </c>
      <c r="R619" s="8" t="s">
        <v>32</v>
      </c>
      <c r="S619" s="8" t="b">
        <f>_xlfn.SINGLE(CleanedData[[#This Row],[Delivery Status]])="Late"</f>
        <v>1</v>
      </c>
      <c r="T619" s="10">
        <v>13</v>
      </c>
      <c r="U619" s="8" t="s">
        <v>53</v>
      </c>
      <c r="V619" s="10">
        <v>59</v>
      </c>
      <c r="W619" s="10">
        <v>1</v>
      </c>
      <c r="X619" s="12">
        <v>1.4792899408283999E-3</v>
      </c>
      <c r="Y619" s="8" t="b">
        <f>CleanedData[[#This Row],[Ship Date]]&lt;CleanedData[[#This Row],[Order Date]]</f>
        <v>1</v>
      </c>
      <c r="Z619" s="10">
        <f>YEAR(CleanedData[[#This Row],[Order Date]])</f>
        <v>2023</v>
      </c>
      <c r="AA619" s="8">
        <f>MONTH(CleanedData[[#This Row],[Order Date]])</f>
        <v>12</v>
      </c>
    </row>
    <row r="620" spans="1:27" x14ac:dyDescent="0.35">
      <c r="A620" s="8" t="s">
        <v>1997</v>
      </c>
      <c r="B620" s="9">
        <v>45271</v>
      </c>
      <c r="C620" s="9">
        <v>45125</v>
      </c>
      <c r="D620" s="8" t="s">
        <v>1998</v>
      </c>
      <c r="E620" s="8" t="s">
        <v>100</v>
      </c>
      <c r="F620" s="8" t="s">
        <v>106</v>
      </c>
      <c r="G620" s="8" t="s">
        <v>70</v>
      </c>
      <c r="H620" s="8" t="s">
        <v>71</v>
      </c>
      <c r="I620" s="8" t="s">
        <v>4978</v>
      </c>
      <c r="J620" s="10">
        <v>580</v>
      </c>
      <c r="K620" s="11">
        <v>631.41</v>
      </c>
      <c r="L620" s="11">
        <v>906.02</v>
      </c>
      <c r="M620" s="11">
        <v>525491.6</v>
      </c>
      <c r="N620" s="11">
        <v>366217.8</v>
      </c>
      <c r="O620" s="11">
        <f>CleanedData[[#This Row],[Total Sales ($)]]-CleanedData[[#This Row],[Total Cost ($)]]</f>
        <v>159273.79999999999</v>
      </c>
      <c r="P620" s="12">
        <f>CleanedData[[#This Row],[Profit ($)]]/CleanedData[[#This Row],[Total Sales ($)]]</f>
        <v>0.30309485441822476</v>
      </c>
      <c r="Q620" s="8" t="s">
        <v>31</v>
      </c>
      <c r="R620" s="8" t="s">
        <v>32</v>
      </c>
      <c r="S620" s="8" t="b">
        <f>_xlfn.SINGLE(CleanedData[[#This Row],[Delivery Status]])="Late"</f>
        <v>1</v>
      </c>
      <c r="T620" s="10">
        <v>10</v>
      </c>
      <c r="U620" s="8" t="s">
        <v>53</v>
      </c>
      <c r="V620" s="10">
        <v>3083</v>
      </c>
      <c r="W620" s="10">
        <v>12</v>
      </c>
      <c r="X620" s="12">
        <v>2.0689655172413699E-2</v>
      </c>
      <c r="Y620" s="8" t="b">
        <f>CleanedData[[#This Row],[Ship Date]]&lt;CleanedData[[#This Row],[Order Date]]</f>
        <v>1</v>
      </c>
      <c r="Z620" s="10">
        <f>YEAR(CleanedData[[#This Row],[Order Date]])</f>
        <v>2023</v>
      </c>
      <c r="AA620" s="8">
        <f>MONTH(CleanedData[[#This Row],[Order Date]])</f>
        <v>12</v>
      </c>
    </row>
    <row r="621" spans="1:27" x14ac:dyDescent="0.35">
      <c r="A621" s="8" t="s">
        <v>1999</v>
      </c>
      <c r="B621" s="9">
        <v>44929</v>
      </c>
      <c r="C621" s="9">
        <v>45218</v>
      </c>
      <c r="D621" s="8" t="s">
        <v>2000</v>
      </c>
      <c r="E621" s="8" t="s">
        <v>100</v>
      </c>
      <c r="F621" s="8" t="s">
        <v>101</v>
      </c>
      <c r="G621" s="8" t="s">
        <v>93</v>
      </c>
      <c r="H621" s="8" t="s">
        <v>643</v>
      </c>
      <c r="I621" s="8" t="s">
        <v>4977</v>
      </c>
      <c r="J621" s="10">
        <v>770</v>
      </c>
      <c r="K621" s="11">
        <v>139.34</v>
      </c>
      <c r="L621" s="11">
        <v>176.5</v>
      </c>
      <c r="M621" s="11">
        <v>135905</v>
      </c>
      <c r="N621" s="11">
        <v>107291.8</v>
      </c>
      <c r="O621" s="11">
        <f>CleanedData[[#This Row],[Total Sales ($)]]-CleanedData[[#This Row],[Total Cost ($)]]</f>
        <v>28613.199999999997</v>
      </c>
      <c r="P621" s="12">
        <f>CleanedData[[#This Row],[Profit ($)]]/CleanedData[[#This Row],[Total Sales ($)]]</f>
        <v>0.2105382436260623</v>
      </c>
      <c r="Q621" s="8" t="s">
        <v>95</v>
      </c>
      <c r="R621" s="8" t="s">
        <v>32</v>
      </c>
      <c r="S621" s="8" t="b">
        <f>_xlfn.SINGLE(CleanedData[[#This Row],[Delivery Status]])="Late"</f>
        <v>1</v>
      </c>
      <c r="T621" s="10">
        <v>9</v>
      </c>
      <c r="U621" s="8" t="s">
        <v>86</v>
      </c>
      <c r="V621" s="10">
        <v>754</v>
      </c>
      <c r="W621" s="10">
        <v>17</v>
      </c>
      <c r="X621" s="12">
        <v>2.2077922077921999E-2</v>
      </c>
      <c r="Y621" s="8" t="b">
        <f>CleanedData[[#This Row],[Ship Date]]&lt;CleanedData[[#This Row],[Order Date]]</f>
        <v>0</v>
      </c>
      <c r="Z621" s="10">
        <f>YEAR(CleanedData[[#This Row],[Order Date]])</f>
        <v>2023</v>
      </c>
      <c r="AA621" s="8">
        <f>MONTH(CleanedData[[#This Row],[Order Date]])</f>
        <v>1</v>
      </c>
    </row>
    <row r="622" spans="1:27" x14ac:dyDescent="0.35">
      <c r="A622" s="8" t="s">
        <v>2001</v>
      </c>
      <c r="B622" s="9">
        <v>45554</v>
      </c>
      <c r="C622" s="9">
        <v>45518</v>
      </c>
      <c r="D622" s="8" t="s">
        <v>2003</v>
      </c>
      <c r="E622" s="8" t="s">
        <v>100</v>
      </c>
      <c r="F622" s="8" t="s">
        <v>330</v>
      </c>
      <c r="G622" s="8" t="s">
        <v>93</v>
      </c>
      <c r="H622" s="8" t="s">
        <v>1442</v>
      </c>
      <c r="I622" s="8" t="s">
        <v>4967</v>
      </c>
      <c r="J622" s="10">
        <v>455</v>
      </c>
      <c r="K622" s="11">
        <v>840.54</v>
      </c>
      <c r="L622" s="11">
        <v>1287.7</v>
      </c>
      <c r="M622" s="11">
        <v>585903.5</v>
      </c>
      <c r="N622" s="11">
        <v>382445.7</v>
      </c>
      <c r="O622" s="11">
        <f>CleanedData[[#This Row],[Total Sales ($)]]-CleanedData[[#This Row],[Total Cost ($)]]</f>
        <v>203457.8</v>
      </c>
      <c r="P622" s="12">
        <f>CleanedData[[#This Row],[Profit ($)]]/CleanedData[[#This Row],[Total Sales ($)]]</f>
        <v>0.34725479537159276</v>
      </c>
      <c r="Q622" s="8" t="s">
        <v>95</v>
      </c>
      <c r="R622" s="8" t="s">
        <v>32</v>
      </c>
      <c r="S622" s="8" t="b">
        <f>_xlfn.SINGLE(CleanedData[[#This Row],[Delivery Status]])="Late"</f>
        <v>1</v>
      </c>
      <c r="T622" s="10">
        <v>9</v>
      </c>
      <c r="U622" s="8" t="s">
        <v>112</v>
      </c>
      <c r="V622" s="10">
        <v>293</v>
      </c>
      <c r="W622" s="10">
        <v>13</v>
      </c>
      <c r="X622" s="12">
        <v>2.8571428571428501E-2</v>
      </c>
      <c r="Y622" s="8" t="b">
        <f>CleanedData[[#This Row],[Ship Date]]&lt;CleanedData[[#This Row],[Order Date]]</f>
        <v>1</v>
      </c>
      <c r="Z622" s="10">
        <f>YEAR(CleanedData[[#This Row],[Order Date]])</f>
        <v>2024</v>
      </c>
      <c r="AA622" s="8">
        <f>MONTH(CleanedData[[#This Row],[Order Date]])</f>
        <v>9</v>
      </c>
    </row>
    <row r="623" spans="1:27" x14ac:dyDescent="0.35">
      <c r="A623" s="8" t="s">
        <v>2004</v>
      </c>
      <c r="B623" s="9">
        <v>45059</v>
      </c>
      <c r="C623" s="9">
        <v>45242</v>
      </c>
      <c r="D623" s="8" t="s">
        <v>2005</v>
      </c>
      <c r="E623" s="8" t="s">
        <v>26</v>
      </c>
      <c r="F623" s="8" t="s">
        <v>27</v>
      </c>
      <c r="G623" s="8" t="s">
        <v>60</v>
      </c>
      <c r="H623" s="8" t="s">
        <v>780</v>
      </c>
      <c r="I623" s="8" t="s">
        <v>4975</v>
      </c>
      <c r="J623" s="10">
        <v>320</v>
      </c>
      <c r="K623" s="11">
        <v>631.04</v>
      </c>
      <c r="L623" s="11">
        <v>1017.5</v>
      </c>
      <c r="M623" s="11">
        <v>325600</v>
      </c>
      <c r="N623" s="11">
        <v>201932.79999999999</v>
      </c>
      <c r="O623" s="11">
        <f>CleanedData[[#This Row],[Total Sales ($)]]-CleanedData[[#This Row],[Total Cost ($)]]</f>
        <v>123667.20000000001</v>
      </c>
      <c r="P623" s="12">
        <f>CleanedData[[#This Row],[Profit ($)]]/CleanedData[[#This Row],[Total Sales ($)]]</f>
        <v>0.37981326781326785</v>
      </c>
      <c r="Q623" s="8" t="s">
        <v>52</v>
      </c>
      <c r="R623" s="8" t="s">
        <v>32</v>
      </c>
      <c r="S623" s="8" t="b">
        <f>_xlfn.SINGLE(CleanedData[[#This Row],[Delivery Status]])="Late"</f>
        <v>1</v>
      </c>
      <c r="T623" s="10">
        <v>9</v>
      </c>
      <c r="U623" s="8" t="s">
        <v>43</v>
      </c>
      <c r="V623" s="10">
        <v>3031</v>
      </c>
      <c r="W623" s="10">
        <v>4</v>
      </c>
      <c r="X623" s="12">
        <v>1.2500000000000001E-2</v>
      </c>
      <c r="Y623" s="8" t="b">
        <f>CleanedData[[#This Row],[Ship Date]]&lt;CleanedData[[#This Row],[Order Date]]</f>
        <v>0</v>
      </c>
      <c r="Z623" s="10">
        <f>YEAR(CleanedData[[#This Row],[Order Date]])</f>
        <v>2023</v>
      </c>
      <c r="AA623" s="8">
        <f>MONTH(CleanedData[[#This Row],[Order Date]])</f>
        <v>5</v>
      </c>
    </row>
    <row r="624" spans="1:27" x14ac:dyDescent="0.35">
      <c r="A624" s="8" t="s">
        <v>2006</v>
      </c>
      <c r="B624" s="9">
        <v>45300</v>
      </c>
      <c r="C624" s="9">
        <v>45385</v>
      </c>
      <c r="D624" s="8" t="s">
        <v>2009</v>
      </c>
      <c r="E624" s="8" t="s">
        <v>26</v>
      </c>
      <c r="F624" s="8" t="s">
        <v>38</v>
      </c>
      <c r="G624" s="8" t="s">
        <v>93</v>
      </c>
      <c r="H624" s="8" t="s">
        <v>485</v>
      </c>
      <c r="I624" s="8" t="s">
        <v>4968</v>
      </c>
      <c r="J624" s="10">
        <v>619</v>
      </c>
      <c r="K624" s="11">
        <v>1105.29</v>
      </c>
      <c r="L624" s="11">
        <v>1450.87</v>
      </c>
      <c r="M624" s="11">
        <v>898088.53</v>
      </c>
      <c r="N624" s="11">
        <v>684174.51</v>
      </c>
      <c r="O624" s="11">
        <f>CleanedData[[#This Row],[Total Sales ($)]]-CleanedData[[#This Row],[Total Cost ($)]]</f>
        <v>213914.02000000002</v>
      </c>
      <c r="P624" s="12">
        <f>CleanedData[[#This Row],[Profit ($)]]/CleanedData[[#This Row],[Total Sales ($)]]</f>
        <v>0.23818812160979275</v>
      </c>
      <c r="Q624" s="8" t="s">
        <v>42</v>
      </c>
      <c r="R624" s="8" t="s">
        <v>63</v>
      </c>
      <c r="S624" s="8" t="b">
        <f>_xlfn.SINGLE(CleanedData[[#This Row],[Delivery Status]])="Late"</f>
        <v>0</v>
      </c>
      <c r="T624" s="10">
        <v>2</v>
      </c>
      <c r="U624" s="8" t="s">
        <v>33</v>
      </c>
      <c r="V624" s="10">
        <v>3789</v>
      </c>
      <c r="W624" s="10">
        <v>30</v>
      </c>
      <c r="X624" s="12">
        <v>4.8465266558965998E-2</v>
      </c>
      <c r="Y624" s="8" t="b">
        <f>CleanedData[[#This Row],[Ship Date]]&lt;CleanedData[[#This Row],[Order Date]]</f>
        <v>0</v>
      </c>
      <c r="Z624" s="10">
        <f>YEAR(CleanedData[[#This Row],[Order Date]])</f>
        <v>2024</v>
      </c>
      <c r="AA624" s="8">
        <f>MONTH(CleanedData[[#This Row],[Order Date]])</f>
        <v>1</v>
      </c>
    </row>
    <row r="625" spans="1:27" x14ac:dyDescent="0.35">
      <c r="A625" s="8" t="s">
        <v>2010</v>
      </c>
      <c r="B625" s="9">
        <v>45309</v>
      </c>
      <c r="C625" s="9">
        <v>45641</v>
      </c>
      <c r="D625" s="8" t="s">
        <v>2013</v>
      </c>
      <c r="E625" s="8" t="s">
        <v>48</v>
      </c>
      <c r="F625" s="8" t="s">
        <v>183</v>
      </c>
      <c r="G625" s="8" t="s">
        <v>39</v>
      </c>
      <c r="H625" s="8" t="s">
        <v>477</v>
      </c>
      <c r="I625" s="8" t="s">
        <v>4970</v>
      </c>
      <c r="J625" s="10">
        <v>230</v>
      </c>
      <c r="K625" s="11">
        <v>1142.9000000000001</v>
      </c>
      <c r="L625" s="11">
        <v>1319.57</v>
      </c>
      <c r="M625" s="11">
        <v>303501.09999999998</v>
      </c>
      <c r="N625" s="11">
        <v>262867</v>
      </c>
      <c r="O625" s="11">
        <f>CleanedData[[#This Row],[Total Sales ($)]]-CleanedData[[#This Row],[Total Cost ($)]]</f>
        <v>40634.099999999977</v>
      </c>
      <c r="P625" s="12">
        <f>CleanedData[[#This Row],[Profit ($)]]/CleanedData[[#This Row],[Total Sales ($)]]</f>
        <v>0.13388452298854922</v>
      </c>
      <c r="Q625" s="8" t="s">
        <v>31</v>
      </c>
      <c r="R625" s="8" t="s">
        <v>32</v>
      </c>
      <c r="S625" s="8" t="b">
        <f>_xlfn.SINGLE(CleanedData[[#This Row],[Delivery Status]])="Late"</f>
        <v>1</v>
      </c>
      <c r="T625" s="10">
        <v>0</v>
      </c>
      <c r="U625" s="8" t="s">
        <v>53</v>
      </c>
      <c r="V625" s="10">
        <v>4333</v>
      </c>
      <c r="W625" s="10">
        <v>0</v>
      </c>
      <c r="X625" s="12">
        <v>0</v>
      </c>
      <c r="Y625" s="8" t="b">
        <f>CleanedData[[#This Row],[Ship Date]]&lt;CleanedData[[#This Row],[Order Date]]</f>
        <v>0</v>
      </c>
      <c r="Z625" s="10">
        <f>YEAR(CleanedData[[#This Row],[Order Date]])</f>
        <v>2024</v>
      </c>
      <c r="AA625" s="8">
        <f>MONTH(CleanedData[[#This Row],[Order Date]])</f>
        <v>1</v>
      </c>
    </row>
    <row r="626" spans="1:27" x14ac:dyDescent="0.35">
      <c r="A626" s="8" t="s">
        <v>2014</v>
      </c>
      <c r="B626" s="9">
        <v>45022</v>
      </c>
      <c r="C626" s="9">
        <v>44978</v>
      </c>
      <c r="D626" s="8" t="s">
        <v>2016</v>
      </c>
      <c r="E626" s="8" t="s">
        <v>58</v>
      </c>
      <c r="F626" s="8" t="s">
        <v>2017</v>
      </c>
      <c r="G626" s="8" t="s">
        <v>93</v>
      </c>
      <c r="H626" s="8" t="s">
        <v>643</v>
      </c>
      <c r="I626" s="8" t="s">
        <v>4976</v>
      </c>
      <c r="J626" s="10">
        <v>46</v>
      </c>
      <c r="K626" s="11">
        <v>868.87</v>
      </c>
      <c r="L626" s="11">
        <v>1269.31</v>
      </c>
      <c r="M626" s="11">
        <v>58388.26</v>
      </c>
      <c r="N626" s="11">
        <v>39968.019999999997</v>
      </c>
      <c r="O626" s="11">
        <f>CleanedData[[#This Row],[Total Sales ($)]]-CleanedData[[#This Row],[Total Cost ($)]]</f>
        <v>18420.240000000005</v>
      </c>
      <c r="P626" s="12">
        <f>CleanedData[[#This Row],[Profit ($)]]/CleanedData[[#This Row],[Total Sales ($)]]</f>
        <v>0.31547848831254782</v>
      </c>
      <c r="Q626" s="8" t="s">
        <v>52</v>
      </c>
      <c r="R626" s="8" t="s">
        <v>32</v>
      </c>
      <c r="S626" s="8" t="b">
        <f>_xlfn.SINGLE(CleanedData[[#This Row],[Delivery Status]])="Late"</f>
        <v>1</v>
      </c>
      <c r="T626" s="10">
        <v>10</v>
      </c>
      <c r="U626" s="8" t="s">
        <v>112</v>
      </c>
      <c r="V626" s="10">
        <v>1371</v>
      </c>
      <c r="W626" s="10">
        <v>1</v>
      </c>
      <c r="X626" s="12">
        <v>2.1739130434782601E-2</v>
      </c>
      <c r="Y626" s="8" t="b">
        <f>CleanedData[[#This Row],[Ship Date]]&lt;CleanedData[[#This Row],[Order Date]]</f>
        <v>1</v>
      </c>
      <c r="Z626" s="10">
        <f>YEAR(CleanedData[[#This Row],[Order Date]])</f>
        <v>2023</v>
      </c>
      <c r="AA626" s="8">
        <f>MONTH(CleanedData[[#This Row],[Order Date]])</f>
        <v>4</v>
      </c>
    </row>
    <row r="627" spans="1:27" x14ac:dyDescent="0.35">
      <c r="A627" s="8" t="s">
        <v>2018</v>
      </c>
      <c r="B627" s="9">
        <v>45121</v>
      </c>
      <c r="C627" s="9">
        <v>45174</v>
      </c>
      <c r="D627" s="8" t="s">
        <v>2019</v>
      </c>
      <c r="E627" s="8" t="s">
        <v>100</v>
      </c>
      <c r="F627" s="8" t="s">
        <v>238</v>
      </c>
      <c r="G627" s="8" t="s">
        <v>129</v>
      </c>
      <c r="H627" s="8" t="s">
        <v>168</v>
      </c>
      <c r="I627" s="8" t="s">
        <v>4978</v>
      </c>
      <c r="J627" s="10">
        <v>787</v>
      </c>
      <c r="K627" s="11">
        <v>880.81</v>
      </c>
      <c r="L627" s="11">
        <v>1305.68</v>
      </c>
      <c r="M627" s="11">
        <v>1027570.16</v>
      </c>
      <c r="N627" s="11">
        <v>693197.47</v>
      </c>
      <c r="O627" s="11">
        <f>CleanedData[[#This Row],[Total Sales ($)]]-CleanedData[[#This Row],[Total Cost ($)]]</f>
        <v>334372.69000000006</v>
      </c>
      <c r="P627" s="12">
        <f>CleanedData[[#This Row],[Profit ($)]]/CleanedData[[#This Row],[Total Sales ($)]]</f>
        <v>0.32540132344831818</v>
      </c>
      <c r="Q627" s="8" t="s">
        <v>31</v>
      </c>
      <c r="R627" s="8" t="s">
        <v>32</v>
      </c>
      <c r="S627" s="8" t="b">
        <f>_xlfn.SINGLE(CleanedData[[#This Row],[Delivery Status]])="Late"</f>
        <v>1</v>
      </c>
      <c r="T627" s="10">
        <v>8</v>
      </c>
      <c r="U627" s="8" t="s">
        <v>112</v>
      </c>
      <c r="V627" s="10">
        <v>3415</v>
      </c>
      <c r="W627" s="10">
        <v>0</v>
      </c>
      <c r="X627" s="12">
        <v>0</v>
      </c>
      <c r="Y627" s="8" t="b">
        <f>CleanedData[[#This Row],[Ship Date]]&lt;CleanedData[[#This Row],[Order Date]]</f>
        <v>0</v>
      </c>
      <c r="Z627" s="10">
        <f>YEAR(CleanedData[[#This Row],[Order Date]])</f>
        <v>2023</v>
      </c>
      <c r="AA627" s="8">
        <f>MONTH(CleanedData[[#This Row],[Order Date]])</f>
        <v>7</v>
      </c>
    </row>
    <row r="628" spans="1:27" x14ac:dyDescent="0.35">
      <c r="A628" s="8" t="s">
        <v>2020</v>
      </c>
      <c r="B628" s="9">
        <v>45062</v>
      </c>
      <c r="C628" s="9">
        <v>45112</v>
      </c>
      <c r="D628" s="8" t="s">
        <v>2021</v>
      </c>
      <c r="E628" s="8" t="s">
        <v>26</v>
      </c>
      <c r="F628" s="8" t="s">
        <v>92</v>
      </c>
      <c r="G628" s="8" t="s">
        <v>70</v>
      </c>
      <c r="H628" s="8" t="s">
        <v>623</v>
      </c>
      <c r="I628" s="8" t="s">
        <v>4978</v>
      </c>
      <c r="J628" s="10">
        <v>280</v>
      </c>
      <c r="K628" s="11">
        <v>1138.47</v>
      </c>
      <c r="L628" s="11">
        <v>1458.45</v>
      </c>
      <c r="M628" s="11">
        <v>408366</v>
      </c>
      <c r="N628" s="11">
        <v>318771.59999999998</v>
      </c>
      <c r="O628" s="11">
        <f>CleanedData[[#This Row],[Total Sales ($)]]-CleanedData[[#This Row],[Total Cost ($)]]</f>
        <v>89594.400000000023</v>
      </c>
      <c r="P628" s="12">
        <f>CleanedData[[#This Row],[Profit ($)]]/CleanedData[[#This Row],[Total Sales ($)]]</f>
        <v>0.21939730535842852</v>
      </c>
      <c r="Q628" s="8" t="s">
        <v>31</v>
      </c>
      <c r="R628" s="8" t="s">
        <v>32</v>
      </c>
      <c r="S628" s="8" t="b">
        <f>_xlfn.SINGLE(CleanedData[[#This Row],[Delivery Status]])="Late"</f>
        <v>1</v>
      </c>
      <c r="T628" s="10">
        <v>13</v>
      </c>
      <c r="U628" s="8" t="s">
        <v>43</v>
      </c>
      <c r="V628" s="10">
        <v>1012</v>
      </c>
      <c r="W628" s="10">
        <v>0</v>
      </c>
      <c r="X628" s="12">
        <v>0</v>
      </c>
      <c r="Y628" s="8" t="b">
        <f>CleanedData[[#This Row],[Ship Date]]&lt;CleanedData[[#This Row],[Order Date]]</f>
        <v>0</v>
      </c>
      <c r="Z628" s="10">
        <f>YEAR(CleanedData[[#This Row],[Order Date]])</f>
        <v>2023</v>
      </c>
      <c r="AA628" s="8">
        <f>MONTH(CleanedData[[#This Row],[Order Date]])</f>
        <v>5</v>
      </c>
    </row>
    <row r="629" spans="1:27" x14ac:dyDescent="0.35">
      <c r="A629" s="8" t="s">
        <v>2022</v>
      </c>
      <c r="B629" s="9">
        <v>45222</v>
      </c>
      <c r="C629" s="9">
        <v>45108</v>
      </c>
      <c r="D629" s="8" t="s">
        <v>2023</v>
      </c>
      <c r="E629" s="8" t="s">
        <v>58</v>
      </c>
      <c r="F629" s="8" t="s">
        <v>116</v>
      </c>
      <c r="G629" s="8" t="s">
        <v>28</v>
      </c>
      <c r="H629" s="8" t="s">
        <v>579</v>
      </c>
      <c r="I629" s="8" t="s">
        <v>4974</v>
      </c>
      <c r="J629" s="10">
        <v>692</v>
      </c>
      <c r="K629" s="11">
        <v>338.12</v>
      </c>
      <c r="L629" s="11">
        <v>441.02</v>
      </c>
      <c r="M629" s="11">
        <v>305185.84000000003</v>
      </c>
      <c r="N629" s="11">
        <v>233979.04</v>
      </c>
      <c r="O629" s="11">
        <f>CleanedData[[#This Row],[Total Sales ($)]]-CleanedData[[#This Row],[Total Cost ($)]]</f>
        <v>71206.800000000017</v>
      </c>
      <c r="P629" s="12">
        <f>CleanedData[[#This Row],[Profit ($)]]/CleanedData[[#This Row],[Total Sales ($)]]</f>
        <v>0.23332275180263937</v>
      </c>
      <c r="Q629" s="8" t="s">
        <v>31</v>
      </c>
      <c r="R629" s="8" t="s">
        <v>63</v>
      </c>
      <c r="S629" s="8" t="b">
        <f>_xlfn.SINGLE(CleanedData[[#This Row],[Delivery Status]])="Late"</f>
        <v>0</v>
      </c>
      <c r="T629" s="10">
        <v>4</v>
      </c>
      <c r="U629" s="8" t="s">
        <v>158</v>
      </c>
      <c r="V629" s="10">
        <v>4724</v>
      </c>
      <c r="W629" s="10">
        <v>26</v>
      </c>
      <c r="X629" s="12">
        <v>3.7572254335260097E-2</v>
      </c>
      <c r="Y629" s="8" t="b">
        <f>CleanedData[[#This Row],[Ship Date]]&lt;CleanedData[[#This Row],[Order Date]]</f>
        <v>1</v>
      </c>
      <c r="Z629" s="10">
        <f>YEAR(CleanedData[[#This Row],[Order Date]])</f>
        <v>2023</v>
      </c>
      <c r="AA629" s="8">
        <f>MONTH(CleanedData[[#This Row],[Order Date]])</f>
        <v>10</v>
      </c>
    </row>
    <row r="630" spans="1:27" x14ac:dyDescent="0.35">
      <c r="A630" s="8" t="s">
        <v>2024</v>
      </c>
      <c r="B630" s="9">
        <v>44995</v>
      </c>
      <c r="C630" s="9">
        <v>45013</v>
      </c>
      <c r="D630" s="8" t="s">
        <v>537</v>
      </c>
      <c r="E630" s="8" t="s">
        <v>58</v>
      </c>
      <c r="F630" s="8" t="s">
        <v>116</v>
      </c>
      <c r="G630" s="8" t="s">
        <v>93</v>
      </c>
      <c r="H630" s="8" t="s">
        <v>184</v>
      </c>
      <c r="I630" s="8" t="s">
        <v>4973</v>
      </c>
      <c r="J630" s="10">
        <v>582</v>
      </c>
      <c r="K630" s="11">
        <v>160.36000000000001</v>
      </c>
      <c r="L630" s="11">
        <v>224.31</v>
      </c>
      <c r="M630" s="11">
        <v>130548.42</v>
      </c>
      <c r="N630" s="11">
        <v>93329.52</v>
      </c>
      <c r="O630" s="11">
        <f>CleanedData[[#This Row],[Total Sales ($)]]-CleanedData[[#This Row],[Total Cost ($)]]</f>
        <v>37218.899999999994</v>
      </c>
      <c r="P630" s="12">
        <f>CleanedData[[#This Row],[Profit ($)]]/CleanedData[[#This Row],[Total Sales ($)]]</f>
        <v>0.2850965182114038</v>
      </c>
      <c r="Q630" s="8" t="s">
        <v>31</v>
      </c>
      <c r="R630" s="8" t="s">
        <v>63</v>
      </c>
      <c r="S630" s="8" t="b">
        <f>_xlfn.SINGLE(CleanedData[[#This Row],[Delivery Status]])="Late"</f>
        <v>0</v>
      </c>
      <c r="T630" s="10">
        <v>0</v>
      </c>
      <c r="U630" s="8" t="s">
        <v>86</v>
      </c>
      <c r="V630" s="10">
        <v>405</v>
      </c>
      <c r="W630" s="10">
        <v>21</v>
      </c>
      <c r="X630" s="12">
        <v>3.60824742268041E-2</v>
      </c>
      <c r="Y630" s="8" t="b">
        <f>CleanedData[[#This Row],[Ship Date]]&lt;CleanedData[[#This Row],[Order Date]]</f>
        <v>0</v>
      </c>
      <c r="Z630" s="10">
        <f>YEAR(CleanedData[[#This Row],[Order Date]])</f>
        <v>2023</v>
      </c>
      <c r="AA630" s="8">
        <f>MONTH(CleanedData[[#This Row],[Order Date]])</f>
        <v>3</v>
      </c>
    </row>
    <row r="631" spans="1:27" x14ac:dyDescent="0.35">
      <c r="A631" s="8" t="s">
        <v>2025</v>
      </c>
      <c r="B631" s="9">
        <v>45602</v>
      </c>
      <c r="C631" s="9">
        <v>45621</v>
      </c>
      <c r="D631" s="8" t="s">
        <v>2027</v>
      </c>
      <c r="E631" s="8" t="s">
        <v>100</v>
      </c>
      <c r="F631" s="8" t="s">
        <v>538</v>
      </c>
      <c r="G631" s="8" t="s">
        <v>28</v>
      </c>
      <c r="H631" s="8" t="s">
        <v>674</v>
      </c>
      <c r="I631" s="8" t="s">
        <v>4986</v>
      </c>
      <c r="J631" s="10">
        <v>363</v>
      </c>
      <c r="K631" s="11">
        <v>600.92999999999995</v>
      </c>
      <c r="L631" s="11">
        <v>693.01</v>
      </c>
      <c r="M631" s="11">
        <v>251562.63</v>
      </c>
      <c r="N631" s="11">
        <v>218137.59</v>
      </c>
      <c r="O631" s="11">
        <f>CleanedData[[#This Row],[Total Sales ($)]]-CleanedData[[#This Row],[Total Cost ($)]]</f>
        <v>33425.040000000008</v>
      </c>
      <c r="P631" s="12">
        <f>CleanedData[[#This Row],[Profit ($)]]/CleanedData[[#This Row],[Total Sales ($)]]</f>
        <v>0.13286965556052585</v>
      </c>
      <c r="Q631" s="8" t="s">
        <v>52</v>
      </c>
      <c r="R631" s="8" t="s">
        <v>32</v>
      </c>
      <c r="S631" s="8" t="b">
        <f>_xlfn.SINGLE(CleanedData[[#This Row],[Delivery Status]])="Late"</f>
        <v>1</v>
      </c>
      <c r="T631" s="10">
        <v>13</v>
      </c>
      <c r="U631" s="8" t="s">
        <v>112</v>
      </c>
      <c r="V631" s="10">
        <v>1493</v>
      </c>
      <c r="W631" s="10">
        <v>5</v>
      </c>
      <c r="X631" s="12">
        <v>1.3774104683195501E-2</v>
      </c>
      <c r="Y631" s="8" t="b">
        <f>CleanedData[[#This Row],[Ship Date]]&lt;CleanedData[[#This Row],[Order Date]]</f>
        <v>0</v>
      </c>
      <c r="Z631" s="10">
        <f>YEAR(CleanedData[[#This Row],[Order Date]])</f>
        <v>2024</v>
      </c>
      <c r="AA631" s="8">
        <f>MONTH(CleanedData[[#This Row],[Order Date]])</f>
        <v>11</v>
      </c>
    </row>
    <row r="632" spans="1:27" x14ac:dyDescent="0.35">
      <c r="A632" s="8" t="s">
        <v>2029</v>
      </c>
      <c r="B632" s="9">
        <v>45109</v>
      </c>
      <c r="C632" s="9">
        <v>45304</v>
      </c>
      <c r="D632" s="8" t="s">
        <v>2032</v>
      </c>
      <c r="E632" s="8" t="s">
        <v>58</v>
      </c>
      <c r="F632" s="8" t="s">
        <v>259</v>
      </c>
      <c r="G632" s="8" t="s">
        <v>129</v>
      </c>
      <c r="H632" s="8" t="s">
        <v>704</v>
      </c>
      <c r="I632" s="8" t="s">
        <v>4967</v>
      </c>
      <c r="J632" s="10">
        <v>436</v>
      </c>
      <c r="K632" s="11">
        <v>704.5</v>
      </c>
      <c r="L632" s="11">
        <v>1152.52</v>
      </c>
      <c r="M632" s="11">
        <v>502498.72</v>
      </c>
      <c r="N632" s="11">
        <v>307162</v>
      </c>
      <c r="O632" s="11">
        <f>CleanedData[[#This Row],[Total Sales ($)]]-CleanedData[[#This Row],[Total Cost ($)]]</f>
        <v>195336.71999999997</v>
      </c>
      <c r="P632" s="12">
        <f>CleanedData[[#This Row],[Profit ($)]]/CleanedData[[#This Row],[Total Sales ($)]]</f>
        <v>0.38873078124457705</v>
      </c>
      <c r="Q632" s="8" t="s">
        <v>31</v>
      </c>
      <c r="R632" s="8" t="s">
        <v>32</v>
      </c>
      <c r="S632" s="8" t="b">
        <f>_xlfn.SINGLE(CleanedData[[#This Row],[Delivery Status]])="Late"</f>
        <v>1</v>
      </c>
      <c r="T632" s="10">
        <v>10</v>
      </c>
      <c r="U632" s="8" t="s">
        <v>112</v>
      </c>
      <c r="V632" s="10">
        <v>4089</v>
      </c>
      <c r="W632" s="10">
        <v>10</v>
      </c>
      <c r="X632" s="12">
        <v>2.29357798165137E-2</v>
      </c>
      <c r="Y632" s="8" t="b">
        <f>CleanedData[[#This Row],[Ship Date]]&lt;CleanedData[[#This Row],[Order Date]]</f>
        <v>0</v>
      </c>
      <c r="Z632" s="10">
        <f>YEAR(CleanedData[[#This Row],[Order Date]])</f>
        <v>2023</v>
      </c>
      <c r="AA632" s="8">
        <f>MONTH(CleanedData[[#This Row],[Order Date]])</f>
        <v>7</v>
      </c>
    </row>
    <row r="633" spans="1:27" x14ac:dyDescent="0.35">
      <c r="A633" s="8" t="s">
        <v>2033</v>
      </c>
      <c r="B633" s="9">
        <v>45339</v>
      </c>
      <c r="C633" s="9">
        <v>45330</v>
      </c>
      <c r="D633" s="8" t="s">
        <v>1920</v>
      </c>
      <c r="E633" s="8" t="s">
        <v>26</v>
      </c>
      <c r="F633" s="8" t="s">
        <v>92</v>
      </c>
      <c r="G633" s="8" t="s">
        <v>78</v>
      </c>
      <c r="H633" s="8" t="s">
        <v>481</v>
      </c>
      <c r="I633" s="8" t="s">
        <v>4979</v>
      </c>
      <c r="J633" s="10">
        <v>766</v>
      </c>
      <c r="K633" s="11">
        <v>643.39</v>
      </c>
      <c r="L633" s="11">
        <v>942.25</v>
      </c>
      <c r="M633" s="11">
        <v>721763.5</v>
      </c>
      <c r="N633" s="11">
        <v>492836.74</v>
      </c>
      <c r="O633" s="11">
        <f>CleanedData[[#This Row],[Total Sales ($)]]-CleanedData[[#This Row],[Total Cost ($)]]</f>
        <v>228926.76</v>
      </c>
      <c r="P633" s="12">
        <f>CleanedData[[#This Row],[Profit ($)]]/CleanedData[[#This Row],[Total Sales ($)]]</f>
        <v>0.31717697001857259</v>
      </c>
      <c r="Q633" s="8" t="s">
        <v>31</v>
      </c>
      <c r="R633" s="8" t="s">
        <v>63</v>
      </c>
      <c r="S633" s="8" t="b">
        <f>_xlfn.SINGLE(CleanedData[[#This Row],[Delivery Status]])="Late"</f>
        <v>0</v>
      </c>
      <c r="T633" s="10">
        <v>3</v>
      </c>
      <c r="U633" s="8" t="s">
        <v>86</v>
      </c>
      <c r="V633" s="10">
        <v>1843</v>
      </c>
      <c r="W633" s="10">
        <v>31</v>
      </c>
      <c r="X633" s="12">
        <v>4.0469973890339399E-2</v>
      </c>
      <c r="Y633" s="8" t="b">
        <f>CleanedData[[#This Row],[Ship Date]]&lt;CleanedData[[#This Row],[Order Date]]</f>
        <v>1</v>
      </c>
      <c r="Z633" s="10">
        <f>YEAR(CleanedData[[#This Row],[Order Date]])</f>
        <v>2024</v>
      </c>
      <c r="AA633" s="8">
        <f>MONTH(CleanedData[[#This Row],[Order Date]])</f>
        <v>2</v>
      </c>
    </row>
    <row r="634" spans="1:27" x14ac:dyDescent="0.35">
      <c r="A634" s="8" t="s">
        <v>2034</v>
      </c>
      <c r="B634" s="9">
        <v>44966</v>
      </c>
      <c r="C634" s="9">
        <v>45172</v>
      </c>
      <c r="D634" s="8" t="s">
        <v>2035</v>
      </c>
      <c r="E634" s="8" t="s">
        <v>48</v>
      </c>
      <c r="F634" s="8" t="s">
        <v>281</v>
      </c>
      <c r="G634" s="8" t="s">
        <v>129</v>
      </c>
      <c r="H634" s="8" t="s">
        <v>316</v>
      </c>
      <c r="I634" s="8" t="s">
        <v>4975</v>
      </c>
      <c r="J634" s="10">
        <v>222</v>
      </c>
      <c r="K634" s="11">
        <v>1013.57</v>
      </c>
      <c r="L634" s="11">
        <v>1553.97</v>
      </c>
      <c r="M634" s="11">
        <v>344981.34</v>
      </c>
      <c r="N634" s="11">
        <v>225012.54</v>
      </c>
      <c r="O634" s="11">
        <f>CleanedData[[#This Row],[Total Sales ($)]]-CleanedData[[#This Row],[Total Cost ($)]]</f>
        <v>119968.80000000002</v>
      </c>
      <c r="P634" s="12">
        <f>CleanedData[[#This Row],[Profit ($)]]/CleanedData[[#This Row],[Total Sales ($)]]</f>
        <v>0.34775446115433378</v>
      </c>
      <c r="Q634" s="8" t="s">
        <v>31</v>
      </c>
      <c r="R634" s="8" t="s">
        <v>32</v>
      </c>
      <c r="S634" s="8" t="b">
        <f>_xlfn.SINGLE(CleanedData[[#This Row],[Delivery Status]])="Late"</f>
        <v>1</v>
      </c>
      <c r="T634" s="10">
        <v>12</v>
      </c>
      <c r="U634" s="8" t="s">
        <v>53</v>
      </c>
      <c r="V634" s="10">
        <v>911</v>
      </c>
      <c r="W634" s="10">
        <v>6</v>
      </c>
      <c r="X634" s="12">
        <v>2.7027027027027001E-2</v>
      </c>
      <c r="Y634" s="8" t="b">
        <f>CleanedData[[#This Row],[Ship Date]]&lt;CleanedData[[#This Row],[Order Date]]</f>
        <v>0</v>
      </c>
      <c r="Z634" s="10">
        <f>YEAR(CleanedData[[#This Row],[Order Date]])</f>
        <v>2023</v>
      </c>
      <c r="AA634" s="8">
        <f>MONTH(CleanedData[[#This Row],[Order Date]])</f>
        <v>2</v>
      </c>
    </row>
    <row r="635" spans="1:27" x14ac:dyDescent="0.35">
      <c r="A635" s="8" t="s">
        <v>2036</v>
      </c>
      <c r="B635" s="9">
        <v>45283</v>
      </c>
      <c r="C635" s="9">
        <v>45231</v>
      </c>
      <c r="D635" s="8" t="s">
        <v>2037</v>
      </c>
      <c r="E635" s="8" t="s">
        <v>26</v>
      </c>
      <c r="F635" s="8" t="s">
        <v>77</v>
      </c>
      <c r="G635" s="8" t="s">
        <v>28</v>
      </c>
      <c r="H635" s="8" t="s">
        <v>579</v>
      </c>
      <c r="I635" s="8" t="s">
        <v>4970</v>
      </c>
      <c r="J635" s="10">
        <v>93</v>
      </c>
      <c r="K635" s="11">
        <v>111.01</v>
      </c>
      <c r="L635" s="11">
        <v>130.69</v>
      </c>
      <c r="M635" s="11">
        <v>12154.17</v>
      </c>
      <c r="N635" s="11">
        <v>10323.93</v>
      </c>
      <c r="O635" s="11">
        <f>CleanedData[[#This Row],[Total Sales ($)]]-CleanedData[[#This Row],[Total Cost ($)]]</f>
        <v>1830.2399999999998</v>
      </c>
      <c r="P635" s="12">
        <f>CleanedData[[#This Row],[Profit ($)]]/CleanedData[[#This Row],[Total Sales ($)]]</f>
        <v>0.1505853546560563</v>
      </c>
      <c r="Q635" s="8" t="s">
        <v>42</v>
      </c>
      <c r="R635" s="8" t="s">
        <v>32</v>
      </c>
      <c r="S635" s="8" t="b">
        <f>_xlfn.SINGLE(CleanedData[[#This Row],[Delivery Status]])="Late"</f>
        <v>1</v>
      </c>
      <c r="T635" s="10">
        <v>9</v>
      </c>
      <c r="U635" s="8" t="s">
        <v>53</v>
      </c>
      <c r="V635" s="10">
        <v>269</v>
      </c>
      <c r="W635" s="10">
        <v>2</v>
      </c>
      <c r="X635" s="12">
        <v>2.1505376344085999E-2</v>
      </c>
      <c r="Y635" s="8" t="b">
        <f>CleanedData[[#This Row],[Ship Date]]&lt;CleanedData[[#This Row],[Order Date]]</f>
        <v>1</v>
      </c>
      <c r="Z635" s="10">
        <f>YEAR(CleanedData[[#This Row],[Order Date]])</f>
        <v>2023</v>
      </c>
      <c r="AA635" s="8">
        <f>MONTH(CleanedData[[#This Row],[Order Date]])</f>
        <v>12</v>
      </c>
    </row>
    <row r="636" spans="1:27" x14ac:dyDescent="0.35">
      <c r="A636" s="8" t="s">
        <v>1154</v>
      </c>
      <c r="B636" s="9">
        <v>44977</v>
      </c>
      <c r="C636" s="9">
        <v>45202</v>
      </c>
      <c r="D636" s="8" t="s">
        <v>1155</v>
      </c>
      <c r="E636" s="8" t="s">
        <v>68</v>
      </c>
      <c r="F636" s="8" t="s">
        <v>69</v>
      </c>
      <c r="G636" s="8" t="s">
        <v>50</v>
      </c>
      <c r="H636" s="8" t="s">
        <v>107</v>
      </c>
      <c r="I636" s="8" t="s">
        <v>4970</v>
      </c>
      <c r="J636" s="10">
        <v>457</v>
      </c>
      <c r="K636" s="11">
        <v>304.64999999999998</v>
      </c>
      <c r="L636" s="11">
        <v>342.69</v>
      </c>
      <c r="M636" s="11">
        <v>156609.32999999999</v>
      </c>
      <c r="N636" s="11">
        <v>139225.04999999999</v>
      </c>
      <c r="O636" s="11">
        <f>CleanedData[[#This Row],[Total Sales ($)]]-CleanedData[[#This Row],[Total Cost ($)]]</f>
        <v>17384.28</v>
      </c>
      <c r="P636" s="12">
        <f>CleanedData[[#This Row],[Profit ($)]]/CleanedData[[#This Row],[Total Sales ($)]]</f>
        <v>0.11100411450582159</v>
      </c>
      <c r="Q636" s="8" t="s">
        <v>31</v>
      </c>
      <c r="R636" s="8" t="s">
        <v>32</v>
      </c>
      <c r="S636" s="8" t="b">
        <f>_xlfn.SINGLE(CleanedData[[#This Row],[Delivery Status]])="Late"</f>
        <v>1</v>
      </c>
      <c r="T636" s="10">
        <v>10</v>
      </c>
      <c r="U636" s="8" t="s">
        <v>86</v>
      </c>
      <c r="V636" s="10">
        <v>2026</v>
      </c>
      <c r="W636" s="10">
        <v>10</v>
      </c>
      <c r="X636" s="12">
        <v>2.18818380743982E-2</v>
      </c>
      <c r="Y636" s="8" t="b">
        <f>CleanedData[[#This Row],[Ship Date]]&lt;CleanedData[[#This Row],[Order Date]]</f>
        <v>0</v>
      </c>
      <c r="Z636" s="10">
        <f>YEAR(CleanedData[[#This Row],[Order Date]])</f>
        <v>2023</v>
      </c>
      <c r="AA636" s="8">
        <f>MONTH(CleanedData[[#This Row],[Order Date]])</f>
        <v>2</v>
      </c>
    </row>
    <row r="637" spans="1:27" x14ac:dyDescent="0.35">
      <c r="A637" s="8" t="s">
        <v>2038</v>
      </c>
      <c r="B637" s="9">
        <v>45000</v>
      </c>
      <c r="C637" s="9">
        <v>45235</v>
      </c>
      <c r="D637" s="8" t="s">
        <v>2039</v>
      </c>
      <c r="E637" s="8" t="s">
        <v>100</v>
      </c>
      <c r="F637" s="8" t="s">
        <v>238</v>
      </c>
      <c r="G637" s="8" t="s">
        <v>70</v>
      </c>
      <c r="H637" s="8" t="s">
        <v>71</v>
      </c>
      <c r="I637" s="8" t="s">
        <v>4973</v>
      </c>
      <c r="J637" s="10">
        <v>269</v>
      </c>
      <c r="K637" s="11">
        <v>281.43</v>
      </c>
      <c r="L637" s="11">
        <v>392.88</v>
      </c>
      <c r="M637" s="11">
        <v>105684.72</v>
      </c>
      <c r="N637" s="11">
        <v>75704.67</v>
      </c>
      <c r="O637" s="11">
        <f>CleanedData[[#This Row],[Total Sales ($)]]-CleanedData[[#This Row],[Total Cost ($)]]</f>
        <v>29980.050000000003</v>
      </c>
      <c r="P637" s="12">
        <f>CleanedData[[#This Row],[Profit ($)]]/CleanedData[[#This Row],[Total Sales ($)]]</f>
        <v>0.28367440439828956</v>
      </c>
      <c r="Q637" s="8" t="s">
        <v>42</v>
      </c>
      <c r="R637" s="8" t="s">
        <v>63</v>
      </c>
      <c r="S637" s="8" t="b">
        <f>_xlfn.SINGLE(CleanedData[[#This Row],[Delivery Status]])="Late"</f>
        <v>0</v>
      </c>
      <c r="T637" s="10">
        <v>2</v>
      </c>
      <c r="U637" s="8" t="s">
        <v>158</v>
      </c>
      <c r="V637" s="10">
        <v>3772</v>
      </c>
      <c r="W637" s="10">
        <v>10</v>
      </c>
      <c r="X637" s="12">
        <v>3.7174721189591003E-2</v>
      </c>
      <c r="Y637" s="8" t="b">
        <f>CleanedData[[#This Row],[Ship Date]]&lt;CleanedData[[#This Row],[Order Date]]</f>
        <v>0</v>
      </c>
      <c r="Z637" s="10">
        <f>YEAR(CleanedData[[#This Row],[Order Date]])</f>
        <v>2023</v>
      </c>
      <c r="AA637" s="8">
        <f>MONTH(CleanedData[[#This Row],[Order Date]])</f>
        <v>3</v>
      </c>
    </row>
    <row r="638" spans="1:27" x14ac:dyDescent="0.35">
      <c r="A638" s="8" t="s">
        <v>2040</v>
      </c>
      <c r="B638" s="9">
        <v>45157</v>
      </c>
      <c r="C638" s="9">
        <v>45282</v>
      </c>
      <c r="D638" s="8" t="s">
        <v>2043</v>
      </c>
      <c r="E638" s="8" t="s">
        <v>58</v>
      </c>
      <c r="F638" s="8" t="s">
        <v>116</v>
      </c>
      <c r="G638" s="8" t="s">
        <v>217</v>
      </c>
      <c r="H638" s="8" t="s">
        <v>340</v>
      </c>
      <c r="I638" s="8" t="s">
        <v>4967</v>
      </c>
      <c r="J638" s="10">
        <v>451</v>
      </c>
      <c r="K638" s="11">
        <v>622.24</v>
      </c>
      <c r="L638" s="11">
        <v>744.2</v>
      </c>
      <c r="M638" s="11">
        <v>335634.2</v>
      </c>
      <c r="N638" s="11">
        <v>280630.24</v>
      </c>
      <c r="O638" s="11">
        <f>CleanedData[[#This Row],[Total Sales ($)]]-CleanedData[[#This Row],[Total Cost ($)]]</f>
        <v>55003.960000000021</v>
      </c>
      <c r="P638" s="12">
        <f>CleanedData[[#This Row],[Profit ($)]]/CleanedData[[#This Row],[Total Sales ($)]]</f>
        <v>0.16388067723730185</v>
      </c>
      <c r="Q638" s="8" t="s">
        <v>95</v>
      </c>
      <c r="R638" s="8" t="s">
        <v>32</v>
      </c>
      <c r="S638" s="8" t="b">
        <f>_xlfn.SINGLE(CleanedData[[#This Row],[Delivery Status]])="Late"</f>
        <v>1</v>
      </c>
      <c r="T638" s="10">
        <v>15</v>
      </c>
      <c r="U638" s="8" t="s">
        <v>112</v>
      </c>
      <c r="V638" s="10">
        <v>2191</v>
      </c>
      <c r="W638" s="10">
        <v>12</v>
      </c>
      <c r="X638" s="12">
        <v>2.6607538802660698E-2</v>
      </c>
      <c r="Y638" s="8" t="b">
        <f>CleanedData[[#This Row],[Ship Date]]&lt;CleanedData[[#This Row],[Order Date]]</f>
        <v>0</v>
      </c>
      <c r="Z638" s="10">
        <f>YEAR(CleanedData[[#This Row],[Order Date]])</f>
        <v>2023</v>
      </c>
      <c r="AA638" s="8">
        <f>MONTH(CleanedData[[#This Row],[Order Date]])</f>
        <v>8</v>
      </c>
    </row>
    <row r="639" spans="1:27" x14ac:dyDescent="0.35">
      <c r="A639" s="8" t="s">
        <v>2044</v>
      </c>
      <c r="B639" s="9">
        <v>45083</v>
      </c>
      <c r="C639" s="9">
        <v>45149</v>
      </c>
      <c r="D639" s="8" t="s">
        <v>2045</v>
      </c>
      <c r="E639" s="8" t="s">
        <v>58</v>
      </c>
      <c r="F639" s="8" t="s">
        <v>116</v>
      </c>
      <c r="G639" s="8" t="s">
        <v>217</v>
      </c>
      <c r="H639" s="8" t="s">
        <v>725</v>
      </c>
      <c r="I639" s="8" t="s">
        <v>4971</v>
      </c>
      <c r="J639" s="10">
        <v>24</v>
      </c>
      <c r="K639" s="11">
        <v>996.05</v>
      </c>
      <c r="L639" s="11">
        <v>1404.22</v>
      </c>
      <c r="M639" s="11">
        <v>33701.279999999999</v>
      </c>
      <c r="N639" s="11">
        <v>23905.200000000001</v>
      </c>
      <c r="O639" s="11">
        <f>CleanedData[[#This Row],[Total Sales ($)]]-CleanedData[[#This Row],[Total Cost ($)]]</f>
        <v>9796.0799999999981</v>
      </c>
      <c r="P639" s="12">
        <f>CleanedData[[#This Row],[Profit ($)]]/CleanedData[[#This Row],[Total Sales ($)]]</f>
        <v>0.29067382603865488</v>
      </c>
      <c r="Q639" s="8" t="s">
        <v>52</v>
      </c>
      <c r="R639" s="8" t="s">
        <v>63</v>
      </c>
      <c r="S639" s="8" t="b">
        <f>_xlfn.SINGLE(CleanedData[[#This Row],[Delivery Status]])="Late"</f>
        <v>0</v>
      </c>
      <c r="T639" s="10">
        <v>1</v>
      </c>
      <c r="U639" s="8" t="s">
        <v>112</v>
      </c>
      <c r="V639" s="10">
        <v>3000</v>
      </c>
      <c r="W639" s="10">
        <v>1</v>
      </c>
      <c r="X639" s="12">
        <v>4.1666666666666602E-2</v>
      </c>
      <c r="Y639" s="8" t="b">
        <f>CleanedData[[#This Row],[Ship Date]]&lt;CleanedData[[#This Row],[Order Date]]</f>
        <v>0</v>
      </c>
      <c r="Z639" s="10">
        <f>YEAR(CleanedData[[#This Row],[Order Date]])</f>
        <v>2023</v>
      </c>
      <c r="AA639" s="8">
        <f>MONTH(CleanedData[[#This Row],[Order Date]])</f>
        <v>6</v>
      </c>
    </row>
    <row r="640" spans="1:27" x14ac:dyDescent="0.35">
      <c r="A640" s="8" t="s">
        <v>2046</v>
      </c>
      <c r="B640" s="9">
        <v>45620</v>
      </c>
      <c r="C640" s="9">
        <v>45639</v>
      </c>
      <c r="D640" s="8" t="s">
        <v>2048</v>
      </c>
      <c r="E640" s="8" t="s">
        <v>48</v>
      </c>
      <c r="F640" s="8" t="s">
        <v>183</v>
      </c>
      <c r="G640" s="8" t="s">
        <v>189</v>
      </c>
      <c r="H640" s="8" t="s">
        <v>190</v>
      </c>
      <c r="I640" s="8" t="s">
        <v>4971</v>
      </c>
      <c r="J640" s="10">
        <v>515</v>
      </c>
      <c r="K640" s="11">
        <v>611.55999999999995</v>
      </c>
      <c r="L640" s="11">
        <v>773.13</v>
      </c>
      <c r="M640" s="11">
        <v>398161.95</v>
      </c>
      <c r="N640" s="11">
        <v>314953.40000000002</v>
      </c>
      <c r="O640" s="11">
        <f>CleanedData[[#This Row],[Total Sales ($)]]-CleanedData[[#This Row],[Total Cost ($)]]</f>
        <v>83208.549999999988</v>
      </c>
      <c r="P640" s="12">
        <f>CleanedData[[#This Row],[Profit ($)]]/CleanedData[[#This Row],[Total Sales ($)]]</f>
        <v>0.20898167190511294</v>
      </c>
      <c r="Q640" s="8" t="s">
        <v>52</v>
      </c>
      <c r="R640" s="8" t="s">
        <v>32</v>
      </c>
      <c r="S640" s="8" t="b">
        <f>_xlfn.SINGLE(CleanedData[[#This Row],[Delivery Status]])="Late"</f>
        <v>1</v>
      </c>
      <c r="T640" s="10">
        <v>10</v>
      </c>
      <c r="U640" s="8" t="s">
        <v>158</v>
      </c>
      <c r="V640" s="10">
        <v>257</v>
      </c>
      <c r="W640" s="10">
        <v>15</v>
      </c>
      <c r="X640" s="12">
        <v>2.9126213592233E-2</v>
      </c>
      <c r="Y640" s="8" t="b">
        <f>CleanedData[[#This Row],[Ship Date]]&lt;CleanedData[[#This Row],[Order Date]]</f>
        <v>0</v>
      </c>
      <c r="Z640" s="10">
        <f>YEAR(CleanedData[[#This Row],[Order Date]])</f>
        <v>2024</v>
      </c>
      <c r="AA640" s="8">
        <f>MONTH(CleanedData[[#This Row],[Order Date]])</f>
        <v>11</v>
      </c>
    </row>
    <row r="641" spans="1:27" x14ac:dyDescent="0.35">
      <c r="A641" s="8" t="s">
        <v>2049</v>
      </c>
      <c r="B641" s="9">
        <v>45061</v>
      </c>
      <c r="C641" s="9">
        <v>44986</v>
      </c>
      <c r="D641" s="8" t="s">
        <v>2050</v>
      </c>
      <c r="E641" s="8" t="s">
        <v>68</v>
      </c>
      <c r="F641" s="8" t="s">
        <v>163</v>
      </c>
      <c r="G641" s="8" t="s">
        <v>70</v>
      </c>
      <c r="H641" s="8" t="s">
        <v>446</v>
      </c>
      <c r="I641" s="8" t="s">
        <v>4968</v>
      </c>
      <c r="J641" s="10">
        <v>792</v>
      </c>
      <c r="K641" s="11">
        <v>645.12</v>
      </c>
      <c r="L641" s="11">
        <v>776.8</v>
      </c>
      <c r="M641" s="11">
        <v>615225.59999999998</v>
      </c>
      <c r="N641" s="11">
        <v>510935.03999999998</v>
      </c>
      <c r="O641" s="11">
        <f>CleanedData[[#This Row],[Total Sales ($)]]-CleanedData[[#This Row],[Total Cost ($)]]</f>
        <v>104290.56</v>
      </c>
      <c r="P641" s="12">
        <f>CleanedData[[#This Row],[Profit ($)]]/CleanedData[[#This Row],[Total Sales ($)]]</f>
        <v>0.16951596292481977</v>
      </c>
      <c r="Q641" s="8" t="s">
        <v>52</v>
      </c>
      <c r="R641" s="8" t="s">
        <v>63</v>
      </c>
      <c r="S641" s="8" t="b">
        <f>_xlfn.SINGLE(CleanedData[[#This Row],[Delivery Status]])="Late"</f>
        <v>0</v>
      </c>
      <c r="T641" s="10">
        <v>3</v>
      </c>
      <c r="U641" s="8" t="s">
        <v>43</v>
      </c>
      <c r="V641" s="10">
        <v>2366</v>
      </c>
      <c r="W641" s="10">
        <v>14</v>
      </c>
      <c r="X641" s="12">
        <v>1.76767676767676E-2</v>
      </c>
      <c r="Y641" s="8" t="b">
        <f>CleanedData[[#This Row],[Ship Date]]&lt;CleanedData[[#This Row],[Order Date]]</f>
        <v>1</v>
      </c>
      <c r="Z641" s="10">
        <f>YEAR(CleanedData[[#This Row],[Order Date]])</f>
        <v>2023</v>
      </c>
      <c r="AA641" s="8">
        <f>MONTH(CleanedData[[#This Row],[Order Date]])</f>
        <v>5</v>
      </c>
    </row>
    <row r="642" spans="1:27" x14ac:dyDescent="0.35">
      <c r="A642" s="8" t="s">
        <v>2051</v>
      </c>
      <c r="B642" s="9">
        <v>45207</v>
      </c>
      <c r="C642" s="9">
        <v>45174</v>
      </c>
      <c r="D642" s="8" t="s">
        <v>2052</v>
      </c>
      <c r="E642" s="8" t="s">
        <v>26</v>
      </c>
      <c r="F642" s="8" t="s">
        <v>228</v>
      </c>
      <c r="G642" s="8" t="s">
        <v>189</v>
      </c>
      <c r="H642" s="8" t="s">
        <v>365</v>
      </c>
      <c r="I642" s="8" t="s">
        <v>4976</v>
      </c>
      <c r="J642" s="10">
        <v>773</v>
      </c>
      <c r="K642" s="11">
        <v>296.39999999999998</v>
      </c>
      <c r="L642" s="11">
        <v>412.38</v>
      </c>
      <c r="M642" s="11">
        <v>318769.74</v>
      </c>
      <c r="N642" s="11">
        <v>229117.2</v>
      </c>
      <c r="O642" s="11">
        <f>CleanedData[[#This Row],[Total Sales ($)]]-CleanedData[[#This Row],[Total Cost ($)]]</f>
        <v>89652.539999999979</v>
      </c>
      <c r="P642" s="12">
        <f>CleanedData[[#This Row],[Profit ($)]]/CleanedData[[#This Row],[Total Sales ($)]]</f>
        <v>0.28124545322275563</v>
      </c>
      <c r="Q642" s="8" t="s">
        <v>95</v>
      </c>
      <c r="R642" s="8" t="s">
        <v>32</v>
      </c>
      <c r="S642" s="8" t="b">
        <f>_xlfn.SINGLE(CleanedData[[#This Row],[Delivery Status]])="Late"</f>
        <v>1</v>
      </c>
      <c r="T642" s="10">
        <v>15</v>
      </c>
      <c r="U642" s="8" t="s">
        <v>33</v>
      </c>
      <c r="V642" s="10">
        <v>559</v>
      </c>
      <c r="W642" s="10">
        <v>4</v>
      </c>
      <c r="X642" s="12">
        <v>5.1746442432082001E-3</v>
      </c>
      <c r="Y642" s="8" t="b">
        <f>CleanedData[[#This Row],[Ship Date]]&lt;CleanedData[[#This Row],[Order Date]]</f>
        <v>1</v>
      </c>
      <c r="Z642" s="10">
        <f>YEAR(CleanedData[[#This Row],[Order Date]])</f>
        <v>2023</v>
      </c>
      <c r="AA642" s="8">
        <f>MONTH(CleanedData[[#This Row],[Order Date]])</f>
        <v>10</v>
      </c>
    </row>
    <row r="643" spans="1:27" x14ac:dyDescent="0.35">
      <c r="A643" s="8" t="s">
        <v>2053</v>
      </c>
      <c r="B643" s="9">
        <v>45130</v>
      </c>
      <c r="C643" s="9">
        <v>45003</v>
      </c>
      <c r="D643" s="8" t="s">
        <v>2054</v>
      </c>
      <c r="E643" s="8" t="s">
        <v>100</v>
      </c>
      <c r="F643" s="8" t="s">
        <v>238</v>
      </c>
      <c r="G643" s="8" t="s">
        <v>189</v>
      </c>
      <c r="H643" s="8" t="s">
        <v>190</v>
      </c>
      <c r="I643" s="8" t="s">
        <v>4973</v>
      </c>
      <c r="J643" s="10">
        <v>262</v>
      </c>
      <c r="K643" s="11">
        <v>1052.78</v>
      </c>
      <c r="L643" s="11">
        <v>1724.11</v>
      </c>
      <c r="M643" s="11">
        <v>451716.82</v>
      </c>
      <c r="N643" s="11">
        <v>275828.36</v>
      </c>
      <c r="O643" s="11">
        <f>CleanedData[[#This Row],[Total Sales ($)]]-CleanedData[[#This Row],[Total Cost ($)]]</f>
        <v>175888.46000000002</v>
      </c>
      <c r="P643" s="12">
        <f>CleanedData[[#This Row],[Profit ($)]]/CleanedData[[#This Row],[Total Sales ($)]]</f>
        <v>0.38937770791886833</v>
      </c>
      <c r="Q643" s="8" t="s">
        <v>52</v>
      </c>
      <c r="R643" s="8" t="s">
        <v>32</v>
      </c>
      <c r="S643" s="8" t="b">
        <f>_xlfn.SINGLE(CleanedData[[#This Row],[Delivery Status]])="Late"</f>
        <v>1</v>
      </c>
      <c r="T643" s="10">
        <v>14</v>
      </c>
      <c r="U643" s="8" t="s">
        <v>53</v>
      </c>
      <c r="V643" s="10">
        <v>3701</v>
      </c>
      <c r="W643" s="10">
        <v>4</v>
      </c>
      <c r="X643" s="12">
        <v>1.5267175572519E-2</v>
      </c>
      <c r="Y643" s="8" t="b">
        <f>CleanedData[[#This Row],[Ship Date]]&lt;CleanedData[[#This Row],[Order Date]]</f>
        <v>1</v>
      </c>
      <c r="Z643" s="10">
        <f>YEAR(CleanedData[[#This Row],[Order Date]])</f>
        <v>2023</v>
      </c>
      <c r="AA643" s="8">
        <f>MONTH(CleanedData[[#This Row],[Order Date]])</f>
        <v>7</v>
      </c>
    </row>
    <row r="644" spans="1:27" x14ac:dyDescent="0.35">
      <c r="A644" s="8" t="s">
        <v>2055</v>
      </c>
      <c r="B644" s="9">
        <v>45231</v>
      </c>
      <c r="C644" s="9">
        <v>45091</v>
      </c>
      <c r="D644" s="8" t="s">
        <v>2056</v>
      </c>
      <c r="E644" s="8" t="s">
        <v>26</v>
      </c>
      <c r="F644" s="8" t="s">
        <v>92</v>
      </c>
      <c r="G644" s="8" t="s">
        <v>39</v>
      </c>
      <c r="H644" s="8" t="s">
        <v>647</v>
      </c>
      <c r="I644" s="8" t="s">
        <v>4967</v>
      </c>
      <c r="J644" s="10">
        <v>554</v>
      </c>
      <c r="K644" s="11">
        <v>672.78</v>
      </c>
      <c r="L644" s="11">
        <v>1035.81</v>
      </c>
      <c r="M644" s="11">
        <v>573838.74</v>
      </c>
      <c r="N644" s="11">
        <v>372720.12</v>
      </c>
      <c r="O644" s="11">
        <f>CleanedData[[#This Row],[Total Sales ($)]]-CleanedData[[#This Row],[Total Cost ($)]]</f>
        <v>201118.62</v>
      </c>
      <c r="P644" s="12">
        <f>CleanedData[[#This Row],[Profit ($)]]/CleanedData[[#This Row],[Total Sales ($)]]</f>
        <v>0.35047933501317807</v>
      </c>
      <c r="Q644" s="8" t="s">
        <v>95</v>
      </c>
      <c r="R644" s="8" t="s">
        <v>32</v>
      </c>
      <c r="S644" s="8" t="b">
        <f>_xlfn.SINGLE(CleanedData[[#This Row],[Delivery Status]])="Late"</f>
        <v>1</v>
      </c>
      <c r="T644" s="10">
        <v>7</v>
      </c>
      <c r="U644" s="8" t="s">
        <v>112</v>
      </c>
      <c r="V644" s="10">
        <v>2268</v>
      </c>
      <c r="W644" s="10">
        <v>21</v>
      </c>
      <c r="X644" s="12">
        <v>3.79061371841155E-2</v>
      </c>
      <c r="Y644" s="8" t="b">
        <f>CleanedData[[#This Row],[Ship Date]]&lt;CleanedData[[#This Row],[Order Date]]</f>
        <v>1</v>
      </c>
      <c r="Z644" s="10">
        <f>YEAR(CleanedData[[#This Row],[Order Date]])</f>
        <v>2023</v>
      </c>
      <c r="AA644" s="8">
        <f>MONTH(CleanedData[[#This Row],[Order Date]])</f>
        <v>11</v>
      </c>
    </row>
    <row r="645" spans="1:27" x14ac:dyDescent="0.35">
      <c r="A645" s="8" t="s">
        <v>2057</v>
      </c>
      <c r="B645" s="9">
        <v>45378</v>
      </c>
      <c r="C645" s="9">
        <v>45356</v>
      </c>
      <c r="D645" s="8" t="s">
        <v>2059</v>
      </c>
      <c r="E645" s="8" t="s">
        <v>100</v>
      </c>
      <c r="F645" s="8" t="s">
        <v>238</v>
      </c>
      <c r="G645" s="8" t="s">
        <v>217</v>
      </c>
      <c r="H645" s="8" t="s">
        <v>218</v>
      </c>
      <c r="I645" s="8" t="s">
        <v>4967</v>
      </c>
      <c r="J645" s="10">
        <v>19</v>
      </c>
      <c r="K645" s="11">
        <v>84.8</v>
      </c>
      <c r="L645" s="11">
        <v>139.18</v>
      </c>
      <c r="M645" s="11">
        <v>2644.42</v>
      </c>
      <c r="N645" s="11">
        <v>1611.2</v>
      </c>
      <c r="O645" s="11">
        <f>CleanedData[[#This Row],[Total Sales ($)]]-CleanedData[[#This Row],[Total Cost ($)]]</f>
        <v>1033.22</v>
      </c>
      <c r="P645" s="12">
        <f>CleanedData[[#This Row],[Profit ($)]]/CleanedData[[#This Row],[Total Sales ($)]]</f>
        <v>0.39071705704842652</v>
      </c>
      <c r="Q645" s="8" t="s">
        <v>31</v>
      </c>
      <c r="R645" s="8" t="s">
        <v>63</v>
      </c>
      <c r="S645" s="8" t="b">
        <f>_xlfn.SINGLE(CleanedData[[#This Row],[Delivery Status]])="Late"</f>
        <v>0</v>
      </c>
      <c r="T645" s="10">
        <v>4</v>
      </c>
      <c r="U645" s="8" t="s">
        <v>43</v>
      </c>
      <c r="V645" s="10">
        <v>4161</v>
      </c>
      <c r="W645" s="10">
        <v>1</v>
      </c>
      <c r="X645" s="12">
        <v>5.2631578947368397E-2</v>
      </c>
      <c r="Y645" s="8" t="b">
        <f>CleanedData[[#This Row],[Ship Date]]&lt;CleanedData[[#This Row],[Order Date]]</f>
        <v>1</v>
      </c>
      <c r="Z645" s="10">
        <f>YEAR(CleanedData[[#This Row],[Order Date]])</f>
        <v>2024</v>
      </c>
      <c r="AA645" s="8">
        <f>MONTH(CleanedData[[#This Row],[Order Date]])</f>
        <v>3</v>
      </c>
    </row>
    <row r="646" spans="1:27" x14ac:dyDescent="0.35">
      <c r="A646" s="8" t="s">
        <v>2060</v>
      </c>
      <c r="B646" s="9">
        <v>45209</v>
      </c>
      <c r="C646" s="9">
        <v>45145</v>
      </c>
      <c r="D646" s="8" t="s">
        <v>2061</v>
      </c>
      <c r="E646" s="8" t="s">
        <v>68</v>
      </c>
      <c r="F646" s="8" t="s">
        <v>163</v>
      </c>
      <c r="G646" s="8" t="s">
        <v>50</v>
      </c>
      <c r="H646" s="8" t="s">
        <v>282</v>
      </c>
      <c r="I646" s="8" t="s">
        <v>4977</v>
      </c>
      <c r="J646" s="10">
        <v>193</v>
      </c>
      <c r="K646" s="11">
        <v>613.85</v>
      </c>
      <c r="L646" s="11">
        <v>836.83</v>
      </c>
      <c r="M646" s="11">
        <v>161508.19</v>
      </c>
      <c r="N646" s="11">
        <v>118473.05</v>
      </c>
      <c r="O646" s="11">
        <f>CleanedData[[#This Row],[Total Sales ($)]]-CleanedData[[#This Row],[Total Cost ($)]]</f>
        <v>43035.14</v>
      </c>
      <c r="P646" s="12">
        <f>CleanedData[[#This Row],[Profit ($)]]/CleanedData[[#This Row],[Total Sales ($)]]</f>
        <v>0.26645794247338167</v>
      </c>
      <c r="Q646" s="8" t="s">
        <v>52</v>
      </c>
      <c r="R646" s="8" t="s">
        <v>32</v>
      </c>
      <c r="S646" s="8" t="b">
        <f>_xlfn.SINGLE(CleanedData[[#This Row],[Delivery Status]])="Late"</f>
        <v>1</v>
      </c>
      <c r="T646" s="10">
        <v>11</v>
      </c>
      <c r="U646" s="8" t="s">
        <v>112</v>
      </c>
      <c r="V646" s="10">
        <v>375</v>
      </c>
      <c r="W646" s="10">
        <v>2</v>
      </c>
      <c r="X646" s="12">
        <v>1.03626943005181E-2</v>
      </c>
      <c r="Y646" s="8" t="b">
        <f>CleanedData[[#This Row],[Ship Date]]&lt;CleanedData[[#This Row],[Order Date]]</f>
        <v>1</v>
      </c>
      <c r="Z646" s="10">
        <f>YEAR(CleanedData[[#This Row],[Order Date]])</f>
        <v>2023</v>
      </c>
      <c r="AA646" s="8">
        <f>MONTH(CleanedData[[#This Row],[Order Date]])</f>
        <v>10</v>
      </c>
    </row>
    <row r="647" spans="1:27" x14ac:dyDescent="0.35">
      <c r="A647" s="8" t="s">
        <v>2062</v>
      </c>
      <c r="B647" s="9">
        <v>45604</v>
      </c>
      <c r="C647" s="9">
        <v>45221</v>
      </c>
      <c r="D647" s="8" t="s">
        <v>2065</v>
      </c>
      <c r="E647" s="8" t="s">
        <v>26</v>
      </c>
      <c r="F647" s="8" t="s">
        <v>77</v>
      </c>
      <c r="G647" s="8" t="s">
        <v>39</v>
      </c>
      <c r="H647" s="8" t="s">
        <v>647</v>
      </c>
      <c r="I647" s="8" t="s">
        <v>4969</v>
      </c>
      <c r="J647" s="10">
        <v>646</v>
      </c>
      <c r="K647" s="11">
        <v>899.69</v>
      </c>
      <c r="L647" s="11">
        <v>1366.42</v>
      </c>
      <c r="M647" s="11">
        <v>882707.32</v>
      </c>
      <c r="N647" s="11">
        <v>581199.74</v>
      </c>
      <c r="O647" s="11">
        <f>CleanedData[[#This Row],[Total Sales ($)]]-CleanedData[[#This Row],[Total Cost ($)]]</f>
        <v>301507.57999999996</v>
      </c>
      <c r="P647" s="12">
        <f>CleanedData[[#This Row],[Profit ($)]]/CleanedData[[#This Row],[Total Sales ($)]]</f>
        <v>0.34157140557076154</v>
      </c>
      <c r="Q647" s="8" t="s">
        <v>31</v>
      </c>
      <c r="R647" s="8" t="s">
        <v>32</v>
      </c>
      <c r="S647" s="8" t="b">
        <f>_xlfn.SINGLE(CleanedData[[#This Row],[Delivery Status]])="Late"</f>
        <v>1</v>
      </c>
      <c r="T647" s="10">
        <v>9</v>
      </c>
      <c r="U647" s="8" t="s">
        <v>53</v>
      </c>
      <c r="V647" s="10">
        <v>846</v>
      </c>
      <c r="W647" s="10">
        <v>16</v>
      </c>
      <c r="X647" s="12">
        <v>2.4767801857585099E-2</v>
      </c>
      <c r="Y647" s="8" t="b">
        <f>CleanedData[[#This Row],[Ship Date]]&lt;CleanedData[[#This Row],[Order Date]]</f>
        <v>1</v>
      </c>
      <c r="Z647" s="10">
        <f>YEAR(CleanedData[[#This Row],[Order Date]])</f>
        <v>2024</v>
      </c>
      <c r="AA647" s="8">
        <f>MONTH(CleanedData[[#This Row],[Order Date]])</f>
        <v>11</v>
      </c>
    </row>
    <row r="648" spans="1:27" x14ac:dyDescent="0.35">
      <c r="A648" s="8" t="s">
        <v>2066</v>
      </c>
      <c r="B648" s="9">
        <v>45344</v>
      </c>
      <c r="C648" s="9">
        <v>45414</v>
      </c>
      <c r="D648" s="8" t="s">
        <v>2068</v>
      </c>
      <c r="E648" s="8" t="s">
        <v>68</v>
      </c>
      <c r="F648" s="8" t="s">
        <v>249</v>
      </c>
      <c r="G648" s="8" t="s">
        <v>189</v>
      </c>
      <c r="H648" s="8" t="s">
        <v>360</v>
      </c>
      <c r="I648" s="8" t="s">
        <v>4975</v>
      </c>
      <c r="J648" s="10">
        <v>439</v>
      </c>
      <c r="K648" s="11">
        <v>111.79</v>
      </c>
      <c r="L648" s="11">
        <v>183.96</v>
      </c>
      <c r="M648" s="11">
        <v>80758.44</v>
      </c>
      <c r="N648" s="11">
        <v>49075.81</v>
      </c>
      <c r="O648" s="11">
        <f>CleanedData[[#This Row],[Total Sales ($)]]-CleanedData[[#This Row],[Total Cost ($)]]</f>
        <v>31682.630000000005</v>
      </c>
      <c r="P648" s="12">
        <f>CleanedData[[#This Row],[Profit ($)]]/CleanedData[[#This Row],[Total Sales ($)]]</f>
        <v>0.39231354642313548</v>
      </c>
      <c r="Q648" s="8" t="s">
        <v>42</v>
      </c>
      <c r="R648" s="8" t="s">
        <v>32</v>
      </c>
      <c r="S648" s="8" t="b">
        <f>_xlfn.SINGLE(CleanedData[[#This Row],[Delivery Status]])="Late"</f>
        <v>1</v>
      </c>
      <c r="T648" s="10">
        <v>6</v>
      </c>
      <c r="U648" s="8" t="s">
        <v>112</v>
      </c>
      <c r="V648" s="10">
        <v>1984</v>
      </c>
      <c r="W648" s="10">
        <v>6</v>
      </c>
      <c r="X648" s="12">
        <v>1.36674259681093E-2</v>
      </c>
      <c r="Y648" s="8" t="b">
        <f>CleanedData[[#This Row],[Ship Date]]&lt;CleanedData[[#This Row],[Order Date]]</f>
        <v>0</v>
      </c>
      <c r="Z648" s="10">
        <f>YEAR(CleanedData[[#This Row],[Order Date]])</f>
        <v>2024</v>
      </c>
      <c r="AA648" s="8">
        <f>MONTH(CleanedData[[#This Row],[Order Date]])</f>
        <v>2</v>
      </c>
    </row>
    <row r="649" spans="1:27" x14ac:dyDescent="0.35">
      <c r="A649" s="8" t="s">
        <v>2069</v>
      </c>
      <c r="B649" s="9">
        <v>45123</v>
      </c>
      <c r="C649" s="9">
        <v>45567</v>
      </c>
      <c r="D649" s="8" t="s">
        <v>2070</v>
      </c>
      <c r="E649" s="8" t="s">
        <v>48</v>
      </c>
      <c r="F649" s="8" t="s">
        <v>49</v>
      </c>
      <c r="G649" s="8" t="s">
        <v>39</v>
      </c>
      <c r="H649" s="8" t="s">
        <v>647</v>
      </c>
      <c r="I649" s="8" t="s">
        <v>4970</v>
      </c>
      <c r="J649" s="10">
        <v>7</v>
      </c>
      <c r="K649" s="11">
        <v>446.96</v>
      </c>
      <c r="L649" s="11">
        <v>726.85</v>
      </c>
      <c r="M649" s="11">
        <v>5087.95</v>
      </c>
      <c r="N649" s="11">
        <v>3128.72</v>
      </c>
      <c r="O649" s="11">
        <f>CleanedData[[#This Row],[Total Sales ($)]]-CleanedData[[#This Row],[Total Cost ($)]]</f>
        <v>1959.23</v>
      </c>
      <c r="P649" s="12">
        <f>CleanedData[[#This Row],[Profit ($)]]/CleanedData[[#This Row],[Total Sales ($)]]</f>
        <v>0.38507257343330814</v>
      </c>
      <c r="Q649" s="8" t="s">
        <v>31</v>
      </c>
      <c r="R649" s="8" t="s">
        <v>32</v>
      </c>
      <c r="S649" s="8" t="b">
        <f>_xlfn.SINGLE(CleanedData[[#This Row],[Delivery Status]])="Late"</f>
        <v>1</v>
      </c>
      <c r="T649" s="10">
        <v>12</v>
      </c>
      <c r="U649" s="8" t="s">
        <v>33</v>
      </c>
      <c r="V649" s="10">
        <v>4821</v>
      </c>
      <c r="W649" s="10">
        <v>1</v>
      </c>
      <c r="X649" s="12">
        <v>0.14285714285714299</v>
      </c>
      <c r="Y649" s="8" t="b">
        <f>CleanedData[[#This Row],[Ship Date]]&lt;CleanedData[[#This Row],[Order Date]]</f>
        <v>0</v>
      </c>
      <c r="Z649" s="10">
        <f>YEAR(CleanedData[[#This Row],[Order Date]])</f>
        <v>2023</v>
      </c>
      <c r="AA649" s="8">
        <f>MONTH(CleanedData[[#This Row],[Order Date]])</f>
        <v>7</v>
      </c>
    </row>
    <row r="650" spans="1:27" x14ac:dyDescent="0.35">
      <c r="A650" s="8" t="s">
        <v>2071</v>
      </c>
      <c r="B650" s="9">
        <v>45278</v>
      </c>
      <c r="C650" s="9">
        <v>45224</v>
      </c>
      <c r="D650" s="8" t="s">
        <v>2072</v>
      </c>
      <c r="E650" s="8" t="s">
        <v>68</v>
      </c>
      <c r="F650" s="8" t="s">
        <v>69</v>
      </c>
      <c r="G650" s="8" t="s">
        <v>28</v>
      </c>
      <c r="H650" s="8" t="s">
        <v>212</v>
      </c>
      <c r="I650" s="8" t="s">
        <v>4968</v>
      </c>
      <c r="J650" s="10">
        <v>88</v>
      </c>
      <c r="K650" s="11">
        <v>1091.93</v>
      </c>
      <c r="L650" s="11">
        <v>1784.72</v>
      </c>
      <c r="M650" s="11">
        <v>157055.35999999999</v>
      </c>
      <c r="N650" s="11">
        <v>96089.84</v>
      </c>
      <c r="O650" s="11">
        <f>CleanedData[[#This Row],[Total Sales ($)]]-CleanedData[[#This Row],[Total Cost ($)]]</f>
        <v>60965.51999999999</v>
      </c>
      <c r="P650" s="12">
        <f>CleanedData[[#This Row],[Profit ($)]]/CleanedData[[#This Row],[Total Sales ($)]]</f>
        <v>0.38817853780985251</v>
      </c>
      <c r="Q650" s="8" t="s">
        <v>31</v>
      </c>
      <c r="R650" s="8" t="s">
        <v>32</v>
      </c>
      <c r="S650" s="8" t="b">
        <f>_xlfn.SINGLE(CleanedData[[#This Row],[Delivery Status]])="Late"</f>
        <v>1</v>
      </c>
      <c r="T650" s="10">
        <v>15</v>
      </c>
      <c r="U650" s="8" t="s">
        <v>158</v>
      </c>
      <c r="V650" s="10">
        <v>2434</v>
      </c>
      <c r="W650" s="10">
        <v>1</v>
      </c>
      <c r="X650" s="12">
        <v>1.13636363636363E-2</v>
      </c>
      <c r="Y650" s="8" t="b">
        <f>CleanedData[[#This Row],[Ship Date]]&lt;CleanedData[[#This Row],[Order Date]]</f>
        <v>1</v>
      </c>
      <c r="Z650" s="10">
        <f>YEAR(CleanedData[[#This Row],[Order Date]])</f>
        <v>2023</v>
      </c>
      <c r="AA650" s="8">
        <f>MONTH(CleanedData[[#This Row],[Order Date]])</f>
        <v>12</v>
      </c>
    </row>
    <row r="651" spans="1:27" x14ac:dyDescent="0.35">
      <c r="A651" s="8" t="s">
        <v>2073</v>
      </c>
      <c r="B651" s="9">
        <v>44933</v>
      </c>
      <c r="C651" s="9">
        <v>45072</v>
      </c>
      <c r="D651" s="8" t="s">
        <v>2074</v>
      </c>
      <c r="E651" s="8" t="s">
        <v>26</v>
      </c>
      <c r="F651" s="8" t="s">
        <v>4972</v>
      </c>
      <c r="G651" s="8" t="s">
        <v>60</v>
      </c>
      <c r="H651" s="8" t="s">
        <v>265</v>
      </c>
      <c r="I651" s="8" t="s">
        <v>4968</v>
      </c>
      <c r="J651" s="10">
        <v>334</v>
      </c>
      <c r="K651" s="11">
        <v>925.66</v>
      </c>
      <c r="L651" s="11">
        <v>1385.04</v>
      </c>
      <c r="M651" s="11">
        <v>462603.36</v>
      </c>
      <c r="N651" s="11">
        <v>309170.44</v>
      </c>
      <c r="O651" s="11">
        <f>CleanedData[[#This Row],[Total Sales ($)]]-CleanedData[[#This Row],[Total Cost ($)]]</f>
        <v>153432.91999999998</v>
      </c>
      <c r="P651" s="12">
        <f>CleanedData[[#This Row],[Profit ($)]]/CleanedData[[#This Row],[Total Sales ($)]]</f>
        <v>0.33167273147345921</v>
      </c>
      <c r="Q651" s="8" t="s">
        <v>95</v>
      </c>
      <c r="R651" s="8" t="s">
        <v>32</v>
      </c>
      <c r="S651" s="8" t="b">
        <f>_xlfn.SINGLE(CleanedData[[#This Row],[Delivery Status]])="Late"</f>
        <v>1</v>
      </c>
      <c r="T651" s="10">
        <v>11</v>
      </c>
      <c r="U651" s="8" t="s">
        <v>86</v>
      </c>
      <c r="V651" s="10">
        <v>2259</v>
      </c>
      <c r="W651" s="10">
        <v>8</v>
      </c>
      <c r="X651" s="12">
        <v>2.39520958083832E-2</v>
      </c>
      <c r="Y651" s="8" t="b">
        <f>CleanedData[[#This Row],[Ship Date]]&lt;CleanedData[[#This Row],[Order Date]]</f>
        <v>0</v>
      </c>
      <c r="Z651" s="10">
        <f>YEAR(CleanedData[[#This Row],[Order Date]])</f>
        <v>2023</v>
      </c>
      <c r="AA651" s="8">
        <f>MONTH(CleanedData[[#This Row],[Order Date]])</f>
        <v>1</v>
      </c>
    </row>
    <row r="652" spans="1:27" x14ac:dyDescent="0.35">
      <c r="A652" s="8" t="s">
        <v>2075</v>
      </c>
      <c r="B652" s="9">
        <v>45176</v>
      </c>
      <c r="C652" s="9">
        <v>45186</v>
      </c>
      <c r="D652" s="8" t="s">
        <v>2076</v>
      </c>
      <c r="E652" s="8" t="s">
        <v>100</v>
      </c>
      <c r="F652" s="8" t="s">
        <v>538</v>
      </c>
      <c r="G652" s="8" t="s">
        <v>129</v>
      </c>
      <c r="H652" s="8" t="s">
        <v>168</v>
      </c>
      <c r="I652" s="8" t="s">
        <v>4970</v>
      </c>
      <c r="J652" s="10">
        <v>286</v>
      </c>
      <c r="K652" s="11">
        <v>1087.18</v>
      </c>
      <c r="L652" s="11">
        <v>1329.16</v>
      </c>
      <c r="M652" s="11">
        <v>380139.76</v>
      </c>
      <c r="N652" s="11">
        <v>310933.48</v>
      </c>
      <c r="O652" s="11">
        <f>CleanedData[[#This Row],[Total Sales ($)]]-CleanedData[[#This Row],[Total Cost ($)]]</f>
        <v>69206.280000000028</v>
      </c>
      <c r="P652" s="12">
        <f>CleanedData[[#This Row],[Profit ($)]]/CleanedData[[#This Row],[Total Sales ($)]]</f>
        <v>0.18205483162298</v>
      </c>
      <c r="Q652" s="8" t="s">
        <v>95</v>
      </c>
      <c r="R652" s="8" t="s">
        <v>32</v>
      </c>
      <c r="S652" s="8" t="b">
        <f>_xlfn.SINGLE(CleanedData[[#This Row],[Delivery Status]])="Late"</f>
        <v>1</v>
      </c>
      <c r="T652" s="10">
        <v>13</v>
      </c>
      <c r="U652" s="8" t="s">
        <v>86</v>
      </c>
      <c r="V652" s="10">
        <v>4213</v>
      </c>
      <c r="W652" s="10">
        <v>6</v>
      </c>
      <c r="X652" s="12">
        <v>2.09790209790209E-2</v>
      </c>
      <c r="Y652" s="8" t="b">
        <f>CleanedData[[#This Row],[Ship Date]]&lt;CleanedData[[#This Row],[Order Date]]</f>
        <v>0</v>
      </c>
      <c r="Z652" s="10">
        <f>YEAR(CleanedData[[#This Row],[Order Date]])</f>
        <v>2023</v>
      </c>
      <c r="AA652" s="8">
        <f>MONTH(CleanedData[[#This Row],[Order Date]])</f>
        <v>9</v>
      </c>
    </row>
    <row r="653" spans="1:27" x14ac:dyDescent="0.35">
      <c r="A653" s="8" t="s">
        <v>2077</v>
      </c>
      <c r="B653" s="9">
        <v>45265</v>
      </c>
      <c r="C653" s="9">
        <v>45225</v>
      </c>
      <c r="D653" s="8" t="s">
        <v>2078</v>
      </c>
      <c r="E653" s="8" t="s">
        <v>58</v>
      </c>
      <c r="F653" s="8" t="s">
        <v>259</v>
      </c>
      <c r="G653" s="8" t="s">
        <v>70</v>
      </c>
      <c r="H653" s="8" t="s">
        <v>84</v>
      </c>
      <c r="I653" s="8" t="s">
        <v>4977</v>
      </c>
      <c r="J653" s="10">
        <v>588</v>
      </c>
      <c r="K653" s="11">
        <v>103.77</v>
      </c>
      <c r="L653" s="11">
        <v>119.02</v>
      </c>
      <c r="M653" s="11">
        <v>69983.759999999995</v>
      </c>
      <c r="N653" s="11">
        <v>61016.76</v>
      </c>
      <c r="O653" s="11">
        <f>CleanedData[[#This Row],[Total Sales ($)]]-CleanedData[[#This Row],[Total Cost ($)]]</f>
        <v>8966.9999999999927</v>
      </c>
      <c r="P653" s="12">
        <f>CleanedData[[#This Row],[Profit ($)]]/CleanedData[[#This Row],[Total Sales ($)]]</f>
        <v>0.12812972609645429</v>
      </c>
      <c r="Q653" s="8" t="s">
        <v>31</v>
      </c>
      <c r="R653" s="8" t="s">
        <v>63</v>
      </c>
      <c r="S653" s="8" t="b">
        <f>_xlfn.SINGLE(CleanedData[[#This Row],[Delivery Status]])="Late"</f>
        <v>0</v>
      </c>
      <c r="T653" s="10">
        <v>5</v>
      </c>
      <c r="U653" s="8" t="s">
        <v>43</v>
      </c>
      <c r="V653" s="10">
        <v>2111</v>
      </c>
      <c r="W653" s="10">
        <v>18</v>
      </c>
      <c r="X653" s="12">
        <v>3.06122448979591E-2</v>
      </c>
      <c r="Y653" s="8" t="b">
        <f>CleanedData[[#This Row],[Ship Date]]&lt;CleanedData[[#This Row],[Order Date]]</f>
        <v>1</v>
      </c>
      <c r="Z653" s="10">
        <f>YEAR(CleanedData[[#This Row],[Order Date]])</f>
        <v>2023</v>
      </c>
      <c r="AA653" s="8">
        <f>MONTH(CleanedData[[#This Row],[Order Date]])</f>
        <v>12</v>
      </c>
    </row>
    <row r="654" spans="1:27" x14ac:dyDescent="0.35">
      <c r="A654" s="8" t="s">
        <v>2079</v>
      </c>
      <c r="B654" s="9">
        <v>45476</v>
      </c>
      <c r="C654" s="9">
        <v>45597</v>
      </c>
      <c r="D654" s="8" t="s">
        <v>2081</v>
      </c>
      <c r="E654" s="8" t="s">
        <v>58</v>
      </c>
      <c r="F654" s="8" t="s">
        <v>259</v>
      </c>
      <c r="G654" s="8" t="s">
        <v>50</v>
      </c>
      <c r="H654" s="8" t="s">
        <v>135</v>
      </c>
      <c r="I654" s="8" t="s">
        <v>4975</v>
      </c>
      <c r="J654" s="10">
        <v>762</v>
      </c>
      <c r="K654" s="11">
        <v>1073.3699999999999</v>
      </c>
      <c r="L654" s="11">
        <v>1260.81</v>
      </c>
      <c r="M654" s="11">
        <v>960737.22</v>
      </c>
      <c r="N654" s="11">
        <v>817907.94</v>
      </c>
      <c r="O654" s="11">
        <f>CleanedData[[#This Row],[Total Sales ($)]]-CleanedData[[#This Row],[Total Cost ($)]]</f>
        <v>142829.28000000003</v>
      </c>
      <c r="P654" s="12">
        <f>CleanedData[[#This Row],[Profit ($)]]/CleanedData[[#This Row],[Total Sales ($)]]</f>
        <v>0.14866633354748141</v>
      </c>
      <c r="Q654" s="8" t="s">
        <v>31</v>
      </c>
      <c r="R654" s="8" t="s">
        <v>32</v>
      </c>
      <c r="S654" s="8" t="b">
        <f>_xlfn.SINGLE(CleanedData[[#This Row],[Delivery Status]])="Late"</f>
        <v>1</v>
      </c>
      <c r="T654" s="10">
        <v>10</v>
      </c>
      <c r="U654" s="8" t="s">
        <v>112</v>
      </c>
      <c r="V654" s="10">
        <v>4974</v>
      </c>
      <c r="W654" s="10">
        <v>6</v>
      </c>
      <c r="X654" s="12">
        <v>7.8740157480314005E-3</v>
      </c>
      <c r="Y654" s="8" t="b">
        <f>CleanedData[[#This Row],[Ship Date]]&lt;CleanedData[[#This Row],[Order Date]]</f>
        <v>0</v>
      </c>
      <c r="Z654" s="10">
        <f>YEAR(CleanedData[[#This Row],[Order Date]])</f>
        <v>2024</v>
      </c>
      <c r="AA654" s="8">
        <f>MONTH(CleanedData[[#This Row],[Order Date]])</f>
        <v>7</v>
      </c>
    </row>
    <row r="655" spans="1:27" x14ac:dyDescent="0.35">
      <c r="A655" s="8" t="s">
        <v>2082</v>
      </c>
      <c r="B655" s="9">
        <v>45022</v>
      </c>
      <c r="C655" s="9">
        <v>45139</v>
      </c>
      <c r="D655" s="8" t="s">
        <v>2083</v>
      </c>
      <c r="E655" s="8" t="s">
        <v>48</v>
      </c>
      <c r="F655" s="8" t="s">
        <v>223</v>
      </c>
      <c r="G655" s="8" t="s">
        <v>189</v>
      </c>
      <c r="H655" s="8" t="s">
        <v>365</v>
      </c>
      <c r="I655" s="8" t="s">
        <v>4967</v>
      </c>
      <c r="J655" s="10">
        <v>119</v>
      </c>
      <c r="K655" s="11">
        <v>214.43</v>
      </c>
      <c r="L655" s="11">
        <v>328.81</v>
      </c>
      <c r="M655" s="11">
        <v>39128.39</v>
      </c>
      <c r="N655" s="11">
        <v>25517.17</v>
      </c>
      <c r="O655" s="11">
        <f>CleanedData[[#This Row],[Total Sales ($)]]-CleanedData[[#This Row],[Total Cost ($)]]</f>
        <v>13611.220000000001</v>
      </c>
      <c r="P655" s="12">
        <f>CleanedData[[#This Row],[Profit ($)]]/CleanedData[[#This Row],[Total Sales ($)]]</f>
        <v>0.34786046653082331</v>
      </c>
      <c r="Q655" s="8" t="s">
        <v>42</v>
      </c>
      <c r="R655" s="8" t="s">
        <v>63</v>
      </c>
      <c r="S655" s="8" t="b">
        <f>_xlfn.SINGLE(CleanedData[[#This Row],[Delivery Status]])="Late"</f>
        <v>0</v>
      </c>
      <c r="T655" s="10">
        <v>1</v>
      </c>
      <c r="U655" s="8" t="s">
        <v>158</v>
      </c>
      <c r="V655" s="10">
        <v>143</v>
      </c>
      <c r="W655" s="10">
        <v>1</v>
      </c>
      <c r="X655" s="12">
        <v>8.4033613445377991E-3</v>
      </c>
      <c r="Y655" s="8" t="b">
        <f>CleanedData[[#This Row],[Ship Date]]&lt;CleanedData[[#This Row],[Order Date]]</f>
        <v>0</v>
      </c>
      <c r="Z655" s="10">
        <f>YEAR(CleanedData[[#This Row],[Order Date]])</f>
        <v>2023</v>
      </c>
      <c r="AA655" s="8">
        <f>MONTH(CleanedData[[#This Row],[Order Date]])</f>
        <v>4</v>
      </c>
    </row>
    <row r="656" spans="1:27" x14ac:dyDescent="0.35">
      <c r="A656" s="8" t="s">
        <v>2084</v>
      </c>
      <c r="B656" s="9">
        <v>45023</v>
      </c>
      <c r="C656" s="9">
        <v>45070</v>
      </c>
      <c r="D656" s="8" t="s">
        <v>2085</v>
      </c>
      <c r="E656" s="8" t="s">
        <v>68</v>
      </c>
      <c r="F656" s="8" t="s">
        <v>146</v>
      </c>
      <c r="G656" s="8" t="s">
        <v>28</v>
      </c>
      <c r="H656" s="8" t="s">
        <v>111</v>
      </c>
      <c r="I656" s="8" t="s">
        <v>4974</v>
      </c>
      <c r="J656" s="10">
        <v>226</v>
      </c>
      <c r="K656" s="11">
        <v>1154.78</v>
      </c>
      <c r="L656" s="11">
        <v>1771.33</v>
      </c>
      <c r="M656" s="11">
        <v>400320.58</v>
      </c>
      <c r="N656" s="11">
        <v>260980.28</v>
      </c>
      <c r="O656" s="11">
        <f>CleanedData[[#This Row],[Total Sales ($)]]-CleanedData[[#This Row],[Total Cost ($)]]</f>
        <v>139340.30000000002</v>
      </c>
      <c r="P656" s="12">
        <f>CleanedData[[#This Row],[Profit ($)]]/CleanedData[[#This Row],[Total Sales ($)]]</f>
        <v>0.34807178786561516</v>
      </c>
      <c r="Q656" s="8" t="s">
        <v>52</v>
      </c>
      <c r="R656" s="8" t="s">
        <v>32</v>
      </c>
      <c r="S656" s="8" t="b">
        <f>_xlfn.SINGLE(CleanedData[[#This Row],[Delivery Status]])="Late"</f>
        <v>1</v>
      </c>
      <c r="T656" s="10">
        <v>13</v>
      </c>
      <c r="U656" s="8" t="s">
        <v>158</v>
      </c>
      <c r="V656" s="10">
        <v>2782</v>
      </c>
      <c r="W656" s="10">
        <v>2</v>
      </c>
      <c r="X656" s="12">
        <v>8.8495575221238E-3</v>
      </c>
      <c r="Y656" s="8" t="b">
        <f>CleanedData[[#This Row],[Ship Date]]&lt;CleanedData[[#This Row],[Order Date]]</f>
        <v>0</v>
      </c>
      <c r="Z656" s="10">
        <f>YEAR(CleanedData[[#This Row],[Order Date]])</f>
        <v>2023</v>
      </c>
      <c r="AA656" s="8">
        <f>MONTH(CleanedData[[#This Row],[Order Date]])</f>
        <v>4</v>
      </c>
    </row>
    <row r="657" spans="1:27" x14ac:dyDescent="0.35">
      <c r="A657" s="8" t="s">
        <v>2086</v>
      </c>
      <c r="B657" s="9">
        <v>44944</v>
      </c>
      <c r="C657" s="9">
        <v>44958</v>
      </c>
      <c r="D657" s="8" t="s">
        <v>2088</v>
      </c>
      <c r="E657" s="8" t="s">
        <v>100</v>
      </c>
      <c r="F657" s="8" t="s">
        <v>538</v>
      </c>
      <c r="G657" s="8" t="s">
        <v>189</v>
      </c>
      <c r="H657" s="8" t="s">
        <v>561</v>
      </c>
      <c r="I657" s="8" t="s">
        <v>4970</v>
      </c>
      <c r="J657" s="10">
        <v>751</v>
      </c>
      <c r="K657" s="11">
        <v>728.77</v>
      </c>
      <c r="L657" s="11">
        <v>1071</v>
      </c>
      <c r="M657" s="11">
        <v>804321</v>
      </c>
      <c r="N657" s="11">
        <v>547306.27</v>
      </c>
      <c r="O657" s="11">
        <f>CleanedData[[#This Row],[Total Sales ($)]]-CleanedData[[#This Row],[Total Cost ($)]]</f>
        <v>257014.72999999998</v>
      </c>
      <c r="P657" s="12">
        <f>CleanedData[[#This Row],[Profit ($)]]/CleanedData[[#This Row],[Total Sales ($)]]</f>
        <v>0.31954248366013072</v>
      </c>
      <c r="Q657" s="8" t="s">
        <v>31</v>
      </c>
      <c r="R657" s="8" t="s">
        <v>32</v>
      </c>
      <c r="S657" s="8" t="b">
        <f>_xlfn.SINGLE(CleanedData[[#This Row],[Delivery Status]])="Late"</f>
        <v>1</v>
      </c>
      <c r="T657" s="10">
        <v>14</v>
      </c>
      <c r="U657" s="8" t="s">
        <v>86</v>
      </c>
      <c r="V657" s="10">
        <v>2849</v>
      </c>
      <c r="W657" s="10">
        <v>36</v>
      </c>
      <c r="X657" s="12">
        <v>4.7936085219706999E-2</v>
      </c>
      <c r="Y657" s="8" t="b">
        <f>CleanedData[[#This Row],[Ship Date]]&lt;CleanedData[[#This Row],[Order Date]]</f>
        <v>0</v>
      </c>
      <c r="Z657" s="10">
        <f>YEAR(CleanedData[[#This Row],[Order Date]])</f>
        <v>2023</v>
      </c>
      <c r="AA657" s="8">
        <f>MONTH(CleanedData[[#This Row],[Order Date]])</f>
        <v>1</v>
      </c>
    </row>
    <row r="658" spans="1:27" x14ac:dyDescent="0.35">
      <c r="A658" s="8" t="s">
        <v>2089</v>
      </c>
      <c r="B658" s="9">
        <v>45112</v>
      </c>
      <c r="C658" s="9">
        <v>44989</v>
      </c>
      <c r="D658" s="8" t="s">
        <v>2090</v>
      </c>
      <c r="E658" s="8" t="s">
        <v>68</v>
      </c>
      <c r="F658" s="8" t="s">
        <v>2091</v>
      </c>
      <c r="G658" s="8" t="s">
        <v>189</v>
      </c>
      <c r="H658" s="8" t="s">
        <v>437</v>
      </c>
      <c r="I658" s="8" t="s">
        <v>4968</v>
      </c>
      <c r="J658" s="10">
        <v>564</v>
      </c>
      <c r="K658" s="11">
        <v>129.55000000000001</v>
      </c>
      <c r="L658" s="11">
        <v>159.97</v>
      </c>
      <c r="M658" s="11">
        <v>90223.08</v>
      </c>
      <c r="N658" s="11">
        <v>73066.2</v>
      </c>
      <c r="O658" s="11">
        <f>CleanedData[[#This Row],[Total Sales ($)]]-CleanedData[[#This Row],[Total Cost ($)]]</f>
        <v>17156.880000000005</v>
      </c>
      <c r="P658" s="12">
        <f>CleanedData[[#This Row],[Profit ($)]]/CleanedData[[#This Row],[Total Sales ($)]]</f>
        <v>0.19016065512283559</v>
      </c>
      <c r="Q658" s="8" t="s">
        <v>52</v>
      </c>
      <c r="R658" s="8" t="s">
        <v>63</v>
      </c>
      <c r="S658" s="8" t="b">
        <f>_xlfn.SINGLE(CleanedData[[#This Row],[Delivery Status]])="Late"</f>
        <v>0</v>
      </c>
      <c r="T658" s="10">
        <v>1</v>
      </c>
      <c r="U658" s="8" t="s">
        <v>112</v>
      </c>
      <c r="V658" s="10">
        <v>2926</v>
      </c>
      <c r="W658" s="10">
        <v>5</v>
      </c>
      <c r="X658" s="12">
        <v>8.8652482269502998E-3</v>
      </c>
      <c r="Y658" s="8" t="b">
        <f>CleanedData[[#This Row],[Ship Date]]&lt;CleanedData[[#This Row],[Order Date]]</f>
        <v>1</v>
      </c>
      <c r="Z658" s="10">
        <f>YEAR(CleanedData[[#This Row],[Order Date]])</f>
        <v>2023</v>
      </c>
      <c r="AA658" s="8">
        <f>MONTH(CleanedData[[#This Row],[Order Date]])</f>
        <v>7</v>
      </c>
    </row>
    <row r="659" spans="1:27" x14ac:dyDescent="0.35">
      <c r="A659" s="8" t="s">
        <v>2092</v>
      </c>
      <c r="B659" s="9">
        <v>45041</v>
      </c>
      <c r="C659" s="9">
        <v>45063</v>
      </c>
      <c r="D659" s="8" t="s">
        <v>2093</v>
      </c>
      <c r="E659" s="8" t="s">
        <v>58</v>
      </c>
      <c r="F659" s="8" t="s">
        <v>116</v>
      </c>
      <c r="G659" s="8" t="s">
        <v>217</v>
      </c>
      <c r="H659" s="8" t="s">
        <v>725</v>
      </c>
      <c r="I659" s="8" t="s">
        <v>4973</v>
      </c>
      <c r="J659" s="10">
        <v>69</v>
      </c>
      <c r="K659" s="11">
        <v>146.97</v>
      </c>
      <c r="L659" s="11">
        <v>198.67</v>
      </c>
      <c r="M659" s="11">
        <v>13708.23</v>
      </c>
      <c r="N659" s="11">
        <v>10140.93</v>
      </c>
      <c r="O659" s="11">
        <f>CleanedData[[#This Row],[Total Sales ($)]]-CleanedData[[#This Row],[Total Cost ($)]]</f>
        <v>3567.2999999999993</v>
      </c>
      <c r="P659" s="12">
        <f>CleanedData[[#This Row],[Profit ($)]]/CleanedData[[#This Row],[Total Sales ($)]]</f>
        <v>0.26023053304474753</v>
      </c>
      <c r="Q659" s="8" t="s">
        <v>31</v>
      </c>
      <c r="R659" s="8" t="s">
        <v>63</v>
      </c>
      <c r="S659" s="8" t="b">
        <f>_xlfn.SINGLE(CleanedData[[#This Row],[Delivery Status]])="Late"</f>
        <v>0</v>
      </c>
      <c r="T659" s="10">
        <v>1</v>
      </c>
      <c r="U659" s="8" t="s">
        <v>53</v>
      </c>
      <c r="V659" s="10">
        <v>4502</v>
      </c>
      <c r="W659" s="10">
        <v>0</v>
      </c>
      <c r="X659" s="12">
        <v>0</v>
      </c>
      <c r="Y659" s="8" t="b">
        <f>CleanedData[[#This Row],[Ship Date]]&lt;CleanedData[[#This Row],[Order Date]]</f>
        <v>0</v>
      </c>
      <c r="Z659" s="10">
        <f>YEAR(CleanedData[[#This Row],[Order Date]])</f>
        <v>2023</v>
      </c>
      <c r="AA659" s="8">
        <f>MONTH(CleanedData[[#This Row],[Order Date]])</f>
        <v>4</v>
      </c>
    </row>
    <row r="660" spans="1:27" x14ac:dyDescent="0.35">
      <c r="A660" s="8" t="s">
        <v>2094</v>
      </c>
      <c r="B660" s="9">
        <v>45444</v>
      </c>
      <c r="C660" s="9">
        <v>45456</v>
      </c>
      <c r="D660" s="8" t="s">
        <v>2096</v>
      </c>
      <c r="E660" s="8" t="s">
        <v>100</v>
      </c>
      <c r="F660" s="8" t="s">
        <v>238</v>
      </c>
      <c r="G660" s="8" t="s">
        <v>78</v>
      </c>
      <c r="H660" s="8" t="s">
        <v>425</v>
      </c>
      <c r="I660" s="8" t="s">
        <v>4969</v>
      </c>
      <c r="J660" s="10">
        <v>153</v>
      </c>
      <c r="K660" s="11">
        <v>508.24</v>
      </c>
      <c r="L660" s="11">
        <v>634.23</v>
      </c>
      <c r="M660" s="11">
        <v>97037.19</v>
      </c>
      <c r="N660" s="11">
        <v>77760.72</v>
      </c>
      <c r="O660" s="11">
        <f>CleanedData[[#This Row],[Total Sales ($)]]-CleanedData[[#This Row],[Total Cost ($)]]</f>
        <v>19276.47</v>
      </c>
      <c r="P660" s="12">
        <f>CleanedData[[#This Row],[Profit ($)]]/CleanedData[[#This Row],[Total Sales ($)]]</f>
        <v>0.19865033189852263</v>
      </c>
      <c r="Q660" s="8" t="s">
        <v>52</v>
      </c>
      <c r="R660" s="8" t="s">
        <v>32</v>
      </c>
      <c r="S660" s="8" t="b">
        <f>_xlfn.SINGLE(CleanedData[[#This Row],[Delivery Status]])="Late"</f>
        <v>1</v>
      </c>
      <c r="T660" s="10">
        <v>8</v>
      </c>
      <c r="U660" s="8" t="s">
        <v>86</v>
      </c>
      <c r="V660" s="10">
        <v>2214</v>
      </c>
      <c r="W660" s="10">
        <v>3</v>
      </c>
      <c r="X660" s="12">
        <v>1.9607843137254902E-2</v>
      </c>
      <c r="Y660" s="8" t="b">
        <f>CleanedData[[#This Row],[Ship Date]]&lt;CleanedData[[#This Row],[Order Date]]</f>
        <v>0</v>
      </c>
      <c r="Z660" s="10">
        <f>YEAR(CleanedData[[#This Row],[Order Date]])</f>
        <v>2024</v>
      </c>
      <c r="AA660" s="8">
        <f>MONTH(CleanedData[[#This Row],[Order Date]])</f>
        <v>6</v>
      </c>
    </row>
    <row r="661" spans="1:27" x14ac:dyDescent="0.35">
      <c r="A661" s="8" t="s">
        <v>2097</v>
      </c>
      <c r="B661" s="9">
        <v>45261</v>
      </c>
      <c r="C661" s="9">
        <v>45182</v>
      </c>
      <c r="D661" s="8" t="s">
        <v>2098</v>
      </c>
      <c r="E661" s="8" t="s">
        <v>100</v>
      </c>
      <c r="F661" s="8" t="s">
        <v>330</v>
      </c>
      <c r="G661" s="8" t="s">
        <v>28</v>
      </c>
      <c r="H661" s="8" t="s">
        <v>579</v>
      </c>
      <c r="I661" s="8" t="s">
        <v>4967</v>
      </c>
      <c r="J661" s="10">
        <v>291</v>
      </c>
      <c r="K661" s="11">
        <v>125.77</v>
      </c>
      <c r="L661" s="11">
        <v>148.54</v>
      </c>
      <c r="M661" s="11">
        <v>43225.14</v>
      </c>
      <c r="N661" s="11">
        <v>36599.07</v>
      </c>
      <c r="O661" s="11">
        <f>CleanedData[[#This Row],[Total Sales ($)]]-CleanedData[[#This Row],[Total Cost ($)]]</f>
        <v>6626.07</v>
      </c>
      <c r="P661" s="12">
        <f>CleanedData[[#This Row],[Profit ($)]]/CleanedData[[#This Row],[Total Sales ($)]]</f>
        <v>0.15329204254746195</v>
      </c>
      <c r="Q661" s="8" t="s">
        <v>31</v>
      </c>
      <c r="R661" s="8" t="s">
        <v>32</v>
      </c>
      <c r="S661" s="8" t="b">
        <f>_xlfn.SINGLE(CleanedData[[#This Row],[Delivery Status]])="Late"</f>
        <v>1</v>
      </c>
      <c r="T661" s="10">
        <v>11</v>
      </c>
      <c r="U661" s="8" t="s">
        <v>112</v>
      </c>
      <c r="V661" s="10">
        <v>1608</v>
      </c>
      <c r="W661" s="10">
        <v>2</v>
      </c>
      <c r="X661" s="12">
        <v>6.8728522336769004E-3</v>
      </c>
      <c r="Y661" s="8" t="b">
        <f>CleanedData[[#This Row],[Ship Date]]&lt;CleanedData[[#This Row],[Order Date]]</f>
        <v>1</v>
      </c>
      <c r="Z661" s="10">
        <f>YEAR(CleanedData[[#This Row],[Order Date]])</f>
        <v>2023</v>
      </c>
      <c r="AA661" s="8">
        <f>MONTH(CleanedData[[#This Row],[Order Date]])</f>
        <v>12</v>
      </c>
    </row>
    <row r="662" spans="1:27" x14ac:dyDescent="0.35">
      <c r="A662" s="8" t="s">
        <v>2099</v>
      </c>
      <c r="B662" s="9">
        <v>44933</v>
      </c>
      <c r="C662" s="9">
        <v>45261</v>
      </c>
      <c r="D662" s="8" t="s">
        <v>2100</v>
      </c>
      <c r="E662" s="8" t="s">
        <v>68</v>
      </c>
      <c r="F662" s="8" t="s">
        <v>163</v>
      </c>
      <c r="G662" s="8" t="s">
        <v>93</v>
      </c>
      <c r="H662" s="8" t="s">
        <v>485</v>
      </c>
      <c r="I662" s="8" t="s">
        <v>4978</v>
      </c>
      <c r="J662" s="10">
        <v>568</v>
      </c>
      <c r="K662" s="11">
        <v>1130.29</v>
      </c>
      <c r="L662" s="11">
        <v>1435.01</v>
      </c>
      <c r="M662" s="11">
        <v>815085.68</v>
      </c>
      <c r="N662" s="11">
        <v>642004.72</v>
      </c>
      <c r="O662" s="11">
        <f>CleanedData[[#This Row],[Total Sales ($)]]-CleanedData[[#This Row],[Total Cost ($)]]</f>
        <v>173080.96000000008</v>
      </c>
      <c r="P662" s="12">
        <f>CleanedData[[#This Row],[Profit ($)]]/CleanedData[[#This Row],[Total Sales ($)]]</f>
        <v>0.21234695228604686</v>
      </c>
      <c r="Q662" s="8" t="s">
        <v>95</v>
      </c>
      <c r="R662" s="8" t="s">
        <v>32</v>
      </c>
      <c r="S662" s="8" t="b">
        <f>_xlfn.SINGLE(CleanedData[[#This Row],[Delivery Status]])="Late"</f>
        <v>1</v>
      </c>
      <c r="T662" s="10">
        <v>14</v>
      </c>
      <c r="U662" s="8" t="s">
        <v>158</v>
      </c>
      <c r="V662" s="10">
        <v>2150</v>
      </c>
      <c r="W662" s="10">
        <v>25</v>
      </c>
      <c r="X662" s="12">
        <v>4.4014084507042202E-2</v>
      </c>
      <c r="Y662" s="8" t="b">
        <f>CleanedData[[#This Row],[Ship Date]]&lt;CleanedData[[#This Row],[Order Date]]</f>
        <v>0</v>
      </c>
      <c r="Z662" s="10">
        <f>YEAR(CleanedData[[#This Row],[Order Date]])</f>
        <v>2023</v>
      </c>
      <c r="AA662" s="8">
        <f>MONTH(CleanedData[[#This Row],[Order Date]])</f>
        <v>1</v>
      </c>
    </row>
    <row r="663" spans="1:27" x14ac:dyDescent="0.35">
      <c r="A663" s="8" t="s">
        <v>2101</v>
      </c>
      <c r="B663" s="9">
        <v>45186</v>
      </c>
      <c r="C663" s="9">
        <v>45156</v>
      </c>
      <c r="D663" s="8" t="s">
        <v>2102</v>
      </c>
      <c r="E663" s="8" t="s">
        <v>26</v>
      </c>
      <c r="F663" s="8" t="s">
        <v>77</v>
      </c>
      <c r="G663" s="8" t="s">
        <v>60</v>
      </c>
      <c r="H663" s="8" t="s">
        <v>780</v>
      </c>
      <c r="I663" s="8" t="s">
        <v>4969</v>
      </c>
      <c r="J663" s="10">
        <v>523</v>
      </c>
      <c r="K663" s="11">
        <v>135.66999999999999</v>
      </c>
      <c r="L663" s="11">
        <v>193.23</v>
      </c>
      <c r="M663" s="11">
        <v>101059.29</v>
      </c>
      <c r="N663" s="11">
        <v>70955.41</v>
      </c>
      <c r="O663" s="11">
        <f>CleanedData[[#This Row],[Total Sales ($)]]-CleanedData[[#This Row],[Total Cost ($)]]</f>
        <v>30103.87999999999</v>
      </c>
      <c r="P663" s="12">
        <f>CleanedData[[#This Row],[Profit ($)]]/CleanedData[[#This Row],[Total Sales ($)]]</f>
        <v>0.29788335144646266</v>
      </c>
      <c r="Q663" s="8" t="s">
        <v>42</v>
      </c>
      <c r="R663" s="8" t="s">
        <v>32</v>
      </c>
      <c r="S663" s="8" t="b">
        <f>_xlfn.SINGLE(CleanedData[[#This Row],[Delivery Status]])="Late"</f>
        <v>1</v>
      </c>
      <c r="T663" s="10">
        <v>8</v>
      </c>
      <c r="U663" s="8" t="s">
        <v>33</v>
      </c>
      <c r="V663" s="10">
        <v>3443</v>
      </c>
      <c r="W663" s="10">
        <v>10</v>
      </c>
      <c r="X663" s="12">
        <v>1.9120458891013301E-2</v>
      </c>
      <c r="Y663" s="8" t="b">
        <f>CleanedData[[#This Row],[Ship Date]]&lt;CleanedData[[#This Row],[Order Date]]</f>
        <v>1</v>
      </c>
      <c r="Z663" s="10">
        <f>YEAR(CleanedData[[#This Row],[Order Date]])</f>
        <v>2023</v>
      </c>
      <c r="AA663" s="8">
        <f>MONTH(CleanedData[[#This Row],[Order Date]])</f>
        <v>9</v>
      </c>
    </row>
    <row r="664" spans="1:27" x14ac:dyDescent="0.35">
      <c r="A664" s="8" t="s">
        <v>2103</v>
      </c>
      <c r="B664" s="9">
        <v>44945</v>
      </c>
      <c r="C664" s="9">
        <v>44950</v>
      </c>
      <c r="D664" s="8" t="s">
        <v>2104</v>
      </c>
      <c r="E664" s="8" t="s">
        <v>26</v>
      </c>
      <c r="F664" s="8" t="s">
        <v>228</v>
      </c>
      <c r="G664" s="8" t="s">
        <v>39</v>
      </c>
      <c r="H664" s="8" t="s">
        <v>40</v>
      </c>
      <c r="I664" s="8" t="s">
        <v>4970</v>
      </c>
      <c r="J664" s="10">
        <v>590</v>
      </c>
      <c r="K664" s="11">
        <v>409.13</v>
      </c>
      <c r="L664" s="11">
        <v>641.48</v>
      </c>
      <c r="M664" s="11">
        <v>378473.2</v>
      </c>
      <c r="N664" s="11">
        <v>241386.7</v>
      </c>
      <c r="O664" s="11">
        <f>CleanedData[[#This Row],[Total Sales ($)]]-CleanedData[[#This Row],[Total Cost ($)]]</f>
        <v>137086.5</v>
      </c>
      <c r="P664" s="12">
        <f>CleanedData[[#This Row],[Profit ($)]]/CleanedData[[#This Row],[Total Sales ($)]]</f>
        <v>0.36220926607220799</v>
      </c>
      <c r="Q664" s="8" t="s">
        <v>31</v>
      </c>
      <c r="R664" s="8" t="s">
        <v>63</v>
      </c>
      <c r="S664" s="8" t="b">
        <f>_xlfn.SINGLE(CleanedData[[#This Row],[Delivery Status]])="Late"</f>
        <v>0</v>
      </c>
      <c r="T664" s="10">
        <v>4</v>
      </c>
      <c r="U664" s="8" t="s">
        <v>53</v>
      </c>
      <c r="V664" s="10">
        <v>3521</v>
      </c>
      <c r="W664" s="10">
        <v>5</v>
      </c>
      <c r="X664" s="12">
        <v>8.4745762711864007E-3</v>
      </c>
      <c r="Y664" s="8" t="b">
        <f>CleanedData[[#This Row],[Ship Date]]&lt;CleanedData[[#This Row],[Order Date]]</f>
        <v>0</v>
      </c>
      <c r="Z664" s="10">
        <f>YEAR(CleanedData[[#This Row],[Order Date]])</f>
        <v>2023</v>
      </c>
      <c r="AA664" s="8">
        <f>MONTH(CleanedData[[#This Row],[Order Date]])</f>
        <v>1</v>
      </c>
    </row>
    <row r="665" spans="1:27" x14ac:dyDescent="0.35">
      <c r="A665" s="8" t="s">
        <v>2105</v>
      </c>
      <c r="B665" s="9">
        <v>45034</v>
      </c>
      <c r="C665" s="9">
        <v>45038</v>
      </c>
      <c r="D665" s="8" t="s">
        <v>2106</v>
      </c>
      <c r="E665" s="8" t="s">
        <v>100</v>
      </c>
      <c r="F665" s="8" t="s">
        <v>238</v>
      </c>
      <c r="G665" s="8" t="s">
        <v>60</v>
      </c>
      <c r="H665" s="8" t="s">
        <v>834</v>
      </c>
      <c r="I665" s="8" t="s">
        <v>4973</v>
      </c>
      <c r="J665" s="10">
        <v>707</v>
      </c>
      <c r="K665" s="11">
        <v>313.14</v>
      </c>
      <c r="L665" s="11">
        <v>515.21</v>
      </c>
      <c r="M665" s="11">
        <v>364253.47</v>
      </c>
      <c r="N665" s="11">
        <v>221389.98</v>
      </c>
      <c r="O665" s="11">
        <f>CleanedData[[#This Row],[Total Sales ($)]]-CleanedData[[#This Row],[Total Cost ($)]]</f>
        <v>142863.48999999996</v>
      </c>
      <c r="P665" s="12">
        <f>CleanedData[[#This Row],[Profit ($)]]/CleanedData[[#This Row],[Total Sales ($)]]</f>
        <v>0.39220900215446119</v>
      </c>
      <c r="Q665" s="8" t="s">
        <v>52</v>
      </c>
      <c r="R665" s="8" t="s">
        <v>63</v>
      </c>
      <c r="S665" s="8" t="b">
        <f>_xlfn.SINGLE(CleanedData[[#This Row],[Delivery Status]])="Late"</f>
        <v>0</v>
      </c>
      <c r="T665" s="10">
        <v>2</v>
      </c>
      <c r="U665" s="8" t="s">
        <v>158</v>
      </c>
      <c r="V665" s="10">
        <v>988</v>
      </c>
      <c r="W665" s="10">
        <v>29</v>
      </c>
      <c r="X665" s="12">
        <v>4.1018387553040998E-2</v>
      </c>
      <c r="Y665" s="8" t="b">
        <f>CleanedData[[#This Row],[Ship Date]]&lt;CleanedData[[#This Row],[Order Date]]</f>
        <v>0</v>
      </c>
      <c r="Z665" s="10">
        <f>YEAR(CleanedData[[#This Row],[Order Date]])</f>
        <v>2023</v>
      </c>
      <c r="AA665" s="8">
        <f>MONTH(CleanedData[[#This Row],[Order Date]])</f>
        <v>4</v>
      </c>
    </row>
    <row r="666" spans="1:27" x14ac:dyDescent="0.35">
      <c r="A666" s="8" t="s">
        <v>2107</v>
      </c>
      <c r="B666" s="9">
        <v>45221</v>
      </c>
      <c r="C666" s="9">
        <v>45221</v>
      </c>
      <c r="D666" s="8" t="s">
        <v>2108</v>
      </c>
      <c r="E666" s="8" t="s">
        <v>68</v>
      </c>
      <c r="F666" s="8" t="s">
        <v>146</v>
      </c>
      <c r="G666" s="8" t="s">
        <v>60</v>
      </c>
      <c r="H666" s="8" t="s">
        <v>265</v>
      </c>
      <c r="I666" s="8" t="s">
        <v>4978</v>
      </c>
      <c r="J666" s="10">
        <v>23</v>
      </c>
      <c r="K666" s="11">
        <v>104.81</v>
      </c>
      <c r="L666" s="11">
        <v>157</v>
      </c>
      <c r="M666" s="11">
        <v>3611</v>
      </c>
      <c r="N666" s="11">
        <v>2410.63</v>
      </c>
      <c r="O666" s="11">
        <f>CleanedData[[#This Row],[Total Sales ($)]]-CleanedData[[#This Row],[Total Cost ($)]]</f>
        <v>1200.3699999999999</v>
      </c>
      <c r="P666" s="12">
        <f>CleanedData[[#This Row],[Profit ($)]]/CleanedData[[#This Row],[Total Sales ($)]]</f>
        <v>0.33242038216560504</v>
      </c>
      <c r="Q666" s="8" t="s">
        <v>42</v>
      </c>
      <c r="R666" s="8" t="s">
        <v>63</v>
      </c>
      <c r="S666" s="8" t="b">
        <f>_xlfn.SINGLE(CleanedData[[#This Row],[Delivery Status]])="Late"</f>
        <v>0</v>
      </c>
      <c r="T666" s="10">
        <v>5</v>
      </c>
      <c r="U666" s="8" t="s">
        <v>53</v>
      </c>
      <c r="V666" s="10">
        <v>3494</v>
      </c>
      <c r="W666" s="10">
        <v>1</v>
      </c>
      <c r="X666" s="12">
        <v>4.3478260869565202E-2</v>
      </c>
      <c r="Y666" s="8" t="b">
        <f>CleanedData[[#This Row],[Ship Date]]&lt;CleanedData[[#This Row],[Order Date]]</f>
        <v>0</v>
      </c>
      <c r="Z666" s="10">
        <f>YEAR(CleanedData[[#This Row],[Order Date]])</f>
        <v>2023</v>
      </c>
      <c r="AA666" s="8">
        <f>MONTH(CleanedData[[#This Row],[Order Date]])</f>
        <v>10</v>
      </c>
    </row>
    <row r="667" spans="1:27" x14ac:dyDescent="0.35">
      <c r="A667" s="8" t="s">
        <v>2109</v>
      </c>
      <c r="B667" s="9">
        <v>45215</v>
      </c>
      <c r="C667" s="9">
        <v>45065</v>
      </c>
      <c r="D667" s="8" t="s">
        <v>2110</v>
      </c>
      <c r="E667" s="8" t="s">
        <v>68</v>
      </c>
      <c r="F667" s="8" t="s">
        <v>276</v>
      </c>
      <c r="G667" s="8" t="s">
        <v>60</v>
      </c>
      <c r="H667" s="8" t="s">
        <v>164</v>
      </c>
      <c r="I667" s="8" t="s">
        <v>4978</v>
      </c>
      <c r="J667" s="10">
        <v>107</v>
      </c>
      <c r="K667" s="11">
        <v>104.87</v>
      </c>
      <c r="L667" s="11">
        <v>158.78</v>
      </c>
      <c r="M667" s="11">
        <v>16989.46</v>
      </c>
      <c r="N667" s="11">
        <v>11221.09</v>
      </c>
      <c r="O667" s="11">
        <f>CleanedData[[#This Row],[Total Sales ($)]]-CleanedData[[#This Row],[Total Cost ($)]]</f>
        <v>5768.369999999999</v>
      </c>
      <c r="P667" s="12">
        <f>CleanedData[[#This Row],[Profit ($)]]/CleanedData[[#This Row],[Total Sales ($)]]</f>
        <v>0.33952638871394381</v>
      </c>
      <c r="Q667" s="8" t="s">
        <v>31</v>
      </c>
      <c r="R667" s="8" t="s">
        <v>63</v>
      </c>
      <c r="S667" s="8" t="b">
        <f>_xlfn.SINGLE(CleanedData[[#This Row],[Delivery Status]])="Late"</f>
        <v>0</v>
      </c>
      <c r="T667" s="10">
        <v>1</v>
      </c>
      <c r="U667" s="8" t="s">
        <v>158</v>
      </c>
      <c r="V667" s="10">
        <v>1640</v>
      </c>
      <c r="W667" s="10">
        <v>4</v>
      </c>
      <c r="X667" s="12">
        <v>3.73831775700934E-2</v>
      </c>
      <c r="Y667" s="8" t="b">
        <f>CleanedData[[#This Row],[Ship Date]]&lt;CleanedData[[#This Row],[Order Date]]</f>
        <v>1</v>
      </c>
      <c r="Z667" s="10">
        <f>YEAR(CleanedData[[#This Row],[Order Date]])</f>
        <v>2023</v>
      </c>
      <c r="AA667" s="8">
        <f>MONTH(CleanedData[[#This Row],[Order Date]])</f>
        <v>10</v>
      </c>
    </row>
    <row r="668" spans="1:27" x14ac:dyDescent="0.35">
      <c r="A668" s="8" t="s">
        <v>2111</v>
      </c>
      <c r="B668" s="9">
        <v>45263</v>
      </c>
      <c r="C668" s="9">
        <v>45207</v>
      </c>
      <c r="D668" s="8" t="s">
        <v>2112</v>
      </c>
      <c r="E668" s="8" t="s">
        <v>100</v>
      </c>
      <c r="F668" s="8" t="s">
        <v>330</v>
      </c>
      <c r="G668" s="8" t="s">
        <v>60</v>
      </c>
      <c r="H668" s="8" t="s">
        <v>229</v>
      </c>
      <c r="I668" s="8" t="s">
        <v>4978</v>
      </c>
      <c r="J668" s="10">
        <v>73</v>
      </c>
      <c r="K668" s="11">
        <v>747.74</v>
      </c>
      <c r="L668" s="11">
        <v>1223.3499999999999</v>
      </c>
      <c r="M668" s="11">
        <v>89304.55</v>
      </c>
      <c r="N668" s="11">
        <v>54585.02</v>
      </c>
      <c r="O668" s="11">
        <f>CleanedData[[#This Row],[Total Sales ($)]]-CleanedData[[#This Row],[Total Cost ($)]]</f>
        <v>34719.530000000006</v>
      </c>
      <c r="P668" s="12">
        <f>CleanedData[[#This Row],[Profit ($)]]/CleanedData[[#This Row],[Total Sales ($)]]</f>
        <v>0.38877671966321992</v>
      </c>
      <c r="Q668" s="8" t="s">
        <v>31</v>
      </c>
      <c r="R668" s="8" t="s">
        <v>63</v>
      </c>
      <c r="S668" s="8" t="b">
        <f>_xlfn.SINGLE(CleanedData[[#This Row],[Delivery Status]])="Late"</f>
        <v>0</v>
      </c>
      <c r="T668" s="10">
        <v>5</v>
      </c>
      <c r="U668" s="8" t="s">
        <v>53</v>
      </c>
      <c r="V668" s="10">
        <v>1859</v>
      </c>
      <c r="W668" s="10">
        <v>0</v>
      </c>
      <c r="X668" s="12">
        <v>0</v>
      </c>
      <c r="Y668" s="8" t="b">
        <f>CleanedData[[#This Row],[Ship Date]]&lt;CleanedData[[#This Row],[Order Date]]</f>
        <v>1</v>
      </c>
      <c r="Z668" s="10">
        <f>YEAR(CleanedData[[#This Row],[Order Date]])</f>
        <v>2023</v>
      </c>
      <c r="AA668" s="8">
        <f>MONTH(CleanedData[[#This Row],[Order Date]])</f>
        <v>12</v>
      </c>
    </row>
    <row r="669" spans="1:27" x14ac:dyDescent="0.35">
      <c r="A669" s="8" t="s">
        <v>2113</v>
      </c>
      <c r="B669" s="9">
        <v>44973</v>
      </c>
      <c r="C669" s="9">
        <v>45121</v>
      </c>
      <c r="D669" s="8" t="s">
        <v>2114</v>
      </c>
      <c r="E669" s="8" t="s">
        <v>26</v>
      </c>
      <c r="F669" s="8" t="s">
        <v>38</v>
      </c>
      <c r="G669" s="8" t="s">
        <v>28</v>
      </c>
      <c r="H669" s="8" t="s">
        <v>714</v>
      </c>
      <c r="I669" s="8" t="s">
        <v>4973</v>
      </c>
      <c r="J669" s="10">
        <v>381</v>
      </c>
      <c r="K669" s="11">
        <v>117.85</v>
      </c>
      <c r="L669" s="11">
        <v>137.78</v>
      </c>
      <c r="M669" s="11">
        <v>52494.18</v>
      </c>
      <c r="N669" s="11">
        <v>44900.85</v>
      </c>
      <c r="O669" s="11">
        <f>CleanedData[[#This Row],[Total Sales ($)]]-CleanedData[[#This Row],[Total Cost ($)]]</f>
        <v>7593.3300000000017</v>
      </c>
      <c r="P669" s="12">
        <f>CleanedData[[#This Row],[Profit ($)]]/CleanedData[[#This Row],[Total Sales ($)]]</f>
        <v>0.14465089272753667</v>
      </c>
      <c r="Q669" s="8" t="s">
        <v>52</v>
      </c>
      <c r="R669" s="8" t="s">
        <v>63</v>
      </c>
      <c r="S669" s="8" t="b">
        <f>_xlfn.SINGLE(CleanedData[[#This Row],[Delivery Status]])="Late"</f>
        <v>0</v>
      </c>
      <c r="T669" s="10">
        <v>3</v>
      </c>
      <c r="U669" s="8" t="s">
        <v>112</v>
      </c>
      <c r="V669" s="10">
        <v>1412</v>
      </c>
      <c r="W669" s="10">
        <v>9</v>
      </c>
      <c r="X669" s="12">
        <v>2.3622047244094401E-2</v>
      </c>
      <c r="Y669" s="8" t="b">
        <f>CleanedData[[#This Row],[Ship Date]]&lt;CleanedData[[#This Row],[Order Date]]</f>
        <v>0</v>
      </c>
      <c r="Z669" s="10">
        <f>YEAR(CleanedData[[#This Row],[Order Date]])</f>
        <v>2023</v>
      </c>
      <c r="AA669" s="8">
        <f>MONTH(CleanedData[[#This Row],[Order Date]])</f>
        <v>2</v>
      </c>
    </row>
    <row r="670" spans="1:27" x14ac:dyDescent="0.35">
      <c r="A670" s="8" t="s">
        <v>2115</v>
      </c>
      <c r="B670" s="9">
        <v>44978</v>
      </c>
      <c r="C670" s="9">
        <v>45037</v>
      </c>
      <c r="D670" s="8" t="s">
        <v>2116</v>
      </c>
      <c r="E670" s="8" t="s">
        <v>48</v>
      </c>
      <c r="F670" s="8" t="s">
        <v>49</v>
      </c>
      <c r="G670" s="8" t="s">
        <v>189</v>
      </c>
      <c r="H670" s="8" t="s">
        <v>311</v>
      </c>
      <c r="I670" s="8" t="s">
        <v>4975</v>
      </c>
      <c r="J670" s="10">
        <v>781</v>
      </c>
      <c r="K670" s="11">
        <v>834.48</v>
      </c>
      <c r="L670" s="11">
        <v>1007.43</v>
      </c>
      <c r="M670" s="11">
        <v>786802.83</v>
      </c>
      <c r="N670" s="11">
        <v>651728.88</v>
      </c>
      <c r="O670" s="11">
        <f>CleanedData[[#This Row],[Total Sales ($)]]-CleanedData[[#This Row],[Total Cost ($)]]</f>
        <v>135073.94999999995</v>
      </c>
      <c r="P670" s="12">
        <f>CleanedData[[#This Row],[Profit ($)]]/CleanedData[[#This Row],[Total Sales ($)]]</f>
        <v>0.17167445877132897</v>
      </c>
      <c r="Q670" s="8" t="s">
        <v>31</v>
      </c>
      <c r="R670" s="8" t="s">
        <v>32</v>
      </c>
      <c r="S670" s="8" t="b">
        <f>_xlfn.SINGLE(CleanedData[[#This Row],[Delivery Status]])="Late"</f>
        <v>1</v>
      </c>
      <c r="T670" s="10">
        <v>6</v>
      </c>
      <c r="U670" s="8" t="s">
        <v>53</v>
      </c>
      <c r="V670" s="10">
        <v>1652</v>
      </c>
      <c r="W670" s="10">
        <v>25</v>
      </c>
      <c r="X670" s="12">
        <v>3.2010243277848897E-2</v>
      </c>
      <c r="Y670" s="8" t="b">
        <f>CleanedData[[#This Row],[Ship Date]]&lt;CleanedData[[#This Row],[Order Date]]</f>
        <v>0</v>
      </c>
      <c r="Z670" s="10">
        <f>YEAR(CleanedData[[#This Row],[Order Date]])</f>
        <v>2023</v>
      </c>
      <c r="AA670" s="8">
        <f>MONTH(CleanedData[[#This Row],[Order Date]])</f>
        <v>2</v>
      </c>
    </row>
    <row r="671" spans="1:27" x14ac:dyDescent="0.35">
      <c r="A671" s="8" t="s">
        <v>2117</v>
      </c>
      <c r="B671" s="9">
        <v>45197</v>
      </c>
      <c r="C671" s="9">
        <v>45140</v>
      </c>
      <c r="D671" s="8" t="s">
        <v>2118</v>
      </c>
      <c r="E671" s="8" t="s">
        <v>100</v>
      </c>
      <c r="F671" s="8" t="s">
        <v>330</v>
      </c>
      <c r="G671" s="8" t="s">
        <v>60</v>
      </c>
      <c r="H671" s="8" t="s">
        <v>265</v>
      </c>
      <c r="I671" s="8" t="s">
        <v>4976</v>
      </c>
      <c r="J671" s="10">
        <v>173</v>
      </c>
      <c r="K671" s="11">
        <v>241.32</v>
      </c>
      <c r="L671" s="11">
        <v>353.49</v>
      </c>
      <c r="M671" s="11">
        <v>61153.77</v>
      </c>
      <c r="N671" s="11">
        <v>41748.36</v>
      </c>
      <c r="O671" s="11">
        <f>CleanedData[[#This Row],[Total Sales ($)]]-CleanedData[[#This Row],[Total Cost ($)]]</f>
        <v>19405.409999999996</v>
      </c>
      <c r="P671" s="12">
        <f>CleanedData[[#This Row],[Profit ($)]]/CleanedData[[#This Row],[Total Sales ($)]]</f>
        <v>0.31732156496647707</v>
      </c>
      <c r="Q671" s="8" t="s">
        <v>42</v>
      </c>
      <c r="R671" s="8" t="s">
        <v>32</v>
      </c>
      <c r="S671" s="8" t="b">
        <f>_xlfn.SINGLE(CleanedData[[#This Row],[Delivery Status]])="Late"</f>
        <v>1</v>
      </c>
      <c r="T671" s="10">
        <v>13</v>
      </c>
      <c r="U671" s="8" t="s">
        <v>43</v>
      </c>
      <c r="V671" s="10">
        <v>4715</v>
      </c>
      <c r="W671" s="10">
        <v>3</v>
      </c>
      <c r="X671" s="12">
        <v>1.7341040462427699E-2</v>
      </c>
      <c r="Y671" s="8" t="b">
        <f>CleanedData[[#This Row],[Ship Date]]&lt;CleanedData[[#This Row],[Order Date]]</f>
        <v>1</v>
      </c>
      <c r="Z671" s="10">
        <f>YEAR(CleanedData[[#This Row],[Order Date]])</f>
        <v>2023</v>
      </c>
      <c r="AA671" s="8">
        <f>MONTH(CleanedData[[#This Row],[Order Date]])</f>
        <v>9</v>
      </c>
    </row>
    <row r="672" spans="1:27" x14ac:dyDescent="0.35">
      <c r="A672" s="8" t="s">
        <v>2119</v>
      </c>
      <c r="B672" s="9">
        <v>45117</v>
      </c>
      <c r="C672" s="9">
        <v>44939</v>
      </c>
      <c r="D672" s="8" t="s">
        <v>2120</v>
      </c>
      <c r="E672" s="8" t="s">
        <v>68</v>
      </c>
      <c r="F672" s="8" t="s">
        <v>276</v>
      </c>
      <c r="G672" s="8" t="s">
        <v>93</v>
      </c>
      <c r="H672" s="8" t="s">
        <v>485</v>
      </c>
      <c r="I672" s="8" t="s">
        <v>4978</v>
      </c>
      <c r="J672" s="10">
        <v>756</v>
      </c>
      <c r="K672" s="11">
        <v>316.77</v>
      </c>
      <c r="L672" s="11">
        <v>358.84</v>
      </c>
      <c r="M672" s="11">
        <v>271283.03999999998</v>
      </c>
      <c r="N672" s="11">
        <v>239478.12</v>
      </c>
      <c r="O672" s="11">
        <f>CleanedData[[#This Row],[Total Sales ($)]]-CleanedData[[#This Row],[Total Cost ($)]]</f>
        <v>31804.919999999984</v>
      </c>
      <c r="P672" s="12">
        <f>CleanedData[[#This Row],[Profit ($)]]/CleanedData[[#This Row],[Total Sales ($)]]</f>
        <v>0.11723888083825655</v>
      </c>
      <c r="Q672" s="8" t="s">
        <v>52</v>
      </c>
      <c r="R672" s="8" t="s">
        <v>32</v>
      </c>
      <c r="S672" s="8" t="b">
        <f>_xlfn.SINGLE(CleanedData[[#This Row],[Delivery Status]])="Late"</f>
        <v>1</v>
      </c>
      <c r="T672" s="10">
        <v>8</v>
      </c>
      <c r="U672" s="8" t="s">
        <v>43</v>
      </c>
      <c r="V672" s="10">
        <v>3577</v>
      </c>
      <c r="W672" s="10">
        <v>30</v>
      </c>
      <c r="X672" s="12">
        <v>3.9682539682539597E-2</v>
      </c>
      <c r="Y672" s="8" t="b">
        <f>CleanedData[[#This Row],[Ship Date]]&lt;CleanedData[[#This Row],[Order Date]]</f>
        <v>1</v>
      </c>
      <c r="Z672" s="10">
        <f>YEAR(CleanedData[[#This Row],[Order Date]])</f>
        <v>2023</v>
      </c>
      <c r="AA672" s="8">
        <f>MONTH(CleanedData[[#This Row],[Order Date]])</f>
        <v>7</v>
      </c>
    </row>
    <row r="673" spans="1:27" x14ac:dyDescent="0.35">
      <c r="A673" s="8" t="s">
        <v>2121</v>
      </c>
      <c r="B673" s="9">
        <v>45590</v>
      </c>
      <c r="C673" s="9">
        <v>45635</v>
      </c>
      <c r="D673" s="8" t="s">
        <v>2124</v>
      </c>
      <c r="E673" s="8" t="s">
        <v>26</v>
      </c>
      <c r="F673" s="8" t="s">
        <v>27</v>
      </c>
      <c r="G673" s="8" t="s">
        <v>50</v>
      </c>
      <c r="H673" s="8" t="s">
        <v>51</v>
      </c>
      <c r="I673" s="8" t="s">
        <v>4971</v>
      </c>
      <c r="J673" s="10">
        <v>726</v>
      </c>
      <c r="K673" s="11">
        <v>982.68</v>
      </c>
      <c r="L673" s="11">
        <v>1102.1600000000001</v>
      </c>
      <c r="M673" s="11">
        <v>800168.16</v>
      </c>
      <c r="N673" s="11">
        <v>713425.68</v>
      </c>
      <c r="O673" s="11">
        <f>CleanedData[[#This Row],[Total Sales ($)]]-CleanedData[[#This Row],[Total Cost ($)]]</f>
        <v>86742.479999999981</v>
      </c>
      <c r="P673" s="12">
        <f>CleanedData[[#This Row],[Profit ($)]]/CleanedData[[#This Row],[Total Sales ($)]]</f>
        <v>0.10840531320316467</v>
      </c>
      <c r="Q673" s="8" t="s">
        <v>52</v>
      </c>
      <c r="R673" s="8" t="s">
        <v>32</v>
      </c>
      <c r="S673" s="8" t="b">
        <f>_xlfn.SINGLE(CleanedData[[#This Row],[Delivery Status]])="Late"</f>
        <v>1</v>
      </c>
      <c r="T673" s="10">
        <v>-3</v>
      </c>
      <c r="U673" s="8" t="s">
        <v>86</v>
      </c>
      <c r="V673" s="10">
        <v>4326</v>
      </c>
      <c r="W673" s="10">
        <v>15</v>
      </c>
      <c r="X673" s="12">
        <v>2.0661157024793299E-2</v>
      </c>
      <c r="Y673" s="8" t="b">
        <f>CleanedData[[#This Row],[Ship Date]]&lt;CleanedData[[#This Row],[Order Date]]</f>
        <v>0</v>
      </c>
      <c r="Z673" s="10">
        <f>YEAR(CleanedData[[#This Row],[Order Date]])</f>
        <v>2024</v>
      </c>
      <c r="AA673" s="8">
        <f>MONTH(CleanedData[[#This Row],[Order Date]])</f>
        <v>10</v>
      </c>
    </row>
    <row r="674" spans="1:27" x14ac:dyDescent="0.35">
      <c r="A674" s="8" t="s">
        <v>2125</v>
      </c>
      <c r="B674" s="9">
        <v>45165</v>
      </c>
      <c r="C674" s="9">
        <v>44969</v>
      </c>
      <c r="D674" s="8" t="s">
        <v>2126</v>
      </c>
      <c r="E674" s="8" t="s">
        <v>68</v>
      </c>
      <c r="F674" s="8" t="s">
        <v>146</v>
      </c>
      <c r="G674" s="8" t="s">
        <v>50</v>
      </c>
      <c r="H674" s="8" t="s">
        <v>734</v>
      </c>
      <c r="I674" s="8" t="s">
        <v>4977</v>
      </c>
      <c r="J674" s="10">
        <v>540</v>
      </c>
      <c r="K674" s="11">
        <v>17.34</v>
      </c>
      <c r="L674" s="11">
        <v>24.13</v>
      </c>
      <c r="M674" s="11">
        <v>13030.2</v>
      </c>
      <c r="N674" s="11">
        <v>9363.6</v>
      </c>
      <c r="O674" s="11">
        <f>CleanedData[[#This Row],[Total Sales ($)]]-CleanedData[[#This Row],[Total Cost ($)]]</f>
        <v>3666.6000000000004</v>
      </c>
      <c r="P674" s="12">
        <f>CleanedData[[#This Row],[Profit ($)]]/CleanedData[[#This Row],[Total Sales ($)]]</f>
        <v>0.28139245752175718</v>
      </c>
      <c r="Q674" s="8" t="s">
        <v>31</v>
      </c>
      <c r="R674" s="8" t="s">
        <v>32</v>
      </c>
      <c r="S674" s="8" t="b">
        <f>_xlfn.SINGLE(CleanedData[[#This Row],[Delivery Status]])="Late"</f>
        <v>1</v>
      </c>
      <c r="T674" s="10">
        <v>7</v>
      </c>
      <c r="U674" s="8" t="s">
        <v>53</v>
      </c>
      <c r="V674" s="10">
        <v>3593</v>
      </c>
      <c r="W674" s="10">
        <v>11</v>
      </c>
      <c r="X674" s="12">
        <v>2.0370370370370299E-2</v>
      </c>
      <c r="Y674" s="8" t="b">
        <f>CleanedData[[#This Row],[Ship Date]]&lt;CleanedData[[#This Row],[Order Date]]</f>
        <v>1</v>
      </c>
      <c r="Z674" s="10">
        <f>YEAR(CleanedData[[#This Row],[Order Date]])</f>
        <v>2023</v>
      </c>
      <c r="AA674" s="8">
        <f>MONTH(CleanedData[[#This Row],[Order Date]])</f>
        <v>8</v>
      </c>
    </row>
    <row r="675" spans="1:27" x14ac:dyDescent="0.35">
      <c r="A675" s="8" t="s">
        <v>2127</v>
      </c>
      <c r="B675" s="9">
        <v>45212</v>
      </c>
      <c r="C675" s="9">
        <v>45205</v>
      </c>
      <c r="D675" s="8" t="s">
        <v>2128</v>
      </c>
      <c r="E675" s="8" t="s">
        <v>26</v>
      </c>
      <c r="F675" s="8" t="s">
        <v>228</v>
      </c>
      <c r="G675" s="8" t="s">
        <v>39</v>
      </c>
      <c r="H675" s="8" t="s">
        <v>412</v>
      </c>
      <c r="I675" s="8" t="s">
        <v>4973</v>
      </c>
      <c r="J675" s="10">
        <v>713</v>
      </c>
      <c r="K675" s="11">
        <v>388.22</v>
      </c>
      <c r="L675" s="11">
        <v>566.29</v>
      </c>
      <c r="M675" s="11">
        <v>403764.77</v>
      </c>
      <c r="N675" s="11">
        <v>276800.86</v>
      </c>
      <c r="O675" s="11">
        <f>CleanedData[[#This Row],[Total Sales ($)]]-CleanedData[[#This Row],[Total Cost ($)]]</f>
        <v>126963.91000000003</v>
      </c>
      <c r="P675" s="12">
        <f>CleanedData[[#This Row],[Profit ($)]]/CleanedData[[#This Row],[Total Sales ($)]]</f>
        <v>0.31445019336382424</v>
      </c>
      <c r="Q675" s="8" t="s">
        <v>95</v>
      </c>
      <c r="R675" s="8" t="s">
        <v>63</v>
      </c>
      <c r="S675" s="8" t="b">
        <f>_xlfn.SINGLE(CleanedData[[#This Row],[Delivery Status]])="Late"</f>
        <v>0</v>
      </c>
      <c r="T675" s="10">
        <v>3</v>
      </c>
      <c r="U675" s="8" t="s">
        <v>112</v>
      </c>
      <c r="V675" s="10">
        <v>1307</v>
      </c>
      <c r="W675" s="10">
        <v>27</v>
      </c>
      <c r="X675" s="12">
        <v>3.7868162692847103E-2</v>
      </c>
      <c r="Y675" s="8" t="b">
        <f>CleanedData[[#This Row],[Ship Date]]&lt;CleanedData[[#This Row],[Order Date]]</f>
        <v>1</v>
      </c>
      <c r="Z675" s="10">
        <f>YEAR(CleanedData[[#This Row],[Order Date]])</f>
        <v>2023</v>
      </c>
      <c r="AA675" s="8">
        <f>MONTH(CleanedData[[#This Row],[Order Date]])</f>
        <v>10</v>
      </c>
    </row>
    <row r="676" spans="1:27" x14ac:dyDescent="0.35">
      <c r="A676" s="8" t="s">
        <v>2129</v>
      </c>
      <c r="B676" s="9">
        <v>45109</v>
      </c>
      <c r="C676" s="9">
        <v>45047</v>
      </c>
      <c r="D676" s="8" t="s">
        <v>2131</v>
      </c>
      <c r="E676" s="8" t="s">
        <v>26</v>
      </c>
      <c r="F676" s="8" t="s">
        <v>27</v>
      </c>
      <c r="G676" s="8" t="s">
        <v>60</v>
      </c>
      <c r="H676" s="8" t="s">
        <v>265</v>
      </c>
      <c r="I676" s="8" t="s">
        <v>4969</v>
      </c>
      <c r="J676" s="10">
        <v>103</v>
      </c>
      <c r="K676" s="11">
        <v>738.91</v>
      </c>
      <c r="L676" s="11">
        <v>1082.52</v>
      </c>
      <c r="M676" s="11">
        <v>111499.56</v>
      </c>
      <c r="N676" s="11">
        <v>76107.73</v>
      </c>
      <c r="O676" s="11">
        <f>CleanedData[[#This Row],[Total Sales ($)]]-CleanedData[[#This Row],[Total Cost ($)]]</f>
        <v>35391.83</v>
      </c>
      <c r="P676" s="12">
        <f>CleanedData[[#This Row],[Profit ($)]]/CleanedData[[#This Row],[Total Sales ($)]]</f>
        <v>0.31741676828141746</v>
      </c>
      <c r="Q676" s="8" t="s">
        <v>42</v>
      </c>
      <c r="R676" s="8" t="s">
        <v>32</v>
      </c>
      <c r="S676" s="8" t="b">
        <f>_xlfn.SINGLE(CleanedData[[#This Row],[Delivery Status]])="Late"</f>
        <v>1</v>
      </c>
      <c r="T676" s="10">
        <v>12</v>
      </c>
      <c r="U676" s="8" t="s">
        <v>86</v>
      </c>
      <c r="V676" s="10">
        <v>2423</v>
      </c>
      <c r="W676" s="10">
        <v>3</v>
      </c>
      <c r="X676" s="12">
        <v>2.9126213592233E-2</v>
      </c>
      <c r="Y676" s="8" t="b">
        <f>CleanedData[[#This Row],[Ship Date]]&lt;CleanedData[[#This Row],[Order Date]]</f>
        <v>1</v>
      </c>
      <c r="Z676" s="10">
        <f>YEAR(CleanedData[[#This Row],[Order Date]])</f>
        <v>2023</v>
      </c>
      <c r="AA676" s="8">
        <f>MONTH(CleanedData[[#This Row],[Order Date]])</f>
        <v>7</v>
      </c>
    </row>
    <row r="677" spans="1:27" x14ac:dyDescent="0.35">
      <c r="A677" s="8" t="s">
        <v>2132</v>
      </c>
      <c r="B677" s="9">
        <v>45164</v>
      </c>
      <c r="C677" s="9">
        <v>45103</v>
      </c>
      <c r="D677" s="8" t="s">
        <v>2133</v>
      </c>
      <c r="E677" s="8" t="s">
        <v>48</v>
      </c>
      <c r="F677" s="8" t="s">
        <v>270</v>
      </c>
      <c r="G677" s="8" t="s">
        <v>93</v>
      </c>
      <c r="H677" s="8" t="s">
        <v>184</v>
      </c>
      <c r="I677" s="8" t="s">
        <v>4979</v>
      </c>
      <c r="J677" s="10">
        <v>18</v>
      </c>
      <c r="K677" s="11">
        <v>807.39</v>
      </c>
      <c r="L677" s="11">
        <v>1126.6300000000001</v>
      </c>
      <c r="M677" s="11">
        <v>20279.34</v>
      </c>
      <c r="N677" s="11">
        <v>14533.02</v>
      </c>
      <c r="O677" s="11">
        <f>CleanedData[[#This Row],[Total Sales ($)]]-CleanedData[[#This Row],[Total Cost ($)]]</f>
        <v>5746.32</v>
      </c>
      <c r="P677" s="12">
        <f>CleanedData[[#This Row],[Profit ($)]]/CleanedData[[#This Row],[Total Sales ($)]]</f>
        <v>0.28335833414696926</v>
      </c>
      <c r="Q677" s="8" t="s">
        <v>42</v>
      </c>
      <c r="R677" s="8" t="s">
        <v>32</v>
      </c>
      <c r="S677" s="8" t="b">
        <f>_xlfn.SINGLE(CleanedData[[#This Row],[Delivery Status]])="Late"</f>
        <v>1</v>
      </c>
      <c r="T677" s="10">
        <v>11</v>
      </c>
      <c r="U677" s="8" t="s">
        <v>86</v>
      </c>
      <c r="V677" s="10">
        <v>1484</v>
      </c>
      <c r="W677" s="10">
        <v>1</v>
      </c>
      <c r="X677" s="12">
        <v>5.5555555555555497E-2</v>
      </c>
      <c r="Y677" s="8" t="b">
        <f>CleanedData[[#This Row],[Ship Date]]&lt;CleanedData[[#This Row],[Order Date]]</f>
        <v>1</v>
      </c>
      <c r="Z677" s="10">
        <f>YEAR(CleanedData[[#This Row],[Order Date]])</f>
        <v>2023</v>
      </c>
      <c r="AA677" s="8">
        <f>MONTH(CleanedData[[#This Row],[Order Date]])</f>
        <v>8</v>
      </c>
    </row>
    <row r="678" spans="1:27" x14ac:dyDescent="0.35">
      <c r="A678" s="8" t="s">
        <v>2134</v>
      </c>
      <c r="B678" s="9">
        <v>45416</v>
      </c>
      <c r="C678" s="9">
        <v>45567</v>
      </c>
      <c r="D678" s="8" t="s">
        <v>2135</v>
      </c>
      <c r="E678" s="8" t="s">
        <v>26</v>
      </c>
      <c r="F678" s="8" t="s">
        <v>27</v>
      </c>
      <c r="G678" s="8" t="s">
        <v>129</v>
      </c>
      <c r="H678" s="8" t="s">
        <v>168</v>
      </c>
      <c r="I678" s="8" t="s">
        <v>4971</v>
      </c>
      <c r="J678" s="10">
        <v>483</v>
      </c>
      <c r="K678" s="11">
        <v>748.1</v>
      </c>
      <c r="L678" s="11">
        <v>1111.5</v>
      </c>
      <c r="M678" s="11">
        <v>536854.5</v>
      </c>
      <c r="N678" s="11">
        <v>361332.3</v>
      </c>
      <c r="O678" s="11">
        <f>CleanedData[[#This Row],[Total Sales ($)]]-CleanedData[[#This Row],[Total Cost ($)]]</f>
        <v>175522.2</v>
      </c>
      <c r="P678" s="12">
        <f>CleanedData[[#This Row],[Profit ($)]]/CleanedData[[#This Row],[Total Sales ($)]]</f>
        <v>0.32694556905083222</v>
      </c>
      <c r="Q678" s="8" t="s">
        <v>52</v>
      </c>
      <c r="R678" s="8" t="s">
        <v>32</v>
      </c>
      <c r="S678" s="8" t="b">
        <f>_xlfn.SINGLE(CleanedData[[#This Row],[Delivery Status]])="Late"</f>
        <v>1</v>
      </c>
      <c r="T678" s="10">
        <v>14</v>
      </c>
      <c r="U678" s="8" t="s">
        <v>158</v>
      </c>
      <c r="V678" s="10">
        <v>1417</v>
      </c>
      <c r="W678" s="10">
        <v>17</v>
      </c>
      <c r="X678" s="12">
        <v>3.5196687370600402E-2</v>
      </c>
      <c r="Y678" s="8" t="b">
        <f>CleanedData[[#This Row],[Ship Date]]&lt;CleanedData[[#This Row],[Order Date]]</f>
        <v>0</v>
      </c>
      <c r="Z678" s="10">
        <f>YEAR(CleanedData[[#This Row],[Order Date]])</f>
        <v>2024</v>
      </c>
      <c r="AA678" s="8">
        <f>MONTH(CleanedData[[#This Row],[Order Date]])</f>
        <v>5</v>
      </c>
    </row>
    <row r="679" spans="1:27" x14ac:dyDescent="0.35">
      <c r="A679" s="8" t="s">
        <v>2136</v>
      </c>
      <c r="B679" s="9">
        <v>45001</v>
      </c>
      <c r="C679" s="9">
        <v>45133</v>
      </c>
      <c r="D679" s="8" t="s">
        <v>2137</v>
      </c>
      <c r="E679" s="8" t="s">
        <v>68</v>
      </c>
      <c r="F679" s="8" t="s">
        <v>2138</v>
      </c>
      <c r="G679" s="8" t="s">
        <v>70</v>
      </c>
      <c r="H679" s="8" t="s">
        <v>384</v>
      </c>
      <c r="I679" s="8" t="s">
        <v>4974</v>
      </c>
      <c r="J679" s="10">
        <v>193</v>
      </c>
      <c r="K679" s="11">
        <v>576.45000000000005</v>
      </c>
      <c r="L679" s="11">
        <v>831.25</v>
      </c>
      <c r="M679" s="11">
        <v>160431.25</v>
      </c>
      <c r="N679" s="11">
        <v>111254.85</v>
      </c>
      <c r="O679" s="11">
        <f>CleanedData[[#This Row],[Total Sales ($)]]-CleanedData[[#This Row],[Total Cost ($)]]</f>
        <v>49176.399999999994</v>
      </c>
      <c r="P679" s="12">
        <f>CleanedData[[#This Row],[Profit ($)]]/CleanedData[[#This Row],[Total Sales ($)]]</f>
        <v>0.30652631578947365</v>
      </c>
      <c r="Q679" s="8" t="s">
        <v>52</v>
      </c>
      <c r="R679" s="8" t="s">
        <v>32</v>
      </c>
      <c r="S679" s="8" t="b">
        <f>_xlfn.SINGLE(CleanedData[[#This Row],[Delivery Status]])="Late"</f>
        <v>1</v>
      </c>
      <c r="T679" s="10">
        <v>9</v>
      </c>
      <c r="U679" s="8" t="s">
        <v>158</v>
      </c>
      <c r="V679" s="10">
        <v>4757</v>
      </c>
      <c r="W679" s="10">
        <v>5</v>
      </c>
      <c r="X679" s="12">
        <v>2.59067357512953E-2</v>
      </c>
      <c r="Y679" s="8" t="b">
        <f>CleanedData[[#This Row],[Ship Date]]&lt;CleanedData[[#This Row],[Order Date]]</f>
        <v>0</v>
      </c>
      <c r="Z679" s="10">
        <f>YEAR(CleanedData[[#This Row],[Order Date]])</f>
        <v>2023</v>
      </c>
      <c r="AA679" s="8">
        <f>MONTH(CleanedData[[#This Row],[Order Date]])</f>
        <v>3</v>
      </c>
    </row>
    <row r="680" spans="1:27" x14ac:dyDescent="0.35">
      <c r="A680" s="8" t="s">
        <v>2139</v>
      </c>
      <c r="B680" s="9">
        <v>45217</v>
      </c>
      <c r="C680" s="9">
        <v>45214</v>
      </c>
      <c r="D680" s="8" t="s">
        <v>2140</v>
      </c>
      <c r="E680" s="8" t="s">
        <v>26</v>
      </c>
      <c r="F680" s="8" t="s">
        <v>77</v>
      </c>
      <c r="G680" s="8" t="s">
        <v>93</v>
      </c>
      <c r="H680" s="8" t="s">
        <v>184</v>
      </c>
      <c r="I680" s="8" t="s">
        <v>4978</v>
      </c>
      <c r="J680" s="10">
        <v>128</v>
      </c>
      <c r="K680" s="11">
        <v>416.16</v>
      </c>
      <c r="L680" s="11">
        <v>589.95000000000005</v>
      </c>
      <c r="M680" s="11">
        <v>75513.600000000006</v>
      </c>
      <c r="N680" s="11">
        <v>53268.480000000003</v>
      </c>
      <c r="O680" s="11">
        <f>CleanedData[[#This Row],[Total Sales ($)]]-CleanedData[[#This Row],[Total Cost ($)]]</f>
        <v>22245.120000000003</v>
      </c>
      <c r="P680" s="12">
        <f>CleanedData[[#This Row],[Profit ($)]]/CleanedData[[#This Row],[Total Sales ($)]]</f>
        <v>0.29458428680396648</v>
      </c>
      <c r="Q680" s="8" t="s">
        <v>42</v>
      </c>
      <c r="R680" s="8" t="s">
        <v>63</v>
      </c>
      <c r="S680" s="8" t="b">
        <f>_xlfn.SINGLE(CleanedData[[#This Row],[Delivery Status]])="Late"</f>
        <v>0</v>
      </c>
      <c r="T680" s="10">
        <v>4</v>
      </c>
      <c r="U680" s="8" t="s">
        <v>158</v>
      </c>
      <c r="V680" s="10">
        <v>583</v>
      </c>
      <c r="W680" s="10">
        <v>1</v>
      </c>
      <c r="X680" s="12">
        <v>7.8125E-3</v>
      </c>
      <c r="Y680" s="8" t="b">
        <f>CleanedData[[#This Row],[Ship Date]]&lt;CleanedData[[#This Row],[Order Date]]</f>
        <v>1</v>
      </c>
      <c r="Z680" s="10">
        <f>YEAR(CleanedData[[#This Row],[Order Date]])</f>
        <v>2023</v>
      </c>
      <c r="AA680" s="8">
        <f>MONTH(CleanedData[[#This Row],[Order Date]])</f>
        <v>10</v>
      </c>
    </row>
    <row r="681" spans="1:27" x14ac:dyDescent="0.35">
      <c r="A681" s="8" t="s">
        <v>2141</v>
      </c>
      <c r="B681" s="9">
        <v>45589</v>
      </c>
      <c r="C681" s="9">
        <v>45600</v>
      </c>
      <c r="D681" s="8" t="s">
        <v>2143</v>
      </c>
      <c r="E681" s="8" t="s">
        <v>48</v>
      </c>
      <c r="F681" s="8" t="s">
        <v>223</v>
      </c>
      <c r="G681" s="8" t="s">
        <v>28</v>
      </c>
      <c r="H681" s="8" t="s">
        <v>579</v>
      </c>
      <c r="I681" s="8" t="s">
        <v>4975</v>
      </c>
      <c r="J681" s="10">
        <v>393</v>
      </c>
      <c r="K681" s="11">
        <v>1181.6099999999999</v>
      </c>
      <c r="L681" s="11">
        <v>1455.93</v>
      </c>
      <c r="M681" s="11">
        <v>572180.49</v>
      </c>
      <c r="N681" s="11">
        <v>464372.73</v>
      </c>
      <c r="O681" s="11">
        <f>CleanedData[[#This Row],[Total Sales ($)]]-CleanedData[[#This Row],[Total Cost ($)]]</f>
        <v>107807.76000000001</v>
      </c>
      <c r="P681" s="12">
        <f>CleanedData[[#This Row],[Profit ($)]]/CleanedData[[#This Row],[Total Sales ($)]]</f>
        <v>0.18841565185139397</v>
      </c>
      <c r="Q681" s="8" t="s">
        <v>42</v>
      </c>
      <c r="R681" s="8" t="s">
        <v>32</v>
      </c>
      <c r="S681" s="8" t="b">
        <f>_xlfn.SINGLE(CleanedData[[#This Row],[Delivery Status]])="Late"</f>
        <v>1</v>
      </c>
      <c r="T681" s="10">
        <v>11</v>
      </c>
      <c r="U681" s="8" t="s">
        <v>53</v>
      </c>
      <c r="V681" s="10">
        <v>1356</v>
      </c>
      <c r="W681" s="10">
        <v>3</v>
      </c>
      <c r="X681" s="12">
        <v>7.6335877862595001E-3</v>
      </c>
      <c r="Y681" s="8" t="b">
        <f>CleanedData[[#This Row],[Ship Date]]&lt;CleanedData[[#This Row],[Order Date]]</f>
        <v>0</v>
      </c>
      <c r="Z681" s="10">
        <f>YEAR(CleanedData[[#This Row],[Order Date]])</f>
        <v>2024</v>
      </c>
      <c r="AA681" s="8">
        <f>MONTH(CleanedData[[#This Row],[Order Date]])</f>
        <v>10</v>
      </c>
    </row>
    <row r="682" spans="1:27" x14ac:dyDescent="0.35">
      <c r="A682" s="8" t="s">
        <v>2145</v>
      </c>
      <c r="B682" s="9">
        <v>45023</v>
      </c>
      <c r="C682" s="9">
        <v>45140</v>
      </c>
      <c r="D682" s="8" t="s">
        <v>2146</v>
      </c>
      <c r="E682" s="8" t="s">
        <v>48</v>
      </c>
      <c r="F682" s="8" t="s">
        <v>49</v>
      </c>
      <c r="G682" s="8" t="s">
        <v>28</v>
      </c>
      <c r="H682" s="8" t="s">
        <v>507</v>
      </c>
      <c r="I682" s="8" t="s">
        <v>4975</v>
      </c>
      <c r="J682" s="10">
        <v>419</v>
      </c>
      <c r="K682" s="11"/>
      <c r="L682" s="11">
        <v>911.88</v>
      </c>
      <c r="M682" s="11">
        <v>382077.72</v>
      </c>
      <c r="N682" s="11">
        <v>282900.42</v>
      </c>
      <c r="O682" s="11">
        <f>CleanedData[[#This Row],[Total Sales ($)]]-CleanedData[[#This Row],[Total Cost ($)]]</f>
        <v>99177.299999999988</v>
      </c>
      <c r="P682" s="12">
        <f>CleanedData[[#This Row],[Profit ($)]]/CleanedData[[#This Row],[Total Sales ($)]]</f>
        <v>0.25957362810896167</v>
      </c>
      <c r="Q682" s="8" t="s">
        <v>31</v>
      </c>
      <c r="R682" s="8" t="s">
        <v>32</v>
      </c>
      <c r="S682" s="8" t="b">
        <f>_xlfn.SINGLE(CleanedData[[#This Row],[Delivery Status]])="Late"</f>
        <v>1</v>
      </c>
      <c r="T682" s="10">
        <v>6</v>
      </c>
      <c r="U682" s="8" t="s">
        <v>33</v>
      </c>
      <c r="V682" s="10">
        <v>503</v>
      </c>
      <c r="W682" s="10">
        <v>2</v>
      </c>
      <c r="X682" s="12">
        <v>4.7732696897374001E-3</v>
      </c>
      <c r="Y682" s="8" t="b">
        <f>CleanedData[[#This Row],[Ship Date]]&lt;CleanedData[[#This Row],[Order Date]]</f>
        <v>0</v>
      </c>
      <c r="Z682" s="10">
        <f>YEAR(CleanedData[[#This Row],[Order Date]])</f>
        <v>2023</v>
      </c>
      <c r="AA682" s="8">
        <f>MONTH(CleanedData[[#This Row],[Order Date]])</f>
        <v>4</v>
      </c>
    </row>
    <row r="683" spans="1:27" x14ac:dyDescent="0.35">
      <c r="A683" s="8" t="s">
        <v>2147</v>
      </c>
      <c r="B683" s="9">
        <v>45294</v>
      </c>
      <c r="C683" s="9">
        <v>45631</v>
      </c>
      <c r="D683" s="8" t="s">
        <v>2148</v>
      </c>
      <c r="E683" s="8" t="s">
        <v>68</v>
      </c>
      <c r="F683" s="8" t="s">
        <v>276</v>
      </c>
      <c r="G683" s="8" t="s">
        <v>78</v>
      </c>
      <c r="H683" s="8" t="s">
        <v>178</v>
      </c>
      <c r="I683" s="8" t="s">
        <v>4971</v>
      </c>
      <c r="J683" s="10">
        <v>267</v>
      </c>
      <c r="K683" s="11">
        <v>796.91</v>
      </c>
      <c r="L683" s="11">
        <v>1178.76</v>
      </c>
      <c r="M683" s="11">
        <v>314728.92</v>
      </c>
      <c r="N683" s="11">
        <v>212774.97</v>
      </c>
      <c r="O683" s="11">
        <f>CleanedData[[#This Row],[Total Sales ($)]]-CleanedData[[#This Row],[Total Cost ($)]]</f>
        <v>101953.94999999998</v>
      </c>
      <c r="P683" s="12">
        <f>CleanedData[[#This Row],[Profit ($)]]/CleanedData[[#This Row],[Total Sales ($)]]</f>
        <v>0.32394210865655432</v>
      </c>
      <c r="Q683" s="8" t="s">
        <v>95</v>
      </c>
      <c r="R683" s="8" t="s">
        <v>63</v>
      </c>
      <c r="S683" s="8" t="b">
        <f>_xlfn.SINGLE(CleanedData[[#This Row],[Delivery Status]])="Late"</f>
        <v>0</v>
      </c>
      <c r="T683" s="10">
        <v>1</v>
      </c>
      <c r="U683" s="8" t="s">
        <v>158</v>
      </c>
      <c r="V683" s="10">
        <v>4853</v>
      </c>
      <c r="W683" s="10">
        <v>6</v>
      </c>
      <c r="X683" s="12">
        <v>2.2471910112359501E-2</v>
      </c>
      <c r="Y683" s="8" t="b">
        <f>CleanedData[[#This Row],[Ship Date]]&lt;CleanedData[[#This Row],[Order Date]]</f>
        <v>0</v>
      </c>
      <c r="Z683" s="10">
        <f>YEAR(CleanedData[[#This Row],[Order Date]])</f>
        <v>2024</v>
      </c>
      <c r="AA683" s="8">
        <f>MONTH(CleanedData[[#This Row],[Order Date]])</f>
        <v>1</v>
      </c>
    </row>
    <row r="684" spans="1:27" x14ac:dyDescent="0.35">
      <c r="A684" s="8" t="s">
        <v>2149</v>
      </c>
      <c r="B684" s="9">
        <v>45081</v>
      </c>
      <c r="C684" s="9">
        <v>45021</v>
      </c>
      <c r="D684" s="8" t="s">
        <v>2150</v>
      </c>
      <c r="E684" s="8" t="s">
        <v>48</v>
      </c>
      <c r="F684" s="8" t="s">
        <v>183</v>
      </c>
      <c r="G684" s="8" t="s">
        <v>39</v>
      </c>
      <c r="H684" s="8" t="s">
        <v>527</v>
      </c>
      <c r="I684" s="8" t="s">
        <v>4970</v>
      </c>
      <c r="J684" s="10">
        <v>736</v>
      </c>
      <c r="K684" s="11">
        <v>109.62</v>
      </c>
      <c r="L684" s="11">
        <v>166.55</v>
      </c>
      <c r="M684" s="11">
        <v>122580.8</v>
      </c>
      <c r="N684" s="11">
        <v>80680.320000000007</v>
      </c>
      <c r="O684" s="11">
        <f>CleanedData[[#This Row],[Total Sales ($)]]-CleanedData[[#This Row],[Total Cost ($)]]</f>
        <v>41900.479999999996</v>
      </c>
      <c r="P684" s="12">
        <f>CleanedData[[#This Row],[Profit ($)]]/CleanedData[[#This Row],[Total Sales ($)]]</f>
        <v>0.34181927349144398</v>
      </c>
      <c r="Q684" s="8" t="s">
        <v>95</v>
      </c>
      <c r="R684" s="8" t="s">
        <v>32</v>
      </c>
      <c r="S684" s="8" t="b">
        <f>_xlfn.SINGLE(CleanedData[[#This Row],[Delivery Status]])="Late"</f>
        <v>1</v>
      </c>
      <c r="T684" s="10">
        <v>13</v>
      </c>
      <c r="U684" s="8" t="s">
        <v>43</v>
      </c>
      <c r="V684" s="10">
        <v>3259</v>
      </c>
      <c r="W684" s="10">
        <v>35</v>
      </c>
      <c r="X684" s="12">
        <v>4.7554347826086897E-2</v>
      </c>
      <c r="Y684" s="8" t="b">
        <f>CleanedData[[#This Row],[Ship Date]]&lt;CleanedData[[#This Row],[Order Date]]</f>
        <v>1</v>
      </c>
      <c r="Z684" s="10">
        <f>YEAR(CleanedData[[#This Row],[Order Date]])</f>
        <v>2023</v>
      </c>
      <c r="AA684" s="8">
        <f>MONTH(CleanedData[[#This Row],[Order Date]])</f>
        <v>6</v>
      </c>
    </row>
    <row r="685" spans="1:27" x14ac:dyDescent="0.35">
      <c r="A685" s="8" t="s">
        <v>2152</v>
      </c>
      <c r="B685" s="9">
        <v>45592</v>
      </c>
      <c r="C685" s="9">
        <v>45378</v>
      </c>
      <c r="D685" s="8" t="s">
        <v>2154</v>
      </c>
      <c r="E685" s="8" t="s">
        <v>100</v>
      </c>
      <c r="F685" s="8" t="s">
        <v>238</v>
      </c>
      <c r="G685" s="8" t="s">
        <v>28</v>
      </c>
      <c r="H685" s="8" t="s">
        <v>254</v>
      </c>
      <c r="I685" s="8" t="s">
        <v>4978</v>
      </c>
      <c r="J685" s="10">
        <v>275</v>
      </c>
      <c r="K685" s="11">
        <v>908.98</v>
      </c>
      <c r="L685" s="11">
        <v>1272.47</v>
      </c>
      <c r="M685" s="11">
        <v>349929.25</v>
      </c>
      <c r="N685" s="11">
        <v>249969.5</v>
      </c>
      <c r="O685" s="11">
        <f>CleanedData[[#This Row],[Total Sales ($)]]-CleanedData[[#This Row],[Total Cost ($)]]</f>
        <v>99959.75</v>
      </c>
      <c r="P685" s="12">
        <f>CleanedData[[#This Row],[Profit ($)]]/CleanedData[[#This Row],[Total Sales ($)]]</f>
        <v>0.28565702924233971</v>
      </c>
      <c r="Q685" s="8" t="s">
        <v>31</v>
      </c>
      <c r="R685" s="8" t="s">
        <v>32</v>
      </c>
      <c r="S685" s="8" t="b">
        <f>_xlfn.SINGLE(CleanedData[[#This Row],[Delivery Status]])="Late"</f>
        <v>1</v>
      </c>
      <c r="T685" s="10">
        <v>15</v>
      </c>
      <c r="U685" s="8" t="s">
        <v>158</v>
      </c>
      <c r="V685" s="10">
        <v>2647</v>
      </c>
      <c r="W685" s="10">
        <v>10</v>
      </c>
      <c r="X685" s="12">
        <v>3.6363636363636299E-2</v>
      </c>
      <c r="Y685" s="8" t="b">
        <f>CleanedData[[#This Row],[Ship Date]]&lt;CleanedData[[#This Row],[Order Date]]</f>
        <v>1</v>
      </c>
      <c r="Z685" s="10">
        <f>YEAR(CleanedData[[#This Row],[Order Date]])</f>
        <v>2024</v>
      </c>
      <c r="AA685" s="8">
        <f>MONTH(CleanedData[[#This Row],[Order Date]])</f>
        <v>10</v>
      </c>
    </row>
    <row r="686" spans="1:27" x14ac:dyDescent="0.35">
      <c r="A686" s="8" t="s">
        <v>2155</v>
      </c>
      <c r="B686" s="9">
        <v>45531</v>
      </c>
      <c r="C686" s="9">
        <v>45438</v>
      </c>
      <c r="D686" s="8" t="s">
        <v>2156</v>
      </c>
      <c r="E686" s="8" t="s">
        <v>68</v>
      </c>
      <c r="F686" s="8" t="s">
        <v>276</v>
      </c>
      <c r="G686" s="8" t="s">
        <v>60</v>
      </c>
      <c r="H686" s="8" t="s">
        <v>61</v>
      </c>
      <c r="I686" s="8" t="s">
        <v>4973</v>
      </c>
      <c r="J686" s="10">
        <v>179</v>
      </c>
      <c r="K686" s="11">
        <v>725.38</v>
      </c>
      <c r="L686" s="11">
        <v>914.9</v>
      </c>
      <c r="M686" s="11">
        <v>163767.1</v>
      </c>
      <c r="N686" s="11">
        <v>129843.02</v>
      </c>
      <c r="O686" s="11">
        <f>CleanedData[[#This Row],[Total Sales ($)]]-CleanedData[[#This Row],[Total Cost ($)]]</f>
        <v>33924.080000000002</v>
      </c>
      <c r="P686" s="12">
        <f>CleanedData[[#This Row],[Profit ($)]]/CleanedData[[#This Row],[Total Sales ($)]]</f>
        <v>0.20714832222100776</v>
      </c>
      <c r="Q686" s="8" t="s">
        <v>31</v>
      </c>
      <c r="R686" s="8" t="s">
        <v>32</v>
      </c>
      <c r="S686" s="8" t="b">
        <f>_xlfn.SINGLE(CleanedData[[#This Row],[Delivery Status]])="Late"</f>
        <v>1</v>
      </c>
      <c r="T686" s="10">
        <v>11</v>
      </c>
      <c r="U686" s="8" t="s">
        <v>53</v>
      </c>
      <c r="V686" s="10">
        <v>3511</v>
      </c>
      <c r="W686" s="10">
        <v>4</v>
      </c>
      <c r="X686" s="12">
        <v>2.23463687150838E-2</v>
      </c>
      <c r="Y686" s="8" t="b">
        <f>CleanedData[[#This Row],[Ship Date]]&lt;CleanedData[[#This Row],[Order Date]]</f>
        <v>1</v>
      </c>
      <c r="Z686" s="10">
        <f>YEAR(CleanedData[[#This Row],[Order Date]])</f>
        <v>2024</v>
      </c>
      <c r="AA686" s="8">
        <f>MONTH(CleanedData[[#This Row],[Order Date]])</f>
        <v>8</v>
      </c>
    </row>
    <row r="687" spans="1:27" x14ac:dyDescent="0.35">
      <c r="A687" s="8" t="s">
        <v>2157</v>
      </c>
      <c r="B687" s="9">
        <v>44973</v>
      </c>
      <c r="C687" s="9">
        <v>45158</v>
      </c>
      <c r="D687" s="8" t="s">
        <v>2158</v>
      </c>
      <c r="E687" s="8" t="s">
        <v>58</v>
      </c>
      <c r="F687" s="8" t="s">
        <v>116</v>
      </c>
      <c r="G687" s="8" t="s">
        <v>129</v>
      </c>
      <c r="H687" s="8" t="s">
        <v>811</v>
      </c>
      <c r="I687" s="8" t="s">
        <v>4967</v>
      </c>
      <c r="J687" s="10">
        <v>584</v>
      </c>
      <c r="K687" s="11">
        <v>516.24</v>
      </c>
      <c r="L687" s="11">
        <v>671.99</v>
      </c>
      <c r="M687" s="11">
        <v>392442.16</v>
      </c>
      <c r="N687" s="11">
        <v>301484.15999999997</v>
      </c>
      <c r="O687" s="11">
        <f>CleanedData[[#This Row],[Total Sales ($)]]-CleanedData[[#This Row],[Total Cost ($)]]</f>
        <v>90958</v>
      </c>
      <c r="P687" s="12">
        <f>CleanedData[[#This Row],[Profit ($)]]/CleanedData[[#This Row],[Total Sales ($)]]</f>
        <v>0.23177428235539221</v>
      </c>
      <c r="Q687" s="8" t="s">
        <v>42</v>
      </c>
      <c r="R687" s="8" t="s">
        <v>63</v>
      </c>
      <c r="S687" s="8" t="b">
        <f>_xlfn.SINGLE(CleanedData[[#This Row],[Delivery Status]])="Late"</f>
        <v>0</v>
      </c>
      <c r="T687" s="10">
        <v>5</v>
      </c>
      <c r="U687" s="8" t="s">
        <v>33</v>
      </c>
      <c r="V687" s="10">
        <v>4497</v>
      </c>
      <c r="W687" s="10">
        <v>23</v>
      </c>
      <c r="X687" s="12">
        <v>3.93835616438356E-2</v>
      </c>
      <c r="Y687" s="8" t="b">
        <f>CleanedData[[#This Row],[Ship Date]]&lt;CleanedData[[#This Row],[Order Date]]</f>
        <v>0</v>
      </c>
      <c r="Z687" s="10">
        <f>YEAR(CleanedData[[#This Row],[Order Date]])</f>
        <v>2023</v>
      </c>
      <c r="AA687" s="8">
        <f>MONTH(CleanedData[[#This Row],[Order Date]])</f>
        <v>2</v>
      </c>
    </row>
    <row r="688" spans="1:27" x14ac:dyDescent="0.35">
      <c r="A688" s="8" t="s">
        <v>2159</v>
      </c>
      <c r="B688" s="9">
        <v>45654</v>
      </c>
      <c r="C688" s="9">
        <v>45309</v>
      </c>
      <c r="D688" s="8" t="s">
        <v>2160</v>
      </c>
      <c r="E688" s="8" t="s">
        <v>58</v>
      </c>
      <c r="F688" s="8" t="s">
        <v>59</v>
      </c>
      <c r="G688" s="8" t="s">
        <v>129</v>
      </c>
      <c r="H688" s="8" t="s">
        <v>704</v>
      </c>
      <c r="I688" s="8" t="s">
        <v>4967</v>
      </c>
      <c r="J688" s="10">
        <v>173</v>
      </c>
      <c r="K688" s="11">
        <v>633.85</v>
      </c>
      <c r="L688" s="11">
        <v>1003.92</v>
      </c>
      <c r="M688" s="11">
        <v>173678.16</v>
      </c>
      <c r="N688" s="11">
        <v>109656.05</v>
      </c>
      <c r="O688" s="11">
        <f>CleanedData[[#This Row],[Total Sales ($)]]-CleanedData[[#This Row],[Total Cost ($)]]</f>
        <v>64022.11</v>
      </c>
      <c r="P688" s="12">
        <f>CleanedData[[#This Row],[Profit ($)]]/CleanedData[[#This Row],[Total Sales ($)]]</f>
        <v>0.36862499003904692</v>
      </c>
      <c r="Q688" s="8" t="s">
        <v>31</v>
      </c>
      <c r="R688" s="8" t="s">
        <v>63</v>
      </c>
      <c r="S688" s="8" t="b">
        <f>_xlfn.SINGLE(CleanedData[[#This Row],[Delivery Status]])="Late"</f>
        <v>0</v>
      </c>
      <c r="T688" s="10">
        <v>3</v>
      </c>
      <c r="U688" s="8" t="s">
        <v>33</v>
      </c>
      <c r="V688" s="10">
        <v>2119</v>
      </c>
      <c r="W688" s="10">
        <v>8</v>
      </c>
      <c r="X688" s="12">
        <v>4.6242774566473903E-2</v>
      </c>
      <c r="Y688" s="8" t="b">
        <f>CleanedData[[#This Row],[Ship Date]]&lt;CleanedData[[#This Row],[Order Date]]</f>
        <v>1</v>
      </c>
      <c r="Z688" s="10">
        <f>YEAR(CleanedData[[#This Row],[Order Date]])</f>
        <v>2024</v>
      </c>
      <c r="AA688" s="8">
        <f>MONTH(CleanedData[[#This Row],[Order Date]])</f>
        <v>12</v>
      </c>
    </row>
    <row r="689" spans="1:27" x14ac:dyDescent="0.35">
      <c r="A689" s="8" t="s">
        <v>2161</v>
      </c>
      <c r="B689" s="9">
        <v>45186</v>
      </c>
      <c r="C689" s="9">
        <v>45134</v>
      </c>
      <c r="D689" s="8" t="s">
        <v>2162</v>
      </c>
      <c r="E689" s="8" t="s">
        <v>58</v>
      </c>
      <c r="F689" s="8" t="s">
        <v>259</v>
      </c>
      <c r="G689" s="8" t="s">
        <v>78</v>
      </c>
      <c r="H689" s="8" t="s">
        <v>481</v>
      </c>
      <c r="I689" s="8" t="s">
        <v>4973</v>
      </c>
      <c r="J689" s="10">
        <v>324</v>
      </c>
      <c r="K689" s="11">
        <v>585.84</v>
      </c>
      <c r="L689" s="11">
        <v>701.9</v>
      </c>
      <c r="M689" s="11">
        <v>227415.6</v>
      </c>
      <c r="N689" s="11">
        <v>189812.16</v>
      </c>
      <c r="O689" s="11">
        <f>CleanedData[[#This Row],[Total Sales ($)]]-CleanedData[[#This Row],[Total Cost ($)]]</f>
        <v>37603.440000000002</v>
      </c>
      <c r="P689" s="12">
        <f>CleanedData[[#This Row],[Profit ($)]]/CleanedData[[#This Row],[Total Sales ($)]]</f>
        <v>0.16535118962815215</v>
      </c>
      <c r="Q689" s="8" t="s">
        <v>95</v>
      </c>
      <c r="R689" s="8" t="s">
        <v>32</v>
      </c>
      <c r="S689" s="8" t="b">
        <f>_xlfn.SINGLE(CleanedData[[#This Row],[Delivery Status]])="Late"</f>
        <v>1</v>
      </c>
      <c r="T689" s="10">
        <v>11</v>
      </c>
      <c r="U689" s="8" t="s">
        <v>158</v>
      </c>
      <c r="V689" s="10">
        <v>2472</v>
      </c>
      <c r="W689" s="10">
        <v>0</v>
      </c>
      <c r="X689" s="12">
        <v>0</v>
      </c>
      <c r="Y689" s="8" t="b">
        <f>CleanedData[[#This Row],[Ship Date]]&lt;CleanedData[[#This Row],[Order Date]]</f>
        <v>1</v>
      </c>
      <c r="Z689" s="10">
        <f>YEAR(CleanedData[[#This Row],[Order Date]])</f>
        <v>2023</v>
      </c>
      <c r="AA689" s="8">
        <f>MONTH(CleanedData[[#This Row],[Order Date]])</f>
        <v>9</v>
      </c>
    </row>
    <row r="690" spans="1:27" x14ac:dyDescent="0.35">
      <c r="A690" s="8" t="s">
        <v>2163</v>
      </c>
      <c r="B690" s="9">
        <v>44985</v>
      </c>
      <c r="C690" s="9">
        <v>45274</v>
      </c>
      <c r="D690" s="8" t="s">
        <v>2164</v>
      </c>
      <c r="E690" s="8" t="s">
        <v>100</v>
      </c>
      <c r="F690" s="8" t="s">
        <v>101</v>
      </c>
      <c r="G690" s="8" t="s">
        <v>93</v>
      </c>
      <c r="H690" s="8" t="s">
        <v>1442</v>
      </c>
      <c r="I690" s="8" t="s">
        <v>4976</v>
      </c>
      <c r="J690" s="10">
        <v>204</v>
      </c>
      <c r="K690" s="11">
        <v>1155.03</v>
      </c>
      <c r="L690" s="11">
        <v>1670.55</v>
      </c>
      <c r="M690" s="11">
        <v>340792.2</v>
      </c>
      <c r="N690" s="11">
        <v>235626.12</v>
      </c>
      <c r="O690" s="11">
        <f>CleanedData[[#This Row],[Total Sales ($)]]-CleanedData[[#This Row],[Total Cost ($)]]</f>
        <v>105166.08000000002</v>
      </c>
      <c r="P690" s="12">
        <f>CleanedData[[#This Row],[Profit ($)]]/CleanedData[[#This Row],[Total Sales ($)]]</f>
        <v>0.30859297836042027</v>
      </c>
      <c r="Q690" s="8" t="s">
        <v>31</v>
      </c>
      <c r="R690" s="8" t="s">
        <v>32</v>
      </c>
      <c r="S690" s="8" t="b">
        <f>_xlfn.SINGLE(CleanedData[[#This Row],[Delivery Status]])="Late"</f>
        <v>1</v>
      </c>
      <c r="T690" s="10">
        <v>11</v>
      </c>
      <c r="U690" s="8" t="s">
        <v>33</v>
      </c>
      <c r="V690" s="10">
        <v>3224</v>
      </c>
      <c r="W690" s="10">
        <v>3</v>
      </c>
      <c r="X690" s="12">
        <v>1.47058823529411E-2</v>
      </c>
      <c r="Y690" s="8" t="b">
        <f>CleanedData[[#This Row],[Ship Date]]&lt;CleanedData[[#This Row],[Order Date]]</f>
        <v>0</v>
      </c>
      <c r="Z690" s="10">
        <f>YEAR(CleanedData[[#This Row],[Order Date]])</f>
        <v>2023</v>
      </c>
      <c r="AA690" s="8">
        <f>MONTH(CleanedData[[#This Row],[Order Date]])</f>
        <v>2</v>
      </c>
    </row>
    <row r="691" spans="1:27" x14ac:dyDescent="0.35">
      <c r="A691" s="8" t="s">
        <v>2165</v>
      </c>
      <c r="B691" s="9">
        <v>45542</v>
      </c>
      <c r="C691" s="9">
        <v>45512</v>
      </c>
      <c r="D691" s="8" t="s">
        <v>2167</v>
      </c>
      <c r="E691" s="8" t="s">
        <v>100</v>
      </c>
      <c r="F691" s="8" t="s">
        <v>330</v>
      </c>
      <c r="G691" s="8" t="s">
        <v>93</v>
      </c>
      <c r="H691" s="8" t="s">
        <v>94</v>
      </c>
      <c r="I691" s="8" t="s">
        <v>4976</v>
      </c>
      <c r="J691" s="10">
        <v>687</v>
      </c>
      <c r="K691" s="11">
        <v>528.19000000000005</v>
      </c>
      <c r="L691" s="11">
        <v>809.82</v>
      </c>
      <c r="M691" s="11">
        <v>556346.34</v>
      </c>
      <c r="N691" s="11">
        <v>362866.53</v>
      </c>
      <c r="O691" s="11">
        <f>CleanedData[[#This Row],[Total Sales ($)]]-CleanedData[[#This Row],[Total Cost ($)]]</f>
        <v>193479.80999999994</v>
      </c>
      <c r="P691" s="12">
        <f>CleanedData[[#This Row],[Profit ($)]]/CleanedData[[#This Row],[Total Sales ($)]]</f>
        <v>0.34776863994467899</v>
      </c>
      <c r="Q691" s="8" t="s">
        <v>42</v>
      </c>
      <c r="R691" s="8" t="s">
        <v>32</v>
      </c>
      <c r="S691" s="8" t="b">
        <f>_xlfn.SINGLE(CleanedData[[#This Row],[Delivery Status]])="Late"</f>
        <v>1</v>
      </c>
      <c r="T691" s="10">
        <v>14</v>
      </c>
      <c r="U691" s="8" t="s">
        <v>33</v>
      </c>
      <c r="V691" s="10">
        <v>1970</v>
      </c>
      <c r="W691" s="10">
        <v>28</v>
      </c>
      <c r="X691" s="12">
        <v>4.07569141193595E-2</v>
      </c>
      <c r="Y691" s="8" t="b">
        <f>CleanedData[[#This Row],[Ship Date]]&lt;CleanedData[[#This Row],[Order Date]]</f>
        <v>1</v>
      </c>
      <c r="Z691" s="10">
        <f>YEAR(CleanedData[[#This Row],[Order Date]])</f>
        <v>2024</v>
      </c>
      <c r="AA691" s="8">
        <f>MONTH(CleanedData[[#This Row],[Order Date]])</f>
        <v>9</v>
      </c>
    </row>
    <row r="692" spans="1:27" x14ac:dyDescent="0.35">
      <c r="A692" s="8" t="s">
        <v>2168</v>
      </c>
      <c r="B692" s="9">
        <v>45062</v>
      </c>
      <c r="C692" s="9">
        <v>45068</v>
      </c>
      <c r="D692" s="8" t="s">
        <v>2169</v>
      </c>
      <c r="E692" s="8" t="s">
        <v>26</v>
      </c>
      <c r="F692" s="8" t="s">
        <v>38</v>
      </c>
      <c r="G692" s="8" t="s">
        <v>60</v>
      </c>
      <c r="H692" s="8" t="s">
        <v>164</v>
      </c>
      <c r="I692" s="8" t="s">
        <v>4978</v>
      </c>
      <c r="J692" s="10">
        <v>149</v>
      </c>
      <c r="K692" s="11">
        <v>750.62</v>
      </c>
      <c r="L692" s="11">
        <v>1033.3900000000001</v>
      </c>
      <c r="M692" s="11">
        <v>153975.10999999999</v>
      </c>
      <c r="N692" s="11">
        <v>111842.38</v>
      </c>
      <c r="O692" s="11">
        <f>CleanedData[[#This Row],[Total Sales ($)]]-CleanedData[[#This Row],[Total Cost ($)]]</f>
        <v>42132.729999999981</v>
      </c>
      <c r="P692" s="12">
        <f>CleanedData[[#This Row],[Profit ($)]]/CleanedData[[#This Row],[Total Sales ($)]]</f>
        <v>0.2736333813952137</v>
      </c>
      <c r="Q692" s="8" t="s">
        <v>95</v>
      </c>
      <c r="R692" s="8" t="s">
        <v>32</v>
      </c>
      <c r="S692" s="8" t="b">
        <f>_xlfn.SINGLE(CleanedData[[#This Row],[Delivery Status]])="Late"</f>
        <v>1</v>
      </c>
      <c r="T692" s="10">
        <v>12</v>
      </c>
      <c r="U692" s="8" t="s">
        <v>158</v>
      </c>
      <c r="V692" s="10">
        <v>2140</v>
      </c>
      <c r="W692" s="10">
        <v>6</v>
      </c>
      <c r="X692" s="12">
        <v>4.0268456375838903E-2</v>
      </c>
      <c r="Y692" s="8" t="b">
        <f>CleanedData[[#This Row],[Ship Date]]&lt;CleanedData[[#This Row],[Order Date]]</f>
        <v>0</v>
      </c>
      <c r="Z692" s="10">
        <f>YEAR(CleanedData[[#This Row],[Order Date]])</f>
        <v>2023</v>
      </c>
      <c r="AA692" s="8">
        <f>MONTH(CleanedData[[#This Row],[Order Date]])</f>
        <v>5</v>
      </c>
    </row>
    <row r="693" spans="1:27" x14ac:dyDescent="0.35">
      <c r="A693" s="8" t="s">
        <v>2170</v>
      </c>
      <c r="B693" s="9">
        <v>45309</v>
      </c>
      <c r="C693" s="9">
        <v>45568</v>
      </c>
      <c r="D693" s="8" t="s">
        <v>2172</v>
      </c>
      <c r="E693" s="8" t="s">
        <v>58</v>
      </c>
      <c r="F693" s="8" t="s">
        <v>116</v>
      </c>
      <c r="G693" s="8" t="s">
        <v>60</v>
      </c>
      <c r="H693" s="8" t="s">
        <v>61</v>
      </c>
      <c r="I693" s="8" t="s">
        <v>4968</v>
      </c>
      <c r="J693" s="10">
        <v>71</v>
      </c>
      <c r="K693" s="11">
        <v>335.59</v>
      </c>
      <c r="L693" s="11">
        <v>393.55</v>
      </c>
      <c r="M693" s="11">
        <v>27942.05</v>
      </c>
      <c r="N693" s="11">
        <v>23826.89</v>
      </c>
      <c r="O693" s="11">
        <f>CleanedData[[#This Row],[Total Sales ($)]]-CleanedData[[#This Row],[Total Cost ($)]]</f>
        <v>4115.16</v>
      </c>
      <c r="P693" s="12">
        <f>CleanedData[[#This Row],[Profit ($)]]/CleanedData[[#This Row],[Total Sales ($)]]</f>
        <v>0.14727480625079406</v>
      </c>
      <c r="Q693" s="8" t="s">
        <v>52</v>
      </c>
      <c r="R693" s="8" t="s">
        <v>63</v>
      </c>
      <c r="S693" s="8" t="b">
        <f>_xlfn.SINGLE(CleanedData[[#This Row],[Delivery Status]])="Late"</f>
        <v>0</v>
      </c>
      <c r="T693" s="10">
        <v>5</v>
      </c>
      <c r="U693" s="8" t="s">
        <v>158</v>
      </c>
      <c r="V693" s="10">
        <v>1834</v>
      </c>
      <c r="W693" s="10">
        <v>1</v>
      </c>
      <c r="X693" s="12">
        <v>1.4084507042253501E-2</v>
      </c>
      <c r="Y693" s="8" t="b">
        <f>CleanedData[[#This Row],[Ship Date]]&lt;CleanedData[[#This Row],[Order Date]]</f>
        <v>0</v>
      </c>
      <c r="Z693" s="10">
        <f>YEAR(CleanedData[[#This Row],[Order Date]])</f>
        <v>2024</v>
      </c>
      <c r="AA693" s="8">
        <f>MONTH(CleanedData[[#This Row],[Order Date]])</f>
        <v>1</v>
      </c>
    </row>
    <row r="694" spans="1:27" x14ac:dyDescent="0.35">
      <c r="A694" s="8" t="s">
        <v>2174</v>
      </c>
      <c r="B694" s="9">
        <v>44999</v>
      </c>
      <c r="C694" s="9">
        <v>45148</v>
      </c>
      <c r="D694" s="8" t="s">
        <v>2175</v>
      </c>
      <c r="E694" s="8" t="s">
        <v>68</v>
      </c>
      <c r="F694" s="8" t="s">
        <v>146</v>
      </c>
      <c r="G694" s="8" t="s">
        <v>189</v>
      </c>
      <c r="H694" s="8" t="s">
        <v>365</v>
      </c>
      <c r="I694" s="8" t="s">
        <v>4970</v>
      </c>
      <c r="J694" s="10">
        <v>244</v>
      </c>
      <c r="K694" s="11">
        <v>1154</v>
      </c>
      <c r="L694" s="11">
        <v>1858.83</v>
      </c>
      <c r="M694" s="11">
        <v>453554.52</v>
      </c>
      <c r="N694" s="11">
        <v>281576</v>
      </c>
      <c r="O694" s="11">
        <f>CleanedData[[#This Row],[Total Sales ($)]]-CleanedData[[#This Row],[Total Cost ($)]]</f>
        <v>171978.52000000002</v>
      </c>
      <c r="P694" s="12">
        <f>CleanedData[[#This Row],[Profit ($)]]/CleanedData[[#This Row],[Total Sales ($)]]</f>
        <v>0.37917937627432313</v>
      </c>
      <c r="Q694" s="8" t="s">
        <v>42</v>
      </c>
      <c r="R694" s="8" t="s">
        <v>32</v>
      </c>
      <c r="S694" s="8" t="b">
        <f>_xlfn.SINGLE(CleanedData[[#This Row],[Delivery Status]])="Late"</f>
        <v>1</v>
      </c>
      <c r="T694" s="10">
        <v>10</v>
      </c>
      <c r="U694" s="8" t="s">
        <v>43</v>
      </c>
      <c r="V694" s="10">
        <v>499</v>
      </c>
      <c r="W694" s="10">
        <v>7</v>
      </c>
      <c r="X694" s="12">
        <v>2.86885245901639E-2</v>
      </c>
      <c r="Y694" s="8" t="b">
        <f>CleanedData[[#This Row],[Ship Date]]&lt;CleanedData[[#This Row],[Order Date]]</f>
        <v>0</v>
      </c>
      <c r="Z694" s="10">
        <f>YEAR(CleanedData[[#This Row],[Order Date]])</f>
        <v>2023</v>
      </c>
      <c r="AA694" s="8">
        <f>MONTH(CleanedData[[#This Row],[Order Date]])</f>
        <v>3</v>
      </c>
    </row>
    <row r="695" spans="1:27" x14ac:dyDescent="0.35">
      <c r="A695" s="8" t="s">
        <v>361</v>
      </c>
      <c r="B695" s="9">
        <v>44989</v>
      </c>
      <c r="C695" s="9">
        <v>45050</v>
      </c>
      <c r="D695" s="8" t="s">
        <v>364</v>
      </c>
      <c r="E695" s="8" t="s">
        <v>58</v>
      </c>
      <c r="F695" s="8" t="s">
        <v>59</v>
      </c>
      <c r="G695" s="8" t="s">
        <v>189</v>
      </c>
      <c r="H695" s="8" t="s">
        <v>365</v>
      </c>
      <c r="I695" s="8" t="s">
        <v>4979</v>
      </c>
      <c r="J695" s="10">
        <v>536</v>
      </c>
      <c r="K695" s="11">
        <v>195.55</v>
      </c>
      <c r="L695" s="11">
        <v>318.19</v>
      </c>
      <c r="M695" s="11">
        <v>170549.84</v>
      </c>
      <c r="N695" s="11">
        <v>104814.8</v>
      </c>
      <c r="O695" s="11">
        <f>CleanedData[[#This Row],[Total Sales ($)]]-CleanedData[[#This Row],[Total Cost ($)]]</f>
        <v>65735.039999999994</v>
      </c>
      <c r="P695" s="12">
        <f>CleanedData[[#This Row],[Profit ($)]]/CleanedData[[#This Row],[Total Sales ($)]]</f>
        <v>0.38543008894057007</v>
      </c>
      <c r="Q695" s="8" t="s">
        <v>52</v>
      </c>
      <c r="R695" s="8" t="s">
        <v>32</v>
      </c>
      <c r="S695" s="8" t="b">
        <f>_xlfn.SINGLE(CleanedData[[#This Row],[Delivery Status]])="Late"</f>
        <v>1</v>
      </c>
      <c r="T695" s="10">
        <v>6</v>
      </c>
      <c r="U695" s="8" t="s">
        <v>112</v>
      </c>
      <c r="V695" s="10">
        <v>2501.41</v>
      </c>
      <c r="W695" s="10">
        <v>16</v>
      </c>
      <c r="X695" s="12">
        <v>2.9850746268656699E-2</v>
      </c>
      <c r="Y695" s="8" t="b">
        <f>CleanedData[[#This Row],[Ship Date]]&lt;CleanedData[[#This Row],[Order Date]]</f>
        <v>0</v>
      </c>
      <c r="Z695" s="10">
        <f>YEAR(CleanedData[[#This Row],[Order Date]])</f>
        <v>2023</v>
      </c>
      <c r="AA695" s="8">
        <f>MONTH(CleanedData[[#This Row],[Order Date]])</f>
        <v>3</v>
      </c>
    </row>
    <row r="696" spans="1:27" x14ac:dyDescent="0.35">
      <c r="A696" s="8" t="s">
        <v>2176</v>
      </c>
      <c r="B696" s="9">
        <v>44989</v>
      </c>
      <c r="C696" s="9">
        <v>45164</v>
      </c>
      <c r="D696" s="8" t="s">
        <v>2177</v>
      </c>
      <c r="E696" s="8" t="s">
        <v>26</v>
      </c>
      <c r="F696" s="8" t="s">
        <v>228</v>
      </c>
      <c r="G696" s="8" t="s">
        <v>78</v>
      </c>
      <c r="H696" s="8" t="s">
        <v>79</v>
      </c>
      <c r="I696" s="8" t="s">
        <v>4976</v>
      </c>
      <c r="J696" s="10">
        <v>344</v>
      </c>
      <c r="K696" s="11">
        <v>711.55</v>
      </c>
      <c r="L696" s="11">
        <v>1039.6500000000001</v>
      </c>
      <c r="M696" s="11">
        <v>357639.6</v>
      </c>
      <c r="N696" s="11">
        <v>244773.2</v>
      </c>
      <c r="O696" s="11">
        <f>CleanedData[[#This Row],[Total Sales ($)]]-CleanedData[[#This Row],[Total Cost ($)]]</f>
        <v>112866.39999999997</v>
      </c>
      <c r="P696" s="12">
        <f>CleanedData[[#This Row],[Profit ($)]]/CleanedData[[#This Row],[Total Sales ($)]]</f>
        <v>0.31558697638628375</v>
      </c>
      <c r="Q696" s="8" t="s">
        <v>31</v>
      </c>
      <c r="R696" s="8" t="s">
        <v>32</v>
      </c>
      <c r="S696" s="8" t="b">
        <f>_xlfn.SINGLE(CleanedData[[#This Row],[Delivery Status]])="Late"</f>
        <v>1</v>
      </c>
      <c r="T696" s="10">
        <v>14</v>
      </c>
      <c r="U696" s="8" t="s">
        <v>158</v>
      </c>
      <c r="V696" s="10">
        <v>2422</v>
      </c>
      <c r="W696" s="10">
        <v>13</v>
      </c>
      <c r="X696" s="12">
        <v>3.7790697674418602E-2</v>
      </c>
      <c r="Y696" s="8" t="b">
        <f>CleanedData[[#This Row],[Ship Date]]&lt;CleanedData[[#This Row],[Order Date]]</f>
        <v>0</v>
      </c>
      <c r="Z696" s="10">
        <f>YEAR(CleanedData[[#This Row],[Order Date]])</f>
        <v>2023</v>
      </c>
      <c r="AA696" s="8">
        <f>MONTH(CleanedData[[#This Row],[Order Date]])</f>
        <v>3</v>
      </c>
    </row>
    <row r="697" spans="1:27" x14ac:dyDescent="0.35">
      <c r="A697" s="8" t="s">
        <v>2178</v>
      </c>
      <c r="B697" s="9">
        <v>45250</v>
      </c>
      <c r="C697" s="9">
        <v>44984</v>
      </c>
      <c r="D697" s="8" t="s">
        <v>2179</v>
      </c>
      <c r="E697" s="8" t="s">
        <v>100</v>
      </c>
      <c r="F697" s="8" t="s">
        <v>330</v>
      </c>
      <c r="G697" s="8" t="s">
        <v>78</v>
      </c>
      <c r="H697" s="8" t="s">
        <v>123</v>
      </c>
      <c r="I697" s="8" t="s">
        <v>4973</v>
      </c>
      <c r="J697" s="10">
        <v>282</v>
      </c>
      <c r="K697" s="11">
        <v>820.59</v>
      </c>
      <c r="L697" s="11">
        <v>1111.04</v>
      </c>
      <c r="M697" s="11">
        <v>313313.28000000003</v>
      </c>
      <c r="N697" s="11">
        <v>231406.38</v>
      </c>
      <c r="O697" s="11">
        <f>CleanedData[[#This Row],[Total Sales ($)]]-CleanedData[[#This Row],[Total Cost ($)]]</f>
        <v>81906.900000000023</v>
      </c>
      <c r="P697" s="12">
        <f>CleanedData[[#This Row],[Profit ($)]]/CleanedData[[#This Row],[Total Sales ($)]]</f>
        <v>0.26142173099078347</v>
      </c>
      <c r="Q697" s="8" t="s">
        <v>31</v>
      </c>
      <c r="R697" s="8" t="s">
        <v>63</v>
      </c>
      <c r="S697" s="8" t="b">
        <f>_xlfn.SINGLE(CleanedData[[#This Row],[Delivery Status]])="Late"</f>
        <v>0</v>
      </c>
      <c r="T697" s="10">
        <v>1</v>
      </c>
      <c r="U697" s="8" t="s">
        <v>112</v>
      </c>
      <c r="V697" s="10">
        <v>4208</v>
      </c>
      <c r="W697" s="10">
        <v>5</v>
      </c>
      <c r="X697" s="12">
        <v>1.77304964539007E-2</v>
      </c>
      <c r="Y697" s="8" t="b">
        <f>CleanedData[[#This Row],[Ship Date]]&lt;CleanedData[[#This Row],[Order Date]]</f>
        <v>1</v>
      </c>
      <c r="Z697" s="10">
        <f>YEAR(CleanedData[[#This Row],[Order Date]])</f>
        <v>2023</v>
      </c>
      <c r="AA697" s="8">
        <f>MONTH(CleanedData[[#This Row],[Order Date]])</f>
        <v>11</v>
      </c>
    </row>
    <row r="698" spans="1:27" x14ac:dyDescent="0.35">
      <c r="A698" s="8" t="s">
        <v>2180</v>
      </c>
      <c r="B698" s="9">
        <v>45450</v>
      </c>
      <c r="C698" s="9">
        <v>45505</v>
      </c>
      <c r="D698" s="8" t="s">
        <v>2181</v>
      </c>
      <c r="E698" s="8" t="s">
        <v>48</v>
      </c>
      <c r="F698" s="8" t="s">
        <v>183</v>
      </c>
      <c r="G698" s="8" t="s">
        <v>39</v>
      </c>
      <c r="H698" s="8" t="s">
        <v>354</v>
      </c>
      <c r="I698" s="8" t="s">
        <v>4976</v>
      </c>
      <c r="J698" s="10">
        <v>582</v>
      </c>
      <c r="K698" s="11">
        <v>128.30000000000001</v>
      </c>
      <c r="L698" s="11">
        <v>177.92</v>
      </c>
      <c r="M698" s="11">
        <v>103549.44</v>
      </c>
      <c r="N698" s="11">
        <v>74670.600000000006</v>
      </c>
      <c r="O698" s="11">
        <f>CleanedData[[#This Row],[Total Sales ($)]]-CleanedData[[#This Row],[Total Cost ($)]]</f>
        <v>28878.839999999997</v>
      </c>
      <c r="P698" s="12">
        <f>CleanedData[[#This Row],[Profit ($)]]/CleanedData[[#This Row],[Total Sales ($)]]</f>
        <v>0.27888938848920858</v>
      </c>
      <c r="Q698" s="8" t="s">
        <v>42</v>
      </c>
      <c r="R698" s="8" t="s">
        <v>32</v>
      </c>
      <c r="S698" s="8" t="b">
        <f>_xlfn.SINGLE(CleanedData[[#This Row],[Delivery Status]])="Late"</f>
        <v>1</v>
      </c>
      <c r="T698" s="10">
        <v>9</v>
      </c>
      <c r="U698" s="8" t="s">
        <v>53</v>
      </c>
      <c r="V698" s="10">
        <v>2287</v>
      </c>
      <c r="W698" s="10">
        <v>25</v>
      </c>
      <c r="X698" s="12">
        <v>4.29553264604811E-2</v>
      </c>
      <c r="Y698" s="8" t="b">
        <f>CleanedData[[#This Row],[Ship Date]]&lt;CleanedData[[#This Row],[Order Date]]</f>
        <v>0</v>
      </c>
      <c r="Z698" s="10">
        <f>YEAR(CleanedData[[#This Row],[Order Date]])</f>
        <v>2024</v>
      </c>
      <c r="AA698" s="8">
        <f>MONTH(CleanedData[[#This Row],[Order Date]])</f>
        <v>6</v>
      </c>
    </row>
    <row r="699" spans="1:27" x14ac:dyDescent="0.35">
      <c r="A699" s="8" t="s">
        <v>2182</v>
      </c>
      <c r="B699" s="9">
        <v>45285</v>
      </c>
      <c r="C699" s="9">
        <v>45286</v>
      </c>
      <c r="D699" s="8" t="s">
        <v>2183</v>
      </c>
      <c r="E699" s="8" t="s">
        <v>26</v>
      </c>
      <c r="F699" s="8" t="s">
        <v>27</v>
      </c>
      <c r="G699" s="8" t="s">
        <v>39</v>
      </c>
      <c r="H699" s="8" t="s">
        <v>527</v>
      </c>
      <c r="I699" s="8" t="s">
        <v>4979</v>
      </c>
      <c r="J699" s="10">
        <v>130</v>
      </c>
      <c r="K699" s="11">
        <v>1126.73</v>
      </c>
      <c r="L699" s="11">
        <v>1802.2</v>
      </c>
      <c r="M699" s="11">
        <v>234286</v>
      </c>
      <c r="N699" s="11">
        <v>146474.9</v>
      </c>
      <c r="O699" s="11">
        <f>CleanedData[[#This Row],[Total Sales ($)]]-CleanedData[[#This Row],[Total Cost ($)]]</f>
        <v>87811.1</v>
      </c>
      <c r="P699" s="12">
        <f>CleanedData[[#This Row],[Profit ($)]]/CleanedData[[#This Row],[Total Sales ($)]]</f>
        <v>0.37480301853290426</v>
      </c>
      <c r="Q699" s="8" t="s">
        <v>95</v>
      </c>
      <c r="R699" s="8" t="s">
        <v>32</v>
      </c>
      <c r="S699" s="8" t="b">
        <f>_xlfn.SINGLE(CleanedData[[#This Row],[Delivery Status]])="Late"</f>
        <v>1</v>
      </c>
      <c r="T699" s="10">
        <v>13</v>
      </c>
      <c r="U699" s="8" t="s">
        <v>86</v>
      </c>
      <c r="V699" s="10">
        <v>1405</v>
      </c>
      <c r="W699" s="10">
        <v>5</v>
      </c>
      <c r="X699" s="12">
        <v>3.8461538461538401E-2</v>
      </c>
      <c r="Y699" s="8" t="b">
        <f>CleanedData[[#This Row],[Ship Date]]&lt;CleanedData[[#This Row],[Order Date]]</f>
        <v>0</v>
      </c>
      <c r="Z699" s="10">
        <f>YEAR(CleanedData[[#This Row],[Order Date]])</f>
        <v>2023</v>
      </c>
      <c r="AA699" s="8">
        <f>MONTH(CleanedData[[#This Row],[Order Date]])</f>
        <v>12</v>
      </c>
    </row>
    <row r="700" spans="1:27" x14ac:dyDescent="0.35">
      <c r="A700" s="8" t="s">
        <v>2184</v>
      </c>
      <c r="B700" s="9">
        <v>45000</v>
      </c>
      <c r="C700" s="9">
        <v>45155</v>
      </c>
      <c r="D700" s="8" t="s">
        <v>2185</v>
      </c>
      <c r="E700" s="8" t="s">
        <v>26</v>
      </c>
      <c r="F700" s="8" t="s">
        <v>228</v>
      </c>
      <c r="G700" s="8" t="s">
        <v>60</v>
      </c>
      <c r="H700" s="8" t="s">
        <v>539</v>
      </c>
      <c r="I700" s="8" t="s">
        <v>4967</v>
      </c>
      <c r="J700" s="10">
        <v>493</v>
      </c>
      <c r="K700" s="11">
        <v>640.55999999999995</v>
      </c>
      <c r="L700" s="11">
        <v>920.64</v>
      </c>
      <c r="M700" s="11">
        <v>453875.52</v>
      </c>
      <c r="N700" s="11">
        <v>315796.08</v>
      </c>
      <c r="O700" s="11">
        <f>CleanedData[[#This Row],[Total Sales ($)]]-CleanedData[[#This Row],[Total Cost ($)]]</f>
        <v>138079.44</v>
      </c>
      <c r="P700" s="12">
        <f>CleanedData[[#This Row],[Profit ($)]]/CleanedData[[#This Row],[Total Sales ($)]]</f>
        <v>0.30422314911366005</v>
      </c>
      <c r="Q700" s="8" t="s">
        <v>31</v>
      </c>
      <c r="R700" s="8" t="s">
        <v>32</v>
      </c>
      <c r="S700" s="8" t="b">
        <f>_xlfn.SINGLE(CleanedData[[#This Row],[Delivery Status]])="Late"</f>
        <v>1</v>
      </c>
      <c r="T700" s="10">
        <v>15</v>
      </c>
      <c r="U700" s="8" t="s">
        <v>86</v>
      </c>
      <c r="V700" s="10">
        <v>2522</v>
      </c>
      <c r="W700" s="10">
        <v>3</v>
      </c>
      <c r="X700" s="12">
        <v>6.0851926977687001E-3</v>
      </c>
      <c r="Y700" s="8" t="b">
        <f>CleanedData[[#This Row],[Ship Date]]&lt;CleanedData[[#This Row],[Order Date]]</f>
        <v>0</v>
      </c>
      <c r="Z700" s="10">
        <f>YEAR(CleanedData[[#This Row],[Order Date]])</f>
        <v>2023</v>
      </c>
      <c r="AA700" s="8">
        <f>MONTH(CleanedData[[#This Row],[Order Date]])</f>
        <v>3</v>
      </c>
    </row>
    <row r="701" spans="1:27" x14ac:dyDescent="0.35">
      <c r="A701" s="8" t="s">
        <v>2186</v>
      </c>
      <c r="B701" s="9">
        <v>44978</v>
      </c>
      <c r="C701" s="9">
        <v>45282</v>
      </c>
      <c r="D701" s="8" t="s">
        <v>115</v>
      </c>
      <c r="E701" s="8" t="s">
        <v>68</v>
      </c>
      <c r="F701" s="8" t="s">
        <v>163</v>
      </c>
      <c r="G701" s="8" t="s">
        <v>39</v>
      </c>
      <c r="H701" s="8" t="s">
        <v>147</v>
      </c>
      <c r="I701" s="8" t="s">
        <v>4974</v>
      </c>
      <c r="J701" s="10">
        <v>797</v>
      </c>
      <c r="K701" s="11">
        <v>8.6999999999999993</v>
      </c>
      <c r="L701" s="11">
        <v>14.07</v>
      </c>
      <c r="M701" s="11">
        <v>11213.79</v>
      </c>
      <c r="N701" s="11">
        <v>6933.9</v>
      </c>
      <c r="O701" s="11">
        <f>CleanedData[[#This Row],[Total Sales ($)]]-CleanedData[[#This Row],[Total Cost ($)]]</f>
        <v>4279.8900000000012</v>
      </c>
      <c r="P701" s="12">
        <f>CleanedData[[#This Row],[Profit ($)]]/CleanedData[[#This Row],[Total Sales ($)]]</f>
        <v>0.38166311300639666</v>
      </c>
      <c r="Q701" s="8" t="s">
        <v>52</v>
      </c>
      <c r="R701" s="8" t="s">
        <v>32</v>
      </c>
      <c r="S701" s="8" t="b">
        <f>_xlfn.SINGLE(CleanedData[[#This Row],[Delivery Status]])="Late"</f>
        <v>1</v>
      </c>
      <c r="T701" s="10">
        <v>8</v>
      </c>
      <c r="U701" s="8" t="s">
        <v>53</v>
      </c>
      <c r="V701" s="10">
        <v>3612</v>
      </c>
      <c r="W701" s="10">
        <v>12</v>
      </c>
      <c r="X701" s="12">
        <v>1.5056461731493E-2</v>
      </c>
      <c r="Y701" s="8" t="b">
        <f>CleanedData[[#This Row],[Ship Date]]&lt;CleanedData[[#This Row],[Order Date]]</f>
        <v>0</v>
      </c>
      <c r="Z701" s="10">
        <f>YEAR(CleanedData[[#This Row],[Order Date]])</f>
        <v>2023</v>
      </c>
      <c r="AA701" s="8">
        <f>MONTH(CleanedData[[#This Row],[Order Date]])</f>
        <v>2</v>
      </c>
    </row>
    <row r="702" spans="1:27" x14ac:dyDescent="0.35">
      <c r="A702" s="8" t="s">
        <v>2187</v>
      </c>
      <c r="B702" s="9">
        <v>44997</v>
      </c>
      <c r="C702" s="9">
        <v>45133</v>
      </c>
      <c r="D702" s="8" t="s">
        <v>1190</v>
      </c>
      <c r="E702" s="8" t="s">
        <v>48</v>
      </c>
      <c r="F702" s="8" t="s">
        <v>270</v>
      </c>
      <c r="G702" s="8" t="s">
        <v>129</v>
      </c>
      <c r="H702" s="8" t="s">
        <v>130</v>
      </c>
      <c r="I702" s="8" t="s">
        <v>4968</v>
      </c>
      <c r="J702" s="10">
        <v>695</v>
      </c>
      <c r="K702" s="11">
        <v>539.28</v>
      </c>
      <c r="L702" s="11">
        <v>853.11</v>
      </c>
      <c r="M702" s="11">
        <v>592911.44999999995</v>
      </c>
      <c r="N702" s="11">
        <v>374799.6</v>
      </c>
      <c r="O702" s="11">
        <f>CleanedData[[#This Row],[Total Sales ($)]]-CleanedData[[#This Row],[Total Cost ($)]]</f>
        <v>218111.84999999998</v>
      </c>
      <c r="P702" s="12">
        <f>CleanedData[[#This Row],[Profit ($)]]/CleanedData[[#This Row],[Total Sales ($)]]</f>
        <v>0.36786580862960228</v>
      </c>
      <c r="Q702" s="8" t="s">
        <v>31</v>
      </c>
      <c r="R702" s="8" t="s">
        <v>63</v>
      </c>
      <c r="S702" s="8" t="b">
        <f>_xlfn.SINGLE(CleanedData[[#This Row],[Delivery Status]])="Late"</f>
        <v>0</v>
      </c>
      <c r="T702" s="10">
        <v>4</v>
      </c>
      <c r="U702" s="8" t="s">
        <v>86</v>
      </c>
      <c r="V702" s="10">
        <v>4127</v>
      </c>
      <c r="W702" s="10">
        <v>18</v>
      </c>
      <c r="X702" s="12">
        <v>2.5899280575539502E-2</v>
      </c>
      <c r="Y702" s="8" t="b">
        <f>CleanedData[[#This Row],[Ship Date]]&lt;CleanedData[[#This Row],[Order Date]]</f>
        <v>0</v>
      </c>
      <c r="Z702" s="10">
        <f>YEAR(CleanedData[[#This Row],[Order Date]])</f>
        <v>2023</v>
      </c>
      <c r="AA702" s="8">
        <f>MONTH(CleanedData[[#This Row],[Order Date]])</f>
        <v>3</v>
      </c>
    </row>
    <row r="703" spans="1:27" x14ac:dyDescent="0.35">
      <c r="A703" s="8" t="s">
        <v>2188</v>
      </c>
      <c r="B703" s="9">
        <v>45397</v>
      </c>
      <c r="C703" s="9">
        <v>45392</v>
      </c>
      <c r="D703" s="8" t="s">
        <v>67</v>
      </c>
      <c r="E703" s="8" t="s">
        <v>48</v>
      </c>
      <c r="F703" s="8" t="s">
        <v>49</v>
      </c>
      <c r="G703" s="8" t="s">
        <v>78</v>
      </c>
      <c r="H703" s="8" t="s">
        <v>178</v>
      </c>
      <c r="I703" s="8" t="s">
        <v>4968</v>
      </c>
      <c r="J703" s="10">
        <v>292</v>
      </c>
      <c r="K703" s="11">
        <v>175.07</v>
      </c>
      <c r="L703" s="11">
        <v>212.31</v>
      </c>
      <c r="M703" s="11">
        <v>61994.52</v>
      </c>
      <c r="N703" s="11">
        <v>51120.44</v>
      </c>
      <c r="O703" s="11">
        <f>CleanedData[[#This Row],[Total Sales ($)]]-CleanedData[[#This Row],[Total Cost ($)]]</f>
        <v>10874.079999999994</v>
      </c>
      <c r="P703" s="12">
        <f>CleanedData[[#This Row],[Profit ($)]]/CleanedData[[#This Row],[Total Sales ($)]]</f>
        <v>0.17540389053742161</v>
      </c>
      <c r="Q703" s="8" t="s">
        <v>52</v>
      </c>
      <c r="R703" s="8" t="s">
        <v>32</v>
      </c>
      <c r="S703" s="8" t="b">
        <f>_xlfn.SINGLE(CleanedData[[#This Row],[Delivery Status]])="Late"</f>
        <v>1</v>
      </c>
      <c r="T703" s="10">
        <v>13</v>
      </c>
      <c r="U703" s="8" t="s">
        <v>112</v>
      </c>
      <c r="V703" s="10">
        <v>1221</v>
      </c>
      <c r="W703" s="10">
        <v>12</v>
      </c>
      <c r="X703" s="12">
        <v>4.1095890410958902E-2</v>
      </c>
      <c r="Y703" s="8" t="b">
        <f>CleanedData[[#This Row],[Ship Date]]&lt;CleanedData[[#This Row],[Order Date]]</f>
        <v>1</v>
      </c>
      <c r="Z703" s="10">
        <f>YEAR(CleanedData[[#This Row],[Order Date]])</f>
        <v>2024</v>
      </c>
      <c r="AA703" s="8">
        <f>MONTH(CleanedData[[#This Row],[Order Date]])</f>
        <v>4</v>
      </c>
    </row>
    <row r="704" spans="1:27" x14ac:dyDescent="0.35">
      <c r="A704" s="8" t="s">
        <v>2189</v>
      </c>
      <c r="B704" s="9">
        <v>45117</v>
      </c>
      <c r="C704" s="9">
        <v>45263</v>
      </c>
      <c r="D704" s="8" t="s">
        <v>2190</v>
      </c>
      <c r="E704" s="8" t="s">
        <v>58</v>
      </c>
      <c r="F704" s="8" t="s">
        <v>259</v>
      </c>
      <c r="G704" s="8" t="s">
        <v>78</v>
      </c>
      <c r="H704" s="8" t="s">
        <v>425</v>
      </c>
      <c r="I704" s="8" t="s">
        <v>4973</v>
      </c>
      <c r="J704" s="10">
        <v>702</v>
      </c>
      <c r="K704" s="11">
        <v>930.3</v>
      </c>
      <c r="L704" s="11">
        <v>1448.76</v>
      </c>
      <c r="M704" s="11">
        <v>1017029.52</v>
      </c>
      <c r="N704" s="11">
        <v>653070.6</v>
      </c>
      <c r="O704" s="11">
        <f>CleanedData[[#This Row],[Total Sales ($)]]-CleanedData[[#This Row],[Total Cost ($)]]</f>
        <v>363958.92000000004</v>
      </c>
      <c r="P704" s="12">
        <f>CleanedData[[#This Row],[Profit ($)]]/CleanedData[[#This Row],[Total Sales ($)]]</f>
        <v>0.35786465667191258</v>
      </c>
      <c r="Q704" s="8" t="s">
        <v>31</v>
      </c>
      <c r="R704" s="8" t="s">
        <v>63</v>
      </c>
      <c r="S704" s="8" t="b">
        <f>_xlfn.SINGLE(CleanedData[[#This Row],[Delivery Status]])="Late"</f>
        <v>0</v>
      </c>
      <c r="T704" s="10">
        <v>1</v>
      </c>
      <c r="U704" s="8" t="s">
        <v>53</v>
      </c>
      <c r="V704" s="10">
        <v>3519</v>
      </c>
      <c r="W704" s="10">
        <v>11</v>
      </c>
      <c r="X704" s="12">
        <v>1.5669515669515601E-2</v>
      </c>
      <c r="Y704" s="8" t="b">
        <f>CleanedData[[#This Row],[Ship Date]]&lt;CleanedData[[#This Row],[Order Date]]</f>
        <v>0</v>
      </c>
      <c r="Z704" s="10">
        <f>YEAR(CleanedData[[#This Row],[Order Date]])</f>
        <v>2023</v>
      </c>
      <c r="AA704" s="8">
        <f>MONTH(CleanedData[[#This Row],[Order Date]])</f>
        <v>7</v>
      </c>
    </row>
    <row r="705" spans="1:27" x14ac:dyDescent="0.35">
      <c r="A705" s="8" t="s">
        <v>2191</v>
      </c>
      <c r="B705" s="9">
        <v>45013</v>
      </c>
      <c r="C705" s="9">
        <v>45105</v>
      </c>
      <c r="D705" s="8" t="s">
        <v>2193</v>
      </c>
      <c r="E705" s="8" t="s">
        <v>26</v>
      </c>
      <c r="F705" s="8" t="s">
        <v>27</v>
      </c>
      <c r="G705" s="8" t="s">
        <v>93</v>
      </c>
      <c r="H705" s="8" t="s">
        <v>140</v>
      </c>
      <c r="I705" s="8" t="s">
        <v>4968</v>
      </c>
      <c r="J705" s="10">
        <v>93</v>
      </c>
      <c r="K705" s="11">
        <v>146.28</v>
      </c>
      <c r="L705" s="11">
        <v>222.75</v>
      </c>
      <c r="M705" s="11">
        <v>20715.75</v>
      </c>
      <c r="N705" s="11">
        <v>13604.04</v>
      </c>
      <c r="O705" s="11">
        <f>CleanedData[[#This Row],[Total Sales ($)]]-CleanedData[[#This Row],[Total Cost ($)]]</f>
        <v>7111.7099999999991</v>
      </c>
      <c r="P705" s="12">
        <f>CleanedData[[#This Row],[Profit ($)]]/CleanedData[[#This Row],[Total Sales ($)]]</f>
        <v>0.34329966329966327</v>
      </c>
      <c r="Q705" s="8" t="s">
        <v>31</v>
      </c>
      <c r="R705" s="8" t="s">
        <v>32</v>
      </c>
      <c r="S705" s="8" t="b">
        <f>_xlfn.SINGLE(CleanedData[[#This Row],[Delivery Status]])="Late"</f>
        <v>1</v>
      </c>
      <c r="T705" s="10">
        <v>7</v>
      </c>
      <c r="U705" s="8" t="s">
        <v>33</v>
      </c>
      <c r="V705" s="10">
        <v>4103</v>
      </c>
      <c r="W705" s="10">
        <v>2</v>
      </c>
      <c r="X705" s="12">
        <v>2.1505376344085999E-2</v>
      </c>
      <c r="Y705" s="8" t="b">
        <f>CleanedData[[#This Row],[Ship Date]]&lt;CleanedData[[#This Row],[Order Date]]</f>
        <v>0</v>
      </c>
      <c r="Z705" s="10">
        <f>YEAR(CleanedData[[#This Row],[Order Date]])</f>
        <v>2023</v>
      </c>
      <c r="AA705" s="8">
        <f>MONTH(CleanedData[[#This Row],[Order Date]])</f>
        <v>3</v>
      </c>
    </row>
    <row r="706" spans="1:27" x14ac:dyDescent="0.35">
      <c r="A706" s="8" t="s">
        <v>2194</v>
      </c>
      <c r="B706" s="9">
        <v>45268</v>
      </c>
      <c r="C706" s="9">
        <v>45272</v>
      </c>
      <c r="D706" s="8" t="s">
        <v>2195</v>
      </c>
      <c r="E706" s="8" t="s">
        <v>26</v>
      </c>
      <c r="F706" s="8" t="s">
        <v>77</v>
      </c>
      <c r="G706" s="8" t="s">
        <v>39</v>
      </c>
      <c r="H706" s="8" t="s">
        <v>412</v>
      </c>
      <c r="I706" s="8" t="s">
        <v>4975</v>
      </c>
      <c r="J706" s="10">
        <v>768</v>
      </c>
      <c r="K706" s="11"/>
      <c r="L706" s="11">
        <v>1467.45</v>
      </c>
      <c r="M706" s="11">
        <v>1127001.6000000001</v>
      </c>
      <c r="N706" s="11">
        <v>757639.68000000005</v>
      </c>
      <c r="O706" s="11">
        <f>CleanedData[[#This Row],[Total Sales ($)]]-CleanedData[[#This Row],[Total Cost ($)]]</f>
        <v>369361.92000000004</v>
      </c>
      <c r="P706" s="12">
        <f>CleanedData[[#This Row],[Profit ($)]]/CleanedData[[#This Row],[Total Sales ($)]]</f>
        <v>0.32773859415993734</v>
      </c>
      <c r="Q706" s="8" t="s">
        <v>95</v>
      </c>
      <c r="R706" s="8" t="s">
        <v>32</v>
      </c>
      <c r="S706" s="8" t="b">
        <f>_xlfn.SINGLE(CleanedData[[#This Row],[Delivery Status]])="Late"</f>
        <v>1</v>
      </c>
      <c r="T706" s="10">
        <v>8</v>
      </c>
      <c r="U706" s="8" t="s">
        <v>86</v>
      </c>
      <c r="V706" s="10">
        <v>2072</v>
      </c>
      <c r="W706" s="10">
        <v>10</v>
      </c>
      <c r="X706" s="12">
        <v>1.3020833333333299E-2</v>
      </c>
      <c r="Y706" s="8" t="b">
        <f>CleanedData[[#This Row],[Ship Date]]&lt;CleanedData[[#This Row],[Order Date]]</f>
        <v>0</v>
      </c>
      <c r="Z706" s="10">
        <f>YEAR(CleanedData[[#This Row],[Order Date]])</f>
        <v>2023</v>
      </c>
      <c r="AA706" s="8">
        <f>MONTH(CleanedData[[#This Row],[Order Date]])</f>
        <v>12</v>
      </c>
    </row>
    <row r="707" spans="1:27" x14ac:dyDescent="0.35">
      <c r="A707" s="8" t="s">
        <v>2196</v>
      </c>
      <c r="B707" s="9">
        <v>45180</v>
      </c>
      <c r="C707" s="9">
        <v>44995</v>
      </c>
      <c r="D707" s="8" t="s">
        <v>2197</v>
      </c>
      <c r="E707" s="8" t="s">
        <v>26</v>
      </c>
      <c r="F707" s="8" t="s">
        <v>77</v>
      </c>
      <c r="G707" s="8" t="s">
        <v>70</v>
      </c>
      <c r="H707" s="8" t="s">
        <v>1019</v>
      </c>
      <c r="I707" s="8" t="s">
        <v>4979</v>
      </c>
      <c r="J707" s="10">
        <v>257</v>
      </c>
      <c r="K707" s="11">
        <v>1146.54</v>
      </c>
      <c r="L707" s="11">
        <v>1492.32</v>
      </c>
      <c r="M707" s="11">
        <v>383526.24</v>
      </c>
      <c r="N707" s="11">
        <v>294660.78000000003</v>
      </c>
      <c r="O707" s="11">
        <f>CleanedData[[#This Row],[Total Sales ($)]]-CleanedData[[#This Row],[Total Cost ($)]]</f>
        <v>88865.459999999963</v>
      </c>
      <c r="P707" s="12">
        <f>CleanedData[[#This Row],[Profit ($)]]/CleanedData[[#This Row],[Total Sales ($)]]</f>
        <v>0.23170633644258595</v>
      </c>
      <c r="Q707" s="8" t="s">
        <v>95</v>
      </c>
      <c r="R707" s="8" t="s">
        <v>63</v>
      </c>
      <c r="S707" s="8" t="b">
        <f>_xlfn.SINGLE(CleanedData[[#This Row],[Delivery Status]])="Late"</f>
        <v>0</v>
      </c>
      <c r="T707" s="10">
        <v>3</v>
      </c>
      <c r="U707" s="8" t="s">
        <v>43</v>
      </c>
      <c r="V707" s="10">
        <v>3895</v>
      </c>
      <c r="W707" s="10">
        <v>1</v>
      </c>
      <c r="X707" s="12">
        <v>3.8910505836575E-3</v>
      </c>
      <c r="Y707" s="8" t="b">
        <f>CleanedData[[#This Row],[Ship Date]]&lt;CleanedData[[#This Row],[Order Date]]</f>
        <v>1</v>
      </c>
      <c r="Z707" s="10">
        <f>YEAR(CleanedData[[#This Row],[Order Date]])</f>
        <v>2023</v>
      </c>
      <c r="AA707" s="8">
        <f>MONTH(CleanedData[[#This Row],[Order Date]])</f>
        <v>9</v>
      </c>
    </row>
    <row r="708" spans="1:27" x14ac:dyDescent="0.35">
      <c r="A708" s="8" t="s">
        <v>2198</v>
      </c>
      <c r="B708" s="9">
        <v>45264</v>
      </c>
      <c r="C708" s="9">
        <v>45160</v>
      </c>
      <c r="D708" s="8" t="s">
        <v>2200</v>
      </c>
      <c r="E708" s="8" t="s">
        <v>26</v>
      </c>
      <c r="F708" s="8" t="s">
        <v>4972</v>
      </c>
      <c r="G708" s="8" t="s">
        <v>217</v>
      </c>
      <c r="H708" s="8" t="s">
        <v>218</v>
      </c>
      <c r="I708" s="8" t="s">
        <v>4975</v>
      </c>
      <c r="J708" s="10">
        <v>279</v>
      </c>
      <c r="K708" s="11">
        <v>129.93</v>
      </c>
      <c r="L708" s="11">
        <v>185.42</v>
      </c>
      <c r="M708" s="11">
        <v>51732.18</v>
      </c>
      <c r="N708" s="11">
        <v>36250.47</v>
      </c>
      <c r="O708" s="11">
        <f>CleanedData[[#This Row],[Total Sales ($)]]-CleanedData[[#This Row],[Total Cost ($)]]</f>
        <v>15481.71</v>
      </c>
      <c r="P708" s="12">
        <f>CleanedData[[#This Row],[Profit ($)]]/CleanedData[[#This Row],[Total Sales ($)]]</f>
        <v>0.29926653003990938</v>
      </c>
      <c r="Q708" s="8" t="s">
        <v>52</v>
      </c>
      <c r="R708" s="8" t="s">
        <v>63</v>
      </c>
      <c r="S708" s="8" t="b">
        <f>_xlfn.SINGLE(CleanedData[[#This Row],[Delivery Status]])="Late"</f>
        <v>0</v>
      </c>
      <c r="T708" s="10">
        <v>5</v>
      </c>
      <c r="U708" s="8" t="s">
        <v>33</v>
      </c>
      <c r="V708" s="10">
        <v>4762</v>
      </c>
      <c r="W708" s="10">
        <v>4</v>
      </c>
      <c r="X708" s="12">
        <v>1.4336917562724E-2</v>
      </c>
      <c r="Y708" s="8" t="b">
        <f>CleanedData[[#This Row],[Ship Date]]&lt;CleanedData[[#This Row],[Order Date]]</f>
        <v>1</v>
      </c>
      <c r="Z708" s="10">
        <f>YEAR(CleanedData[[#This Row],[Order Date]])</f>
        <v>2023</v>
      </c>
      <c r="AA708" s="8">
        <f>MONTH(CleanedData[[#This Row],[Order Date]])</f>
        <v>12</v>
      </c>
    </row>
    <row r="709" spans="1:27" x14ac:dyDescent="0.35">
      <c r="A709" s="8" t="s">
        <v>2201</v>
      </c>
      <c r="B709" s="9">
        <v>45280</v>
      </c>
      <c r="C709" s="9">
        <v>45052</v>
      </c>
      <c r="D709" s="8" t="s">
        <v>2202</v>
      </c>
      <c r="E709" s="8" t="s">
        <v>58</v>
      </c>
      <c r="F709" s="8" t="s">
        <v>59</v>
      </c>
      <c r="G709" s="8" t="s">
        <v>50</v>
      </c>
      <c r="H709" s="8" t="s">
        <v>117</v>
      </c>
      <c r="I709" s="8" t="s">
        <v>4972</v>
      </c>
      <c r="J709" s="10">
        <v>313</v>
      </c>
      <c r="K709" s="11">
        <v>432.01</v>
      </c>
      <c r="L709" s="11">
        <v>583.91</v>
      </c>
      <c r="M709" s="11">
        <v>182763.83</v>
      </c>
      <c r="N709" s="11">
        <v>135219.13</v>
      </c>
      <c r="O709" s="11">
        <f>CleanedData[[#This Row],[Total Sales ($)]]-CleanedData[[#This Row],[Total Cost ($)]]</f>
        <v>47544.699999999983</v>
      </c>
      <c r="P709" s="12">
        <f>CleanedData[[#This Row],[Profit ($)]]/CleanedData[[#This Row],[Total Sales ($)]]</f>
        <v>0.26014283023068618</v>
      </c>
      <c r="Q709" s="8" t="s">
        <v>42</v>
      </c>
      <c r="R709" s="8" t="s">
        <v>32</v>
      </c>
      <c r="S709" s="8" t="b">
        <f>_xlfn.SINGLE(CleanedData[[#This Row],[Delivery Status]])="Late"</f>
        <v>1</v>
      </c>
      <c r="T709" s="10">
        <v>13</v>
      </c>
      <c r="U709" s="8" t="s">
        <v>86</v>
      </c>
      <c r="V709" s="10">
        <v>901</v>
      </c>
      <c r="W709" s="10">
        <v>8</v>
      </c>
      <c r="X709" s="12">
        <v>2.55591054313099E-2</v>
      </c>
      <c r="Y709" s="8" t="b">
        <f>CleanedData[[#This Row],[Ship Date]]&lt;CleanedData[[#This Row],[Order Date]]</f>
        <v>1</v>
      </c>
      <c r="Z709" s="10">
        <f>YEAR(CleanedData[[#This Row],[Order Date]])</f>
        <v>2023</v>
      </c>
      <c r="AA709" s="8">
        <f>MONTH(CleanedData[[#This Row],[Order Date]])</f>
        <v>12</v>
      </c>
    </row>
    <row r="710" spans="1:27" x14ac:dyDescent="0.35">
      <c r="A710" s="8" t="s">
        <v>2203</v>
      </c>
      <c r="B710" s="9">
        <v>45239</v>
      </c>
      <c r="C710" s="9">
        <v>45244</v>
      </c>
      <c r="D710" s="8" t="s">
        <v>2204</v>
      </c>
      <c r="E710" s="8" t="s">
        <v>48</v>
      </c>
      <c r="F710" s="8" t="s">
        <v>49</v>
      </c>
      <c r="G710" s="8" t="s">
        <v>60</v>
      </c>
      <c r="H710" s="8" t="s">
        <v>61</v>
      </c>
      <c r="I710" s="8" t="s">
        <v>4973</v>
      </c>
      <c r="J710" s="10">
        <v>393</v>
      </c>
      <c r="K710" s="11">
        <v>406.21</v>
      </c>
      <c r="L710" s="11">
        <v>497.51</v>
      </c>
      <c r="M710" s="11">
        <v>195521.43</v>
      </c>
      <c r="N710" s="11">
        <v>159640.53</v>
      </c>
      <c r="O710" s="11">
        <f>CleanedData[[#This Row],[Total Sales ($)]]-CleanedData[[#This Row],[Total Cost ($)]]</f>
        <v>35880.899999999994</v>
      </c>
      <c r="P710" s="12">
        <f>CleanedData[[#This Row],[Profit ($)]]/CleanedData[[#This Row],[Total Sales ($)]]</f>
        <v>0.18351389921810615</v>
      </c>
      <c r="Q710" s="8" t="s">
        <v>95</v>
      </c>
      <c r="R710" s="8" t="s">
        <v>32</v>
      </c>
      <c r="S710" s="8" t="b">
        <f>_xlfn.SINGLE(CleanedData[[#This Row],[Delivery Status]])="Late"</f>
        <v>1</v>
      </c>
      <c r="T710" s="10">
        <v>11</v>
      </c>
      <c r="U710" s="8" t="s">
        <v>43</v>
      </c>
      <c r="V710" s="10">
        <v>2419</v>
      </c>
      <c r="W710" s="10">
        <v>6</v>
      </c>
      <c r="X710" s="12">
        <v>1.5267175572519E-2</v>
      </c>
      <c r="Y710" s="8" t="b">
        <f>CleanedData[[#This Row],[Ship Date]]&lt;CleanedData[[#This Row],[Order Date]]</f>
        <v>0</v>
      </c>
      <c r="Z710" s="10">
        <f>YEAR(CleanedData[[#This Row],[Order Date]])</f>
        <v>2023</v>
      </c>
      <c r="AA710" s="8">
        <f>MONTH(CleanedData[[#This Row],[Order Date]])</f>
        <v>11</v>
      </c>
    </row>
    <row r="711" spans="1:27" x14ac:dyDescent="0.35">
      <c r="A711" s="8" t="s">
        <v>2205</v>
      </c>
      <c r="B711" s="9">
        <v>45087</v>
      </c>
      <c r="C711" s="9">
        <v>45096</v>
      </c>
      <c r="D711" s="8" t="s">
        <v>2207</v>
      </c>
      <c r="E711" s="8" t="s">
        <v>100</v>
      </c>
      <c r="F711" s="8" t="s">
        <v>330</v>
      </c>
      <c r="G711" s="8" t="s">
        <v>28</v>
      </c>
      <c r="H711" s="8" t="s">
        <v>714</v>
      </c>
      <c r="I711" s="8" t="s">
        <v>4978</v>
      </c>
      <c r="J711" s="10">
        <v>85</v>
      </c>
      <c r="K711" s="11">
        <v>304.10000000000002</v>
      </c>
      <c r="L711" s="11">
        <v>485.41</v>
      </c>
      <c r="M711" s="11">
        <v>41259.85</v>
      </c>
      <c r="N711" s="11">
        <v>25848.5</v>
      </c>
      <c r="O711" s="11">
        <f>CleanedData[[#This Row],[Total Sales ($)]]-CleanedData[[#This Row],[Total Cost ($)]]</f>
        <v>15411.349999999999</v>
      </c>
      <c r="P711" s="12">
        <f>CleanedData[[#This Row],[Profit ($)]]/CleanedData[[#This Row],[Total Sales ($)]]</f>
        <v>0.37351929296883046</v>
      </c>
      <c r="Q711" s="8" t="s">
        <v>31</v>
      </c>
      <c r="R711" s="8" t="s">
        <v>32</v>
      </c>
      <c r="S711" s="8" t="b">
        <f>_xlfn.SINGLE(CleanedData[[#This Row],[Delivery Status]])="Late"</f>
        <v>1</v>
      </c>
      <c r="T711" s="10">
        <v>10</v>
      </c>
      <c r="U711" s="8" t="s">
        <v>53</v>
      </c>
      <c r="V711" s="10">
        <v>943</v>
      </c>
      <c r="W711" s="10">
        <v>1</v>
      </c>
      <c r="X711" s="12">
        <v>1.1764705882352899E-2</v>
      </c>
      <c r="Y711" s="8" t="b">
        <f>CleanedData[[#This Row],[Ship Date]]&lt;CleanedData[[#This Row],[Order Date]]</f>
        <v>0</v>
      </c>
      <c r="Z711" s="10">
        <f>YEAR(CleanedData[[#This Row],[Order Date]])</f>
        <v>2023</v>
      </c>
      <c r="AA711" s="8">
        <f>MONTH(CleanedData[[#This Row],[Order Date]])</f>
        <v>6</v>
      </c>
    </row>
    <row r="712" spans="1:27" x14ac:dyDescent="0.35">
      <c r="A712" s="8" t="s">
        <v>2208</v>
      </c>
      <c r="B712" s="9">
        <v>45032</v>
      </c>
      <c r="C712" s="9">
        <v>45120</v>
      </c>
      <c r="D712" s="8" t="s">
        <v>2209</v>
      </c>
      <c r="E712" s="8" t="s">
        <v>100</v>
      </c>
      <c r="F712" s="8" t="s">
        <v>101</v>
      </c>
      <c r="G712" s="8" t="s">
        <v>78</v>
      </c>
      <c r="H712" s="8" t="s">
        <v>481</v>
      </c>
      <c r="I712" s="8" t="s">
        <v>4976</v>
      </c>
      <c r="J712" s="10">
        <v>750</v>
      </c>
      <c r="K712" s="11">
        <v>134.71</v>
      </c>
      <c r="L712" s="11">
        <v>176.52</v>
      </c>
      <c r="M712" s="11">
        <v>132390</v>
      </c>
      <c r="N712" s="11">
        <v>101032.5</v>
      </c>
      <c r="O712" s="11">
        <f>CleanedData[[#This Row],[Total Sales ($)]]-CleanedData[[#This Row],[Total Cost ($)]]</f>
        <v>31357.5</v>
      </c>
      <c r="P712" s="12">
        <f>CleanedData[[#This Row],[Profit ($)]]/CleanedData[[#This Row],[Total Sales ($)]]</f>
        <v>0.23685701336958984</v>
      </c>
      <c r="Q712" s="8" t="s">
        <v>31</v>
      </c>
      <c r="R712" s="8" t="s">
        <v>32</v>
      </c>
      <c r="S712" s="8" t="b">
        <f>_xlfn.SINGLE(CleanedData[[#This Row],[Delivery Status]])="Late"</f>
        <v>1</v>
      </c>
      <c r="T712" s="10">
        <v>11</v>
      </c>
      <c r="U712" s="8" t="s">
        <v>112</v>
      </c>
      <c r="V712" s="10">
        <v>3991</v>
      </c>
      <c r="W712" s="10">
        <v>29</v>
      </c>
      <c r="X712" s="12">
        <v>3.8666666666666599E-2</v>
      </c>
      <c r="Y712" s="8" t="b">
        <f>CleanedData[[#This Row],[Ship Date]]&lt;CleanedData[[#This Row],[Order Date]]</f>
        <v>0</v>
      </c>
      <c r="Z712" s="10">
        <f>YEAR(CleanedData[[#This Row],[Order Date]])</f>
        <v>2023</v>
      </c>
      <c r="AA712" s="8">
        <f>MONTH(CleanedData[[#This Row],[Order Date]])</f>
        <v>4</v>
      </c>
    </row>
    <row r="713" spans="1:27" x14ac:dyDescent="0.35">
      <c r="A713" s="8" t="s">
        <v>2210</v>
      </c>
      <c r="B713" s="9">
        <v>44998</v>
      </c>
      <c r="C713" s="9">
        <v>45273</v>
      </c>
      <c r="D713" s="8" t="s">
        <v>2211</v>
      </c>
      <c r="E713" s="8" t="s">
        <v>26</v>
      </c>
      <c r="F713" s="8" t="s">
        <v>27</v>
      </c>
      <c r="G713" s="8" t="s">
        <v>93</v>
      </c>
      <c r="H713" s="8" t="s">
        <v>321</v>
      </c>
      <c r="I713" s="8" t="s">
        <v>4978</v>
      </c>
      <c r="J713" s="10">
        <v>177</v>
      </c>
      <c r="K713" s="11">
        <v>1160.3800000000001</v>
      </c>
      <c r="L713" s="11">
        <v>1632.01</v>
      </c>
      <c r="M713" s="11">
        <v>288865.77</v>
      </c>
      <c r="N713" s="11">
        <v>205387.26</v>
      </c>
      <c r="O713" s="11">
        <f>CleanedData[[#This Row],[Total Sales ($)]]-CleanedData[[#This Row],[Total Cost ($)]]</f>
        <v>83478.510000000009</v>
      </c>
      <c r="P713" s="12">
        <f>CleanedData[[#This Row],[Profit ($)]]/CleanedData[[#This Row],[Total Sales ($)]]</f>
        <v>0.28898719983333437</v>
      </c>
      <c r="Q713" s="8" t="s">
        <v>31</v>
      </c>
      <c r="R713" s="8" t="s">
        <v>32</v>
      </c>
      <c r="S713" s="8" t="b">
        <f>_xlfn.SINGLE(CleanedData[[#This Row],[Delivery Status]])="Late"</f>
        <v>1</v>
      </c>
      <c r="T713" s="10">
        <v>15</v>
      </c>
      <c r="U713" s="8" t="s">
        <v>43</v>
      </c>
      <c r="V713" s="10">
        <v>3311</v>
      </c>
      <c r="W713" s="10">
        <v>8</v>
      </c>
      <c r="X713" s="12">
        <v>4.5197740112994302E-2</v>
      </c>
      <c r="Y713" s="8" t="b">
        <f>CleanedData[[#This Row],[Ship Date]]&lt;CleanedData[[#This Row],[Order Date]]</f>
        <v>0</v>
      </c>
      <c r="Z713" s="10">
        <f>YEAR(CleanedData[[#This Row],[Order Date]])</f>
        <v>2023</v>
      </c>
      <c r="AA713" s="8">
        <f>MONTH(CleanedData[[#This Row],[Order Date]])</f>
        <v>3</v>
      </c>
    </row>
    <row r="714" spans="1:27" x14ac:dyDescent="0.35">
      <c r="A714" s="8" t="s">
        <v>2212</v>
      </c>
      <c r="B714" s="9">
        <v>45255</v>
      </c>
      <c r="C714" s="9">
        <v>45146</v>
      </c>
      <c r="D714" s="8" t="s">
        <v>4972</v>
      </c>
      <c r="E714" s="8" t="s">
        <v>100</v>
      </c>
      <c r="F714" s="8" t="s">
        <v>538</v>
      </c>
      <c r="G714" s="8" t="s">
        <v>28</v>
      </c>
      <c r="H714" s="8" t="s">
        <v>29</v>
      </c>
      <c r="I714" s="8" t="s">
        <v>4969</v>
      </c>
      <c r="J714" s="10">
        <v>756</v>
      </c>
      <c r="K714" s="11">
        <v>108.87</v>
      </c>
      <c r="L714" s="11">
        <v>146.69999999999999</v>
      </c>
      <c r="M714" s="11">
        <v>110905.2</v>
      </c>
      <c r="N714" s="11">
        <v>82305.72</v>
      </c>
      <c r="O714" s="11">
        <f>CleanedData[[#This Row],[Total Sales ($)]]-CleanedData[[#This Row],[Total Cost ($)]]</f>
        <v>28599.479999999996</v>
      </c>
      <c r="P714" s="12">
        <f>CleanedData[[#This Row],[Profit ($)]]/CleanedData[[#This Row],[Total Sales ($)]]</f>
        <v>0.2578732106339468</v>
      </c>
      <c r="Q714" s="8" t="s">
        <v>31</v>
      </c>
      <c r="R714" s="8" t="s">
        <v>63</v>
      </c>
      <c r="S714" s="8" t="b">
        <f>_xlfn.SINGLE(CleanedData[[#This Row],[Delivery Status]])="Late"</f>
        <v>0</v>
      </c>
      <c r="T714" s="10">
        <v>5</v>
      </c>
      <c r="U714" s="8" t="s">
        <v>86</v>
      </c>
      <c r="V714" s="10">
        <v>503</v>
      </c>
      <c r="W714" s="10">
        <v>26</v>
      </c>
      <c r="X714" s="12">
        <v>3.4391534391534299E-2</v>
      </c>
      <c r="Y714" s="8" t="b">
        <f>CleanedData[[#This Row],[Ship Date]]&lt;CleanedData[[#This Row],[Order Date]]</f>
        <v>1</v>
      </c>
      <c r="Z714" s="10">
        <f>YEAR(CleanedData[[#This Row],[Order Date]])</f>
        <v>2023</v>
      </c>
      <c r="AA714" s="8">
        <f>MONTH(CleanedData[[#This Row],[Order Date]])</f>
        <v>11</v>
      </c>
    </row>
    <row r="715" spans="1:27" x14ac:dyDescent="0.35">
      <c r="A715" s="8" t="s">
        <v>2213</v>
      </c>
      <c r="B715" s="9">
        <v>45597</v>
      </c>
      <c r="C715" s="9">
        <v>45372</v>
      </c>
      <c r="D715" s="8" t="s">
        <v>2215</v>
      </c>
      <c r="E715" s="8" t="s">
        <v>26</v>
      </c>
      <c r="F715" s="8" t="s">
        <v>92</v>
      </c>
      <c r="G715" s="8" t="s">
        <v>189</v>
      </c>
      <c r="H715" s="8" t="s">
        <v>369</v>
      </c>
      <c r="I715" s="8" t="s">
        <v>4969</v>
      </c>
      <c r="J715" s="10">
        <v>249</v>
      </c>
      <c r="K715" s="11">
        <v>710.07</v>
      </c>
      <c r="L715" s="11">
        <v>798.78</v>
      </c>
      <c r="M715" s="11">
        <v>198896.22</v>
      </c>
      <c r="N715" s="11">
        <v>176807.43</v>
      </c>
      <c r="O715" s="11">
        <f>CleanedData[[#This Row],[Total Sales ($)]]-CleanedData[[#This Row],[Total Cost ($)]]</f>
        <v>22088.790000000008</v>
      </c>
      <c r="P715" s="12">
        <f>CleanedData[[#This Row],[Profit ($)]]/CleanedData[[#This Row],[Total Sales ($)]]</f>
        <v>0.11105686171411407</v>
      </c>
      <c r="Q715" s="8" t="s">
        <v>52</v>
      </c>
      <c r="R715" s="8" t="s">
        <v>32</v>
      </c>
      <c r="S715" s="8" t="b">
        <f>_xlfn.SINGLE(CleanedData[[#This Row],[Delivery Status]])="Late"</f>
        <v>1</v>
      </c>
      <c r="T715" s="10">
        <v>11</v>
      </c>
      <c r="U715" s="8" t="s">
        <v>158</v>
      </c>
      <c r="V715" s="10">
        <v>1097</v>
      </c>
      <c r="W715" s="10">
        <v>1</v>
      </c>
      <c r="X715" s="12">
        <v>4.0160642570280999E-3</v>
      </c>
      <c r="Y715" s="8" t="b">
        <f>CleanedData[[#This Row],[Ship Date]]&lt;CleanedData[[#This Row],[Order Date]]</f>
        <v>1</v>
      </c>
      <c r="Z715" s="10">
        <f>YEAR(CleanedData[[#This Row],[Order Date]])</f>
        <v>2024</v>
      </c>
      <c r="AA715" s="8">
        <f>MONTH(CleanedData[[#This Row],[Order Date]])</f>
        <v>11</v>
      </c>
    </row>
    <row r="716" spans="1:27" x14ac:dyDescent="0.35">
      <c r="A716" s="8" t="s">
        <v>2216</v>
      </c>
      <c r="B716" s="9">
        <v>45087</v>
      </c>
      <c r="C716" s="9">
        <v>45257</v>
      </c>
      <c r="D716" s="8" t="s">
        <v>2218</v>
      </c>
      <c r="E716" s="8" t="s">
        <v>48</v>
      </c>
      <c r="F716" s="8" t="s">
        <v>223</v>
      </c>
      <c r="G716" s="8" t="s">
        <v>93</v>
      </c>
      <c r="H716" s="8" t="s">
        <v>643</v>
      </c>
      <c r="I716" s="8" t="s">
        <v>4979</v>
      </c>
      <c r="J716" s="10">
        <v>266</v>
      </c>
      <c r="K716" s="11">
        <v>40.409999999999997</v>
      </c>
      <c r="L716" s="11">
        <v>61.83</v>
      </c>
      <c r="M716" s="11">
        <v>16446.78</v>
      </c>
      <c r="N716" s="11">
        <v>10749.06</v>
      </c>
      <c r="O716" s="11">
        <f>CleanedData[[#This Row],[Total Sales ($)]]-CleanedData[[#This Row],[Total Cost ($)]]</f>
        <v>5697.7199999999993</v>
      </c>
      <c r="P716" s="12">
        <f>CleanedData[[#This Row],[Profit ($)]]/CleanedData[[#This Row],[Total Sales ($)]]</f>
        <v>0.34643377001455605</v>
      </c>
      <c r="Q716" s="8" t="s">
        <v>42</v>
      </c>
      <c r="R716" s="8" t="s">
        <v>32</v>
      </c>
      <c r="S716" s="8" t="b">
        <f>_xlfn.SINGLE(CleanedData[[#This Row],[Delivery Status]])="Late"</f>
        <v>1</v>
      </c>
      <c r="T716" s="10">
        <v>7</v>
      </c>
      <c r="U716" s="8" t="s">
        <v>43</v>
      </c>
      <c r="V716" s="10">
        <v>2639</v>
      </c>
      <c r="W716" s="10">
        <v>12</v>
      </c>
      <c r="X716" s="12">
        <v>4.5112781954887202E-2</v>
      </c>
      <c r="Y716" s="8" t="b">
        <f>CleanedData[[#This Row],[Ship Date]]&lt;CleanedData[[#This Row],[Order Date]]</f>
        <v>0</v>
      </c>
      <c r="Z716" s="10">
        <f>YEAR(CleanedData[[#This Row],[Order Date]])</f>
        <v>2023</v>
      </c>
      <c r="AA716" s="8">
        <f>MONTH(CleanedData[[#This Row],[Order Date]])</f>
        <v>6</v>
      </c>
    </row>
    <row r="717" spans="1:27" x14ac:dyDescent="0.35">
      <c r="A717" s="8" t="s">
        <v>2219</v>
      </c>
      <c r="B717" s="9">
        <v>45201</v>
      </c>
      <c r="C717" s="9">
        <v>45063</v>
      </c>
      <c r="D717" s="8" t="s">
        <v>2220</v>
      </c>
      <c r="E717" s="8" t="s">
        <v>100</v>
      </c>
      <c r="F717" s="8" t="s">
        <v>106</v>
      </c>
      <c r="G717" s="8" t="s">
        <v>78</v>
      </c>
      <c r="H717" s="8" t="s">
        <v>123</v>
      </c>
      <c r="I717" s="8" t="s">
        <v>4969</v>
      </c>
      <c r="J717" s="10">
        <v>118</v>
      </c>
      <c r="K717" s="11">
        <v>360.97</v>
      </c>
      <c r="L717" s="11">
        <v>450.09</v>
      </c>
      <c r="M717" s="11">
        <v>53110.62</v>
      </c>
      <c r="N717" s="11">
        <v>42594.46</v>
      </c>
      <c r="O717" s="11">
        <f>CleanedData[[#This Row],[Total Sales ($)]]-CleanedData[[#This Row],[Total Cost ($)]]</f>
        <v>10516.160000000003</v>
      </c>
      <c r="P717" s="12">
        <f>CleanedData[[#This Row],[Profit ($)]]/CleanedData[[#This Row],[Total Sales ($)]]</f>
        <v>0.19800484347574934</v>
      </c>
      <c r="Q717" s="8" t="s">
        <v>95</v>
      </c>
      <c r="R717" s="8" t="s">
        <v>63</v>
      </c>
      <c r="S717" s="8" t="b">
        <f>_xlfn.SINGLE(CleanedData[[#This Row],[Delivery Status]])="Late"</f>
        <v>0</v>
      </c>
      <c r="T717" s="10">
        <v>2</v>
      </c>
      <c r="U717" s="8" t="s">
        <v>112</v>
      </c>
      <c r="V717" s="10">
        <v>3937</v>
      </c>
      <c r="W717" s="10">
        <v>5</v>
      </c>
      <c r="X717" s="12">
        <v>4.2372881355932202E-2</v>
      </c>
      <c r="Y717" s="8" t="b">
        <f>CleanedData[[#This Row],[Ship Date]]&lt;CleanedData[[#This Row],[Order Date]]</f>
        <v>1</v>
      </c>
      <c r="Z717" s="10">
        <f>YEAR(CleanedData[[#This Row],[Order Date]])</f>
        <v>2023</v>
      </c>
      <c r="AA717" s="8">
        <f>MONTH(CleanedData[[#This Row],[Order Date]])</f>
        <v>10</v>
      </c>
    </row>
    <row r="718" spans="1:27" x14ac:dyDescent="0.35">
      <c r="A718" s="8" t="s">
        <v>2221</v>
      </c>
      <c r="B718" s="9">
        <v>44965</v>
      </c>
      <c r="C718" s="9">
        <v>45149</v>
      </c>
      <c r="D718" s="8" t="s">
        <v>2222</v>
      </c>
      <c r="E718" s="8" t="s">
        <v>100</v>
      </c>
      <c r="F718" s="8" t="s">
        <v>106</v>
      </c>
      <c r="G718" s="8" t="s">
        <v>129</v>
      </c>
      <c r="H718" s="8" t="s">
        <v>130</v>
      </c>
      <c r="I718" s="8" t="s">
        <v>4975</v>
      </c>
      <c r="J718" s="10">
        <v>672</v>
      </c>
      <c r="K718" s="11">
        <v>1116.42</v>
      </c>
      <c r="L718" s="11">
        <v>1361.34</v>
      </c>
      <c r="M718" s="11">
        <v>914820.48</v>
      </c>
      <c r="N718" s="11">
        <v>750234.24</v>
      </c>
      <c r="O718" s="11">
        <f>CleanedData[[#This Row],[Total Sales ($)]]-CleanedData[[#This Row],[Total Cost ($)]]</f>
        <v>164586.23999999999</v>
      </c>
      <c r="P718" s="12">
        <f>CleanedData[[#This Row],[Profit ($)]]/CleanedData[[#This Row],[Total Sales ($)]]</f>
        <v>0.17991097007360393</v>
      </c>
      <c r="Q718" s="8" t="s">
        <v>52</v>
      </c>
      <c r="R718" s="8" t="s">
        <v>32</v>
      </c>
      <c r="S718" s="8" t="b">
        <f>_xlfn.SINGLE(CleanedData[[#This Row],[Delivery Status]])="Late"</f>
        <v>1</v>
      </c>
      <c r="T718" s="10">
        <v>10</v>
      </c>
      <c r="U718" s="8" t="s">
        <v>112</v>
      </c>
      <c r="V718" s="10">
        <v>34</v>
      </c>
      <c r="W718" s="10">
        <v>20</v>
      </c>
      <c r="X718" s="12">
        <v>2.9761904761904701E-2</v>
      </c>
      <c r="Y718" s="8" t="b">
        <f>CleanedData[[#This Row],[Ship Date]]&lt;CleanedData[[#This Row],[Order Date]]</f>
        <v>0</v>
      </c>
      <c r="Z718" s="10">
        <f>YEAR(CleanedData[[#This Row],[Order Date]])</f>
        <v>2023</v>
      </c>
      <c r="AA718" s="8">
        <f>MONTH(CleanedData[[#This Row],[Order Date]])</f>
        <v>2</v>
      </c>
    </row>
    <row r="719" spans="1:27" x14ac:dyDescent="0.35">
      <c r="A719" s="8" t="s">
        <v>2223</v>
      </c>
      <c r="B719" s="9">
        <v>45037</v>
      </c>
      <c r="C719" s="9">
        <v>45186</v>
      </c>
      <c r="D719" s="8" t="s">
        <v>2225</v>
      </c>
      <c r="E719" s="8" t="s">
        <v>100</v>
      </c>
      <c r="F719" s="8" t="s">
        <v>330</v>
      </c>
      <c r="G719" s="8" t="s">
        <v>93</v>
      </c>
      <c r="H719" s="8" t="s">
        <v>321</v>
      </c>
      <c r="I719" s="8" t="s">
        <v>4971</v>
      </c>
      <c r="J719" s="10">
        <v>409</v>
      </c>
      <c r="K719" s="11">
        <v>547.58000000000004</v>
      </c>
      <c r="L719" s="11">
        <v>788</v>
      </c>
      <c r="M719" s="11">
        <v>322292</v>
      </c>
      <c r="N719" s="11">
        <v>223960.22</v>
      </c>
      <c r="O719" s="11">
        <f>CleanedData[[#This Row],[Total Sales ($)]]-CleanedData[[#This Row],[Total Cost ($)]]</f>
        <v>98331.78</v>
      </c>
      <c r="P719" s="12">
        <f>CleanedData[[#This Row],[Profit ($)]]/CleanedData[[#This Row],[Total Sales ($)]]</f>
        <v>0.30510152284263958</v>
      </c>
      <c r="Q719" s="8" t="s">
        <v>42</v>
      </c>
      <c r="R719" s="8" t="s">
        <v>32</v>
      </c>
      <c r="S719" s="8" t="b">
        <f>_xlfn.SINGLE(CleanedData[[#This Row],[Delivery Status]])="Late"</f>
        <v>1</v>
      </c>
      <c r="T719" s="10">
        <v>6</v>
      </c>
      <c r="U719" s="8" t="s">
        <v>43</v>
      </c>
      <c r="V719" s="10">
        <v>2642</v>
      </c>
      <c r="W719" s="10">
        <v>12</v>
      </c>
      <c r="X719" s="12">
        <v>2.9339853300733399E-2</v>
      </c>
      <c r="Y719" s="8" t="b">
        <f>CleanedData[[#This Row],[Ship Date]]&lt;CleanedData[[#This Row],[Order Date]]</f>
        <v>0</v>
      </c>
      <c r="Z719" s="10">
        <f>YEAR(CleanedData[[#This Row],[Order Date]])</f>
        <v>2023</v>
      </c>
      <c r="AA719" s="8">
        <f>MONTH(CleanedData[[#This Row],[Order Date]])</f>
        <v>4</v>
      </c>
    </row>
    <row r="720" spans="1:27" x14ac:dyDescent="0.35">
      <c r="A720" s="8" t="s">
        <v>2226</v>
      </c>
      <c r="B720" s="9">
        <v>44960</v>
      </c>
      <c r="C720" s="9">
        <v>45174</v>
      </c>
      <c r="D720" s="8" t="s">
        <v>997</v>
      </c>
      <c r="E720" s="8" t="s">
        <v>68</v>
      </c>
      <c r="F720" s="8" t="s">
        <v>69</v>
      </c>
      <c r="G720" s="8" t="s">
        <v>217</v>
      </c>
      <c r="H720" s="8" t="s">
        <v>335</v>
      </c>
      <c r="I720" s="8" t="s">
        <v>4971</v>
      </c>
      <c r="J720" s="10">
        <v>152</v>
      </c>
      <c r="K720" s="11">
        <v>355.62</v>
      </c>
      <c r="L720" s="11">
        <v>520.82000000000005</v>
      </c>
      <c r="M720" s="11">
        <v>79164.639999999999</v>
      </c>
      <c r="N720" s="11">
        <v>54054.239999999998</v>
      </c>
      <c r="O720" s="11">
        <f>CleanedData[[#This Row],[Total Sales ($)]]-CleanedData[[#This Row],[Total Cost ($)]]</f>
        <v>25110.400000000001</v>
      </c>
      <c r="P720" s="12">
        <f>CleanedData[[#This Row],[Profit ($)]]/CleanedData[[#This Row],[Total Sales ($)]]</f>
        <v>0.31719212011827502</v>
      </c>
      <c r="Q720" s="8" t="s">
        <v>52</v>
      </c>
      <c r="R720" s="8" t="s">
        <v>32</v>
      </c>
      <c r="S720" s="8" t="b">
        <f>_xlfn.SINGLE(CleanedData[[#This Row],[Delivery Status]])="Late"</f>
        <v>1</v>
      </c>
      <c r="T720" s="10">
        <v>9</v>
      </c>
      <c r="U720" s="8" t="s">
        <v>112</v>
      </c>
      <c r="V720" s="10">
        <v>90</v>
      </c>
      <c r="W720" s="10">
        <v>7</v>
      </c>
      <c r="X720" s="12">
        <v>4.6052631578947303E-2</v>
      </c>
      <c r="Y720" s="8" t="b">
        <f>CleanedData[[#This Row],[Ship Date]]&lt;CleanedData[[#This Row],[Order Date]]</f>
        <v>0</v>
      </c>
      <c r="Z720" s="10">
        <f>YEAR(CleanedData[[#This Row],[Order Date]])</f>
        <v>2023</v>
      </c>
      <c r="AA720" s="8">
        <f>MONTH(CleanedData[[#This Row],[Order Date]])</f>
        <v>2</v>
      </c>
    </row>
    <row r="721" spans="1:27" x14ac:dyDescent="0.35">
      <c r="A721" s="8" t="s">
        <v>2227</v>
      </c>
      <c r="B721" s="9">
        <v>45055</v>
      </c>
      <c r="C721" s="9">
        <v>45170</v>
      </c>
      <c r="D721" s="8" t="s">
        <v>2228</v>
      </c>
      <c r="E721" s="8" t="s">
        <v>68</v>
      </c>
      <c r="F721" s="8" t="s">
        <v>2138</v>
      </c>
      <c r="G721" s="8" t="s">
        <v>50</v>
      </c>
      <c r="H721" s="8" t="s">
        <v>4972</v>
      </c>
      <c r="I721" s="8" t="s">
        <v>4977</v>
      </c>
      <c r="J721" s="10">
        <v>422</v>
      </c>
      <c r="K721" s="11">
        <v>231.21</v>
      </c>
      <c r="L721" s="11">
        <v>358.01</v>
      </c>
      <c r="M721" s="11">
        <v>151080.22</v>
      </c>
      <c r="N721" s="11">
        <v>97570.62</v>
      </c>
      <c r="O721" s="11">
        <f>CleanedData[[#This Row],[Total Sales ($)]]-CleanedData[[#This Row],[Total Cost ($)]]</f>
        <v>53509.600000000006</v>
      </c>
      <c r="P721" s="12">
        <f>CleanedData[[#This Row],[Profit ($)]]/CleanedData[[#This Row],[Total Sales ($)]]</f>
        <v>0.35418005083656884</v>
      </c>
      <c r="Q721" s="8" t="s">
        <v>31</v>
      </c>
      <c r="R721" s="8" t="s">
        <v>63</v>
      </c>
      <c r="S721" s="8" t="b">
        <f>_xlfn.SINGLE(CleanedData[[#This Row],[Delivery Status]])="Late"</f>
        <v>0</v>
      </c>
      <c r="T721" s="10">
        <v>3</v>
      </c>
      <c r="U721" s="8" t="s">
        <v>53</v>
      </c>
      <c r="V721" s="10">
        <v>2949</v>
      </c>
      <c r="W721" s="10">
        <v>17</v>
      </c>
      <c r="X721" s="12">
        <v>4.0284360189573397E-2</v>
      </c>
      <c r="Y721" s="8" t="b">
        <f>CleanedData[[#This Row],[Ship Date]]&lt;CleanedData[[#This Row],[Order Date]]</f>
        <v>0</v>
      </c>
      <c r="Z721" s="10">
        <f>YEAR(CleanedData[[#This Row],[Order Date]])</f>
        <v>2023</v>
      </c>
      <c r="AA721" s="8">
        <f>MONTH(CleanedData[[#This Row],[Order Date]])</f>
        <v>5</v>
      </c>
    </row>
    <row r="722" spans="1:27" x14ac:dyDescent="0.35">
      <c r="A722" s="8" t="s">
        <v>2229</v>
      </c>
      <c r="B722" s="9">
        <v>45002</v>
      </c>
      <c r="C722" s="9">
        <v>45154</v>
      </c>
      <c r="D722" s="8" t="s">
        <v>2230</v>
      </c>
      <c r="E722" s="8" t="s">
        <v>58</v>
      </c>
      <c r="F722" s="8" t="s">
        <v>122</v>
      </c>
      <c r="G722" s="8" t="s">
        <v>93</v>
      </c>
      <c r="H722" s="8" t="s">
        <v>1442</v>
      </c>
      <c r="I722" s="8" t="s">
        <v>4979</v>
      </c>
      <c r="J722" s="10">
        <v>605</v>
      </c>
      <c r="K722" s="11">
        <v>478.8</v>
      </c>
      <c r="L722" s="11">
        <v>766.59</v>
      </c>
      <c r="M722" s="11">
        <v>463786.95</v>
      </c>
      <c r="N722" s="11">
        <v>289674</v>
      </c>
      <c r="O722" s="11">
        <f>CleanedData[[#This Row],[Total Sales ($)]]-CleanedData[[#This Row],[Total Cost ($)]]</f>
        <v>174112.95</v>
      </c>
      <c r="P722" s="12">
        <f>CleanedData[[#This Row],[Profit ($)]]/CleanedData[[#This Row],[Total Sales ($)]]</f>
        <v>0.37541580244981021</v>
      </c>
      <c r="Q722" s="8" t="s">
        <v>52</v>
      </c>
      <c r="R722" s="8" t="s">
        <v>32</v>
      </c>
      <c r="S722" s="8" t="b">
        <f>_xlfn.SINGLE(CleanedData[[#This Row],[Delivery Status]])="Late"</f>
        <v>1</v>
      </c>
      <c r="T722" s="10">
        <v>7</v>
      </c>
      <c r="U722" s="8" t="s">
        <v>86</v>
      </c>
      <c r="V722" s="10">
        <v>3769</v>
      </c>
      <c r="W722" s="10">
        <v>8</v>
      </c>
      <c r="X722" s="12">
        <v>1.3223140495867701E-2</v>
      </c>
      <c r="Y722" s="8" t="b">
        <f>CleanedData[[#This Row],[Ship Date]]&lt;CleanedData[[#This Row],[Order Date]]</f>
        <v>0</v>
      </c>
      <c r="Z722" s="10">
        <f>YEAR(CleanedData[[#This Row],[Order Date]])</f>
        <v>2023</v>
      </c>
      <c r="AA722" s="8">
        <f>MONTH(CleanedData[[#This Row],[Order Date]])</f>
        <v>3</v>
      </c>
    </row>
    <row r="723" spans="1:27" x14ac:dyDescent="0.35">
      <c r="A723" s="8" t="s">
        <v>2231</v>
      </c>
      <c r="B723" s="9">
        <v>45153</v>
      </c>
      <c r="C723" s="9">
        <v>44958</v>
      </c>
      <c r="D723" s="8" t="s">
        <v>2232</v>
      </c>
      <c r="E723" s="8" t="s">
        <v>68</v>
      </c>
      <c r="F723" s="8" t="s">
        <v>2233</v>
      </c>
      <c r="G723" s="8" t="s">
        <v>217</v>
      </c>
      <c r="H723" s="8" t="s">
        <v>524</v>
      </c>
      <c r="I723" s="8" t="s">
        <v>4973</v>
      </c>
      <c r="J723" s="10">
        <v>785</v>
      </c>
      <c r="K723" s="11">
        <v>178.81</v>
      </c>
      <c r="L723" s="11">
        <v>244.37</v>
      </c>
      <c r="M723" s="11">
        <v>191830.45</v>
      </c>
      <c r="N723" s="11">
        <v>140365.85</v>
      </c>
      <c r="O723" s="11">
        <f>CleanedData[[#This Row],[Total Sales ($)]]-CleanedData[[#This Row],[Total Cost ($)]]</f>
        <v>51464.600000000006</v>
      </c>
      <c r="P723" s="12">
        <f>CleanedData[[#This Row],[Profit ($)]]/CleanedData[[#This Row],[Total Sales ($)]]</f>
        <v>0.26828170397348283</v>
      </c>
      <c r="Q723" s="8" t="s">
        <v>95</v>
      </c>
      <c r="R723" s="8" t="s">
        <v>32</v>
      </c>
      <c r="S723" s="8" t="b">
        <f>_xlfn.SINGLE(CleanedData[[#This Row],[Delivery Status]])="Late"</f>
        <v>1</v>
      </c>
      <c r="T723" s="10">
        <v>2</v>
      </c>
      <c r="U723" s="8" t="s">
        <v>43</v>
      </c>
      <c r="V723" s="10">
        <v>1689</v>
      </c>
      <c r="W723" s="10">
        <v>25</v>
      </c>
      <c r="X723" s="12">
        <v>3.18471337579617E-2</v>
      </c>
      <c r="Y723" s="8" t="b">
        <f>CleanedData[[#This Row],[Ship Date]]&lt;CleanedData[[#This Row],[Order Date]]</f>
        <v>1</v>
      </c>
      <c r="Z723" s="10">
        <f>YEAR(CleanedData[[#This Row],[Order Date]])</f>
        <v>2023</v>
      </c>
      <c r="AA723" s="8">
        <f>MONTH(CleanedData[[#This Row],[Order Date]])</f>
        <v>8</v>
      </c>
    </row>
    <row r="724" spans="1:27" x14ac:dyDescent="0.35">
      <c r="A724" s="8" t="s">
        <v>2235</v>
      </c>
      <c r="B724" s="9">
        <v>45027</v>
      </c>
      <c r="C724" s="9">
        <v>44992</v>
      </c>
      <c r="D724" s="8" t="s">
        <v>2236</v>
      </c>
      <c r="E724" s="8" t="s">
        <v>58</v>
      </c>
      <c r="F724" s="8" t="s">
        <v>59</v>
      </c>
      <c r="G724" s="8" t="s">
        <v>70</v>
      </c>
      <c r="H724" s="8" t="s">
        <v>84</v>
      </c>
      <c r="I724" s="8" t="s">
        <v>4968</v>
      </c>
      <c r="J724" s="10">
        <v>674</v>
      </c>
      <c r="K724" s="11">
        <v>298.35000000000002</v>
      </c>
      <c r="L724" s="11">
        <v>471.55</v>
      </c>
      <c r="M724" s="11">
        <v>317824.7</v>
      </c>
      <c r="N724" s="11">
        <v>201087.9</v>
      </c>
      <c r="O724" s="11">
        <f>CleanedData[[#This Row],[Total Sales ($)]]-CleanedData[[#This Row],[Total Cost ($)]]</f>
        <v>116736.80000000002</v>
      </c>
      <c r="P724" s="12">
        <f>CleanedData[[#This Row],[Profit ($)]]/CleanedData[[#This Row],[Total Sales ($)]]</f>
        <v>0.367299331990245</v>
      </c>
      <c r="Q724" s="8" t="s">
        <v>42</v>
      </c>
      <c r="R724" s="8" t="s">
        <v>63</v>
      </c>
      <c r="S724" s="8" t="b">
        <f>_xlfn.SINGLE(CleanedData[[#This Row],[Delivery Status]])="Late"</f>
        <v>0</v>
      </c>
      <c r="T724" s="10">
        <v>4</v>
      </c>
      <c r="U724" s="8" t="s">
        <v>33</v>
      </c>
      <c r="V724" s="10">
        <v>3581</v>
      </c>
      <c r="W724" s="10">
        <v>8</v>
      </c>
      <c r="X724" s="12">
        <v>1.18694362017804E-2</v>
      </c>
      <c r="Y724" s="8" t="b">
        <f>CleanedData[[#This Row],[Ship Date]]&lt;CleanedData[[#This Row],[Order Date]]</f>
        <v>1</v>
      </c>
      <c r="Z724" s="10">
        <f>YEAR(CleanedData[[#This Row],[Order Date]])</f>
        <v>2023</v>
      </c>
      <c r="AA724" s="8">
        <f>MONTH(CleanedData[[#This Row],[Order Date]])</f>
        <v>4</v>
      </c>
    </row>
    <row r="725" spans="1:27" x14ac:dyDescent="0.35">
      <c r="A725" s="8" t="s">
        <v>2237</v>
      </c>
      <c r="B725" s="9">
        <v>45213</v>
      </c>
      <c r="C725" s="9">
        <v>44934</v>
      </c>
      <c r="D725" s="8" t="s">
        <v>739</v>
      </c>
      <c r="E725" s="8" t="s">
        <v>26</v>
      </c>
      <c r="F725" s="8" t="s">
        <v>92</v>
      </c>
      <c r="G725" s="8" t="s">
        <v>50</v>
      </c>
      <c r="H725" s="8" t="s">
        <v>51</v>
      </c>
      <c r="I725" s="8" t="s">
        <v>4978</v>
      </c>
      <c r="J725" s="10">
        <v>619</v>
      </c>
      <c r="K725" s="11">
        <v>158.35</v>
      </c>
      <c r="L725" s="11">
        <v>260.72000000000003</v>
      </c>
      <c r="M725" s="11">
        <v>161385.68</v>
      </c>
      <c r="N725" s="11">
        <v>98018.65</v>
      </c>
      <c r="O725" s="11">
        <f>CleanedData[[#This Row],[Total Sales ($)]]-CleanedData[[#This Row],[Total Cost ($)]]</f>
        <v>63367.03</v>
      </c>
      <c r="P725" s="12">
        <f>CleanedData[[#This Row],[Profit ($)]]/CleanedData[[#This Row],[Total Sales ($)]]</f>
        <v>0.39264344891070879</v>
      </c>
      <c r="Q725" s="8" t="s">
        <v>42</v>
      </c>
      <c r="R725" s="8" t="s">
        <v>32</v>
      </c>
      <c r="S725" s="8" t="b">
        <f>_xlfn.SINGLE(CleanedData[[#This Row],[Delivery Status]])="Late"</f>
        <v>1</v>
      </c>
      <c r="T725" s="10">
        <v>11</v>
      </c>
      <c r="U725" s="8" t="s">
        <v>158</v>
      </c>
      <c r="V725" s="10">
        <v>1912</v>
      </c>
      <c r="W725" s="10">
        <v>27</v>
      </c>
      <c r="X725" s="12">
        <v>4.3618739903069401E-2</v>
      </c>
      <c r="Y725" s="8" t="b">
        <f>CleanedData[[#This Row],[Ship Date]]&lt;CleanedData[[#This Row],[Order Date]]</f>
        <v>1</v>
      </c>
      <c r="Z725" s="10">
        <f>YEAR(CleanedData[[#This Row],[Order Date]])</f>
        <v>2023</v>
      </c>
      <c r="AA725" s="8">
        <f>MONTH(CleanedData[[#This Row],[Order Date]])</f>
        <v>10</v>
      </c>
    </row>
    <row r="726" spans="1:27" x14ac:dyDescent="0.35">
      <c r="A726" s="8" t="s">
        <v>2238</v>
      </c>
      <c r="B726" s="9">
        <v>45233</v>
      </c>
      <c r="C726" s="9">
        <v>45080</v>
      </c>
      <c r="D726" s="8" t="s">
        <v>2239</v>
      </c>
      <c r="E726" s="8" t="s">
        <v>26</v>
      </c>
      <c r="F726" s="8" t="s">
        <v>2240</v>
      </c>
      <c r="G726" s="8" t="s">
        <v>60</v>
      </c>
      <c r="H726" s="8" t="s">
        <v>61</v>
      </c>
      <c r="I726" s="8" t="s">
        <v>4977</v>
      </c>
      <c r="J726" s="10">
        <v>123</v>
      </c>
      <c r="K726" s="11">
        <v>392.56</v>
      </c>
      <c r="L726" s="11">
        <v>447.68</v>
      </c>
      <c r="M726" s="11">
        <v>55064.639999999999</v>
      </c>
      <c r="N726" s="11">
        <v>48284.88</v>
      </c>
      <c r="O726" s="11">
        <f>CleanedData[[#This Row],[Total Sales ($)]]-CleanedData[[#This Row],[Total Cost ($)]]</f>
        <v>6779.760000000002</v>
      </c>
      <c r="P726" s="12">
        <f>CleanedData[[#This Row],[Profit ($)]]/CleanedData[[#This Row],[Total Sales ($)]]</f>
        <v>0.1231236597569693</v>
      </c>
      <c r="Q726" s="8" t="s">
        <v>42</v>
      </c>
      <c r="R726" s="8" t="s">
        <v>32</v>
      </c>
      <c r="S726" s="8" t="b">
        <f>_xlfn.SINGLE(CleanedData[[#This Row],[Delivery Status]])="Late"</f>
        <v>1</v>
      </c>
      <c r="T726" s="10">
        <v>11</v>
      </c>
      <c r="U726" s="8" t="s">
        <v>53</v>
      </c>
      <c r="V726" s="10">
        <v>839</v>
      </c>
      <c r="W726" s="10">
        <v>1</v>
      </c>
      <c r="X726" s="12">
        <v>8.1300813008130003E-3</v>
      </c>
      <c r="Y726" s="8" t="b">
        <f>CleanedData[[#This Row],[Ship Date]]&lt;CleanedData[[#This Row],[Order Date]]</f>
        <v>1</v>
      </c>
      <c r="Z726" s="10">
        <f>YEAR(CleanedData[[#This Row],[Order Date]])</f>
        <v>2023</v>
      </c>
      <c r="AA726" s="8">
        <f>MONTH(CleanedData[[#This Row],[Order Date]])</f>
        <v>11</v>
      </c>
    </row>
    <row r="727" spans="1:27" x14ac:dyDescent="0.35">
      <c r="A727" s="8" t="s">
        <v>2241</v>
      </c>
      <c r="B727" s="9">
        <v>45141</v>
      </c>
      <c r="C727" s="9">
        <v>45212</v>
      </c>
      <c r="D727" s="8" t="s">
        <v>2242</v>
      </c>
      <c r="E727" s="8" t="s">
        <v>100</v>
      </c>
      <c r="F727" s="8" t="s">
        <v>330</v>
      </c>
      <c r="G727" s="8" t="s">
        <v>50</v>
      </c>
      <c r="H727" s="8" t="s">
        <v>260</v>
      </c>
      <c r="I727" s="8" t="s">
        <v>4971</v>
      </c>
      <c r="J727" s="10">
        <v>706</v>
      </c>
      <c r="K727" s="11">
        <v>55.2</v>
      </c>
      <c r="L727" s="11">
        <v>74.2</v>
      </c>
      <c r="M727" s="11">
        <v>52385.2</v>
      </c>
      <c r="N727" s="11">
        <v>38971.199999999997</v>
      </c>
      <c r="O727" s="11">
        <f>CleanedData[[#This Row],[Total Sales ($)]]-CleanedData[[#This Row],[Total Cost ($)]]</f>
        <v>13414</v>
      </c>
      <c r="P727" s="12">
        <f>CleanedData[[#This Row],[Profit ($)]]/CleanedData[[#This Row],[Total Sales ($)]]</f>
        <v>0.2560646900269542</v>
      </c>
      <c r="Q727" s="8" t="s">
        <v>95</v>
      </c>
      <c r="R727" s="8" t="s">
        <v>63</v>
      </c>
      <c r="S727" s="8" t="b">
        <f>_xlfn.SINGLE(CleanedData[[#This Row],[Delivery Status]])="Late"</f>
        <v>0</v>
      </c>
      <c r="T727" s="10">
        <v>3</v>
      </c>
      <c r="U727" s="8" t="s">
        <v>112</v>
      </c>
      <c r="V727" s="10">
        <v>3783</v>
      </c>
      <c r="W727" s="10">
        <v>14</v>
      </c>
      <c r="X727" s="12">
        <v>1.9830028328611801E-2</v>
      </c>
      <c r="Y727" s="8" t="b">
        <f>CleanedData[[#This Row],[Ship Date]]&lt;CleanedData[[#This Row],[Order Date]]</f>
        <v>0</v>
      </c>
      <c r="Z727" s="10">
        <f>YEAR(CleanedData[[#This Row],[Order Date]])</f>
        <v>2023</v>
      </c>
      <c r="AA727" s="8">
        <f>MONTH(CleanedData[[#This Row],[Order Date]])</f>
        <v>8</v>
      </c>
    </row>
    <row r="728" spans="1:27" x14ac:dyDescent="0.35">
      <c r="A728" s="8" t="s">
        <v>2243</v>
      </c>
      <c r="B728" s="9">
        <v>45384</v>
      </c>
      <c r="C728" s="9">
        <v>45238</v>
      </c>
      <c r="D728" s="8" t="s">
        <v>2245</v>
      </c>
      <c r="E728" s="8" t="s">
        <v>68</v>
      </c>
      <c r="F728" s="8" t="s">
        <v>163</v>
      </c>
      <c r="G728" s="8" t="s">
        <v>129</v>
      </c>
      <c r="H728" s="8" t="s">
        <v>130</v>
      </c>
      <c r="I728" s="8" t="s">
        <v>4973</v>
      </c>
      <c r="J728" s="10">
        <v>512</v>
      </c>
      <c r="K728" s="11">
        <v>1160.6199999999999</v>
      </c>
      <c r="L728" s="11">
        <v>1839.57</v>
      </c>
      <c r="M728" s="11">
        <v>941859.83999999997</v>
      </c>
      <c r="N728" s="11">
        <v>594237.43999999994</v>
      </c>
      <c r="O728" s="11">
        <f>CleanedData[[#This Row],[Total Sales ($)]]-CleanedData[[#This Row],[Total Cost ($)]]</f>
        <v>347622.40000000002</v>
      </c>
      <c r="P728" s="12">
        <f>CleanedData[[#This Row],[Profit ($)]]/CleanedData[[#This Row],[Total Sales ($)]]</f>
        <v>0.36908081779981194</v>
      </c>
      <c r="Q728" s="8" t="s">
        <v>42</v>
      </c>
      <c r="R728" s="8" t="s">
        <v>63</v>
      </c>
      <c r="S728" s="8" t="b">
        <f>_xlfn.SINGLE(CleanedData[[#This Row],[Delivery Status]])="Late"</f>
        <v>0</v>
      </c>
      <c r="T728" s="10">
        <v>1</v>
      </c>
      <c r="U728" s="8" t="s">
        <v>158</v>
      </c>
      <c r="V728" s="10">
        <v>3841</v>
      </c>
      <c r="W728" s="10">
        <v>24</v>
      </c>
      <c r="X728" s="12">
        <v>4.6875E-2</v>
      </c>
      <c r="Y728" s="8" t="b">
        <f>CleanedData[[#This Row],[Ship Date]]&lt;CleanedData[[#This Row],[Order Date]]</f>
        <v>1</v>
      </c>
      <c r="Z728" s="10">
        <f>YEAR(CleanedData[[#This Row],[Order Date]])</f>
        <v>2024</v>
      </c>
      <c r="AA728" s="8">
        <f>MONTH(CleanedData[[#This Row],[Order Date]])</f>
        <v>4</v>
      </c>
    </row>
    <row r="729" spans="1:27" x14ac:dyDescent="0.35">
      <c r="A729" s="8" t="s">
        <v>2246</v>
      </c>
      <c r="B729" s="9">
        <v>44987</v>
      </c>
      <c r="C729" s="9">
        <v>45053</v>
      </c>
      <c r="D729" s="8" t="s">
        <v>2248</v>
      </c>
      <c r="E729" s="8" t="s">
        <v>58</v>
      </c>
      <c r="F729" s="8" t="s">
        <v>417</v>
      </c>
      <c r="G729" s="8" t="s">
        <v>129</v>
      </c>
      <c r="H729" s="8" t="s">
        <v>168</v>
      </c>
      <c r="I729" s="8" t="s">
        <v>4967</v>
      </c>
      <c r="J729" s="10">
        <v>393</v>
      </c>
      <c r="K729" s="11">
        <v>61.23</v>
      </c>
      <c r="L729" s="11">
        <v>96.49</v>
      </c>
      <c r="M729" s="11">
        <v>37920.57</v>
      </c>
      <c r="N729" s="11">
        <v>24063.39</v>
      </c>
      <c r="O729" s="11">
        <f>CleanedData[[#This Row],[Total Sales ($)]]-CleanedData[[#This Row],[Total Cost ($)]]</f>
        <v>13857.18</v>
      </c>
      <c r="P729" s="12">
        <f>CleanedData[[#This Row],[Profit ($)]]/CleanedData[[#This Row],[Total Sales ($)]]</f>
        <v>0.36542646906415172</v>
      </c>
      <c r="Q729" s="8" t="s">
        <v>52</v>
      </c>
      <c r="R729" s="8" t="s">
        <v>63</v>
      </c>
      <c r="S729" s="8" t="b">
        <f>_xlfn.SINGLE(CleanedData[[#This Row],[Delivery Status]])="Late"</f>
        <v>0</v>
      </c>
      <c r="T729" s="10">
        <v>5</v>
      </c>
      <c r="U729" s="8" t="s">
        <v>112</v>
      </c>
      <c r="V729" s="10">
        <v>3070</v>
      </c>
      <c r="W729" s="10">
        <v>9</v>
      </c>
      <c r="X729" s="12">
        <v>2.2900763358778602E-2</v>
      </c>
      <c r="Y729" s="8" t="b">
        <f>CleanedData[[#This Row],[Ship Date]]&lt;CleanedData[[#This Row],[Order Date]]</f>
        <v>0</v>
      </c>
      <c r="Z729" s="10">
        <f>YEAR(CleanedData[[#This Row],[Order Date]])</f>
        <v>2023</v>
      </c>
      <c r="AA729" s="8">
        <f>MONTH(CleanedData[[#This Row],[Order Date]])</f>
        <v>3</v>
      </c>
    </row>
    <row r="730" spans="1:27" x14ac:dyDescent="0.35">
      <c r="A730" s="8" t="s">
        <v>2249</v>
      </c>
      <c r="B730" s="9">
        <v>45240</v>
      </c>
      <c r="C730" s="9">
        <v>45008</v>
      </c>
      <c r="D730" s="8" t="s">
        <v>2251</v>
      </c>
      <c r="E730" s="8" t="s">
        <v>100</v>
      </c>
      <c r="F730" s="8" t="s">
        <v>330</v>
      </c>
      <c r="G730" s="8" t="s">
        <v>50</v>
      </c>
      <c r="H730" s="8" t="s">
        <v>117</v>
      </c>
      <c r="I730" s="8" t="s">
        <v>1167</v>
      </c>
      <c r="J730" s="10">
        <v>721</v>
      </c>
      <c r="K730" s="11">
        <v>936.4</v>
      </c>
      <c r="L730" s="11">
        <v>1101.44</v>
      </c>
      <c r="M730" s="11">
        <v>794138.24</v>
      </c>
      <c r="N730" s="11">
        <v>675144.4</v>
      </c>
      <c r="O730" s="11">
        <f>CleanedData[[#This Row],[Total Sales ($)]]-CleanedData[[#This Row],[Total Cost ($)]]</f>
        <v>118993.83999999997</v>
      </c>
      <c r="P730" s="12">
        <f>CleanedData[[#This Row],[Profit ($)]]/CleanedData[[#This Row],[Total Sales ($)]]</f>
        <v>0.14984020918070884</v>
      </c>
      <c r="Q730" s="8" t="s">
        <v>95</v>
      </c>
      <c r="R730" s="8" t="s">
        <v>63</v>
      </c>
      <c r="S730" s="8" t="b">
        <f>_xlfn.SINGLE(CleanedData[[#This Row],[Delivery Status]])="Late"</f>
        <v>0</v>
      </c>
      <c r="T730" s="10">
        <v>1</v>
      </c>
      <c r="U730" s="8" t="s">
        <v>112</v>
      </c>
      <c r="V730" s="10">
        <v>3670</v>
      </c>
      <c r="W730" s="10">
        <v>3</v>
      </c>
      <c r="X730" s="12">
        <v>4.1608876560332003E-3</v>
      </c>
      <c r="Y730" s="8" t="b">
        <f>CleanedData[[#This Row],[Ship Date]]&lt;CleanedData[[#This Row],[Order Date]]</f>
        <v>1</v>
      </c>
      <c r="Z730" s="10">
        <f>YEAR(CleanedData[[#This Row],[Order Date]])</f>
        <v>2023</v>
      </c>
      <c r="AA730" s="8">
        <f>MONTH(CleanedData[[#This Row],[Order Date]])</f>
        <v>11</v>
      </c>
    </row>
    <row r="731" spans="1:27" x14ac:dyDescent="0.35">
      <c r="A731" s="8" t="s">
        <v>2253</v>
      </c>
      <c r="B731" s="9">
        <v>45007</v>
      </c>
      <c r="C731" s="9">
        <v>45017</v>
      </c>
      <c r="D731" s="8" t="s">
        <v>2254</v>
      </c>
      <c r="E731" s="8" t="s">
        <v>100</v>
      </c>
      <c r="F731" s="8" t="s">
        <v>106</v>
      </c>
      <c r="G731" s="8" t="s">
        <v>129</v>
      </c>
      <c r="H731" s="8" t="s">
        <v>704</v>
      </c>
      <c r="I731" s="8" t="s">
        <v>4970</v>
      </c>
      <c r="J731" s="10">
        <v>131</v>
      </c>
      <c r="K731" s="11">
        <v>108.59</v>
      </c>
      <c r="L731" s="11">
        <v>176.89</v>
      </c>
      <c r="M731" s="11">
        <v>23172.59</v>
      </c>
      <c r="N731" s="11">
        <v>14225.29</v>
      </c>
      <c r="O731" s="11">
        <f>CleanedData[[#This Row],[Total Sales ($)]]-CleanedData[[#This Row],[Total Cost ($)]]</f>
        <v>8947.2999999999993</v>
      </c>
      <c r="P731" s="12">
        <f>CleanedData[[#This Row],[Profit ($)]]/CleanedData[[#This Row],[Total Sales ($)]]</f>
        <v>0.38611566510260609</v>
      </c>
      <c r="Q731" s="8" t="s">
        <v>52</v>
      </c>
      <c r="R731" s="8" t="s">
        <v>32</v>
      </c>
      <c r="S731" s="8" t="b">
        <f>_xlfn.SINGLE(CleanedData[[#This Row],[Delivery Status]])="Late"</f>
        <v>1</v>
      </c>
      <c r="T731" s="10">
        <v>8</v>
      </c>
      <c r="U731" s="8" t="s">
        <v>158</v>
      </c>
      <c r="V731" s="10">
        <v>3359</v>
      </c>
      <c r="W731" s="10">
        <v>1</v>
      </c>
      <c r="X731" s="12">
        <v>7.6335877862595001E-3</v>
      </c>
      <c r="Y731" s="8" t="b">
        <f>CleanedData[[#This Row],[Ship Date]]&lt;CleanedData[[#This Row],[Order Date]]</f>
        <v>0</v>
      </c>
      <c r="Z731" s="10">
        <f>YEAR(CleanedData[[#This Row],[Order Date]])</f>
        <v>2023</v>
      </c>
      <c r="AA731" s="8">
        <f>MONTH(CleanedData[[#This Row],[Order Date]])</f>
        <v>3</v>
      </c>
    </row>
    <row r="732" spans="1:27" x14ac:dyDescent="0.35">
      <c r="A732" s="8" t="s">
        <v>2255</v>
      </c>
      <c r="B732" s="9">
        <v>45100</v>
      </c>
      <c r="C732" s="9">
        <v>45149</v>
      </c>
      <c r="D732" s="8" t="s">
        <v>2257</v>
      </c>
      <c r="E732" s="8" t="s">
        <v>100</v>
      </c>
      <c r="F732" s="8" t="s">
        <v>106</v>
      </c>
      <c r="G732" s="8" t="s">
        <v>78</v>
      </c>
      <c r="H732" s="8" t="s">
        <v>178</v>
      </c>
      <c r="I732" s="8" t="s">
        <v>4971</v>
      </c>
      <c r="J732" s="10">
        <v>431</v>
      </c>
      <c r="K732" s="11">
        <v>894.83</v>
      </c>
      <c r="L732" s="11">
        <v>1060.92</v>
      </c>
      <c r="M732" s="11">
        <v>457256.52</v>
      </c>
      <c r="N732" s="11">
        <v>385671.73</v>
      </c>
      <c r="O732" s="11">
        <f>CleanedData[[#This Row],[Total Sales ($)]]-CleanedData[[#This Row],[Total Cost ($)]]</f>
        <v>71584.790000000037</v>
      </c>
      <c r="P732" s="12">
        <f>CleanedData[[#This Row],[Profit ($)]]/CleanedData[[#This Row],[Total Sales ($)]]</f>
        <v>0.15655280322738763</v>
      </c>
      <c r="Q732" s="8" t="s">
        <v>31</v>
      </c>
      <c r="R732" s="8" t="s">
        <v>32</v>
      </c>
      <c r="S732" s="8" t="b">
        <f>_xlfn.SINGLE(CleanedData[[#This Row],[Delivery Status]])="Late"</f>
        <v>1</v>
      </c>
      <c r="T732" s="10">
        <v>8</v>
      </c>
      <c r="U732" s="8" t="s">
        <v>158</v>
      </c>
      <c r="V732" s="10">
        <v>1496</v>
      </c>
      <c r="W732" s="10">
        <v>6</v>
      </c>
      <c r="X732" s="12">
        <v>1.3921113689095099E-2</v>
      </c>
      <c r="Y732" s="8" t="b">
        <f>CleanedData[[#This Row],[Ship Date]]&lt;CleanedData[[#This Row],[Order Date]]</f>
        <v>0</v>
      </c>
      <c r="Z732" s="10">
        <f>YEAR(CleanedData[[#This Row],[Order Date]])</f>
        <v>2023</v>
      </c>
      <c r="AA732" s="8">
        <f>MONTH(CleanedData[[#This Row],[Order Date]])</f>
        <v>6</v>
      </c>
    </row>
    <row r="733" spans="1:27" x14ac:dyDescent="0.35">
      <c r="A733" s="8" t="s">
        <v>2258</v>
      </c>
      <c r="B733" s="9">
        <v>45164</v>
      </c>
      <c r="C733" s="9">
        <v>45207</v>
      </c>
      <c r="D733" s="8" t="s">
        <v>2259</v>
      </c>
      <c r="E733" s="8" t="s">
        <v>48</v>
      </c>
      <c r="F733" s="8" t="s">
        <v>49</v>
      </c>
      <c r="G733" s="8" t="s">
        <v>50</v>
      </c>
      <c r="H733" s="8" t="s">
        <v>734</v>
      </c>
      <c r="I733" s="8" t="s">
        <v>4975</v>
      </c>
      <c r="J733" s="10">
        <v>499</v>
      </c>
      <c r="K733" s="11">
        <v>308.04000000000002</v>
      </c>
      <c r="L733" s="11">
        <v>498.15</v>
      </c>
      <c r="M733" s="11">
        <v>248576.85</v>
      </c>
      <c r="N733" s="11">
        <v>153711.96</v>
      </c>
      <c r="O733" s="11">
        <f>CleanedData[[#This Row],[Total Sales ($)]]-CleanedData[[#This Row],[Total Cost ($)]]</f>
        <v>94864.890000000014</v>
      </c>
      <c r="P733" s="12">
        <f>CleanedData[[#This Row],[Profit ($)]]/CleanedData[[#This Row],[Total Sales ($)]]</f>
        <v>0.38163203854260769</v>
      </c>
      <c r="Q733" s="8" t="s">
        <v>31</v>
      </c>
      <c r="R733" s="8" t="s">
        <v>32</v>
      </c>
      <c r="S733" s="8" t="b">
        <f>_xlfn.SINGLE(CleanedData[[#This Row],[Delivery Status]])="Late"</f>
        <v>1</v>
      </c>
      <c r="T733" s="10">
        <v>7</v>
      </c>
      <c r="U733" s="8" t="s">
        <v>53</v>
      </c>
      <c r="V733" s="10">
        <v>998</v>
      </c>
      <c r="W733" s="10">
        <v>23</v>
      </c>
      <c r="X733" s="12">
        <v>4.6092184368737403E-2</v>
      </c>
      <c r="Y733" s="8" t="b">
        <f>CleanedData[[#This Row],[Ship Date]]&lt;CleanedData[[#This Row],[Order Date]]</f>
        <v>0</v>
      </c>
      <c r="Z733" s="10">
        <f>YEAR(CleanedData[[#This Row],[Order Date]])</f>
        <v>2023</v>
      </c>
      <c r="AA733" s="8">
        <f>MONTH(CleanedData[[#This Row],[Order Date]])</f>
        <v>8</v>
      </c>
    </row>
    <row r="734" spans="1:27" x14ac:dyDescent="0.35">
      <c r="A734" s="8" t="s">
        <v>2260</v>
      </c>
      <c r="B734" s="9">
        <v>45548</v>
      </c>
      <c r="C734" s="9">
        <v>45133</v>
      </c>
      <c r="D734" s="8" t="s">
        <v>2262</v>
      </c>
      <c r="E734" s="8" t="s">
        <v>48</v>
      </c>
      <c r="F734" s="8" t="s">
        <v>270</v>
      </c>
      <c r="G734" s="8" t="s">
        <v>70</v>
      </c>
      <c r="H734" s="8" t="s">
        <v>822</v>
      </c>
      <c r="I734" s="8" t="s">
        <v>4976</v>
      </c>
      <c r="J734" s="10">
        <v>310</v>
      </c>
      <c r="K734" s="11">
        <v>925.47</v>
      </c>
      <c r="L734" s="11">
        <v>1291.3900000000001</v>
      </c>
      <c r="M734" s="11">
        <v>400330.9</v>
      </c>
      <c r="N734" s="11">
        <v>286895.7</v>
      </c>
      <c r="O734" s="11">
        <f>CleanedData[[#This Row],[Total Sales ($)]]-CleanedData[[#This Row],[Total Cost ($)]]</f>
        <v>113435.20000000001</v>
      </c>
      <c r="P734" s="12">
        <f>CleanedData[[#This Row],[Profit ($)]]/CleanedData[[#This Row],[Total Sales ($)]]</f>
        <v>0.28335359573792579</v>
      </c>
      <c r="Q734" s="8" t="s">
        <v>52</v>
      </c>
      <c r="R734" s="8" t="s">
        <v>63</v>
      </c>
      <c r="S734" s="8" t="b">
        <f>_xlfn.SINGLE(CleanedData[[#This Row],[Delivery Status]])="Late"</f>
        <v>0</v>
      </c>
      <c r="T734" s="10">
        <v>4</v>
      </c>
      <c r="U734" s="8" t="s">
        <v>53</v>
      </c>
      <c r="V734" s="10">
        <v>2419</v>
      </c>
      <c r="W734" s="10">
        <v>15</v>
      </c>
      <c r="X734" s="12">
        <v>4.8387096774193498E-2</v>
      </c>
      <c r="Y734" s="8" t="b">
        <f>CleanedData[[#This Row],[Ship Date]]&lt;CleanedData[[#This Row],[Order Date]]</f>
        <v>1</v>
      </c>
      <c r="Z734" s="10">
        <f>YEAR(CleanedData[[#This Row],[Order Date]])</f>
        <v>2024</v>
      </c>
      <c r="AA734" s="8">
        <f>MONTH(CleanedData[[#This Row],[Order Date]])</f>
        <v>9</v>
      </c>
    </row>
    <row r="735" spans="1:27" x14ac:dyDescent="0.35">
      <c r="A735" s="8" t="s">
        <v>2263</v>
      </c>
      <c r="B735" s="9">
        <v>45391</v>
      </c>
      <c r="C735" s="9">
        <v>45654</v>
      </c>
      <c r="D735" s="8" t="s">
        <v>2264</v>
      </c>
      <c r="E735" s="8" t="s">
        <v>48</v>
      </c>
      <c r="F735" s="8" t="s">
        <v>183</v>
      </c>
      <c r="G735" s="8" t="s">
        <v>70</v>
      </c>
      <c r="H735" s="8" t="s">
        <v>239</v>
      </c>
      <c r="I735" s="8" t="s">
        <v>4978</v>
      </c>
      <c r="J735" s="10">
        <v>518</v>
      </c>
      <c r="K735" s="11">
        <v>639.5</v>
      </c>
      <c r="L735" s="11">
        <v>716.68</v>
      </c>
      <c r="M735" s="11">
        <v>371240.24</v>
      </c>
      <c r="N735" s="11">
        <v>331261</v>
      </c>
      <c r="O735" s="11">
        <f>CleanedData[[#This Row],[Total Sales ($)]]-CleanedData[[#This Row],[Total Cost ($)]]</f>
        <v>39979.239999999991</v>
      </c>
      <c r="P735" s="12">
        <f>CleanedData[[#This Row],[Profit ($)]]/CleanedData[[#This Row],[Total Sales ($)]]</f>
        <v>0.10769101970195902</v>
      </c>
      <c r="Q735" s="8" t="s">
        <v>42</v>
      </c>
      <c r="R735" s="8" t="s">
        <v>32</v>
      </c>
      <c r="S735" s="8" t="b">
        <f>_xlfn.SINGLE(CleanedData[[#This Row],[Delivery Status]])="Late"</f>
        <v>1</v>
      </c>
      <c r="T735" s="10">
        <v>11</v>
      </c>
      <c r="U735" s="8" t="s">
        <v>53</v>
      </c>
      <c r="V735" s="10">
        <v>1371</v>
      </c>
      <c r="W735" s="10">
        <v>16</v>
      </c>
      <c r="X735" s="12">
        <v>3.0888030888030799E-2</v>
      </c>
      <c r="Y735" s="8" t="b">
        <f>CleanedData[[#This Row],[Ship Date]]&lt;CleanedData[[#This Row],[Order Date]]</f>
        <v>0</v>
      </c>
      <c r="Z735" s="10">
        <f>YEAR(CleanedData[[#This Row],[Order Date]])</f>
        <v>2024</v>
      </c>
      <c r="AA735" s="8">
        <f>MONTH(CleanedData[[#This Row],[Order Date]])</f>
        <v>4</v>
      </c>
    </row>
    <row r="736" spans="1:27" x14ac:dyDescent="0.35">
      <c r="A736" s="8" t="s">
        <v>2265</v>
      </c>
      <c r="B736" s="9">
        <v>45627</v>
      </c>
      <c r="C736" s="9">
        <v>45396</v>
      </c>
      <c r="D736" s="8" t="s">
        <v>2266</v>
      </c>
      <c r="E736" s="8" t="s">
        <v>26</v>
      </c>
      <c r="F736" s="8" t="s">
        <v>92</v>
      </c>
      <c r="G736" s="8" t="s">
        <v>70</v>
      </c>
      <c r="H736" s="8" t="s">
        <v>822</v>
      </c>
      <c r="I736" s="8" t="s">
        <v>4979</v>
      </c>
      <c r="J736" s="10">
        <v>271</v>
      </c>
      <c r="K736" s="11">
        <v>1049.5899999999999</v>
      </c>
      <c r="L736" s="11">
        <v>1612.53</v>
      </c>
      <c r="M736" s="11">
        <v>436995.63</v>
      </c>
      <c r="N736" s="11">
        <v>284438.89</v>
      </c>
      <c r="O736" s="11">
        <f>CleanedData[[#This Row],[Total Sales ($)]]-CleanedData[[#This Row],[Total Cost ($)]]</f>
        <v>152556.74</v>
      </c>
      <c r="P736" s="12">
        <f>CleanedData[[#This Row],[Profit ($)]]/CleanedData[[#This Row],[Total Sales ($)]]</f>
        <v>0.34910358256900642</v>
      </c>
      <c r="Q736" s="8" t="s">
        <v>42</v>
      </c>
      <c r="R736" s="8" t="s">
        <v>32</v>
      </c>
      <c r="S736" s="8" t="b">
        <f>_xlfn.SINGLE(CleanedData[[#This Row],[Delivery Status]])="Late"</f>
        <v>1</v>
      </c>
      <c r="T736" s="10">
        <v>12</v>
      </c>
      <c r="U736" s="8" t="s">
        <v>86</v>
      </c>
      <c r="V736" s="10">
        <v>1889</v>
      </c>
      <c r="W736" s="10">
        <v>13</v>
      </c>
      <c r="X736" s="12">
        <v>4.7970479704797002E-2</v>
      </c>
      <c r="Y736" s="8" t="b">
        <f>CleanedData[[#This Row],[Ship Date]]&lt;CleanedData[[#This Row],[Order Date]]</f>
        <v>1</v>
      </c>
      <c r="Z736" s="10">
        <f>YEAR(CleanedData[[#This Row],[Order Date]])</f>
        <v>2024</v>
      </c>
      <c r="AA736" s="8">
        <f>MONTH(CleanedData[[#This Row],[Order Date]])</f>
        <v>12</v>
      </c>
    </row>
    <row r="737" spans="1:27" x14ac:dyDescent="0.35">
      <c r="A737" s="8" t="s">
        <v>2267</v>
      </c>
      <c r="B737" s="9">
        <v>45293</v>
      </c>
      <c r="C737" s="9">
        <v>45296</v>
      </c>
      <c r="D737" s="8" t="s">
        <v>2270</v>
      </c>
      <c r="E737" s="8" t="s">
        <v>100</v>
      </c>
      <c r="F737" s="8" t="s">
        <v>538</v>
      </c>
      <c r="G737" s="8" t="s">
        <v>70</v>
      </c>
      <c r="H737" s="8" t="s">
        <v>446</v>
      </c>
      <c r="I737" s="8" t="s">
        <v>4969</v>
      </c>
      <c r="J737" s="10">
        <v>69</v>
      </c>
      <c r="K737" s="11">
        <v>432.63</v>
      </c>
      <c r="L737" s="11">
        <v>600.49</v>
      </c>
      <c r="M737" s="11">
        <v>41433.81</v>
      </c>
      <c r="N737" s="11">
        <v>29851.47</v>
      </c>
      <c r="O737" s="11">
        <f>CleanedData[[#This Row],[Total Sales ($)]]-CleanedData[[#This Row],[Total Cost ($)]]</f>
        <v>11582.339999999997</v>
      </c>
      <c r="P737" s="12">
        <f>CleanedData[[#This Row],[Profit ($)]]/CleanedData[[#This Row],[Total Sales ($)]]</f>
        <v>0.27953837699212303</v>
      </c>
      <c r="Q737" s="8" t="s">
        <v>42</v>
      </c>
      <c r="R737" s="8" t="s">
        <v>32</v>
      </c>
      <c r="S737" s="8" t="b">
        <f>_xlfn.SINGLE(CleanedData[[#This Row],[Delivery Status]])="Late"</f>
        <v>1</v>
      </c>
      <c r="T737" s="10">
        <v>9</v>
      </c>
      <c r="U737" s="8" t="s">
        <v>33</v>
      </c>
      <c r="V737" s="10">
        <v>1366</v>
      </c>
      <c r="W737" s="10">
        <v>0</v>
      </c>
      <c r="X737" s="12">
        <v>0</v>
      </c>
      <c r="Y737" s="8" t="b">
        <f>CleanedData[[#This Row],[Ship Date]]&lt;CleanedData[[#This Row],[Order Date]]</f>
        <v>0</v>
      </c>
      <c r="Z737" s="10">
        <f>YEAR(CleanedData[[#This Row],[Order Date]])</f>
        <v>2024</v>
      </c>
      <c r="AA737" s="8">
        <f>MONTH(CleanedData[[#This Row],[Order Date]])</f>
        <v>1</v>
      </c>
    </row>
    <row r="738" spans="1:27" x14ac:dyDescent="0.35">
      <c r="A738" s="8" t="s">
        <v>2271</v>
      </c>
      <c r="B738" s="9">
        <v>44927</v>
      </c>
      <c r="C738" s="9">
        <v>45100</v>
      </c>
      <c r="D738" s="8" t="s">
        <v>2272</v>
      </c>
      <c r="E738" s="8" t="s">
        <v>26</v>
      </c>
      <c r="F738" s="8" t="s">
        <v>38</v>
      </c>
      <c r="G738" s="8" t="s">
        <v>93</v>
      </c>
      <c r="H738" s="8" t="s">
        <v>184</v>
      </c>
      <c r="I738" s="8" t="s">
        <v>4968</v>
      </c>
      <c r="J738" s="10">
        <v>285</v>
      </c>
      <c r="K738" s="11">
        <v>700.67</v>
      </c>
      <c r="L738" s="11">
        <v>1106.3399999999999</v>
      </c>
      <c r="M738" s="11">
        <v>315306.90000000002</v>
      </c>
      <c r="N738" s="11">
        <v>199690.95</v>
      </c>
      <c r="O738" s="11">
        <f>CleanedData[[#This Row],[Total Sales ($)]]-CleanedData[[#This Row],[Total Cost ($)]]</f>
        <v>115615.95000000001</v>
      </c>
      <c r="P738" s="12">
        <f>CleanedData[[#This Row],[Profit ($)]]/CleanedData[[#This Row],[Total Sales ($)]]</f>
        <v>0.36667751324186054</v>
      </c>
      <c r="Q738" s="8" t="s">
        <v>95</v>
      </c>
      <c r="R738" s="8" t="s">
        <v>32</v>
      </c>
      <c r="S738" s="8" t="b">
        <f>_xlfn.SINGLE(CleanedData[[#This Row],[Delivery Status]])="Late"</f>
        <v>1</v>
      </c>
      <c r="T738" s="10">
        <v>9</v>
      </c>
      <c r="U738" s="8" t="s">
        <v>158</v>
      </c>
      <c r="V738" s="10">
        <v>2163</v>
      </c>
      <c r="W738" s="10">
        <v>6</v>
      </c>
      <c r="X738" s="12">
        <v>2.1052631578947299E-2</v>
      </c>
      <c r="Y738" s="8" t="b">
        <f>CleanedData[[#This Row],[Ship Date]]&lt;CleanedData[[#This Row],[Order Date]]</f>
        <v>0</v>
      </c>
      <c r="Z738" s="10">
        <f>YEAR(CleanedData[[#This Row],[Order Date]])</f>
        <v>2023</v>
      </c>
      <c r="AA738" s="8">
        <f>MONTH(CleanedData[[#This Row],[Order Date]])</f>
        <v>1</v>
      </c>
    </row>
    <row r="739" spans="1:27" x14ac:dyDescent="0.35">
      <c r="A739" s="8" t="s">
        <v>2273</v>
      </c>
      <c r="B739" s="9">
        <v>44991</v>
      </c>
      <c r="C739" s="9">
        <v>44961</v>
      </c>
      <c r="D739" s="8" t="s">
        <v>2274</v>
      </c>
      <c r="E739" s="8" t="s">
        <v>58</v>
      </c>
      <c r="F739" s="8" t="s">
        <v>116</v>
      </c>
      <c r="G739" s="8" t="s">
        <v>129</v>
      </c>
      <c r="H739" s="8" t="s">
        <v>316</v>
      </c>
      <c r="I739" s="8" t="s">
        <v>4970</v>
      </c>
      <c r="J739" s="10">
        <v>598</v>
      </c>
      <c r="K739" s="11">
        <v>1125.67</v>
      </c>
      <c r="L739" s="11">
        <v>1675.51</v>
      </c>
      <c r="M739" s="11">
        <v>1001954.98</v>
      </c>
      <c r="N739" s="11">
        <v>673150.66</v>
      </c>
      <c r="O739" s="11">
        <f>CleanedData[[#This Row],[Total Sales ($)]]-CleanedData[[#This Row],[Total Cost ($)]]</f>
        <v>328804.31999999995</v>
      </c>
      <c r="P739" s="12">
        <f>CleanedData[[#This Row],[Profit ($)]]/CleanedData[[#This Row],[Total Sales ($)]]</f>
        <v>0.32816276835112884</v>
      </c>
      <c r="Q739" s="8" t="s">
        <v>42</v>
      </c>
      <c r="R739" s="8" t="s">
        <v>63</v>
      </c>
      <c r="S739" s="8" t="b">
        <f>_xlfn.SINGLE(CleanedData[[#This Row],[Delivery Status]])="Late"</f>
        <v>0</v>
      </c>
      <c r="T739" s="10">
        <v>3</v>
      </c>
      <c r="U739" s="8" t="s">
        <v>43</v>
      </c>
      <c r="V739" s="10">
        <v>4892</v>
      </c>
      <c r="W739" s="10">
        <v>25</v>
      </c>
      <c r="X739" s="12">
        <v>4.1806020066889597E-2</v>
      </c>
      <c r="Y739" s="8" t="b">
        <f>CleanedData[[#This Row],[Ship Date]]&lt;CleanedData[[#This Row],[Order Date]]</f>
        <v>1</v>
      </c>
      <c r="Z739" s="10">
        <f>YEAR(CleanedData[[#This Row],[Order Date]])</f>
        <v>2023</v>
      </c>
      <c r="AA739" s="8">
        <f>MONTH(CleanedData[[#This Row],[Order Date]])</f>
        <v>3</v>
      </c>
    </row>
    <row r="740" spans="1:27" x14ac:dyDescent="0.35">
      <c r="A740" s="8" t="s">
        <v>2275</v>
      </c>
      <c r="B740" s="9">
        <v>45058</v>
      </c>
      <c r="C740" s="9">
        <v>45055</v>
      </c>
      <c r="D740" s="8" t="s">
        <v>4972</v>
      </c>
      <c r="E740" s="8" t="s">
        <v>68</v>
      </c>
      <c r="F740" s="8" t="s">
        <v>146</v>
      </c>
      <c r="G740" s="8" t="s">
        <v>189</v>
      </c>
      <c r="H740" s="8" t="s">
        <v>311</v>
      </c>
      <c r="I740" s="8" t="s">
        <v>4970</v>
      </c>
      <c r="J740" s="10">
        <v>705</v>
      </c>
      <c r="K740" s="11">
        <v>1018.42</v>
      </c>
      <c r="L740" s="11">
        <v>1151.53</v>
      </c>
      <c r="M740" s="11">
        <v>811828.65</v>
      </c>
      <c r="N740" s="11">
        <v>717986.1</v>
      </c>
      <c r="O740" s="11">
        <f>CleanedData[[#This Row],[Total Sales ($)]]-CleanedData[[#This Row],[Total Cost ($)]]</f>
        <v>93842.550000000047</v>
      </c>
      <c r="P740" s="12">
        <f>CleanedData[[#This Row],[Profit ($)]]/CleanedData[[#This Row],[Total Sales ($)]]</f>
        <v>0.11559403576111787</v>
      </c>
      <c r="Q740" s="8" t="s">
        <v>42</v>
      </c>
      <c r="R740" s="8" t="s">
        <v>32</v>
      </c>
      <c r="S740" s="8" t="b">
        <f>_xlfn.SINGLE(CleanedData[[#This Row],[Delivery Status]])="Late"</f>
        <v>1</v>
      </c>
      <c r="T740" s="10">
        <v>7</v>
      </c>
      <c r="U740" s="8" t="s">
        <v>112</v>
      </c>
      <c r="V740" s="10">
        <v>4413</v>
      </c>
      <c r="W740" s="10">
        <v>34</v>
      </c>
      <c r="X740" s="12">
        <v>4.8226950354609902E-2</v>
      </c>
      <c r="Y740" s="8" t="b">
        <f>CleanedData[[#This Row],[Ship Date]]&lt;CleanedData[[#This Row],[Order Date]]</f>
        <v>1</v>
      </c>
      <c r="Z740" s="10">
        <f>YEAR(CleanedData[[#This Row],[Order Date]])</f>
        <v>2023</v>
      </c>
      <c r="AA740" s="8">
        <f>MONTH(CleanedData[[#This Row],[Order Date]])</f>
        <v>5</v>
      </c>
    </row>
    <row r="741" spans="1:27" x14ac:dyDescent="0.35">
      <c r="A741" s="8" t="s">
        <v>2277</v>
      </c>
      <c r="B741" s="9">
        <v>45563</v>
      </c>
      <c r="C741" s="9">
        <v>45315</v>
      </c>
      <c r="D741" s="8" t="s">
        <v>2278</v>
      </c>
      <c r="E741" s="8" t="s">
        <v>26</v>
      </c>
      <c r="F741" s="8" t="s">
        <v>228</v>
      </c>
      <c r="G741" s="8" t="s">
        <v>50</v>
      </c>
      <c r="H741" s="8" t="s">
        <v>282</v>
      </c>
      <c r="I741" s="8" t="s">
        <v>4975</v>
      </c>
      <c r="J741" s="10">
        <v>146</v>
      </c>
      <c r="K741" s="11">
        <v>691.88</v>
      </c>
      <c r="L741" s="11">
        <v>869.18</v>
      </c>
      <c r="M741" s="11">
        <v>126900.28</v>
      </c>
      <c r="N741" s="11">
        <v>101014.48</v>
      </c>
      <c r="O741" s="11">
        <f>CleanedData[[#This Row],[Total Sales ($)]]-CleanedData[[#This Row],[Total Cost ($)]]</f>
        <v>25885.800000000003</v>
      </c>
      <c r="P741" s="12">
        <f>CleanedData[[#This Row],[Profit ($)]]/CleanedData[[#This Row],[Total Sales ($)]]</f>
        <v>0.20398536551692403</v>
      </c>
      <c r="Q741" s="8" t="s">
        <v>31</v>
      </c>
      <c r="R741" s="8" t="s">
        <v>32</v>
      </c>
      <c r="S741" s="8" t="b">
        <f>_xlfn.SINGLE(CleanedData[[#This Row],[Delivery Status]])="Late"</f>
        <v>1</v>
      </c>
      <c r="T741" s="10">
        <v>12</v>
      </c>
      <c r="U741" s="8" t="s">
        <v>112</v>
      </c>
      <c r="V741" s="10">
        <v>3997</v>
      </c>
      <c r="W741" s="10">
        <v>1</v>
      </c>
      <c r="X741" s="12">
        <v>6.8493150684931E-3</v>
      </c>
      <c r="Y741" s="8" t="b">
        <f>CleanedData[[#This Row],[Ship Date]]&lt;CleanedData[[#This Row],[Order Date]]</f>
        <v>1</v>
      </c>
      <c r="Z741" s="10">
        <f>YEAR(CleanedData[[#This Row],[Order Date]])</f>
        <v>2024</v>
      </c>
      <c r="AA741" s="8">
        <f>MONTH(CleanedData[[#This Row],[Order Date]])</f>
        <v>9</v>
      </c>
    </row>
    <row r="742" spans="1:27" x14ac:dyDescent="0.35">
      <c r="A742" s="8" t="s">
        <v>2279</v>
      </c>
      <c r="B742" s="9">
        <v>45087</v>
      </c>
      <c r="C742" s="9">
        <v>44970</v>
      </c>
      <c r="D742" s="8" t="s">
        <v>2280</v>
      </c>
      <c r="E742" s="8" t="s">
        <v>100</v>
      </c>
      <c r="F742" s="8" t="s">
        <v>238</v>
      </c>
      <c r="G742" s="8" t="s">
        <v>78</v>
      </c>
      <c r="H742" s="8" t="s">
        <v>425</v>
      </c>
      <c r="I742" s="8" t="s">
        <v>4978</v>
      </c>
      <c r="J742" s="10">
        <v>235</v>
      </c>
      <c r="K742" s="11">
        <v>221.36</v>
      </c>
      <c r="L742" s="11">
        <v>282.31</v>
      </c>
      <c r="M742" s="11">
        <v>66342.850000000006</v>
      </c>
      <c r="N742" s="11">
        <v>52019.6</v>
      </c>
      <c r="O742" s="11">
        <f>CleanedData[[#This Row],[Total Sales ($)]]-CleanedData[[#This Row],[Total Cost ($)]]</f>
        <v>14323.250000000007</v>
      </c>
      <c r="P742" s="12">
        <f>CleanedData[[#This Row],[Profit ($)]]/CleanedData[[#This Row],[Total Sales ($)]]</f>
        <v>0.21589741773228022</v>
      </c>
      <c r="Q742" s="8" t="s">
        <v>95</v>
      </c>
      <c r="R742" s="8" t="s">
        <v>63</v>
      </c>
      <c r="S742" s="8" t="b">
        <f>_xlfn.SINGLE(CleanedData[[#This Row],[Delivery Status]])="Late"</f>
        <v>0</v>
      </c>
      <c r="T742" s="10">
        <v>4</v>
      </c>
      <c r="U742" s="8" t="s">
        <v>112</v>
      </c>
      <c r="V742" s="10">
        <v>1093</v>
      </c>
      <c r="W742" s="10">
        <v>6</v>
      </c>
      <c r="X742" s="12">
        <v>2.5531914893616999E-2</v>
      </c>
      <c r="Y742" s="8" t="b">
        <f>CleanedData[[#This Row],[Ship Date]]&lt;CleanedData[[#This Row],[Order Date]]</f>
        <v>1</v>
      </c>
      <c r="Z742" s="10">
        <f>YEAR(CleanedData[[#This Row],[Order Date]])</f>
        <v>2023</v>
      </c>
      <c r="AA742" s="8">
        <f>MONTH(CleanedData[[#This Row],[Order Date]])</f>
        <v>6</v>
      </c>
    </row>
    <row r="743" spans="1:27" x14ac:dyDescent="0.35">
      <c r="A743" s="8" t="s">
        <v>2281</v>
      </c>
      <c r="B743" s="9">
        <v>45158</v>
      </c>
      <c r="C743" s="9">
        <v>45128</v>
      </c>
      <c r="D743" s="8" t="s">
        <v>2283</v>
      </c>
      <c r="E743" s="8" t="s">
        <v>58</v>
      </c>
      <c r="F743" s="8" t="s">
        <v>259</v>
      </c>
      <c r="G743" s="8" t="s">
        <v>50</v>
      </c>
      <c r="H743" s="8" t="s">
        <v>117</v>
      </c>
      <c r="I743" s="8" t="s">
        <v>4967</v>
      </c>
      <c r="J743" s="10">
        <v>175</v>
      </c>
      <c r="K743" s="11">
        <v>687.35</v>
      </c>
      <c r="L743" s="11">
        <v>825.75</v>
      </c>
      <c r="M743" s="11">
        <v>144506.25</v>
      </c>
      <c r="N743" s="11">
        <v>120286.25</v>
      </c>
      <c r="O743" s="11">
        <f>CleanedData[[#This Row],[Total Sales ($)]]-CleanedData[[#This Row],[Total Cost ($)]]</f>
        <v>24220</v>
      </c>
      <c r="P743" s="12">
        <f>CleanedData[[#This Row],[Profit ($)]]/CleanedData[[#This Row],[Total Sales ($)]]</f>
        <v>0.16760520738722373</v>
      </c>
      <c r="Q743" s="8" t="s">
        <v>95</v>
      </c>
      <c r="R743" s="8" t="s">
        <v>32</v>
      </c>
      <c r="S743" s="8" t="b">
        <f>_xlfn.SINGLE(CleanedData[[#This Row],[Delivery Status]])="Late"</f>
        <v>1</v>
      </c>
      <c r="T743" s="10">
        <v>10</v>
      </c>
      <c r="U743" s="8" t="s">
        <v>53</v>
      </c>
      <c r="V743" s="10">
        <v>2356</v>
      </c>
      <c r="W743" s="10">
        <v>2</v>
      </c>
      <c r="X743" s="12">
        <v>1.1428571428571401E-2</v>
      </c>
      <c r="Y743" s="8" t="b">
        <f>CleanedData[[#This Row],[Ship Date]]&lt;CleanedData[[#This Row],[Order Date]]</f>
        <v>1</v>
      </c>
      <c r="Z743" s="10">
        <f>YEAR(CleanedData[[#This Row],[Order Date]])</f>
        <v>2023</v>
      </c>
      <c r="AA743" s="8">
        <f>MONTH(CleanedData[[#This Row],[Order Date]])</f>
        <v>8</v>
      </c>
    </row>
    <row r="744" spans="1:27" x14ac:dyDescent="0.35">
      <c r="A744" s="8" t="s">
        <v>2284</v>
      </c>
      <c r="B744" s="9">
        <v>45042</v>
      </c>
      <c r="C744" s="9">
        <v>45143</v>
      </c>
      <c r="D744" s="8" t="s">
        <v>2285</v>
      </c>
      <c r="E744" s="8" t="s">
        <v>100</v>
      </c>
      <c r="F744" s="8" t="s">
        <v>1606</v>
      </c>
      <c r="G744" s="8" t="s">
        <v>217</v>
      </c>
      <c r="H744" s="8" t="s">
        <v>494</v>
      </c>
      <c r="I744" s="8" t="s">
        <v>4977</v>
      </c>
      <c r="J744" s="10">
        <v>296</v>
      </c>
      <c r="K744" s="11">
        <v>622.86</v>
      </c>
      <c r="L744" s="11">
        <v>698.15</v>
      </c>
      <c r="M744" s="11">
        <v>206652.4</v>
      </c>
      <c r="N744" s="11">
        <v>184366.56</v>
      </c>
      <c r="O744" s="11">
        <f>CleanedData[[#This Row],[Total Sales ($)]]-CleanedData[[#This Row],[Total Cost ($)]]</f>
        <v>22285.839999999997</v>
      </c>
      <c r="P744" s="12">
        <f>CleanedData[[#This Row],[Profit ($)]]/CleanedData[[#This Row],[Total Sales ($)]]</f>
        <v>0.10784215426484278</v>
      </c>
      <c r="Q744" s="8" t="s">
        <v>95</v>
      </c>
      <c r="R744" s="8" t="s">
        <v>63</v>
      </c>
      <c r="S744" s="8" t="b">
        <f>_xlfn.SINGLE(CleanedData[[#This Row],[Delivery Status]])="Late"</f>
        <v>0</v>
      </c>
      <c r="T744" s="10">
        <v>3</v>
      </c>
      <c r="U744" s="8" t="s">
        <v>33</v>
      </c>
      <c r="V744" s="10">
        <v>2366</v>
      </c>
      <c r="W744" s="10">
        <v>14</v>
      </c>
      <c r="X744" s="12">
        <v>4.72972972972973E-2</v>
      </c>
      <c r="Y744" s="8" t="b">
        <f>CleanedData[[#This Row],[Ship Date]]&lt;CleanedData[[#This Row],[Order Date]]</f>
        <v>0</v>
      </c>
      <c r="Z744" s="10">
        <f>YEAR(CleanedData[[#This Row],[Order Date]])</f>
        <v>2023</v>
      </c>
      <c r="AA744" s="8">
        <f>MONTH(CleanedData[[#This Row],[Order Date]])</f>
        <v>4</v>
      </c>
    </row>
    <row r="745" spans="1:27" x14ac:dyDescent="0.35">
      <c r="A745" s="8" t="s">
        <v>2286</v>
      </c>
      <c r="B745" s="9">
        <v>45568</v>
      </c>
      <c r="C745" s="9">
        <v>45337</v>
      </c>
      <c r="D745" s="8" t="s">
        <v>2287</v>
      </c>
      <c r="E745" s="8" t="s">
        <v>100</v>
      </c>
      <c r="F745" s="8" t="s">
        <v>330</v>
      </c>
      <c r="G745" s="8" t="s">
        <v>50</v>
      </c>
      <c r="H745" s="8" t="s">
        <v>260</v>
      </c>
      <c r="I745" s="8" t="s">
        <v>4975</v>
      </c>
      <c r="J745" s="10">
        <v>153</v>
      </c>
      <c r="K745" s="11">
        <v>530.91999999999996</v>
      </c>
      <c r="L745" s="11">
        <v>782.71</v>
      </c>
      <c r="M745" s="11">
        <v>119754.63</v>
      </c>
      <c r="N745" s="11">
        <v>81230.759999999995</v>
      </c>
      <c r="O745" s="11">
        <f>CleanedData[[#This Row],[Total Sales ($)]]-CleanedData[[#This Row],[Total Cost ($)]]</f>
        <v>38523.87000000001</v>
      </c>
      <c r="P745" s="12">
        <f>CleanedData[[#This Row],[Profit ($)]]/CleanedData[[#This Row],[Total Sales ($)]]</f>
        <v>0.32169002568000926</v>
      </c>
      <c r="Q745" s="8" t="s">
        <v>52</v>
      </c>
      <c r="R745" s="8" t="s">
        <v>63</v>
      </c>
      <c r="S745" s="8" t="b">
        <f>_xlfn.SINGLE(CleanedData[[#This Row],[Delivery Status]])="Late"</f>
        <v>0</v>
      </c>
      <c r="T745" s="10">
        <v>5</v>
      </c>
      <c r="U745" s="8" t="s">
        <v>112</v>
      </c>
      <c r="V745" s="10">
        <v>1394</v>
      </c>
      <c r="W745" s="10">
        <v>7</v>
      </c>
      <c r="X745" s="12">
        <v>4.5751633986928102E-2</v>
      </c>
      <c r="Y745" s="8" t="b">
        <f>CleanedData[[#This Row],[Ship Date]]&lt;CleanedData[[#This Row],[Order Date]]</f>
        <v>1</v>
      </c>
      <c r="Z745" s="10">
        <f>YEAR(CleanedData[[#This Row],[Order Date]])</f>
        <v>2024</v>
      </c>
      <c r="AA745" s="8">
        <f>MONTH(CleanedData[[#This Row],[Order Date]])</f>
        <v>10</v>
      </c>
    </row>
    <row r="746" spans="1:27" x14ac:dyDescent="0.35">
      <c r="A746" s="8" t="s">
        <v>2288</v>
      </c>
      <c r="B746" s="9">
        <v>45542</v>
      </c>
      <c r="C746" s="9">
        <v>45509</v>
      </c>
      <c r="D746" s="8" t="s">
        <v>2290</v>
      </c>
      <c r="E746" s="8" t="s">
        <v>68</v>
      </c>
      <c r="F746" s="8" t="s">
        <v>146</v>
      </c>
      <c r="G746" s="8" t="s">
        <v>189</v>
      </c>
      <c r="H746" s="8" t="s">
        <v>311</v>
      </c>
      <c r="I746" s="8" t="s">
        <v>4977</v>
      </c>
      <c r="J746" s="10">
        <v>613</v>
      </c>
      <c r="K746" s="11">
        <v>332.58</v>
      </c>
      <c r="L746" s="11">
        <v>512.99</v>
      </c>
      <c r="M746" s="11">
        <v>314462.87</v>
      </c>
      <c r="N746" s="11">
        <v>203871.54</v>
      </c>
      <c r="O746" s="11">
        <f>CleanedData[[#This Row],[Total Sales ($)]]-CleanedData[[#This Row],[Total Cost ($)]]</f>
        <v>110591.32999999999</v>
      </c>
      <c r="P746" s="12">
        <f>CleanedData[[#This Row],[Profit ($)]]/CleanedData[[#This Row],[Total Sales ($)]]</f>
        <v>0.35168326867970134</v>
      </c>
      <c r="Q746" s="8" t="s">
        <v>52</v>
      </c>
      <c r="R746" s="8" t="s">
        <v>32</v>
      </c>
      <c r="S746" s="8" t="b">
        <f>_xlfn.SINGLE(CleanedData[[#This Row],[Delivery Status]])="Late"</f>
        <v>1</v>
      </c>
      <c r="T746" s="10">
        <v>9</v>
      </c>
      <c r="U746" s="8" t="s">
        <v>33</v>
      </c>
      <c r="V746" s="10">
        <v>4524</v>
      </c>
      <c r="W746" s="10">
        <v>6</v>
      </c>
      <c r="X746" s="12">
        <v>9.7879282218597003E-3</v>
      </c>
      <c r="Y746" s="8" t="b">
        <f>CleanedData[[#This Row],[Ship Date]]&lt;CleanedData[[#This Row],[Order Date]]</f>
        <v>1</v>
      </c>
      <c r="Z746" s="10">
        <f>YEAR(CleanedData[[#This Row],[Order Date]])</f>
        <v>2024</v>
      </c>
      <c r="AA746" s="8">
        <f>MONTH(CleanedData[[#This Row],[Order Date]])</f>
        <v>9</v>
      </c>
    </row>
    <row r="747" spans="1:27" x14ac:dyDescent="0.35">
      <c r="A747" s="8" t="s">
        <v>2291</v>
      </c>
      <c r="B747" s="9">
        <v>44959</v>
      </c>
      <c r="C747" s="9">
        <v>45223</v>
      </c>
      <c r="D747" s="8" t="s">
        <v>2292</v>
      </c>
      <c r="E747" s="8" t="s">
        <v>58</v>
      </c>
      <c r="F747" s="8" t="s">
        <v>59</v>
      </c>
      <c r="G747" s="8" t="s">
        <v>50</v>
      </c>
      <c r="H747" s="8" t="s">
        <v>734</v>
      </c>
      <c r="I747" s="8" t="s">
        <v>4976</v>
      </c>
      <c r="J747" s="10">
        <v>717</v>
      </c>
      <c r="K747" s="11">
        <v>515.92999999999995</v>
      </c>
      <c r="L747" s="11">
        <v>760.38</v>
      </c>
      <c r="M747" s="11">
        <v>545192.46</v>
      </c>
      <c r="N747" s="11">
        <v>369921.81</v>
      </c>
      <c r="O747" s="11">
        <f>CleanedData[[#This Row],[Total Sales ($)]]-CleanedData[[#This Row],[Total Cost ($)]]</f>
        <v>175270.64999999997</v>
      </c>
      <c r="P747" s="12">
        <f>CleanedData[[#This Row],[Profit ($)]]/CleanedData[[#This Row],[Total Sales ($)]]</f>
        <v>0.32148399484468287</v>
      </c>
      <c r="Q747" s="8" t="s">
        <v>42</v>
      </c>
      <c r="R747" s="8" t="s">
        <v>32</v>
      </c>
      <c r="S747" s="8" t="b">
        <f>_xlfn.SINGLE(CleanedData[[#This Row],[Delivery Status]])="Late"</f>
        <v>1</v>
      </c>
      <c r="T747" s="10">
        <v>13</v>
      </c>
      <c r="U747" s="8" t="s">
        <v>53</v>
      </c>
      <c r="V747" s="10">
        <v>3485</v>
      </c>
      <c r="W747" s="10">
        <v>15</v>
      </c>
      <c r="X747" s="12">
        <v>2.0920502092050201E-2</v>
      </c>
      <c r="Y747" s="8" t="b">
        <f>CleanedData[[#This Row],[Ship Date]]&lt;CleanedData[[#This Row],[Order Date]]</f>
        <v>0</v>
      </c>
      <c r="Z747" s="10">
        <f>YEAR(CleanedData[[#This Row],[Order Date]])</f>
        <v>2023</v>
      </c>
      <c r="AA747" s="8">
        <f>MONTH(CleanedData[[#This Row],[Order Date]])</f>
        <v>2</v>
      </c>
    </row>
    <row r="748" spans="1:27" x14ac:dyDescent="0.35">
      <c r="A748" s="8" t="s">
        <v>1413</v>
      </c>
      <c r="B748" s="9">
        <v>45187</v>
      </c>
      <c r="C748" s="9">
        <v>45156</v>
      </c>
      <c r="D748" s="8" t="s">
        <v>1414</v>
      </c>
      <c r="E748" s="8" t="s">
        <v>48</v>
      </c>
      <c r="F748" s="8" t="s">
        <v>270</v>
      </c>
      <c r="G748" s="8" t="s">
        <v>93</v>
      </c>
      <c r="H748" s="8" t="s">
        <v>94</v>
      </c>
      <c r="I748" s="8" t="s">
        <v>4978</v>
      </c>
      <c r="J748" s="10">
        <v>460</v>
      </c>
      <c r="K748" s="11">
        <v>415.62</v>
      </c>
      <c r="L748" s="11">
        <v>571.84</v>
      </c>
      <c r="M748" s="11">
        <v>263046.40000000002</v>
      </c>
      <c r="N748" s="11">
        <v>191185.2</v>
      </c>
      <c r="O748" s="11">
        <f>CleanedData[[#This Row],[Total Sales ($)]]-CleanedData[[#This Row],[Total Cost ($)]]</f>
        <v>71861.200000000012</v>
      </c>
      <c r="P748" s="12">
        <f>CleanedData[[#This Row],[Profit ($)]]/CleanedData[[#This Row],[Total Sales ($)]]</f>
        <v>0.27318830442081704</v>
      </c>
      <c r="Q748" s="8" t="s">
        <v>95</v>
      </c>
      <c r="R748" s="8" t="s">
        <v>63</v>
      </c>
      <c r="S748" s="8" t="b">
        <f>_xlfn.SINGLE(CleanedData[[#This Row],[Delivery Status]])="Late"</f>
        <v>0</v>
      </c>
      <c r="T748" s="10">
        <v>3</v>
      </c>
      <c r="U748" s="8" t="s">
        <v>43</v>
      </c>
      <c r="V748" s="10">
        <v>1731</v>
      </c>
      <c r="W748" s="10">
        <v>9</v>
      </c>
      <c r="X748" s="12">
        <v>1.9565217391304301E-2</v>
      </c>
      <c r="Y748" s="8" t="b">
        <f>CleanedData[[#This Row],[Ship Date]]&lt;CleanedData[[#This Row],[Order Date]]</f>
        <v>1</v>
      </c>
      <c r="Z748" s="10">
        <f>YEAR(CleanedData[[#This Row],[Order Date]])</f>
        <v>2023</v>
      </c>
      <c r="AA748" s="8">
        <f>MONTH(CleanedData[[#This Row],[Order Date]])</f>
        <v>9</v>
      </c>
    </row>
    <row r="749" spans="1:27" x14ac:dyDescent="0.35">
      <c r="A749" s="8" t="s">
        <v>2295</v>
      </c>
      <c r="B749" s="9">
        <v>45284</v>
      </c>
      <c r="C749" s="9">
        <v>44945</v>
      </c>
      <c r="D749" s="8" t="s">
        <v>2296</v>
      </c>
      <c r="E749" s="8" t="s">
        <v>48</v>
      </c>
      <c r="F749" s="8" t="s">
        <v>281</v>
      </c>
      <c r="G749" s="8" t="s">
        <v>78</v>
      </c>
      <c r="H749" s="8" t="s">
        <v>628</v>
      </c>
      <c r="I749" s="8" t="s">
        <v>4968</v>
      </c>
      <c r="J749" s="10">
        <v>20</v>
      </c>
      <c r="K749" s="11">
        <v>575.09</v>
      </c>
      <c r="L749" s="11">
        <v>683.98</v>
      </c>
      <c r="M749" s="11">
        <v>13679.6</v>
      </c>
      <c r="N749" s="11">
        <v>11501.8</v>
      </c>
      <c r="O749" s="11">
        <f>CleanedData[[#This Row],[Total Sales ($)]]-CleanedData[[#This Row],[Total Cost ($)]]</f>
        <v>2177.8000000000011</v>
      </c>
      <c r="P749" s="12">
        <f>CleanedData[[#This Row],[Profit ($)]]/CleanedData[[#This Row],[Total Sales ($)]]</f>
        <v>0.15920056141992464</v>
      </c>
      <c r="Q749" s="8" t="s">
        <v>52</v>
      </c>
      <c r="R749" s="8" t="s">
        <v>63</v>
      </c>
      <c r="S749" s="8" t="b">
        <f>_xlfn.SINGLE(CleanedData[[#This Row],[Delivery Status]])="Late"</f>
        <v>0</v>
      </c>
      <c r="T749" s="10">
        <v>2</v>
      </c>
      <c r="U749" s="8" t="s">
        <v>112</v>
      </c>
      <c r="V749" s="10">
        <v>1750</v>
      </c>
      <c r="W749" s="10">
        <v>1</v>
      </c>
      <c r="X749" s="12">
        <v>0.05</v>
      </c>
      <c r="Y749" s="8" t="b">
        <f>CleanedData[[#This Row],[Ship Date]]&lt;CleanedData[[#This Row],[Order Date]]</f>
        <v>1</v>
      </c>
      <c r="Z749" s="10">
        <f>YEAR(CleanedData[[#This Row],[Order Date]])</f>
        <v>2023</v>
      </c>
      <c r="AA749" s="8">
        <f>MONTH(CleanedData[[#This Row],[Order Date]])</f>
        <v>12</v>
      </c>
    </row>
    <row r="750" spans="1:27" x14ac:dyDescent="0.35">
      <c r="A750" s="8" t="s">
        <v>2297</v>
      </c>
      <c r="B750" s="9">
        <v>45447</v>
      </c>
      <c r="C750" s="9">
        <v>45390</v>
      </c>
      <c r="D750" s="8" t="s">
        <v>2298</v>
      </c>
      <c r="E750" s="8" t="s">
        <v>26</v>
      </c>
      <c r="F750" s="8" t="s">
        <v>38</v>
      </c>
      <c r="G750" s="8" t="s">
        <v>60</v>
      </c>
      <c r="H750" s="8" t="s">
        <v>229</v>
      </c>
      <c r="I750" s="8" t="s">
        <v>4973</v>
      </c>
      <c r="J750" s="10">
        <v>675</v>
      </c>
      <c r="K750" s="11">
        <v>49.18</v>
      </c>
      <c r="L750" s="11">
        <v>64.11</v>
      </c>
      <c r="M750" s="11">
        <v>43274.25</v>
      </c>
      <c r="N750" s="11">
        <v>33196.5</v>
      </c>
      <c r="O750" s="11">
        <f>CleanedData[[#This Row],[Total Sales ($)]]-CleanedData[[#This Row],[Total Cost ($)]]</f>
        <v>10077.75</v>
      </c>
      <c r="P750" s="12">
        <f>CleanedData[[#This Row],[Profit ($)]]/CleanedData[[#This Row],[Total Sales ($)]]</f>
        <v>0.23288098580564653</v>
      </c>
      <c r="Q750" s="8" t="s">
        <v>42</v>
      </c>
      <c r="R750" s="8" t="s">
        <v>32</v>
      </c>
      <c r="S750" s="8" t="b">
        <f>_xlfn.SINGLE(CleanedData[[#This Row],[Delivery Status]])="Late"</f>
        <v>1</v>
      </c>
      <c r="T750" s="10">
        <v>8</v>
      </c>
      <c r="U750" s="8" t="s">
        <v>158</v>
      </c>
      <c r="V750" s="10">
        <v>470</v>
      </c>
      <c r="W750" s="10">
        <v>30</v>
      </c>
      <c r="X750" s="12">
        <v>4.4444444444444398E-2</v>
      </c>
      <c r="Y750" s="8" t="b">
        <f>CleanedData[[#This Row],[Ship Date]]&lt;CleanedData[[#This Row],[Order Date]]</f>
        <v>1</v>
      </c>
      <c r="Z750" s="10">
        <f>YEAR(CleanedData[[#This Row],[Order Date]])</f>
        <v>2024</v>
      </c>
      <c r="AA750" s="8">
        <f>MONTH(CleanedData[[#This Row],[Order Date]])</f>
        <v>6</v>
      </c>
    </row>
    <row r="751" spans="1:27" x14ac:dyDescent="0.35">
      <c r="A751" s="8" t="s">
        <v>2299</v>
      </c>
      <c r="B751" s="9">
        <v>45267</v>
      </c>
      <c r="C751" s="9">
        <v>45099</v>
      </c>
      <c r="D751" s="8" t="s">
        <v>1845</v>
      </c>
      <c r="E751" s="8" t="s">
        <v>68</v>
      </c>
      <c r="F751" s="8" t="s">
        <v>69</v>
      </c>
      <c r="G751" s="8" t="s">
        <v>60</v>
      </c>
      <c r="H751" s="8" t="s">
        <v>539</v>
      </c>
      <c r="I751" s="8" t="s">
        <v>4984</v>
      </c>
      <c r="J751" s="10">
        <v>152</v>
      </c>
      <c r="K751" s="11">
        <v>777.87</v>
      </c>
      <c r="L751" s="11">
        <v>918.6</v>
      </c>
      <c r="M751" s="11">
        <v>139627.20000000001</v>
      </c>
      <c r="N751" s="11">
        <v>118236.24</v>
      </c>
      <c r="O751" s="11">
        <f>CleanedData[[#This Row],[Total Sales ($)]]-CleanedData[[#This Row],[Total Cost ($)]]</f>
        <v>21390.960000000006</v>
      </c>
      <c r="P751" s="12">
        <f>CleanedData[[#This Row],[Profit ($)]]/CleanedData[[#This Row],[Total Sales ($)]]</f>
        <v>0.15320052253429134</v>
      </c>
      <c r="Q751" s="8" t="s">
        <v>52</v>
      </c>
      <c r="R751" s="8" t="s">
        <v>32</v>
      </c>
      <c r="S751" s="8" t="b">
        <f>_xlfn.SINGLE(CleanedData[[#This Row],[Delivery Status]])="Late"</f>
        <v>1</v>
      </c>
      <c r="T751" s="10">
        <v>7</v>
      </c>
      <c r="U751" s="8" t="s">
        <v>33</v>
      </c>
      <c r="V751" s="10">
        <v>1808</v>
      </c>
      <c r="W751" s="10">
        <v>0</v>
      </c>
      <c r="X751" s="12">
        <v>0</v>
      </c>
      <c r="Y751" s="8" t="b">
        <f>CleanedData[[#This Row],[Ship Date]]&lt;CleanedData[[#This Row],[Order Date]]</f>
        <v>1</v>
      </c>
      <c r="Z751" s="10">
        <f>YEAR(CleanedData[[#This Row],[Order Date]])</f>
        <v>2023</v>
      </c>
      <c r="AA751" s="8">
        <f>MONTH(CleanedData[[#This Row],[Order Date]])</f>
        <v>12</v>
      </c>
    </row>
    <row r="752" spans="1:27" x14ac:dyDescent="0.35">
      <c r="A752" s="8" t="s">
        <v>2300</v>
      </c>
      <c r="B752" s="9">
        <v>45113</v>
      </c>
      <c r="C752" s="9">
        <v>45261</v>
      </c>
      <c r="D752" s="8" t="s">
        <v>2302</v>
      </c>
      <c r="E752" s="8" t="s">
        <v>48</v>
      </c>
      <c r="F752" s="8" t="s">
        <v>281</v>
      </c>
      <c r="G752" s="8" t="s">
        <v>39</v>
      </c>
      <c r="H752" s="8" t="s">
        <v>354</v>
      </c>
      <c r="I752" s="8" t="s">
        <v>4968</v>
      </c>
      <c r="J752" s="10">
        <v>72</v>
      </c>
      <c r="K752" s="11">
        <v>389.37</v>
      </c>
      <c r="L752" s="11">
        <v>578.88</v>
      </c>
      <c r="M752" s="11">
        <v>41679.360000000001</v>
      </c>
      <c r="N752" s="11">
        <v>28034.639999999999</v>
      </c>
      <c r="O752" s="11">
        <f>CleanedData[[#This Row],[Total Sales ($)]]-CleanedData[[#This Row],[Total Cost ($)]]</f>
        <v>13644.720000000001</v>
      </c>
      <c r="P752" s="12">
        <f>CleanedData[[#This Row],[Profit ($)]]/CleanedData[[#This Row],[Total Sales ($)]]</f>
        <v>0.32737354892205639</v>
      </c>
      <c r="Q752" s="8" t="s">
        <v>31</v>
      </c>
      <c r="R752" s="8" t="s">
        <v>32</v>
      </c>
      <c r="S752" s="8" t="b">
        <f>_xlfn.SINGLE(CleanedData[[#This Row],[Delivery Status]])="Late"</f>
        <v>1</v>
      </c>
      <c r="T752" s="10">
        <v>11</v>
      </c>
      <c r="U752" s="8" t="s">
        <v>43</v>
      </c>
      <c r="V752" s="10">
        <v>4189</v>
      </c>
      <c r="W752" s="10">
        <v>2</v>
      </c>
      <c r="X752" s="12">
        <v>2.77777777777777E-2</v>
      </c>
      <c r="Y752" s="8" t="b">
        <f>CleanedData[[#This Row],[Ship Date]]&lt;CleanedData[[#This Row],[Order Date]]</f>
        <v>0</v>
      </c>
      <c r="Z752" s="10">
        <f>YEAR(CleanedData[[#This Row],[Order Date]])</f>
        <v>2023</v>
      </c>
      <c r="AA752" s="8">
        <f>MONTH(CleanedData[[#This Row],[Order Date]])</f>
        <v>7</v>
      </c>
    </row>
    <row r="753" spans="1:27" x14ac:dyDescent="0.35">
      <c r="A753" s="8" t="s">
        <v>2303</v>
      </c>
      <c r="B753" s="9">
        <v>45061</v>
      </c>
      <c r="C753" s="9">
        <v>44990</v>
      </c>
      <c r="D753" s="8" t="s">
        <v>2304</v>
      </c>
      <c r="E753" s="8" t="s">
        <v>26</v>
      </c>
      <c r="F753" s="8" t="s">
        <v>38</v>
      </c>
      <c r="G753" s="8" t="s">
        <v>28</v>
      </c>
      <c r="H753" s="8" t="s">
        <v>714</v>
      </c>
      <c r="I753" s="8" t="s">
        <v>4974</v>
      </c>
      <c r="J753" s="10">
        <v>408</v>
      </c>
      <c r="K753" s="11">
        <v>1104.9000000000001</v>
      </c>
      <c r="L753" s="11">
        <v>1746.27</v>
      </c>
      <c r="M753" s="11">
        <v>712478.16</v>
      </c>
      <c r="N753" s="11">
        <v>450799.2</v>
      </c>
      <c r="O753" s="11">
        <f>CleanedData[[#This Row],[Total Sales ($)]]-CleanedData[[#This Row],[Total Cost ($)]]</f>
        <v>261678.96000000002</v>
      </c>
      <c r="P753" s="12">
        <f>CleanedData[[#This Row],[Profit ($)]]/CleanedData[[#This Row],[Total Sales ($)]]</f>
        <v>0.36727997388719957</v>
      </c>
      <c r="Q753" s="8" t="s">
        <v>52</v>
      </c>
      <c r="R753" s="8" t="s">
        <v>32</v>
      </c>
      <c r="S753" s="8" t="b">
        <f>_xlfn.SINGLE(CleanedData[[#This Row],[Delivery Status]])="Late"</f>
        <v>1</v>
      </c>
      <c r="T753" s="10">
        <v>14</v>
      </c>
      <c r="U753" s="8" t="s">
        <v>158</v>
      </c>
      <c r="V753" s="10">
        <v>2097</v>
      </c>
      <c r="W753" s="10">
        <v>18</v>
      </c>
      <c r="X753" s="12">
        <v>4.4117647058823498E-2</v>
      </c>
      <c r="Y753" s="8" t="b">
        <f>CleanedData[[#This Row],[Ship Date]]&lt;CleanedData[[#This Row],[Order Date]]</f>
        <v>1</v>
      </c>
      <c r="Z753" s="10">
        <f>YEAR(CleanedData[[#This Row],[Order Date]])</f>
        <v>2023</v>
      </c>
      <c r="AA753" s="8">
        <f>MONTH(CleanedData[[#This Row],[Order Date]])</f>
        <v>5</v>
      </c>
    </row>
    <row r="754" spans="1:27" x14ac:dyDescent="0.35">
      <c r="A754" s="8" t="s">
        <v>2305</v>
      </c>
      <c r="B754" s="9">
        <v>45255</v>
      </c>
      <c r="C754" s="9">
        <v>45240</v>
      </c>
      <c r="D754" s="8" t="s">
        <v>2306</v>
      </c>
      <c r="E754" s="8" t="s">
        <v>58</v>
      </c>
      <c r="F754" s="8" t="s">
        <v>259</v>
      </c>
      <c r="G754" s="8" t="s">
        <v>50</v>
      </c>
      <c r="H754" s="8" t="s">
        <v>107</v>
      </c>
      <c r="I754" s="8" t="s">
        <v>4970</v>
      </c>
      <c r="J754" s="10">
        <v>319</v>
      </c>
      <c r="K754" s="11">
        <v>1070.77</v>
      </c>
      <c r="L754" s="11">
        <v>1704.89</v>
      </c>
      <c r="M754" s="11">
        <v>543859.91</v>
      </c>
      <c r="N754" s="11">
        <v>341575.63</v>
      </c>
      <c r="O754" s="11">
        <f>CleanedData[[#This Row],[Total Sales ($)]]-CleanedData[[#This Row],[Total Cost ($)]]</f>
        <v>202284.28000000003</v>
      </c>
      <c r="P754" s="12">
        <f>CleanedData[[#This Row],[Profit ($)]]/CleanedData[[#This Row],[Total Sales ($)]]</f>
        <v>0.37194188481368301</v>
      </c>
      <c r="Q754" s="8" t="s">
        <v>95</v>
      </c>
      <c r="R754" s="8" t="s">
        <v>32</v>
      </c>
      <c r="S754" s="8" t="b">
        <f>_xlfn.SINGLE(CleanedData[[#This Row],[Delivery Status]])="Late"</f>
        <v>1</v>
      </c>
      <c r="T754" s="10">
        <v>15</v>
      </c>
      <c r="U754" s="8" t="s">
        <v>53</v>
      </c>
      <c r="V754" s="10">
        <v>4206</v>
      </c>
      <c r="W754" s="10">
        <v>11</v>
      </c>
      <c r="X754" s="12">
        <v>3.4482758620689599E-2</v>
      </c>
      <c r="Y754" s="8" t="b">
        <f>CleanedData[[#This Row],[Ship Date]]&lt;CleanedData[[#This Row],[Order Date]]</f>
        <v>1</v>
      </c>
      <c r="Z754" s="10">
        <f>YEAR(CleanedData[[#This Row],[Order Date]])</f>
        <v>2023</v>
      </c>
      <c r="AA754" s="8">
        <f>MONTH(CleanedData[[#This Row],[Order Date]])</f>
        <v>11</v>
      </c>
    </row>
    <row r="755" spans="1:27" x14ac:dyDescent="0.35">
      <c r="A755" s="8" t="s">
        <v>2307</v>
      </c>
      <c r="B755" s="9">
        <v>44985</v>
      </c>
      <c r="C755" s="9">
        <v>45056</v>
      </c>
      <c r="D755" s="8" t="s">
        <v>2308</v>
      </c>
      <c r="E755" s="8" t="s">
        <v>48</v>
      </c>
      <c r="F755" s="8" t="s">
        <v>223</v>
      </c>
      <c r="G755" s="8" t="s">
        <v>60</v>
      </c>
      <c r="H755" s="8" t="s">
        <v>400</v>
      </c>
      <c r="I755" s="8" t="s">
        <v>4975</v>
      </c>
      <c r="J755" s="10">
        <v>696</v>
      </c>
      <c r="K755" s="11">
        <v>382.92</v>
      </c>
      <c r="L755" s="11">
        <v>488.57</v>
      </c>
      <c r="M755" s="11">
        <v>340044.72</v>
      </c>
      <c r="N755" s="11">
        <v>266512.32</v>
      </c>
      <c r="O755" s="11">
        <f>CleanedData[[#This Row],[Total Sales ($)]]-CleanedData[[#This Row],[Total Cost ($)]]</f>
        <v>73532.399999999965</v>
      </c>
      <c r="P755" s="12">
        <f>CleanedData[[#This Row],[Profit ($)]]/CleanedData[[#This Row],[Total Sales ($)]]</f>
        <v>0.21624332234889568</v>
      </c>
      <c r="Q755" s="8" t="s">
        <v>52</v>
      </c>
      <c r="R755" s="8" t="s">
        <v>32</v>
      </c>
      <c r="S755" s="8" t="b">
        <f>_xlfn.SINGLE(CleanedData[[#This Row],[Delivery Status]])="Late"</f>
        <v>1</v>
      </c>
      <c r="T755" s="10">
        <v>14</v>
      </c>
      <c r="U755" s="8" t="s">
        <v>33</v>
      </c>
      <c r="V755" s="10">
        <v>4108</v>
      </c>
      <c r="W755" s="10">
        <v>4</v>
      </c>
      <c r="X755" s="12">
        <v>5.7471264367815996E-3</v>
      </c>
      <c r="Y755" s="8" t="b">
        <f>CleanedData[[#This Row],[Ship Date]]&lt;CleanedData[[#This Row],[Order Date]]</f>
        <v>0</v>
      </c>
      <c r="Z755" s="10">
        <f>YEAR(CleanedData[[#This Row],[Order Date]])</f>
        <v>2023</v>
      </c>
      <c r="AA755" s="8">
        <f>MONTH(CleanedData[[#This Row],[Order Date]])</f>
        <v>2</v>
      </c>
    </row>
    <row r="756" spans="1:27" x14ac:dyDescent="0.35">
      <c r="A756" s="8" t="s">
        <v>2309</v>
      </c>
      <c r="B756" s="9">
        <v>45470</v>
      </c>
      <c r="C756" s="9">
        <v>45371</v>
      </c>
      <c r="D756" s="8" t="s">
        <v>4987</v>
      </c>
      <c r="E756" s="8" t="s">
        <v>48</v>
      </c>
      <c r="F756" s="8" t="s">
        <v>183</v>
      </c>
      <c r="G756" s="8" t="s">
        <v>93</v>
      </c>
      <c r="H756" s="8" t="s">
        <v>1442</v>
      </c>
      <c r="I756" s="8" t="s">
        <v>4976</v>
      </c>
      <c r="J756" s="10">
        <v>115</v>
      </c>
      <c r="K756" s="11">
        <v>756.02</v>
      </c>
      <c r="L756" s="11">
        <v>1080.17</v>
      </c>
      <c r="M756" s="11">
        <v>124219.55</v>
      </c>
      <c r="N756" s="11">
        <v>86942.3</v>
      </c>
      <c r="O756" s="11">
        <f>CleanedData[[#This Row],[Total Sales ($)]]-CleanedData[[#This Row],[Total Cost ($)]]</f>
        <v>37277.25</v>
      </c>
      <c r="P756" s="12">
        <f>CleanedData[[#This Row],[Profit ($)]]/CleanedData[[#This Row],[Total Sales ($)]]</f>
        <v>0.30009165223992518</v>
      </c>
      <c r="Q756" s="8" t="s">
        <v>42</v>
      </c>
      <c r="R756" s="8" t="s">
        <v>32</v>
      </c>
      <c r="S756" s="8" t="b">
        <f>_xlfn.SINGLE(CleanedData[[#This Row],[Delivery Status]])="Late"</f>
        <v>1</v>
      </c>
      <c r="T756" s="10">
        <v>8</v>
      </c>
      <c r="U756" s="8" t="s">
        <v>158</v>
      </c>
      <c r="V756" s="10">
        <v>3328</v>
      </c>
      <c r="W756" s="10">
        <v>1</v>
      </c>
      <c r="X756" s="12">
        <v>8.6956521739130002E-3</v>
      </c>
      <c r="Y756" s="8" t="b">
        <f>CleanedData[[#This Row],[Ship Date]]&lt;CleanedData[[#This Row],[Order Date]]</f>
        <v>1</v>
      </c>
      <c r="Z756" s="10">
        <f>YEAR(CleanedData[[#This Row],[Order Date]])</f>
        <v>2024</v>
      </c>
      <c r="AA756" s="8">
        <f>MONTH(CleanedData[[#This Row],[Order Date]])</f>
        <v>6</v>
      </c>
    </row>
    <row r="757" spans="1:27" x14ac:dyDescent="0.35">
      <c r="A757" s="8" t="s">
        <v>2312</v>
      </c>
      <c r="B757" s="9">
        <v>45516</v>
      </c>
      <c r="C757" s="9">
        <v>45456</v>
      </c>
      <c r="D757" s="8" t="s">
        <v>2314</v>
      </c>
      <c r="E757" s="8" t="s">
        <v>100</v>
      </c>
      <c r="F757" s="8" t="s">
        <v>538</v>
      </c>
      <c r="G757" s="8" t="s">
        <v>78</v>
      </c>
      <c r="H757" s="8" t="s">
        <v>79</v>
      </c>
      <c r="I757" s="8" t="s">
        <v>4978</v>
      </c>
      <c r="J757" s="10">
        <v>-20</v>
      </c>
      <c r="K757" s="11">
        <v>30.67</v>
      </c>
      <c r="L757" s="11">
        <v>46.96</v>
      </c>
      <c r="M757" s="11">
        <v>4414.24</v>
      </c>
      <c r="N757" s="11">
        <v>2882.98</v>
      </c>
      <c r="O757" s="11">
        <f>CleanedData[[#This Row],[Total Sales ($)]]-CleanedData[[#This Row],[Total Cost ($)]]</f>
        <v>1531.2599999999998</v>
      </c>
      <c r="P757" s="12">
        <f>CleanedData[[#This Row],[Profit ($)]]/CleanedData[[#This Row],[Total Sales ($)]]</f>
        <v>0.34689097103918226</v>
      </c>
      <c r="Q757" s="8" t="s">
        <v>31</v>
      </c>
      <c r="R757" s="8" t="s">
        <v>32</v>
      </c>
      <c r="S757" s="8" t="b">
        <f>_xlfn.SINGLE(CleanedData[[#This Row],[Delivery Status]])="Late"</f>
        <v>1</v>
      </c>
      <c r="T757" s="10">
        <v>8</v>
      </c>
      <c r="U757" s="8" t="s">
        <v>33</v>
      </c>
      <c r="V757" s="10">
        <v>4739</v>
      </c>
      <c r="W757" s="10">
        <v>4</v>
      </c>
      <c r="X757" s="12"/>
      <c r="Y757" s="8" t="b">
        <f>CleanedData[[#This Row],[Ship Date]]&lt;CleanedData[[#This Row],[Order Date]]</f>
        <v>1</v>
      </c>
      <c r="Z757" s="10">
        <f>YEAR(CleanedData[[#This Row],[Order Date]])</f>
        <v>2024</v>
      </c>
      <c r="AA757" s="8">
        <f>MONTH(CleanedData[[#This Row],[Order Date]])</f>
        <v>8</v>
      </c>
    </row>
    <row r="758" spans="1:27" x14ac:dyDescent="0.35">
      <c r="A758" s="8" t="s">
        <v>2315</v>
      </c>
      <c r="B758" s="9">
        <v>45124</v>
      </c>
      <c r="C758" s="9">
        <v>45220</v>
      </c>
      <c r="D758" s="8" t="s">
        <v>2316</v>
      </c>
      <c r="E758" s="8" t="s">
        <v>68</v>
      </c>
      <c r="F758" s="8" t="s">
        <v>146</v>
      </c>
      <c r="G758" s="8" t="s">
        <v>50</v>
      </c>
      <c r="H758" s="8" t="s">
        <v>51</v>
      </c>
      <c r="I758" s="8" t="s">
        <v>4975</v>
      </c>
      <c r="J758" s="10">
        <v>308</v>
      </c>
      <c r="K758" s="11">
        <v>252.56</v>
      </c>
      <c r="L758" s="11">
        <v>376.67</v>
      </c>
      <c r="M758" s="11">
        <v>116014.36</v>
      </c>
      <c r="N758" s="11">
        <v>77788.479999999996</v>
      </c>
      <c r="O758" s="11">
        <f>CleanedData[[#This Row],[Total Sales ($)]]-CleanedData[[#This Row],[Total Cost ($)]]</f>
        <v>38225.880000000005</v>
      </c>
      <c r="P758" s="12">
        <f>CleanedData[[#This Row],[Profit ($)]]/CleanedData[[#This Row],[Total Sales ($)]]</f>
        <v>0.3294926593569969</v>
      </c>
      <c r="Q758" s="8" t="s">
        <v>31</v>
      </c>
      <c r="R758" s="8" t="s">
        <v>32</v>
      </c>
      <c r="S758" s="8" t="b">
        <f>_xlfn.SINGLE(CleanedData[[#This Row],[Delivery Status]])="Late"</f>
        <v>1</v>
      </c>
      <c r="T758" s="10">
        <v>13</v>
      </c>
      <c r="U758" s="8" t="s">
        <v>43</v>
      </c>
      <c r="V758" s="10">
        <v>2402</v>
      </c>
      <c r="W758" s="10">
        <v>12</v>
      </c>
      <c r="X758" s="12">
        <v>3.8961038961038898E-2</v>
      </c>
      <c r="Y758" s="8" t="b">
        <f>CleanedData[[#This Row],[Ship Date]]&lt;CleanedData[[#This Row],[Order Date]]</f>
        <v>0</v>
      </c>
      <c r="Z758" s="10">
        <f>YEAR(CleanedData[[#This Row],[Order Date]])</f>
        <v>2023</v>
      </c>
      <c r="AA758" s="8">
        <f>MONTH(CleanedData[[#This Row],[Order Date]])</f>
        <v>7</v>
      </c>
    </row>
    <row r="759" spans="1:27" x14ac:dyDescent="0.35">
      <c r="A759" s="8" t="s">
        <v>2317</v>
      </c>
      <c r="B759" s="9">
        <v>44927</v>
      </c>
      <c r="C759" s="9">
        <v>45206</v>
      </c>
      <c r="D759" s="8" t="s">
        <v>2318</v>
      </c>
      <c r="E759" s="8" t="s">
        <v>100</v>
      </c>
      <c r="F759" s="8" t="s">
        <v>1529</v>
      </c>
      <c r="G759" s="8" t="s">
        <v>39</v>
      </c>
      <c r="H759" s="8" t="s">
        <v>664</v>
      </c>
      <c r="I759" s="8" t="s">
        <v>4978</v>
      </c>
      <c r="J759" s="10">
        <v>469</v>
      </c>
      <c r="K759" s="11">
        <v>1105.6099999999999</v>
      </c>
      <c r="L759" s="11">
        <v>1781.62</v>
      </c>
      <c r="M759" s="11">
        <v>835579.78</v>
      </c>
      <c r="N759" s="11">
        <v>518531.09</v>
      </c>
      <c r="O759" s="11">
        <f>CleanedData[[#This Row],[Total Sales ($)]]-CleanedData[[#This Row],[Total Cost ($)]]</f>
        <v>317048.69</v>
      </c>
      <c r="P759" s="12">
        <f>CleanedData[[#This Row],[Profit ($)]]/CleanedData[[#This Row],[Total Sales ($)]]</f>
        <v>0.37943556987460847</v>
      </c>
      <c r="Q759" s="8" t="s">
        <v>42</v>
      </c>
      <c r="R759" s="8" t="s">
        <v>32</v>
      </c>
      <c r="S759" s="8" t="b">
        <f>_xlfn.SINGLE(CleanedData[[#This Row],[Delivery Status]])="Late"</f>
        <v>1</v>
      </c>
      <c r="T759" s="10">
        <v>11</v>
      </c>
      <c r="U759" s="8" t="s">
        <v>86</v>
      </c>
      <c r="V759" s="10">
        <v>1982</v>
      </c>
      <c r="W759" s="10">
        <v>2</v>
      </c>
      <c r="X759" s="12">
        <v>4.2643923240938001E-3</v>
      </c>
      <c r="Y759" s="8" t="b">
        <f>CleanedData[[#This Row],[Ship Date]]&lt;CleanedData[[#This Row],[Order Date]]</f>
        <v>0</v>
      </c>
      <c r="Z759" s="10">
        <f>YEAR(CleanedData[[#This Row],[Order Date]])</f>
        <v>2023</v>
      </c>
      <c r="AA759" s="8">
        <f>MONTH(CleanedData[[#This Row],[Order Date]])</f>
        <v>1</v>
      </c>
    </row>
    <row r="760" spans="1:27" x14ac:dyDescent="0.35">
      <c r="A760" s="8" t="s">
        <v>2319</v>
      </c>
      <c r="B760" s="9">
        <v>45526</v>
      </c>
      <c r="C760" s="9">
        <v>45426</v>
      </c>
      <c r="D760" s="8" t="s">
        <v>2321</v>
      </c>
      <c r="E760" s="8" t="s">
        <v>26</v>
      </c>
      <c r="F760" s="8" t="s">
        <v>38</v>
      </c>
      <c r="G760" s="8" t="s">
        <v>28</v>
      </c>
      <c r="H760" s="8" t="s">
        <v>674</v>
      </c>
      <c r="I760" s="8" t="s">
        <v>4970</v>
      </c>
      <c r="J760" s="10">
        <v>685</v>
      </c>
      <c r="K760" s="11">
        <v>612.42999999999995</v>
      </c>
      <c r="L760" s="11">
        <v>1000.26</v>
      </c>
      <c r="M760" s="11">
        <v>685178.1</v>
      </c>
      <c r="N760" s="11">
        <v>419514.55</v>
      </c>
      <c r="O760" s="11">
        <f>CleanedData[[#This Row],[Total Sales ($)]]-CleanedData[[#This Row],[Total Cost ($)]]</f>
        <v>265663.55</v>
      </c>
      <c r="P760" s="12">
        <f>CleanedData[[#This Row],[Profit ($)]]/CleanedData[[#This Row],[Total Sales ($)]]</f>
        <v>0.38772919041049325</v>
      </c>
      <c r="Q760" s="8" t="s">
        <v>31</v>
      </c>
      <c r="R760" s="8" t="s">
        <v>32</v>
      </c>
      <c r="S760" s="8" t="b">
        <f>_xlfn.SINGLE(CleanedData[[#This Row],[Delivery Status]])="Late"</f>
        <v>1</v>
      </c>
      <c r="T760" s="10">
        <v>11</v>
      </c>
      <c r="U760" s="8" t="s">
        <v>33</v>
      </c>
      <c r="V760" s="10">
        <v>1059</v>
      </c>
      <c r="W760" s="10">
        <v>14</v>
      </c>
      <c r="X760" s="12">
        <v>2.04379562043795E-2</v>
      </c>
      <c r="Y760" s="8" t="b">
        <f>CleanedData[[#This Row],[Ship Date]]&lt;CleanedData[[#This Row],[Order Date]]</f>
        <v>1</v>
      </c>
      <c r="Z760" s="10">
        <f>YEAR(CleanedData[[#This Row],[Order Date]])</f>
        <v>2024</v>
      </c>
      <c r="AA760" s="8">
        <f>MONTH(CleanedData[[#This Row],[Order Date]])</f>
        <v>8</v>
      </c>
    </row>
    <row r="761" spans="1:27" x14ac:dyDescent="0.35">
      <c r="A761" s="8" t="s">
        <v>2322</v>
      </c>
      <c r="B761" s="9">
        <v>45261</v>
      </c>
      <c r="C761" s="9">
        <v>45221</v>
      </c>
      <c r="D761" s="8" t="s">
        <v>2323</v>
      </c>
      <c r="E761" s="8" t="s">
        <v>58</v>
      </c>
      <c r="F761" s="8" t="s">
        <v>59</v>
      </c>
      <c r="G761" s="8" t="s">
        <v>39</v>
      </c>
      <c r="H761" s="8" t="s">
        <v>412</v>
      </c>
      <c r="I761" s="8" t="s">
        <v>4967</v>
      </c>
      <c r="J761" s="10">
        <v>713</v>
      </c>
      <c r="K761" s="11">
        <v>471.17</v>
      </c>
      <c r="L761" s="11">
        <v>691.65</v>
      </c>
      <c r="M761" s="11">
        <v>493146.45</v>
      </c>
      <c r="N761" s="11">
        <v>335944.21</v>
      </c>
      <c r="O761" s="11">
        <f>CleanedData[[#This Row],[Total Sales ($)]]-CleanedData[[#This Row],[Total Cost ($)]]</f>
        <v>157202.23999999999</v>
      </c>
      <c r="P761" s="12">
        <f>CleanedData[[#This Row],[Profit ($)]]/CleanedData[[#This Row],[Total Sales ($)]]</f>
        <v>0.31877394636015322</v>
      </c>
      <c r="Q761" s="8" t="s">
        <v>31</v>
      </c>
      <c r="R761" s="8" t="s">
        <v>63</v>
      </c>
      <c r="S761" s="8" t="b">
        <f>_xlfn.SINGLE(CleanedData[[#This Row],[Delivery Status]])="Late"</f>
        <v>0</v>
      </c>
      <c r="T761" s="10">
        <v>1</v>
      </c>
      <c r="U761" s="8" t="s">
        <v>86</v>
      </c>
      <c r="V761" s="10">
        <v>223</v>
      </c>
      <c r="W761" s="10"/>
      <c r="X761" s="12"/>
      <c r="Y761" s="8" t="b">
        <f>CleanedData[[#This Row],[Ship Date]]&lt;CleanedData[[#This Row],[Order Date]]</f>
        <v>1</v>
      </c>
      <c r="Z761" s="10">
        <f>YEAR(CleanedData[[#This Row],[Order Date]])</f>
        <v>2023</v>
      </c>
      <c r="AA761" s="8">
        <f>MONTH(CleanedData[[#This Row],[Order Date]])</f>
        <v>12</v>
      </c>
    </row>
    <row r="762" spans="1:27" x14ac:dyDescent="0.35">
      <c r="A762" s="8" t="s">
        <v>2325</v>
      </c>
      <c r="B762" s="9">
        <v>45463</v>
      </c>
      <c r="C762" s="9">
        <v>45282</v>
      </c>
      <c r="D762" s="8" t="s">
        <v>2298</v>
      </c>
      <c r="E762" s="8" t="s">
        <v>68</v>
      </c>
      <c r="F762" s="8" t="s">
        <v>163</v>
      </c>
      <c r="G762" s="8" t="s">
        <v>39</v>
      </c>
      <c r="H762" s="8" t="s">
        <v>647</v>
      </c>
      <c r="I762" s="8" t="s">
        <v>4970</v>
      </c>
      <c r="J762" s="10">
        <v>65</v>
      </c>
      <c r="K762" s="11">
        <v>129.9</v>
      </c>
      <c r="L762" s="11">
        <v>190.14</v>
      </c>
      <c r="M762" s="11">
        <v>12359.1</v>
      </c>
      <c r="N762" s="11">
        <v>8443.5</v>
      </c>
      <c r="O762" s="11">
        <f>CleanedData[[#This Row],[Total Sales ($)]]-CleanedData[[#This Row],[Total Cost ($)]]</f>
        <v>3915.6000000000004</v>
      </c>
      <c r="P762" s="12">
        <f>CleanedData[[#This Row],[Profit ($)]]/CleanedData[[#This Row],[Total Sales ($)]]</f>
        <v>0.3168191858630483</v>
      </c>
      <c r="Q762" s="8" t="s">
        <v>31</v>
      </c>
      <c r="R762" s="8" t="s">
        <v>32</v>
      </c>
      <c r="S762" s="8" t="b">
        <f>_xlfn.SINGLE(CleanedData[[#This Row],[Delivery Status]])="Late"</f>
        <v>1</v>
      </c>
      <c r="T762" s="10">
        <v>6</v>
      </c>
      <c r="U762" s="8" t="s">
        <v>112</v>
      </c>
      <c r="V762" s="10">
        <v>1410</v>
      </c>
      <c r="W762" s="10">
        <v>1</v>
      </c>
      <c r="X762" s="12">
        <v>1.53846153846153E-2</v>
      </c>
      <c r="Y762" s="8" t="b">
        <f>CleanedData[[#This Row],[Ship Date]]&lt;CleanedData[[#This Row],[Order Date]]</f>
        <v>1</v>
      </c>
      <c r="Z762" s="10">
        <f>YEAR(CleanedData[[#This Row],[Order Date]])</f>
        <v>2024</v>
      </c>
      <c r="AA762" s="8">
        <f>MONTH(CleanedData[[#This Row],[Order Date]])</f>
        <v>6</v>
      </c>
    </row>
    <row r="763" spans="1:27" x14ac:dyDescent="0.35">
      <c r="A763" s="8" t="s">
        <v>2327</v>
      </c>
      <c r="B763" s="9">
        <v>44942</v>
      </c>
      <c r="C763" s="9">
        <v>44950</v>
      </c>
      <c r="D763" s="8" t="s">
        <v>2328</v>
      </c>
      <c r="E763" s="8" t="s">
        <v>58</v>
      </c>
      <c r="F763" s="8" t="s">
        <v>59</v>
      </c>
      <c r="G763" s="8" t="s">
        <v>217</v>
      </c>
      <c r="H763" s="8" t="s">
        <v>725</v>
      </c>
      <c r="I763" s="8" t="s">
        <v>4968</v>
      </c>
      <c r="J763" s="10">
        <v>202</v>
      </c>
      <c r="K763" s="11">
        <v>385.92</v>
      </c>
      <c r="L763" s="11">
        <v>468.71</v>
      </c>
      <c r="M763" s="11">
        <v>94679.42</v>
      </c>
      <c r="N763" s="11">
        <v>77955.839999999997</v>
      </c>
      <c r="O763" s="11">
        <f>CleanedData[[#This Row],[Total Sales ($)]]-CleanedData[[#This Row],[Total Cost ($)]]</f>
        <v>16723.580000000002</v>
      </c>
      <c r="P763" s="12">
        <f>CleanedData[[#This Row],[Profit ($)]]/CleanedData[[#This Row],[Total Sales ($)]]</f>
        <v>0.17663373941242988</v>
      </c>
      <c r="Q763" s="8" t="s">
        <v>95</v>
      </c>
      <c r="R763" s="8" t="s">
        <v>63</v>
      </c>
      <c r="S763" s="8" t="b">
        <f>_xlfn.SINGLE(CleanedData[[#This Row],[Delivery Status]])="Late"</f>
        <v>0</v>
      </c>
      <c r="T763" s="10">
        <v>1</v>
      </c>
      <c r="U763" s="8" t="s">
        <v>33</v>
      </c>
      <c r="V763" s="10">
        <v>3751</v>
      </c>
      <c r="W763" s="10">
        <v>10</v>
      </c>
      <c r="X763" s="12">
        <v>4.95049504950495E-2</v>
      </c>
      <c r="Y763" s="8" t="b">
        <f>CleanedData[[#This Row],[Ship Date]]&lt;CleanedData[[#This Row],[Order Date]]</f>
        <v>0</v>
      </c>
      <c r="Z763" s="10">
        <f>YEAR(CleanedData[[#This Row],[Order Date]])</f>
        <v>2023</v>
      </c>
      <c r="AA763" s="8">
        <f>MONTH(CleanedData[[#This Row],[Order Date]])</f>
        <v>1</v>
      </c>
    </row>
    <row r="764" spans="1:27" x14ac:dyDescent="0.35">
      <c r="A764" s="8" t="s">
        <v>2329</v>
      </c>
      <c r="B764" s="9">
        <v>45108</v>
      </c>
      <c r="C764" s="9">
        <v>44938</v>
      </c>
      <c r="D764" s="8" t="s">
        <v>2330</v>
      </c>
      <c r="E764" s="8" t="s">
        <v>68</v>
      </c>
      <c r="F764" s="8" t="s">
        <v>163</v>
      </c>
      <c r="G764" s="8" t="s">
        <v>129</v>
      </c>
      <c r="H764" s="8" t="s">
        <v>704</v>
      </c>
      <c r="I764" s="8" t="s">
        <v>4971</v>
      </c>
      <c r="J764" s="10">
        <v>788</v>
      </c>
      <c r="K764" s="11">
        <v>302.16000000000003</v>
      </c>
      <c r="L764" s="11">
        <v>487.14</v>
      </c>
      <c r="M764" s="11">
        <v>383866.32</v>
      </c>
      <c r="N764" s="11">
        <v>238102.08</v>
      </c>
      <c r="O764" s="11">
        <f>CleanedData[[#This Row],[Total Sales ($)]]-CleanedData[[#This Row],[Total Cost ($)]]</f>
        <v>145764.24000000002</v>
      </c>
      <c r="P764" s="12">
        <f>CleanedData[[#This Row],[Profit ($)]]/CleanedData[[#This Row],[Total Sales ($)]]</f>
        <v>0.37972656731124527</v>
      </c>
      <c r="Q764" s="8" t="s">
        <v>31</v>
      </c>
      <c r="R764" s="8" t="s">
        <v>32</v>
      </c>
      <c r="S764" s="8" t="b">
        <f>_xlfn.SINGLE(CleanedData[[#This Row],[Delivery Status]])="Late"</f>
        <v>1</v>
      </c>
      <c r="T764" s="10">
        <v>9</v>
      </c>
      <c r="U764" s="8" t="s">
        <v>53</v>
      </c>
      <c r="V764" s="10">
        <v>1731</v>
      </c>
      <c r="W764" s="10">
        <v>12</v>
      </c>
      <c r="X764" s="12">
        <v>1.5228426395939E-2</v>
      </c>
      <c r="Y764" s="8" t="b">
        <f>CleanedData[[#This Row],[Ship Date]]&lt;CleanedData[[#This Row],[Order Date]]</f>
        <v>1</v>
      </c>
      <c r="Z764" s="10">
        <f>YEAR(CleanedData[[#This Row],[Order Date]])</f>
        <v>2023</v>
      </c>
      <c r="AA764" s="8">
        <f>MONTH(CleanedData[[#This Row],[Order Date]])</f>
        <v>7</v>
      </c>
    </row>
    <row r="765" spans="1:27" x14ac:dyDescent="0.35">
      <c r="A765" s="8" t="s">
        <v>2331</v>
      </c>
      <c r="B765" s="9">
        <v>45241</v>
      </c>
      <c r="C765" s="9">
        <v>45249</v>
      </c>
      <c r="D765" s="8" t="s">
        <v>2332</v>
      </c>
      <c r="E765" s="8" t="s">
        <v>100</v>
      </c>
      <c r="F765" s="8" t="s">
        <v>330</v>
      </c>
      <c r="G765" s="8" t="s">
        <v>129</v>
      </c>
      <c r="H765" s="8" t="s">
        <v>152</v>
      </c>
      <c r="I765" s="8" t="s">
        <v>4967</v>
      </c>
      <c r="J765" s="10">
        <v>721</v>
      </c>
      <c r="K765" s="11">
        <v>652</v>
      </c>
      <c r="L765" s="11">
        <v>947.25</v>
      </c>
      <c r="M765" s="11">
        <v>682967.25</v>
      </c>
      <c r="N765" s="11">
        <v>470092</v>
      </c>
      <c r="O765" s="11">
        <f>CleanedData[[#This Row],[Total Sales ($)]]-CleanedData[[#This Row],[Total Cost ($)]]</f>
        <v>212875.25</v>
      </c>
      <c r="P765" s="12">
        <f>CleanedData[[#This Row],[Profit ($)]]/CleanedData[[#This Row],[Total Sales ($)]]</f>
        <v>0.31169173924518345</v>
      </c>
      <c r="Q765" s="8" t="s">
        <v>95</v>
      </c>
      <c r="R765" s="8" t="s">
        <v>32</v>
      </c>
      <c r="S765" s="8" t="b">
        <f>_xlfn.SINGLE(CleanedData[[#This Row],[Delivery Status]])="Late"</f>
        <v>1</v>
      </c>
      <c r="T765" s="10">
        <v>11</v>
      </c>
      <c r="U765" s="8" t="s">
        <v>158</v>
      </c>
      <c r="V765" s="10">
        <v>2439</v>
      </c>
      <c r="W765" s="10">
        <v>2</v>
      </c>
      <c r="X765" s="12">
        <v>2.7739251040221E-3</v>
      </c>
      <c r="Y765" s="8" t="b">
        <f>CleanedData[[#This Row],[Ship Date]]&lt;CleanedData[[#This Row],[Order Date]]</f>
        <v>0</v>
      </c>
      <c r="Z765" s="10">
        <f>YEAR(CleanedData[[#This Row],[Order Date]])</f>
        <v>2023</v>
      </c>
      <c r="AA765" s="8">
        <f>MONTH(CleanedData[[#This Row],[Order Date]])</f>
        <v>11</v>
      </c>
    </row>
    <row r="766" spans="1:27" x14ac:dyDescent="0.35">
      <c r="A766" s="8" t="s">
        <v>2333</v>
      </c>
      <c r="B766" s="9">
        <v>45017</v>
      </c>
      <c r="C766" s="9">
        <v>45274</v>
      </c>
      <c r="D766" s="8" t="s">
        <v>2334</v>
      </c>
      <c r="E766" s="8" t="s">
        <v>48</v>
      </c>
      <c r="F766" s="8" t="s">
        <v>183</v>
      </c>
      <c r="G766" s="8" t="s">
        <v>129</v>
      </c>
      <c r="H766" s="8" t="s">
        <v>152</v>
      </c>
      <c r="I766" s="8" t="s">
        <v>4973</v>
      </c>
      <c r="J766" s="10">
        <v>549</v>
      </c>
      <c r="K766" s="11">
        <v>575.02</v>
      </c>
      <c r="L766" s="11">
        <v>718.45</v>
      </c>
      <c r="M766" s="11">
        <v>394429.05</v>
      </c>
      <c r="N766" s="11">
        <v>315685.98</v>
      </c>
      <c r="O766" s="11">
        <f>CleanedData[[#This Row],[Total Sales ($)]]-CleanedData[[#This Row],[Total Cost ($)]]</f>
        <v>78743.070000000007</v>
      </c>
      <c r="P766" s="12">
        <f>CleanedData[[#This Row],[Profit ($)]]/CleanedData[[#This Row],[Total Sales ($)]]</f>
        <v>0.19963810981975089</v>
      </c>
      <c r="Q766" s="8" t="s">
        <v>52</v>
      </c>
      <c r="R766" s="8" t="s">
        <v>63</v>
      </c>
      <c r="S766" s="8" t="b">
        <f>_xlfn.SINGLE(CleanedData[[#This Row],[Delivery Status]])="Late"</f>
        <v>0</v>
      </c>
      <c r="T766" s="10">
        <v>2</v>
      </c>
      <c r="U766" s="8" t="s">
        <v>43</v>
      </c>
      <c r="V766" s="10">
        <v>4477</v>
      </c>
      <c r="W766" s="10">
        <v>10</v>
      </c>
      <c r="X766" s="12">
        <v>1.82149362477231E-2</v>
      </c>
      <c r="Y766" s="8" t="b">
        <f>CleanedData[[#This Row],[Ship Date]]&lt;CleanedData[[#This Row],[Order Date]]</f>
        <v>0</v>
      </c>
      <c r="Z766" s="10">
        <f>YEAR(CleanedData[[#This Row],[Order Date]])</f>
        <v>2023</v>
      </c>
      <c r="AA766" s="8">
        <f>MONTH(CleanedData[[#This Row],[Order Date]])</f>
        <v>4</v>
      </c>
    </row>
    <row r="767" spans="1:27" x14ac:dyDescent="0.35">
      <c r="A767" s="8" t="s">
        <v>2335</v>
      </c>
      <c r="B767" s="9">
        <v>45409</v>
      </c>
      <c r="C767" s="9">
        <v>45541</v>
      </c>
      <c r="D767" s="8" t="s">
        <v>2338</v>
      </c>
      <c r="E767" s="8" t="s">
        <v>26</v>
      </c>
      <c r="F767" s="8" t="s">
        <v>38</v>
      </c>
      <c r="G767" s="8" t="s">
        <v>93</v>
      </c>
      <c r="H767" s="8" t="s">
        <v>321</v>
      </c>
      <c r="I767" s="8" t="s">
        <v>4977</v>
      </c>
      <c r="J767" s="10">
        <v>534</v>
      </c>
      <c r="K767" s="11">
        <v>1174.3499999999999</v>
      </c>
      <c r="L767" s="11">
        <v>1926.45</v>
      </c>
      <c r="M767" s="11">
        <v>1028724.3</v>
      </c>
      <c r="N767" s="11">
        <v>627102.9</v>
      </c>
      <c r="O767" s="11">
        <f>CleanedData[[#This Row],[Total Sales ($)]]-CleanedData[[#This Row],[Total Cost ($)]]</f>
        <v>401621.4</v>
      </c>
      <c r="P767" s="12">
        <f>CleanedData[[#This Row],[Profit ($)]]/CleanedData[[#This Row],[Total Sales ($)]]</f>
        <v>0.39040722572607645</v>
      </c>
      <c r="Q767" s="8" t="s">
        <v>52</v>
      </c>
      <c r="R767" s="8" t="s">
        <v>32</v>
      </c>
      <c r="S767" s="8" t="b">
        <f>_xlfn.SINGLE(CleanedData[[#This Row],[Delivery Status]])="Late"</f>
        <v>1</v>
      </c>
      <c r="T767" s="10">
        <v>10</v>
      </c>
      <c r="U767" s="8" t="s">
        <v>86</v>
      </c>
      <c r="V767" s="10">
        <v>2964</v>
      </c>
      <c r="W767" s="10">
        <v>19</v>
      </c>
      <c r="X767" s="12">
        <v>3.5580524344569202E-2</v>
      </c>
      <c r="Y767" s="8" t="b">
        <f>CleanedData[[#This Row],[Ship Date]]&lt;CleanedData[[#This Row],[Order Date]]</f>
        <v>0</v>
      </c>
      <c r="Z767" s="10">
        <f>YEAR(CleanedData[[#This Row],[Order Date]])</f>
        <v>2024</v>
      </c>
      <c r="AA767" s="8">
        <f>MONTH(CleanedData[[#This Row],[Order Date]])</f>
        <v>4</v>
      </c>
    </row>
    <row r="768" spans="1:27" x14ac:dyDescent="0.35">
      <c r="A768" s="8" t="s">
        <v>2339</v>
      </c>
      <c r="B768" s="9">
        <v>45024</v>
      </c>
      <c r="C768" s="9">
        <v>45276</v>
      </c>
      <c r="D768" s="8" t="s">
        <v>2340</v>
      </c>
      <c r="E768" s="8" t="s">
        <v>4972</v>
      </c>
      <c r="F768" s="8" t="s">
        <v>330</v>
      </c>
      <c r="G768" s="8" t="s">
        <v>93</v>
      </c>
      <c r="H768" s="8" t="s">
        <v>485</v>
      </c>
      <c r="I768" s="8" t="s">
        <v>4968</v>
      </c>
      <c r="J768" s="10">
        <v>44</v>
      </c>
      <c r="K768" s="11">
        <v>696.25</v>
      </c>
      <c r="L768" s="11">
        <v>1071.3599999999999</v>
      </c>
      <c r="M768" s="11">
        <v>47139.839999999997</v>
      </c>
      <c r="N768" s="11">
        <v>30635</v>
      </c>
      <c r="O768" s="11">
        <f>CleanedData[[#This Row],[Total Sales ($)]]-CleanedData[[#This Row],[Total Cost ($)]]</f>
        <v>16504.839999999997</v>
      </c>
      <c r="P768" s="12">
        <f>CleanedData[[#This Row],[Profit ($)]]/CleanedData[[#This Row],[Total Sales ($)]]</f>
        <v>0.3501250746714456</v>
      </c>
      <c r="Q768" s="8" t="s">
        <v>95</v>
      </c>
      <c r="R768" s="8" t="s">
        <v>63</v>
      </c>
      <c r="S768" s="8" t="b">
        <f>_xlfn.SINGLE(CleanedData[[#This Row],[Delivery Status]])="Late"</f>
        <v>0</v>
      </c>
      <c r="T768" s="10">
        <v>5</v>
      </c>
      <c r="U768" s="8" t="s">
        <v>43</v>
      </c>
      <c r="V768" s="10">
        <v>2131</v>
      </c>
      <c r="W768" s="10">
        <v>0</v>
      </c>
      <c r="X768" s="12">
        <v>0</v>
      </c>
      <c r="Y768" s="8" t="b">
        <f>CleanedData[[#This Row],[Ship Date]]&lt;CleanedData[[#This Row],[Order Date]]</f>
        <v>0</v>
      </c>
      <c r="Z768" s="10">
        <f>YEAR(CleanedData[[#This Row],[Order Date]])</f>
        <v>2023</v>
      </c>
      <c r="AA768" s="8">
        <f>MONTH(CleanedData[[#This Row],[Order Date]])</f>
        <v>4</v>
      </c>
    </row>
    <row r="769" spans="1:27" x14ac:dyDescent="0.35">
      <c r="A769" s="8" t="s">
        <v>2341</v>
      </c>
      <c r="B769" s="9">
        <v>45274</v>
      </c>
      <c r="C769" s="9">
        <v>45133</v>
      </c>
      <c r="D769" s="8" t="s">
        <v>2342</v>
      </c>
      <c r="E769" s="8" t="s">
        <v>68</v>
      </c>
      <c r="F769" s="8" t="s">
        <v>276</v>
      </c>
      <c r="G769" s="8" t="s">
        <v>129</v>
      </c>
      <c r="H769" s="8" t="s">
        <v>130</v>
      </c>
      <c r="I769" s="8" t="s">
        <v>4968</v>
      </c>
      <c r="J769" s="10">
        <v>8</v>
      </c>
      <c r="K769" s="11">
        <v>254.82</v>
      </c>
      <c r="L769" s="11">
        <v>306.14</v>
      </c>
      <c r="M769" s="11">
        <v>2449.12</v>
      </c>
      <c r="N769" s="11">
        <v>2038.56</v>
      </c>
      <c r="O769" s="11">
        <f>CleanedData[[#This Row],[Total Sales ($)]]-CleanedData[[#This Row],[Total Cost ($)]]</f>
        <v>410.55999999999995</v>
      </c>
      <c r="P769" s="12">
        <f>CleanedData[[#This Row],[Profit ($)]]/CleanedData[[#This Row],[Total Sales ($)]]</f>
        <v>0.1676357222185928</v>
      </c>
      <c r="Q769" s="8" t="s">
        <v>42</v>
      </c>
      <c r="R769" s="8" t="s">
        <v>32</v>
      </c>
      <c r="S769" s="8" t="b">
        <f>_xlfn.SINGLE(CleanedData[[#This Row],[Delivery Status]])="Late"</f>
        <v>1</v>
      </c>
      <c r="T769" s="10">
        <v>13</v>
      </c>
      <c r="U769" s="8" t="s">
        <v>158</v>
      </c>
      <c r="V769" s="10">
        <v>4584</v>
      </c>
      <c r="W769" s="10">
        <v>1</v>
      </c>
      <c r="X769" s="12">
        <v>0.125</v>
      </c>
      <c r="Y769" s="8" t="b">
        <f>CleanedData[[#This Row],[Ship Date]]&lt;CleanedData[[#This Row],[Order Date]]</f>
        <v>1</v>
      </c>
      <c r="Z769" s="10">
        <f>YEAR(CleanedData[[#This Row],[Order Date]])</f>
        <v>2023</v>
      </c>
      <c r="AA769" s="8">
        <f>MONTH(CleanedData[[#This Row],[Order Date]])</f>
        <v>12</v>
      </c>
    </row>
    <row r="770" spans="1:27" x14ac:dyDescent="0.35">
      <c r="A770" s="8" t="s">
        <v>2343</v>
      </c>
      <c r="B770" s="9">
        <v>45213</v>
      </c>
      <c r="C770" s="9">
        <v>45032</v>
      </c>
      <c r="D770" s="8" t="s">
        <v>2344</v>
      </c>
      <c r="E770" s="8" t="s">
        <v>26</v>
      </c>
      <c r="F770" s="8" t="s">
        <v>92</v>
      </c>
      <c r="G770" s="8" t="s">
        <v>50</v>
      </c>
      <c r="H770" s="8" t="s">
        <v>734</v>
      </c>
      <c r="I770" s="8" t="s">
        <v>4974</v>
      </c>
      <c r="J770" s="10">
        <v>673</v>
      </c>
      <c r="K770" s="11">
        <v>97.36</v>
      </c>
      <c r="L770" s="11">
        <v>118.09</v>
      </c>
      <c r="M770" s="11">
        <v>79474.570000000007</v>
      </c>
      <c r="N770" s="11">
        <v>65523.28</v>
      </c>
      <c r="O770" s="11">
        <f>CleanedData[[#This Row],[Total Sales ($)]]-CleanedData[[#This Row],[Total Cost ($)]]</f>
        <v>13951.290000000008</v>
      </c>
      <c r="P770" s="12">
        <f>CleanedData[[#This Row],[Profit ($)]]/CleanedData[[#This Row],[Total Sales ($)]]</f>
        <v>0.17554407655178261</v>
      </c>
      <c r="Q770" s="8" t="s">
        <v>95</v>
      </c>
      <c r="R770" s="8" t="s">
        <v>32</v>
      </c>
      <c r="S770" s="8" t="b">
        <f>_xlfn.SINGLE(CleanedData[[#This Row],[Delivery Status]])="Late"</f>
        <v>1</v>
      </c>
      <c r="T770" s="10">
        <v>10</v>
      </c>
      <c r="U770" s="8" t="s">
        <v>86</v>
      </c>
      <c r="V770" s="10">
        <v>1869</v>
      </c>
      <c r="W770" s="10">
        <v>25</v>
      </c>
      <c r="X770" s="12">
        <v>3.7147102526002902E-2</v>
      </c>
      <c r="Y770" s="8" t="b">
        <f>CleanedData[[#This Row],[Ship Date]]&lt;CleanedData[[#This Row],[Order Date]]</f>
        <v>1</v>
      </c>
      <c r="Z770" s="10">
        <f>YEAR(CleanedData[[#This Row],[Order Date]])</f>
        <v>2023</v>
      </c>
      <c r="AA770" s="8">
        <f>MONTH(CleanedData[[#This Row],[Order Date]])</f>
        <v>10</v>
      </c>
    </row>
    <row r="771" spans="1:27" x14ac:dyDescent="0.35">
      <c r="A771" s="8" t="s">
        <v>2345</v>
      </c>
      <c r="B771" s="9">
        <v>45277</v>
      </c>
      <c r="C771" s="9">
        <v>45179</v>
      </c>
      <c r="D771" s="8" t="s">
        <v>2346</v>
      </c>
      <c r="E771" s="8" t="s">
        <v>100</v>
      </c>
      <c r="F771" s="8" t="s">
        <v>238</v>
      </c>
      <c r="G771" s="8" t="s">
        <v>28</v>
      </c>
      <c r="H771" s="8" t="s">
        <v>674</v>
      </c>
      <c r="I771" s="8" t="s">
        <v>4978</v>
      </c>
      <c r="J771" s="10">
        <v>687</v>
      </c>
      <c r="K771" s="11">
        <v>587.15</v>
      </c>
      <c r="L771" s="11">
        <v>824.06</v>
      </c>
      <c r="M771" s="11">
        <v>566129.22</v>
      </c>
      <c r="N771" s="11">
        <v>403372.05</v>
      </c>
      <c r="O771" s="11">
        <f>CleanedData[[#This Row],[Total Sales ($)]]-CleanedData[[#This Row],[Total Cost ($)]]</f>
        <v>162757.16999999998</v>
      </c>
      <c r="P771" s="12">
        <f>CleanedData[[#This Row],[Profit ($)]]/CleanedData[[#This Row],[Total Sales ($)]]</f>
        <v>0.28749120209693468</v>
      </c>
      <c r="Q771" s="8" t="s">
        <v>95</v>
      </c>
      <c r="R771" s="8" t="s">
        <v>32</v>
      </c>
      <c r="S771" s="8" t="b">
        <f>_xlfn.SINGLE(CleanedData[[#This Row],[Delivery Status]])="Late"</f>
        <v>1</v>
      </c>
      <c r="T771" s="10">
        <v>11</v>
      </c>
      <c r="U771" s="8" t="s">
        <v>33</v>
      </c>
      <c r="V771" s="10">
        <v>1940</v>
      </c>
      <c r="W771" s="10">
        <v>31</v>
      </c>
      <c r="X771" s="12">
        <v>4.5123726346433697E-2</v>
      </c>
      <c r="Y771" s="8" t="b">
        <f>CleanedData[[#This Row],[Ship Date]]&lt;CleanedData[[#This Row],[Order Date]]</f>
        <v>1</v>
      </c>
      <c r="Z771" s="10">
        <f>YEAR(CleanedData[[#This Row],[Order Date]])</f>
        <v>2023</v>
      </c>
      <c r="AA771" s="8">
        <f>MONTH(CleanedData[[#This Row],[Order Date]])</f>
        <v>12</v>
      </c>
    </row>
    <row r="772" spans="1:27" x14ac:dyDescent="0.35">
      <c r="A772" s="8" t="s">
        <v>2347</v>
      </c>
      <c r="B772" s="9">
        <v>45227</v>
      </c>
      <c r="C772" s="9">
        <v>45095</v>
      </c>
      <c r="D772" s="8" t="s">
        <v>2348</v>
      </c>
      <c r="E772" s="8" t="s">
        <v>100</v>
      </c>
      <c r="F772" s="8" t="s">
        <v>538</v>
      </c>
      <c r="G772" s="8" t="s">
        <v>129</v>
      </c>
      <c r="H772" s="8" t="s">
        <v>704</v>
      </c>
      <c r="I772" s="8" t="s">
        <v>4979</v>
      </c>
      <c r="J772" s="10">
        <v>18</v>
      </c>
      <c r="K772" s="11">
        <v>7.01</v>
      </c>
      <c r="L772" s="11">
        <v>9.86</v>
      </c>
      <c r="M772" s="11">
        <v>177.48</v>
      </c>
      <c r="N772" s="11">
        <v>126.18</v>
      </c>
      <c r="O772" s="11">
        <f>CleanedData[[#This Row],[Total Sales ($)]]-CleanedData[[#This Row],[Total Cost ($)]]</f>
        <v>51.299999999999983</v>
      </c>
      <c r="P772" s="12">
        <f>CleanedData[[#This Row],[Profit ($)]]/CleanedData[[#This Row],[Total Sales ($)]]</f>
        <v>0.28904665314401617</v>
      </c>
      <c r="Q772" s="8" t="s">
        <v>42</v>
      </c>
      <c r="R772" s="8" t="s">
        <v>32</v>
      </c>
      <c r="S772" s="8" t="b">
        <f>_xlfn.SINGLE(CleanedData[[#This Row],[Delivery Status]])="Late"</f>
        <v>1</v>
      </c>
      <c r="T772" s="10">
        <v>7</v>
      </c>
      <c r="U772" s="8" t="s">
        <v>112</v>
      </c>
      <c r="V772" s="10">
        <v>1331</v>
      </c>
      <c r="W772" s="10">
        <v>0</v>
      </c>
      <c r="X772" s="12">
        <v>0</v>
      </c>
      <c r="Y772" s="8" t="b">
        <f>CleanedData[[#This Row],[Ship Date]]&lt;CleanedData[[#This Row],[Order Date]]</f>
        <v>1</v>
      </c>
      <c r="Z772" s="10">
        <f>YEAR(CleanedData[[#This Row],[Order Date]])</f>
        <v>2023</v>
      </c>
      <c r="AA772" s="8">
        <f>MONTH(CleanedData[[#This Row],[Order Date]])</f>
        <v>10</v>
      </c>
    </row>
    <row r="773" spans="1:27" x14ac:dyDescent="0.35">
      <c r="A773" s="8" t="s">
        <v>2349</v>
      </c>
      <c r="B773" s="9">
        <v>45049</v>
      </c>
      <c r="C773" s="9">
        <v>45098</v>
      </c>
      <c r="D773" s="8" t="s">
        <v>2350</v>
      </c>
      <c r="E773" s="8" t="s">
        <v>48</v>
      </c>
      <c r="F773" s="8" t="s">
        <v>223</v>
      </c>
      <c r="G773" s="8" t="s">
        <v>93</v>
      </c>
      <c r="H773" s="8" t="s">
        <v>485</v>
      </c>
      <c r="I773" s="8" t="s">
        <v>4970</v>
      </c>
      <c r="J773" s="10">
        <v>463</v>
      </c>
      <c r="K773" s="11">
        <v>611.48</v>
      </c>
      <c r="L773" s="11">
        <v>744.89</v>
      </c>
      <c r="M773" s="11">
        <v>344884.07</v>
      </c>
      <c r="N773" s="11">
        <v>283115.24</v>
      </c>
      <c r="O773" s="11">
        <f>CleanedData[[#This Row],[Total Sales ($)]]-CleanedData[[#This Row],[Total Cost ($)]]</f>
        <v>61768.830000000016</v>
      </c>
      <c r="P773" s="12">
        <f>CleanedData[[#This Row],[Profit ($)]]/CleanedData[[#This Row],[Total Sales ($)]]</f>
        <v>0.17910026983849969</v>
      </c>
      <c r="Q773" s="8" t="s">
        <v>42</v>
      </c>
      <c r="R773" s="8" t="s">
        <v>32</v>
      </c>
      <c r="S773" s="8" t="b">
        <f>_xlfn.SINGLE(CleanedData[[#This Row],[Delivery Status]])="Late"</f>
        <v>1</v>
      </c>
      <c r="T773" s="10">
        <v>9</v>
      </c>
      <c r="U773" s="8" t="s">
        <v>53</v>
      </c>
      <c r="V773" s="10">
        <v>4931</v>
      </c>
      <c r="W773" s="10">
        <v>17</v>
      </c>
      <c r="X773" s="12">
        <v>3.6717062634989202E-2</v>
      </c>
      <c r="Y773" s="8" t="b">
        <f>CleanedData[[#This Row],[Ship Date]]&lt;CleanedData[[#This Row],[Order Date]]</f>
        <v>0</v>
      </c>
      <c r="Z773" s="10">
        <f>YEAR(CleanedData[[#This Row],[Order Date]])</f>
        <v>2023</v>
      </c>
      <c r="AA773" s="8">
        <f>MONTH(CleanedData[[#This Row],[Order Date]])</f>
        <v>5</v>
      </c>
    </row>
    <row r="774" spans="1:27" x14ac:dyDescent="0.35">
      <c r="A774" s="8" t="s">
        <v>2351</v>
      </c>
      <c r="B774" s="9">
        <v>45188</v>
      </c>
      <c r="C774" s="9">
        <v>45087</v>
      </c>
      <c r="D774" s="8" t="s">
        <v>2352</v>
      </c>
      <c r="E774" s="8" t="s">
        <v>58</v>
      </c>
      <c r="F774" s="8" t="s">
        <v>122</v>
      </c>
      <c r="G774" s="8" t="s">
        <v>129</v>
      </c>
      <c r="H774" s="8" t="s">
        <v>152</v>
      </c>
      <c r="I774" s="8" t="s">
        <v>4974</v>
      </c>
      <c r="J774" s="10">
        <v>251</v>
      </c>
      <c r="K774" s="11">
        <v>286.98</v>
      </c>
      <c r="L774" s="11">
        <v>413.24</v>
      </c>
      <c r="M774" s="11">
        <v>103723.24</v>
      </c>
      <c r="N774" s="11">
        <v>72031.98</v>
      </c>
      <c r="O774" s="11">
        <f>CleanedData[[#This Row],[Total Sales ($)]]-CleanedData[[#This Row],[Total Cost ($)]]</f>
        <v>31691.260000000009</v>
      </c>
      <c r="P774" s="12">
        <f>CleanedData[[#This Row],[Profit ($)]]/CleanedData[[#This Row],[Total Sales ($)]]</f>
        <v>0.30553673410124876</v>
      </c>
      <c r="Q774" s="8" t="s">
        <v>31</v>
      </c>
      <c r="R774" s="8" t="s">
        <v>63</v>
      </c>
      <c r="S774" s="8" t="b">
        <f>_xlfn.SINGLE(CleanedData[[#This Row],[Delivery Status]])="Late"</f>
        <v>0</v>
      </c>
      <c r="T774" s="10">
        <v>4</v>
      </c>
      <c r="U774" s="8" t="s">
        <v>43</v>
      </c>
      <c r="V774" s="10">
        <v>810</v>
      </c>
      <c r="W774" s="10">
        <v>8</v>
      </c>
      <c r="X774" s="12">
        <v>3.18725099601593E-2</v>
      </c>
      <c r="Y774" s="8" t="b">
        <f>CleanedData[[#This Row],[Ship Date]]&lt;CleanedData[[#This Row],[Order Date]]</f>
        <v>1</v>
      </c>
      <c r="Z774" s="10">
        <f>YEAR(CleanedData[[#This Row],[Order Date]])</f>
        <v>2023</v>
      </c>
      <c r="AA774" s="8">
        <f>MONTH(CleanedData[[#This Row],[Order Date]])</f>
        <v>9</v>
      </c>
    </row>
    <row r="775" spans="1:27" x14ac:dyDescent="0.35">
      <c r="A775" s="8" t="s">
        <v>2353</v>
      </c>
      <c r="B775" s="9">
        <v>45590</v>
      </c>
      <c r="C775" s="9">
        <v>45620</v>
      </c>
      <c r="D775" s="8" t="s">
        <v>2354</v>
      </c>
      <c r="E775" s="8" t="s">
        <v>100</v>
      </c>
      <c r="F775" s="8" t="s">
        <v>106</v>
      </c>
      <c r="G775" s="8" t="s">
        <v>217</v>
      </c>
      <c r="H775" s="8" t="s">
        <v>292</v>
      </c>
      <c r="I775" s="8" t="s">
        <v>4970</v>
      </c>
      <c r="J775" s="10">
        <v>195</v>
      </c>
      <c r="K775" s="11">
        <v>1068.92</v>
      </c>
      <c r="L775" s="11">
        <v>1446.38</v>
      </c>
      <c r="M775" s="11">
        <v>282044.09999999998</v>
      </c>
      <c r="N775" s="11">
        <v>208439.4</v>
      </c>
      <c r="O775" s="11">
        <f>CleanedData[[#This Row],[Total Sales ($)]]-CleanedData[[#This Row],[Total Cost ($)]]</f>
        <v>73604.699999999983</v>
      </c>
      <c r="P775" s="12">
        <f>CleanedData[[#This Row],[Profit ($)]]/CleanedData[[#This Row],[Total Sales ($)]]</f>
        <v>0.2609687633955115</v>
      </c>
      <c r="Q775" s="8" t="s">
        <v>42</v>
      </c>
      <c r="R775" s="8" t="s">
        <v>32</v>
      </c>
      <c r="S775" s="8" t="b">
        <f>_xlfn.SINGLE(CleanedData[[#This Row],[Delivery Status]])="Late"</f>
        <v>1</v>
      </c>
      <c r="T775" s="10">
        <v>11</v>
      </c>
      <c r="U775" s="8" t="s">
        <v>112</v>
      </c>
      <c r="V775" s="10">
        <v>1220</v>
      </c>
      <c r="W775" s="10">
        <v>6</v>
      </c>
      <c r="X775" s="12">
        <v>3.0769230769230702E-2</v>
      </c>
      <c r="Y775" s="8" t="b">
        <f>CleanedData[[#This Row],[Ship Date]]&lt;CleanedData[[#This Row],[Order Date]]</f>
        <v>0</v>
      </c>
      <c r="Z775" s="10">
        <f>YEAR(CleanedData[[#This Row],[Order Date]])</f>
        <v>2024</v>
      </c>
      <c r="AA775" s="8">
        <f>MONTH(CleanedData[[#This Row],[Order Date]])</f>
        <v>10</v>
      </c>
    </row>
    <row r="776" spans="1:27" x14ac:dyDescent="0.35">
      <c r="A776" s="8" t="s">
        <v>2355</v>
      </c>
      <c r="B776" s="9">
        <v>45083</v>
      </c>
      <c r="C776" s="9">
        <v>45124</v>
      </c>
      <c r="D776" s="8" t="s">
        <v>2356</v>
      </c>
      <c r="E776" s="8" t="s">
        <v>58</v>
      </c>
      <c r="F776" s="8" t="s">
        <v>259</v>
      </c>
      <c r="G776" s="8" t="s">
        <v>60</v>
      </c>
      <c r="H776" s="8" t="s">
        <v>265</v>
      </c>
      <c r="I776" s="8" t="s">
        <v>4970</v>
      </c>
      <c r="J776" s="10">
        <v>480</v>
      </c>
      <c r="K776" s="11">
        <v>1150.74</v>
      </c>
      <c r="L776" s="11">
        <v>1613.57</v>
      </c>
      <c r="M776" s="11">
        <v>774513.6</v>
      </c>
      <c r="N776" s="11">
        <v>552355.19999999995</v>
      </c>
      <c r="O776" s="11">
        <f>CleanedData[[#This Row],[Total Sales ($)]]-CleanedData[[#This Row],[Total Cost ($)]]</f>
        <v>222158.40000000002</v>
      </c>
      <c r="P776" s="12">
        <f>CleanedData[[#This Row],[Profit ($)]]/CleanedData[[#This Row],[Total Sales ($)]]</f>
        <v>0.28683602198850999</v>
      </c>
      <c r="Q776" s="8" t="s">
        <v>42</v>
      </c>
      <c r="R776" s="8" t="s">
        <v>32</v>
      </c>
      <c r="S776" s="8" t="b">
        <f>_xlfn.SINGLE(CleanedData[[#This Row],[Delivery Status]])="Late"</f>
        <v>1</v>
      </c>
      <c r="T776" s="10">
        <v>15</v>
      </c>
      <c r="U776" s="8" t="s">
        <v>43</v>
      </c>
      <c r="V776" s="10">
        <v>581</v>
      </c>
      <c r="W776" s="10">
        <v>19</v>
      </c>
      <c r="X776" s="12">
        <v>3.9583333333333297E-2</v>
      </c>
      <c r="Y776" s="8" t="b">
        <f>CleanedData[[#This Row],[Ship Date]]&lt;CleanedData[[#This Row],[Order Date]]</f>
        <v>0</v>
      </c>
      <c r="Z776" s="10">
        <f>YEAR(CleanedData[[#This Row],[Order Date]])</f>
        <v>2023</v>
      </c>
      <c r="AA776" s="8">
        <f>MONTH(CleanedData[[#This Row],[Order Date]])</f>
        <v>6</v>
      </c>
    </row>
    <row r="777" spans="1:27" x14ac:dyDescent="0.35">
      <c r="A777" s="8" t="s">
        <v>2357</v>
      </c>
      <c r="B777" s="9">
        <v>44939</v>
      </c>
      <c r="C777" s="9">
        <v>45066</v>
      </c>
      <c r="D777" s="8" t="s">
        <v>2358</v>
      </c>
      <c r="E777" s="8" t="s">
        <v>100</v>
      </c>
      <c r="F777" s="8" t="s">
        <v>101</v>
      </c>
      <c r="G777" s="8" t="s">
        <v>28</v>
      </c>
      <c r="H777" s="8" t="s">
        <v>579</v>
      </c>
      <c r="I777" s="8" t="s">
        <v>4976</v>
      </c>
      <c r="J777" s="10">
        <v>442</v>
      </c>
      <c r="K777" s="11">
        <v>962.54</v>
      </c>
      <c r="L777" s="11">
        <v>1098.5999999999999</v>
      </c>
      <c r="M777" s="11">
        <v>485581.2</v>
      </c>
      <c r="N777" s="11">
        <v>425442.68</v>
      </c>
      <c r="O777" s="11">
        <f>CleanedData[[#This Row],[Total Sales ($)]]-CleanedData[[#This Row],[Total Cost ($)]]</f>
        <v>60138.520000000019</v>
      </c>
      <c r="P777" s="12">
        <f>CleanedData[[#This Row],[Profit ($)]]/CleanedData[[#This Row],[Total Sales ($)]]</f>
        <v>0.12384853449845261</v>
      </c>
      <c r="Q777" s="8" t="s">
        <v>31</v>
      </c>
      <c r="R777" s="8" t="s">
        <v>32</v>
      </c>
      <c r="S777" s="8" t="b">
        <f>_xlfn.SINGLE(CleanedData[[#This Row],[Delivery Status]])="Late"</f>
        <v>1</v>
      </c>
      <c r="T777" s="10">
        <v>10</v>
      </c>
      <c r="U777" s="8" t="s">
        <v>53</v>
      </c>
      <c r="V777" s="10">
        <v>2599</v>
      </c>
      <c r="W777" s="10">
        <v>10</v>
      </c>
      <c r="X777" s="12">
        <v>2.2624434389140202E-2</v>
      </c>
      <c r="Y777" s="8" t="b">
        <f>CleanedData[[#This Row],[Ship Date]]&lt;CleanedData[[#This Row],[Order Date]]</f>
        <v>0</v>
      </c>
      <c r="Z777" s="10">
        <f>YEAR(CleanedData[[#This Row],[Order Date]])</f>
        <v>2023</v>
      </c>
      <c r="AA777" s="8">
        <f>MONTH(CleanedData[[#This Row],[Order Date]])</f>
        <v>1</v>
      </c>
    </row>
    <row r="778" spans="1:27" x14ac:dyDescent="0.35">
      <c r="A778" s="8" t="s">
        <v>2359</v>
      </c>
      <c r="B778" s="9">
        <v>45209</v>
      </c>
      <c r="C778" s="9">
        <v>45235</v>
      </c>
      <c r="D778" s="8" t="s">
        <v>2360</v>
      </c>
      <c r="E778" s="8" t="s">
        <v>26</v>
      </c>
      <c r="F778" s="8" t="s">
        <v>92</v>
      </c>
      <c r="G778" s="8" t="s">
        <v>50</v>
      </c>
      <c r="H778" s="8" t="s">
        <v>135</v>
      </c>
      <c r="I778" s="8" t="s">
        <v>4979</v>
      </c>
      <c r="J778" s="10">
        <v>484</v>
      </c>
      <c r="K778" s="11">
        <v>688.96</v>
      </c>
      <c r="L778" s="11">
        <v>833.51</v>
      </c>
      <c r="M778" s="11">
        <v>403418.84</v>
      </c>
      <c r="N778" s="11">
        <v>333456.64000000001</v>
      </c>
      <c r="O778" s="11">
        <f>CleanedData[[#This Row],[Total Sales ($)]]-CleanedData[[#This Row],[Total Cost ($)]]</f>
        <v>69962.200000000012</v>
      </c>
      <c r="P778" s="12">
        <f>CleanedData[[#This Row],[Profit ($)]]/CleanedData[[#This Row],[Total Sales ($)]]</f>
        <v>0.17342323427433387</v>
      </c>
      <c r="Q778" s="8" t="s">
        <v>31</v>
      </c>
      <c r="R778" s="8" t="s">
        <v>32</v>
      </c>
      <c r="S778" s="8" t="b">
        <f>_xlfn.SINGLE(CleanedData[[#This Row],[Delivery Status]])="Late"</f>
        <v>1</v>
      </c>
      <c r="T778" s="10">
        <v>11</v>
      </c>
      <c r="U778" s="8" t="s">
        <v>43</v>
      </c>
      <c r="V778" s="10">
        <v>1702</v>
      </c>
      <c r="W778" s="10">
        <v>8</v>
      </c>
      <c r="X778" s="12">
        <v>1.6528925619834701E-2</v>
      </c>
      <c r="Y778" s="8" t="b">
        <f>CleanedData[[#This Row],[Ship Date]]&lt;CleanedData[[#This Row],[Order Date]]</f>
        <v>0</v>
      </c>
      <c r="Z778" s="10">
        <f>YEAR(CleanedData[[#This Row],[Order Date]])</f>
        <v>2023</v>
      </c>
      <c r="AA778" s="8">
        <f>MONTH(CleanedData[[#This Row],[Order Date]])</f>
        <v>10</v>
      </c>
    </row>
    <row r="779" spans="1:27" x14ac:dyDescent="0.35">
      <c r="A779" s="8" t="s">
        <v>2361</v>
      </c>
      <c r="B779" s="9">
        <v>45188</v>
      </c>
      <c r="C779" s="9">
        <v>44993</v>
      </c>
      <c r="D779" s="8" t="s">
        <v>2362</v>
      </c>
      <c r="E779" s="8" t="s">
        <v>26</v>
      </c>
      <c r="F779" s="8" t="s">
        <v>38</v>
      </c>
      <c r="G779" s="8" t="s">
        <v>217</v>
      </c>
      <c r="H779" s="8" t="s">
        <v>335</v>
      </c>
      <c r="I779" s="8" t="s">
        <v>4975</v>
      </c>
      <c r="J779" s="10">
        <v>490</v>
      </c>
      <c r="K779" s="11">
        <v>259.27</v>
      </c>
      <c r="L779" s="11">
        <v>381.06</v>
      </c>
      <c r="M779" s="11">
        <v>186719.4</v>
      </c>
      <c r="N779" s="11">
        <v>127042.3</v>
      </c>
      <c r="O779" s="11">
        <f>CleanedData[[#This Row],[Total Sales ($)]]-CleanedData[[#This Row],[Total Cost ($)]]</f>
        <v>59677.099999999991</v>
      </c>
      <c r="P779" s="12">
        <f>CleanedData[[#This Row],[Profit ($)]]/CleanedData[[#This Row],[Total Sales ($)]]</f>
        <v>0.31960846060987769</v>
      </c>
      <c r="Q779" s="8" t="s">
        <v>52</v>
      </c>
      <c r="R779" s="8" t="s">
        <v>32</v>
      </c>
      <c r="S779" s="8" t="b">
        <f>_xlfn.SINGLE(CleanedData[[#This Row],[Delivery Status]])="Late"</f>
        <v>1</v>
      </c>
      <c r="T779" s="10">
        <v>13</v>
      </c>
      <c r="U779" s="8" t="s">
        <v>33</v>
      </c>
      <c r="V779" s="10">
        <v>1842</v>
      </c>
      <c r="W779" s="10">
        <v>7</v>
      </c>
      <c r="X779" s="12">
        <v>1.42857142857142E-2</v>
      </c>
      <c r="Y779" s="8" t="b">
        <f>CleanedData[[#This Row],[Ship Date]]&lt;CleanedData[[#This Row],[Order Date]]</f>
        <v>1</v>
      </c>
      <c r="Z779" s="10">
        <f>YEAR(CleanedData[[#This Row],[Order Date]])</f>
        <v>2023</v>
      </c>
      <c r="AA779" s="8">
        <f>MONTH(CleanedData[[#This Row],[Order Date]])</f>
        <v>9</v>
      </c>
    </row>
    <row r="780" spans="1:27" x14ac:dyDescent="0.35">
      <c r="A780" s="8" t="s">
        <v>2363</v>
      </c>
      <c r="B780" s="9">
        <v>45061</v>
      </c>
      <c r="C780" s="9">
        <v>45105</v>
      </c>
      <c r="D780" s="8" t="s">
        <v>2364</v>
      </c>
      <c r="E780" s="8" t="s">
        <v>26</v>
      </c>
      <c r="F780" s="8" t="s">
        <v>228</v>
      </c>
      <c r="G780" s="8" t="s">
        <v>70</v>
      </c>
      <c r="H780" s="8" t="s">
        <v>623</v>
      </c>
      <c r="I780" s="8" t="s">
        <v>4967</v>
      </c>
      <c r="J780" s="10">
        <v>776</v>
      </c>
      <c r="K780" s="11">
        <v>178.86</v>
      </c>
      <c r="L780" s="11">
        <v>262.07</v>
      </c>
      <c r="M780" s="11">
        <v>203366.32</v>
      </c>
      <c r="N780" s="11">
        <v>138795.35999999999</v>
      </c>
      <c r="O780" s="11">
        <f>CleanedData[[#This Row],[Total Sales ($)]]-CleanedData[[#This Row],[Total Cost ($)]]</f>
        <v>64570.960000000021</v>
      </c>
      <c r="P780" s="12">
        <f>CleanedData[[#This Row],[Profit ($)]]/CleanedData[[#This Row],[Total Sales ($)]]</f>
        <v>0.3175105887739918</v>
      </c>
      <c r="Q780" s="8" t="s">
        <v>52</v>
      </c>
      <c r="R780" s="8" t="s">
        <v>63</v>
      </c>
      <c r="S780" s="8" t="b">
        <f>_xlfn.SINGLE(CleanedData[[#This Row],[Delivery Status]])="Late"</f>
        <v>0</v>
      </c>
      <c r="T780" s="10">
        <v>2</v>
      </c>
      <c r="U780" s="8" t="s">
        <v>53</v>
      </c>
      <c r="V780" s="10">
        <v>4507</v>
      </c>
      <c r="W780" s="10">
        <v>23</v>
      </c>
      <c r="X780" s="12">
        <v>2.9639175257731899E-2</v>
      </c>
      <c r="Y780" s="8" t="b">
        <f>CleanedData[[#This Row],[Ship Date]]&lt;CleanedData[[#This Row],[Order Date]]</f>
        <v>0</v>
      </c>
      <c r="Z780" s="10">
        <f>YEAR(CleanedData[[#This Row],[Order Date]])</f>
        <v>2023</v>
      </c>
      <c r="AA780" s="8">
        <f>MONTH(CleanedData[[#This Row],[Order Date]])</f>
        <v>5</v>
      </c>
    </row>
    <row r="781" spans="1:27" x14ac:dyDescent="0.35">
      <c r="A781" s="8" t="s">
        <v>2365</v>
      </c>
      <c r="B781" s="9">
        <v>45129</v>
      </c>
      <c r="C781" s="9">
        <v>45088</v>
      </c>
      <c r="D781" s="8" t="s">
        <v>2366</v>
      </c>
      <c r="E781" s="8" t="s">
        <v>26</v>
      </c>
      <c r="F781" s="8" t="s">
        <v>77</v>
      </c>
      <c r="G781" s="8" t="s">
        <v>78</v>
      </c>
      <c r="H781" s="8" t="s">
        <v>178</v>
      </c>
      <c r="I781" s="8" t="s">
        <v>4977</v>
      </c>
      <c r="J781" s="10">
        <v>446</v>
      </c>
      <c r="K781" s="11">
        <v>290.33999999999997</v>
      </c>
      <c r="L781" s="11">
        <v>442.08</v>
      </c>
      <c r="M781" s="11">
        <v>197167.68</v>
      </c>
      <c r="N781" s="11">
        <v>129491.64</v>
      </c>
      <c r="O781" s="11">
        <f>CleanedData[[#This Row],[Total Sales ($)]]-CleanedData[[#This Row],[Total Cost ($)]]</f>
        <v>67676.039999999994</v>
      </c>
      <c r="P781" s="12">
        <f>CleanedData[[#This Row],[Profit ($)]]/CleanedData[[#This Row],[Total Sales ($)]]</f>
        <v>0.34324104234527686</v>
      </c>
      <c r="Q781" s="8" t="s">
        <v>31</v>
      </c>
      <c r="R781" s="8" t="s">
        <v>63</v>
      </c>
      <c r="S781" s="8" t="b">
        <f>_xlfn.SINGLE(CleanedData[[#This Row],[Delivery Status]])="Late"</f>
        <v>0</v>
      </c>
      <c r="T781" s="10">
        <v>2</v>
      </c>
      <c r="U781" s="8" t="s">
        <v>33</v>
      </c>
      <c r="V781" s="10">
        <v>1566</v>
      </c>
      <c r="W781" s="10">
        <v>18</v>
      </c>
      <c r="X781" s="12">
        <v>4.0358744394618798E-2</v>
      </c>
      <c r="Y781" s="8" t="b">
        <f>CleanedData[[#This Row],[Ship Date]]&lt;CleanedData[[#This Row],[Order Date]]</f>
        <v>1</v>
      </c>
      <c r="Z781" s="10">
        <f>YEAR(CleanedData[[#This Row],[Order Date]])</f>
        <v>2023</v>
      </c>
      <c r="AA781" s="8">
        <f>MONTH(CleanedData[[#This Row],[Order Date]])</f>
        <v>7</v>
      </c>
    </row>
    <row r="782" spans="1:27" x14ac:dyDescent="0.35">
      <c r="A782" s="8" t="s">
        <v>2367</v>
      </c>
      <c r="B782" s="9">
        <v>45002</v>
      </c>
      <c r="C782" s="9">
        <v>45261</v>
      </c>
      <c r="D782" s="8" t="s">
        <v>2348</v>
      </c>
      <c r="E782" s="8" t="s">
        <v>48</v>
      </c>
      <c r="F782" s="8" t="s">
        <v>49</v>
      </c>
      <c r="G782" s="8" t="s">
        <v>93</v>
      </c>
      <c r="H782" s="8" t="s">
        <v>184</v>
      </c>
      <c r="I782" s="8" t="s">
        <v>4971</v>
      </c>
      <c r="J782" s="10">
        <v>767</v>
      </c>
      <c r="K782" s="11">
        <v>591.41</v>
      </c>
      <c r="L782" s="11">
        <v>920.06</v>
      </c>
      <c r="M782" s="11">
        <v>705686.02</v>
      </c>
      <c r="N782" s="11">
        <v>453611.47</v>
      </c>
      <c r="O782" s="11">
        <f>CleanedData[[#This Row],[Total Sales ($)]]-CleanedData[[#This Row],[Total Cost ($)]]</f>
        <v>252074.55000000005</v>
      </c>
      <c r="P782" s="12">
        <f>CleanedData[[#This Row],[Profit ($)]]/CleanedData[[#This Row],[Total Sales ($)]]</f>
        <v>0.35720496489359393</v>
      </c>
      <c r="Q782" s="8" t="s">
        <v>95</v>
      </c>
      <c r="R782" s="8" t="s">
        <v>32</v>
      </c>
      <c r="S782" s="8" t="b">
        <f>_xlfn.SINGLE(CleanedData[[#This Row],[Delivery Status]])="Late"</f>
        <v>1</v>
      </c>
      <c r="T782" s="10">
        <v>7</v>
      </c>
      <c r="U782" s="8" t="s">
        <v>158</v>
      </c>
      <c r="V782" s="10">
        <v>2938</v>
      </c>
      <c r="W782" s="10">
        <v>5</v>
      </c>
      <c r="X782" s="12">
        <v>6.5189048239894997E-3</v>
      </c>
      <c r="Y782" s="8" t="b">
        <f>CleanedData[[#This Row],[Ship Date]]&lt;CleanedData[[#This Row],[Order Date]]</f>
        <v>0</v>
      </c>
      <c r="Z782" s="10">
        <f>YEAR(CleanedData[[#This Row],[Order Date]])</f>
        <v>2023</v>
      </c>
      <c r="AA782" s="8">
        <f>MONTH(CleanedData[[#This Row],[Order Date]])</f>
        <v>3</v>
      </c>
    </row>
    <row r="783" spans="1:27" x14ac:dyDescent="0.35">
      <c r="A783" s="8" t="s">
        <v>2368</v>
      </c>
      <c r="B783" s="9">
        <v>44944</v>
      </c>
      <c r="C783" s="9">
        <v>45271</v>
      </c>
      <c r="D783" s="8" t="s">
        <v>2369</v>
      </c>
      <c r="E783" s="8" t="s">
        <v>68</v>
      </c>
      <c r="F783" s="8" t="s">
        <v>163</v>
      </c>
      <c r="G783" s="8" t="s">
        <v>78</v>
      </c>
      <c r="H783" s="8" t="s">
        <v>840</v>
      </c>
      <c r="I783" s="8" t="s">
        <v>4968</v>
      </c>
      <c r="J783" s="10">
        <v>228</v>
      </c>
      <c r="K783" s="11">
        <v>86.55</v>
      </c>
      <c r="L783" s="11">
        <v>136.13</v>
      </c>
      <c r="M783" s="11">
        <v>31037.64</v>
      </c>
      <c r="N783" s="11">
        <v>19733.400000000001</v>
      </c>
      <c r="O783" s="11">
        <f>CleanedData[[#This Row],[Total Sales ($)]]-CleanedData[[#This Row],[Total Cost ($)]]</f>
        <v>11304.239999999998</v>
      </c>
      <c r="P783" s="12">
        <f>CleanedData[[#This Row],[Profit ($)]]/CleanedData[[#This Row],[Total Sales ($)]]</f>
        <v>0.36421068096672293</v>
      </c>
      <c r="Q783" s="8" t="s">
        <v>31</v>
      </c>
      <c r="R783" s="8" t="s">
        <v>63</v>
      </c>
      <c r="S783" s="8" t="b">
        <f>_xlfn.SINGLE(CleanedData[[#This Row],[Delivery Status]])="Late"</f>
        <v>0</v>
      </c>
      <c r="T783" s="10">
        <v>3</v>
      </c>
      <c r="U783" s="8" t="s">
        <v>158</v>
      </c>
      <c r="V783" s="10">
        <v>1368</v>
      </c>
      <c r="W783" s="10">
        <v>8</v>
      </c>
      <c r="X783" s="12">
        <v>3.5087719298245598E-2</v>
      </c>
      <c r="Y783" s="8" t="b">
        <f>CleanedData[[#This Row],[Ship Date]]&lt;CleanedData[[#This Row],[Order Date]]</f>
        <v>0</v>
      </c>
      <c r="Z783" s="10">
        <f>YEAR(CleanedData[[#This Row],[Order Date]])</f>
        <v>2023</v>
      </c>
      <c r="AA783" s="8">
        <f>MONTH(CleanedData[[#This Row],[Order Date]])</f>
        <v>1</v>
      </c>
    </row>
    <row r="784" spans="1:27" x14ac:dyDescent="0.35">
      <c r="A784" s="8" t="s">
        <v>2370</v>
      </c>
      <c r="B784" s="9">
        <v>44933</v>
      </c>
      <c r="C784" s="9">
        <v>45042</v>
      </c>
      <c r="D784" s="8" t="s">
        <v>2371</v>
      </c>
      <c r="E784" s="8" t="s">
        <v>100</v>
      </c>
      <c r="F784" s="8" t="s">
        <v>106</v>
      </c>
      <c r="G784" s="8" t="s">
        <v>50</v>
      </c>
      <c r="H784" s="8" t="s">
        <v>51</v>
      </c>
      <c r="I784" s="8" t="s">
        <v>4976</v>
      </c>
      <c r="J784" s="10">
        <v>652</v>
      </c>
      <c r="K784" s="11">
        <v>347.38</v>
      </c>
      <c r="L784" s="11">
        <v>492.49</v>
      </c>
      <c r="M784" s="11">
        <v>321103.48</v>
      </c>
      <c r="N784" s="11">
        <v>226491.76</v>
      </c>
      <c r="O784" s="11">
        <f>CleanedData[[#This Row],[Total Sales ($)]]-CleanedData[[#This Row],[Total Cost ($)]]</f>
        <v>94611.719999999972</v>
      </c>
      <c r="P784" s="12">
        <f>CleanedData[[#This Row],[Profit ($)]]/CleanedData[[#This Row],[Total Sales ($)]]</f>
        <v>0.29464557655993007</v>
      </c>
      <c r="Q784" s="8" t="s">
        <v>95</v>
      </c>
      <c r="R784" s="8" t="s">
        <v>63</v>
      </c>
      <c r="S784" s="8" t="b">
        <f>_xlfn.SINGLE(CleanedData[[#This Row],[Delivery Status]])="Late"</f>
        <v>0</v>
      </c>
      <c r="T784" s="10">
        <v>4</v>
      </c>
      <c r="U784" s="8" t="s">
        <v>112</v>
      </c>
      <c r="V784" s="10">
        <v>3845</v>
      </c>
      <c r="W784" s="10">
        <v>11</v>
      </c>
      <c r="X784" s="12">
        <v>1.6871165644171699E-2</v>
      </c>
      <c r="Y784" s="8" t="b">
        <f>CleanedData[[#This Row],[Ship Date]]&lt;CleanedData[[#This Row],[Order Date]]</f>
        <v>0</v>
      </c>
      <c r="Z784" s="10">
        <f>YEAR(CleanedData[[#This Row],[Order Date]])</f>
        <v>2023</v>
      </c>
      <c r="AA784" s="8">
        <f>MONTH(CleanedData[[#This Row],[Order Date]])</f>
        <v>1</v>
      </c>
    </row>
    <row r="785" spans="1:27" x14ac:dyDescent="0.35">
      <c r="A785" s="8" t="s">
        <v>2372</v>
      </c>
      <c r="B785" s="9">
        <v>45044</v>
      </c>
      <c r="C785" s="9">
        <v>45150</v>
      </c>
      <c r="D785" s="8" t="s">
        <v>760</v>
      </c>
      <c r="E785" s="8" t="s">
        <v>26</v>
      </c>
      <c r="F785" s="8" t="s">
        <v>77</v>
      </c>
      <c r="G785" s="8" t="s">
        <v>129</v>
      </c>
      <c r="H785" s="8" t="s">
        <v>345</v>
      </c>
      <c r="I785" s="8" t="s">
        <v>4977</v>
      </c>
      <c r="J785" s="10">
        <v>113</v>
      </c>
      <c r="K785" s="11">
        <v>29.91</v>
      </c>
      <c r="L785" s="11">
        <v>34.54</v>
      </c>
      <c r="M785" s="11">
        <v>3903.02</v>
      </c>
      <c r="N785" s="11">
        <v>3379.83</v>
      </c>
      <c r="O785" s="11">
        <f>CleanedData[[#This Row],[Total Sales ($)]]-CleanedData[[#This Row],[Total Cost ($)]]</f>
        <v>523.19000000000005</v>
      </c>
      <c r="P785" s="12">
        <f>CleanedData[[#This Row],[Profit ($)]]/CleanedData[[#This Row],[Total Sales ($)]]</f>
        <v>0.13404748118123916</v>
      </c>
      <c r="Q785" s="8" t="s">
        <v>31</v>
      </c>
      <c r="R785" s="8" t="s">
        <v>32</v>
      </c>
      <c r="S785" s="8" t="b">
        <f>_xlfn.SINGLE(CleanedData[[#This Row],[Delivery Status]])="Late"</f>
        <v>1</v>
      </c>
      <c r="T785" s="10">
        <v>14</v>
      </c>
      <c r="U785" s="8" t="s">
        <v>33</v>
      </c>
      <c r="V785" s="10">
        <v>4533</v>
      </c>
      <c r="W785" s="10">
        <v>5</v>
      </c>
      <c r="X785" s="12">
        <v>4.4247787610619399E-2</v>
      </c>
      <c r="Y785" s="8" t="b">
        <f>CleanedData[[#This Row],[Ship Date]]&lt;CleanedData[[#This Row],[Order Date]]</f>
        <v>0</v>
      </c>
      <c r="Z785" s="10">
        <f>YEAR(CleanedData[[#This Row],[Order Date]])</f>
        <v>2023</v>
      </c>
      <c r="AA785" s="8">
        <f>MONTH(CleanedData[[#This Row],[Order Date]])</f>
        <v>4</v>
      </c>
    </row>
    <row r="786" spans="1:27" x14ac:dyDescent="0.35">
      <c r="A786" s="8" t="s">
        <v>2373</v>
      </c>
      <c r="B786" s="9">
        <v>45465</v>
      </c>
      <c r="C786" s="9">
        <v>45480</v>
      </c>
      <c r="D786" s="8" t="s">
        <v>2374</v>
      </c>
      <c r="E786" s="8" t="s">
        <v>58</v>
      </c>
      <c r="F786" s="8" t="s">
        <v>4972</v>
      </c>
      <c r="G786" s="8" t="s">
        <v>78</v>
      </c>
      <c r="H786" s="8" t="s">
        <v>628</v>
      </c>
      <c r="I786" s="8" t="s">
        <v>4977</v>
      </c>
      <c r="J786" s="10">
        <v>177</v>
      </c>
      <c r="K786" s="11">
        <v>1101.67</v>
      </c>
      <c r="L786" s="11">
        <v>1387.14</v>
      </c>
      <c r="M786" s="11">
        <v>245523.78</v>
      </c>
      <c r="N786" s="11">
        <v>194995.59</v>
      </c>
      <c r="O786" s="11">
        <f>CleanedData[[#This Row],[Total Sales ($)]]-CleanedData[[#This Row],[Total Cost ($)]]</f>
        <v>50528.19</v>
      </c>
      <c r="P786" s="12">
        <f>CleanedData[[#This Row],[Profit ($)]]/CleanedData[[#This Row],[Total Sales ($)]]</f>
        <v>0.20579754026269881</v>
      </c>
      <c r="Q786" s="8" t="s">
        <v>52</v>
      </c>
      <c r="R786" s="8" t="s">
        <v>63</v>
      </c>
      <c r="S786" s="8" t="b">
        <f>_xlfn.SINGLE(CleanedData[[#This Row],[Delivery Status]])="Late"</f>
        <v>0</v>
      </c>
      <c r="T786" s="10">
        <v>1</v>
      </c>
      <c r="U786" s="8" t="s">
        <v>33</v>
      </c>
      <c r="V786" s="10">
        <v>90</v>
      </c>
      <c r="W786" s="10">
        <v>7</v>
      </c>
      <c r="X786" s="12">
        <v>3.9548022598869997E-2</v>
      </c>
      <c r="Y786" s="8" t="b">
        <f>CleanedData[[#This Row],[Ship Date]]&lt;CleanedData[[#This Row],[Order Date]]</f>
        <v>0</v>
      </c>
      <c r="Z786" s="10">
        <f>YEAR(CleanedData[[#This Row],[Order Date]])</f>
        <v>2024</v>
      </c>
      <c r="AA786" s="8">
        <f>MONTH(CleanedData[[#This Row],[Order Date]])</f>
        <v>6</v>
      </c>
    </row>
    <row r="787" spans="1:27" x14ac:dyDescent="0.35">
      <c r="A787" s="8" t="s">
        <v>2375</v>
      </c>
      <c r="B787" s="9">
        <v>45022</v>
      </c>
      <c r="C787" s="9">
        <v>45049</v>
      </c>
      <c r="D787" s="8" t="s">
        <v>2376</v>
      </c>
      <c r="E787" s="8" t="s">
        <v>68</v>
      </c>
      <c r="F787" s="8" t="s">
        <v>163</v>
      </c>
      <c r="G787" s="8" t="s">
        <v>78</v>
      </c>
      <c r="H787" s="8" t="s">
        <v>123</v>
      </c>
      <c r="I787" s="8" t="s">
        <v>4967</v>
      </c>
      <c r="J787" s="10">
        <v>481</v>
      </c>
      <c r="K787" s="11">
        <v>348.37</v>
      </c>
      <c r="L787" s="11">
        <v>571.11</v>
      </c>
      <c r="M787" s="11">
        <v>274703.90999999997</v>
      </c>
      <c r="N787" s="11">
        <v>167565.97</v>
      </c>
      <c r="O787" s="11">
        <f>CleanedData[[#This Row],[Total Sales ($)]]-CleanedData[[#This Row],[Total Cost ($)]]</f>
        <v>107137.93999999997</v>
      </c>
      <c r="P787" s="12">
        <f>CleanedData[[#This Row],[Profit ($)]]/CleanedData[[#This Row],[Total Sales ($)]]</f>
        <v>0.39001243193080137</v>
      </c>
      <c r="Q787" s="8" t="s">
        <v>52</v>
      </c>
      <c r="R787" s="8" t="s">
        <v>32</v>
      </c>
      <c r="S787" s="8" t="b">
        <f>_xlfn.SINGLE(CleanedData[[#This Row],[Delivery Status]])="Late"</f>
        <v>1</v>
      </c>
      <c r="T787" s="10">
        <v>13</v>
      </c>
      <c r="U787" s="8" t="s">
        <v>112</v>
      </c>
      <c r="V787" s="10">
        <v>1131</v>
      </c>
      <c r="W787" s="10">
        <v>17</v>
      </c>
      <c r="X787" s="12">
        <v>3.5343035343035303E-2</v>
      </c>
      <c r="Y787" s="8" t="b">
        <f>CleanedData[[#This Row],[Ship Date]]&lt;CleanedData[[#This Row],[Order Date]]</f>
        <v>0</v>
      </c>
      <c r="Z787" s="10">
        <f>YEAR(CleanedData[[#This Row],[Order Date]])</f>
        <v>2023</v>
      </c>
      <c r="AA787" s="8">
        <f>MONTH(CleanedData[[#This Row],[Order Date]])</f>
        <v>4</v>
      </c>
    </row>
    <row r="788" spans="1:27" x14ac:dyDescent="0.35">
      <c r="A788" s="8" t="s">
        <v>2377</v>
      </c>
      <c r="B788" s="9">
        <v>44979</v>
      </c>
      <c r="C788" s="9">
        <v>45251</v>
      </c>
      <c r="D788" s="8" t="s">
        <v>2378</v>
      </c>
      <c r="E788" s="8" t="s">
        <v>68</v>
      </c>
      <c r="F788" s="8" t="s">
        <v>69</v>
      </c>
      <c r="G788" s="8" t="s">
        <v>70</v>
      </c>
      <c r="H788" s="8" t="s">
        <v>446</v>
      </c>
      <c r="I788" s="8" t="s">
        <v>4973</v>
      </c>
      <c r="J788" s="10">
        <v>161</v>
      </c>
      <c r="K788" s="11">
        <v>746.45</v>
      </c>
      <c r="L788" s="11">
        <v>874.41</v>
      </c>
      <c r="M788" s="11">
        <v>140780.01</v>
      </c>
      <c r="N788" s="11">
        <v>120178.45</v>
      </c>
      <c r="O788" s="11">
        <f>CleanedData[[#This Row],[Total Sales ($)]]-CleanedData[[#This Row],[Total Cost ($)]]</f>
        <v>20601.560000000012</v>
      </c>
      <c r="P788" s="12">
        <f>CleanedData[[#This Row],[Profit ($)]]/CleanedData[[#This Row],[Total Sales ($)]]</f>
        <v>0.14633867407737797</v>
      </c>
      <c r="Q788" s="8" t="s">
        <v>42</v>
      </c>
      <c r="R788" s="8" t="s">
        <v>63</v>
      </c>
      <c r="S788" s="8" t="b">
        <f>_xlfn.SINGLE(CleanedData[[#This Row],[Delivery Status]])="Late"</f>
        <v>0</v>
      </c>
      <c r="T788" s="10">
        <v>4</v>
      </c>
      <c r="U788" s="8" t="s">
        <v>86</v>
      </c>
      <c r="V788" s="10">
        <v>2062</v>
      </c>
      <c r="W788" s="10">
        <v>8</v>
      </c>
      <c r="X788" s="12">
        <v>4.9689440993788803E-2</v>
      </c>
      <c r="Y788" s="8" t="b">
        <f>CleanedData[[#This Row],[Ship Date]]&lt;CleanedData[[#This Row],[Order Date]]</f>
        <v>0</v>
      </c>
      <c r="Z788" s="10">
        <f>YEAR(CleanedData[[#This Row],[Order Date]])</f>
        <v>2023</v>
      </c>
      <c r="AA788" s="8">
        <f>MONTH(CleanedData[[#This Row],[Order Date]])</f>
        <v>2</v>
      </c>
    </row>
    <row r="789" spans="1:27" x14ac:dyDescent="0.35">
      <c r="A789" s="8" t="s">
        <v>2379</v>
      </c>
      <c r="B789" s="9">
        <v>44994</v>
      </c>
      <c r="C789" s="9">
        <v>45009</v>
      </c>
      <c r="D789" s="8" t="s">
        <v>2380</v>
      </c>
      <c r="E789" s="8" t="s">
        <v>100</v>
      </c>
      <c r="F789" s="8" t="s">
        <v>330</v>
      </c>
      <c r="G789" s="8" t="s">
        <v>39</v>
      </c>
      <c r="H789" s="8" t="s">
        <v>147</v>
      </c>
      <c r="I789" s="8" t="s">
        <v>4977</v>
      </c>
      <c r="J789" s="10">
        <v>197</v>
      </c>
      <c r="K789" s="11">
        <v>127.03</v>
      </c>
      <c r="L789" s="11">
        <v>146.1</v>
      </c>
      <c r="M789" s="11">
        <v>28781.7</v>
      </c>
      <c r="N789" s="11">
        <v>25024.91</v>
      </c>
      <c r="O789" s="11">
        <f>CleanedData[[#This Row],[Total Sales ($)]]-CleanedData[[#This Row],[Total Cost ($)]]</f>
        <v>3756.7900000000009</v>
      </c>
      <c r="P789" s="12">
        <f>CleanedData[[#This Row],[Profit ($)]]/CleanedData[[#This Row],[Total Sales ($)]]</f>
        <v>0.13052703627652296</v>
      </c>
      <c r="Q789" s="8" t="s">
        <v>42</v>
      </c>
      <c r="R789" s="8" t="s">
        <v>32</v>
      </c>
      <c r="S789" s="8" t="b">
        <f>_xlfn.SINGLE(CleanedData[[#This Row],[Delivery Status]])="Late"</f>
        <v>1</v>
      </c>
      <c r="T789" s="10">
        <v>15</v>
      </c>
      <c r="U789" s="8" t="s">
        <v>53</v>
      </c>
      <c r="V789" s="10">
        <v>1092</v>
      </c>
      <c r="W789" s="10">
        <v>2</v>
      </c>
      <c r="X789" s="12">
        <v>1.01522842639593E-2</v>
      </c>
      <c r="Y789" s="8" t="b">
        <f>CleanedData[[#This Row],[Ship Date]]&lt;CleanedData[[#This Row],[Order Date]]</f>
        <v>0</v>
      </c>
      <c r="Z789" s="10">
        <f>YEAR(CleanedData[[#This Row],[Order Date]])</f>
        <v>2023</v>
      </c>
      <c r="AA789" s="8">
        <f>MONTH(CleanedData[[#This Row],[Order Date]])</f>
        <v>3</v>
      </c>
    </row>
    <row r="790" spans="1:27" x14ac:dyDescent="0.35">
      <c r="A790" s="8" t="s">
        <v>2381</v>
      </c>
      <c r="B790" s="9">
        <v>45251</v>
      </c>
      <c r="C790" s="9">
        <v>45082</v>
      </c>
      <c r="D790" s="8" t="s">
        <v>2382</v>
      </c>
      <c r="E790" s="8" t="s">
        <v>48</v>
      </c>
      <c r="F790" s="8" t="s">
        <v>281</v>
      </c>
      <c r="G790" s="8" t="s">
        <v>189</v>
      </c>
      <c r="H790" s="8" t="s">
        <v>360</v>
      </c>
      <c r="I790" s="8" t="s">
        <v>4968</v>
      </c>
      <c r="J790" s="10">
        <v>-5</v>
      </c>
      <c r="K790" s="11">
        <v>250.42</v>
      </c>
      <c r="L790" s="11">
        <v>397.16</v>
      </c>
      <c r="M790" s="11">
        <v>299458.64</v>
      </c>
      <c r="N790" s="11">
        <v>188816.68</v>
      </c>
      <c r="O790" s="11">
        <f>CleanedData[[#This Row],[Total Sales ($)]]-CleanedData[[#This Row],[Total Cost ($)]]</f>
        <v>110641.96000000002</v>
      </c>
      <c r="P790" s="12">
        <f>CleanedData[[#This Row],[Profit ($)]]/CleanedData[[#This Row],[Total Sales ($)]]</f>
        <v>0.36947326014704407</v>
      </c>
      <c r="Q790" s="8" t="s">
        <v>95</v>
      </c>
      <c r="R790" s="8" t="s">
        <v>63</v>
      </c>
      <c r="S790" s="8" t="b">
        <f>_xlfn.SINGLE(CleanedData[[#This Row],[Delivery Status]])="Late"</f>
        <v>0</v>
      </c>
      <c r="T790" s="10">
        <v>1</v>
      </c>
      <c r="U790" s="8" t="s">
        <v>53</v>
      </c>
      <c r="V790" s="10">
        <v>1978</v>
      </c>
      <c r="W790" s="10">
        <v>6</v>
      </c>
      <c r="X790" s="12"/>
      <c r="Y790" s="8" t="b">
        <f>CleanedData[[#This Row],[Ship Date]]&lt;CleanedData[[#This Row],[Order Date]]</f>
        <v>1</v>
      </c>
      <c r="Z790" s="10">
        <f>YEAR(CleanedData[[#This Row],[Order Date]])</f>
        <v>2023</v>
      </c>
      <c r="AA790" s="8">
        <f>MONTH(CleanedData[[#This Row],[Order Date]])</f>
        <v>11</v>
      </c>
    </row>
    <row r="791" spans="1:27" x14ac:dyDescent="0.35">
      <c r="A791" s="8" t="s">
        <v>2383</v>
      </c>
      <c r="B791" s="9">
        <v>45257</v>
      </c>
      <c r="C791" s="9">
        <v>44995</v>
      </c>
      <c r="D791" s="8" t="s">
        <v>2384</v>
      </c>
      <c r="E791" s="8" t="s">
        <v>58</v>
      </c>
      <c r="F791" s="8" t="s">
        <v>417</v>
      </c>
      <c r="G791" s="8" t="s">
        <v>70</v>
      </c>
      <c r="H791" s="8" t="s">
        <v>822</v>
      </c>
      <c r="I791" s="8" t="s">
        <v>4968</v>
      </c>
      <c r="J791" s="10">
        <v>247</v>
      </c>
      <c r="K791" s="11">
        <v>713.55</v>
      </c>
      <c r="L791" s="11">
        <v>1027.75</v>
      </c>
      <c r="M791" s="11">
        <v>253854.25</v>
      </c>
      <c r="N791" s="11">
        <v>176246.85</v>
      </c>
      <c r="O791" s="11">
        <f>CleanedData[[#This Row],[Total Sales ($)]]-CleanedData[[#This Row],[Total Cost ($)]]</f>
        <v>77607.399999999994</v>
      </c>
      <c r="P791" s="12">
        <f>CleanedData[[#This Row],[Profit ($)]]/CleanedData[[#This Row],[Total Sales ($)]]</f>
        <v>0.30571637071272195</v>
      </c>
      <c r="Q791" s="8" t="s">
        <v>42</v>
      </c>
      <c r="R791" s="8" t="s">
        <v>32</v>
      </c>
      <c r="S791" s="8" t="b">
        <f>_xlfn.SINGLE(CleanedData[[#This Row],[Delivery Status]])="Late"</f>
        <v>1</v>
      </c>
      <c r="T791" s="10">
        <v>15</v>
      </c>
      <c r="U791" s="8" t="s">
        <v>43</v>
      </c>
      <c r="V791" s="10">
        <v>3340</v>
      </c>
      <c r="W791" s="10">
        <v>2</v>
      </c>
      <c r="X791" s="12">
        <v>8.0971659919027994E-3</v>
      </c>
      <c r="Y791" s="8" t="b">
        <f>CleanedData[[#This Row],[Ship Date]]&lt;CleanedData[[#This Row],[Order Date]]</f>
        <v>1</v>
      </c>
      <c r="Z791" s="10">
        <f>YEAR(CleanedData[[#This Row],[Order Date]])</f>
        <v>2023</v>
      </c>
      <c r="AA791" s="8">
        <f>MONTH(CleanedData[[#This Row],[Order Date]])</f>
        <v>11</v>
      </c>
    </row>
    <row r="792" spans="1:27" x14ac:dyDescent="0.35">
      <c r="A792" s="8" t="s">
        <v>2385</v>
      </c>
      <c r="B792" s="9">
        <v>45240</v>
      </c>
      <c r="C792" s="9">
        <v>45126</v>
      </c>
      <c r="D792" s="8" t="s">
        <v>2386</v>
      </c>
      <c r="E792" s="8" t="s">
        <v>26</v>
      </c>
      <c r="F792" s="8" t="s">
        <v>38</v>
      </c>
      <c r="G792" s="8" t="s">
        <v>60</v>
      </c>
      <c r="H792" s="8" t="s">
        <v>400</v>
      </c>
      <c r="I792" s="8" t="s">
        <v>4969</v>
      </c>
      <c r="J792" s="10">
        <v>187</v>
      </c>
      <c r="K792" s="11">
        <v>721.91</v>
      </c>
      <c r="L792" s="11">
        <v>851.35</v>
      </c>
      <c r="M792" s="11">
        <v>159202.45000000001</v>
      </c>
      <c r="N792" s="11">
        <v>134997.17000000001</v>
      </c>
      <c r="O792" s="11">
        <f>CleanedData[[#This Row],[Total Sales ($)]]-CleanedData[[#This Row],[Total Cost ($)]]</f>
        <v>24205.279999999999</v>
      </c>
      <c r="P792" s="12">
        <f>CleanedData[[#This Row],[Profit ($)]]/CleanedData[[#This Row],[Total Sales ($)]]</f>
        <v>0.15204087625535911</v>
      </c>
      <c r="Q792" s="8" t="s">
        <v>31</v>
      </c>
      <c r="R792" s="8" t="s">
        <v>32</v>
      </c>
      <c r="S792" s="8" t="b">
        <f>_xlfn.SINGLE(CleanedData[[#This Row],[Delivery Status]])="Late"</f>
        <v>1</v>
      </c>
      <c r="T792" s="10">
        <v>11</v>
      </c>
      <c r="U792" s="8" t="s">
        <v>112</v>
      </c>
      <c r="V792" s="10">
        <v>4364</v>
      </c>
      <c r="W792" s="10">
        <v>9</v>
      </c>
      <c r="X792" s="12">
        <v>4.8128342245989303E-2</v>
      </c>
      <c r="Y792" s="8" t="b">
        <f>CleanedData[[#This Row],[Ship Date]]&lt;CleanedData[[#This Row],[Order Date]]</f>
        <v>1</v>
      </c>
      <c r="Z792" s="10">
        <f>YEAR(CleanedData[[#This Row],[Order Date]])</f>
        <v>2023</v>
      </c>
      <c r="AA792" s="8">
        <f>MONTH(CleanedData[[#This Row],[Order Date]])</f>
        <v>11</v>
      </c>
    </row>
    <row r="793" spans="1:27" x14ac:dyDescent="0.35">
      <c r="A793" s="8" t="s">
        <v>2387</v>
      </c>
      <c r="B793" s="9">
        <v>45111</v>
      </c>
      <c r="C793" s="9">
        <v>45031</v>
      </c>
      <c r="D793" s="8" t="s">
        <v>2388</v>
      </c>
      <c r="E793" s="8" t="s">
        <v>26</v>
      </c>
      <c r="F793" s="8" t="s">
        <v>228</v>
      </c>
      <c r="G793" s="8" t="s">
        <v>50</v>
      </c>
      <c r="H793" s="8" t="s">
        <v>260</v>
      </c>
      <c r="I793" s="8" t="s">
        <v>4973</v>
      </c>
      <c r="J793" s="10">
        <v>278</v>
      </c>
      <c r="K793" s="11">
        <v>1051.07</v>
      </c>
      <c r="L793" s="11">
        <v>1338.14</v>
      </c>
      <c r="M793" s="11">
        <v>372002.92</v>
      </c>
      <c r="N793" s="11">
        <v>292197.46000000002</v>
      </c>
      <c r="O793" s="11">
        <f>CleanedData[[#This Row],[Total Sales ($)]]-CleanedData[[#This Row],[Total Cost ($)]]</f>
        <v>79805.459999999963</v>
      </c>
      <c r="P793" s="12">
        <f>CleanedData[[#This Row],[Profit ($)]]/CleanedData[[#This Row],[Total Sales ($)]]</f>
        <v>0.21452912251333933</v>
      </c>
      <c r="Q793" s="8" t="s">
        <v>95</v>
      </c>
      <c r="R793" s="8" t="s">
        <v>32</v>
      </c>
      <c r="S793" s="8" t="b">
        <f>_xlfn.SINGLE(CleanedData[[#This Row],[Delivery Status]])="Late"</f>
        <v>1</v>
      </c>
      <c r="T793" s="10">
        <v>12</v>
      </c>
      <c r="U793" s="8" t="s">
        <v>43</v>
      </c>
      <c r="V793" s="10">
        <v>4148</v>
      </c>
      <c r="W793" s="10">
        <v>8</v>
      </c>
      <c r="X793" s="12">
        <v>2.8776978417266098E-2</v>
      </c>
      <c r="Y793" s="8" t="b">
        <f>CleanedData[[#This Row],[Ship Date]]&lt;CleanedData[[#This Row],[Order Date]]</f>
        <v>1</v>
      </c>
      <c r="Z793" s="10">
        <f>YEAR(CleanedData[[#This Row],[Order Date]])</f>
        <v>2023</v>
      </c>
      <c r="AA793" s="8">
        <f>MONTH(CleanedData[[#This Row],[Order Date]])</f>
        <v>7</v>
      </c>
    </row>
    <row r="794" spans="1:27" x14ac:dyDescent="0.35">
      <c r="A794" s="8" t="s">
        <v>2389</v>
      </c>
      <c r="B794" s="9">
        <v>45643</v>
      </c>
      <c r="C794" s="9">
        <v>45649</v>
      </c>
      <c r="D794" s="8" t="s">
        <v>2390</v>
      </c>
      <c r="E794" s="8" t="s">
        <v>58</v>
      </c>
      <c r="F794" s="8" t="s">
        <v>116</v>
      </c>
      <c r="G794" s="8" t="s">
        <v>93</v>
      </c>
      <c r="H794" s="8" t="s">
        <v>643</v>
      </c>
      <c r="I794" s="8" t="s">
        <v>4979</v>
      </c>
      <c r="J794" s="10">
        <v>704</v>
      </c>
      <c r="K794" s="11">
        <v>30.06</v>
      </c>
      <c r="L794" s="11">
        <v>35.81</v>
      </c>
      <c r="M794" s="11">
        <v>25210.240000000002</v>
      </c>
      <c r="N794" s="11">
        <v>21162.240000000002</v>
      </c>
      <c r="O794" s="11">
        <f>CleanedData[[#This Row],[Total Sales ($)]]-CleanedData[[#This Row],[Total Cost ($)]]</f>
        <v>4048</v>
      </c>
      <c r="P794" s="12">
        <f>CleanedData[[#This Row],[Profit ($)]]/CleanedData[[#This Row],[Total Sales ($)]]</f>
        <v>0.16056967327562133</v>
      </c>
      <c r="Q794" s="8" t="s">
        <v>42</v>
      </c>
      <c r="R794" s="8" t="s">
        <v>32</v>
      </c>
      <c r="S794" s="8" t="b">
        <f>_xlfn.SINGLE(CleanedData[[#This Row],[Delivery Status]])="Late"</f>
        <v>1</v>
      </c>
      <c r="T794" s="10">
        <v>13</v>
      </c>
      <c r="U794" s="8" t="s">
        <v>112</v>
      </c>
      <c r="V794" s="10">
        <v>253</v>
      </c>
      <c r="W794" s="10">
        <v>25</v>
      </c>
      <c r="X794" s="12">
        <v>3.5511363636363598E-2</v>
      </c>
      <c r="Y794" s="8" t="b">
        <f>CleanedData[[#This Row],[Ship Date]]&lt;CleanedData[[#This Row],[Order Date]]</f>
        <v>0</v>
      </c>
      <c r="Z794" s="10">
        <f>YEAR(CleanedData[[#This Row],[Order Date]])</f>
        <v>2024</v>
      </c>
      <c r="AA794" s="8">
        <f>MONTH(CleanedData[[#This Row],[Order Date]])</f>
        <v>12</v>
      </c>
    </row>
    <row r="795" spans="1:27" x14ac:dyDescent="0.35">
      <c r="A795" s="8" t="s">
        <v>2391</v>
      </c>
      <c r="B795" s="9">
        <v>44946</v>
      </c>
      <c r="C795" s="9">
        <v>45093</v>
      </c>
      <c r="D795" s="8" t="s">
        <v>2392</v>
      </c>
      <c r="E795" s="8" t="s">
        <v>68</v>
      </c>
      <c r="F795" s="8" t="s">
        <v>249</v>
      </c>
      <c r="G795" s="8" t="s">
        <v>93</v>
      </c>
      <c r="H795" s="8" t="s">
        <v>643</v>
      </c>
      <c r="I795" s="8" t="s">
        <v>4967</v>
      </c>
      <c r="J795" s="10">
        <v>-20</v>
      </c>
      <c r="K795" s="11">
        <v>190.65</v>
      </c>
      <c r="L795" s="11">
        <v>265.39</v>
      </c>
      <c r="M795" s="11">
        <v>135083.51</v>
      </c>
      <c r="N795" s="11">
        <v>97040.85</v>
      </c>
      <c r="O795" s="11">
        <f>CleanedData[[#This Row],[Total Sales ($)]]-CleanedData[[#This Row],[Total Cost ($)]]</f>
        <v>38042.660000000003</v>
      </c>
      <c r="P795" s="12">
        <f>CleanedData[[#This Row],[Profit ($)]]/CleanedData[[#This Row],[Total Sales ($)]]</f>
        <v>0.28162327141188442</v>
      </c>
      <c r="Q795" s="8" t="s">
        <v>42</v>
      </c>
      <c r="R795" s="8" t="s">
        <v>32</v>
      </c>
      <c r="S795" s="8" t="b">
        <f>_xlfn.SINGLE(CleanedData[[#This Row],[Delivery Status]])="Late"</f>
        <v>1</v>
      </c>
      <c r="T795" s="10">
        <v>15</v>
      </c>
      <c r="U795" s="8" t="s">
        <v>53</v>
      </c>
      <c r="V795" s="10">
        <v>957</v>
      </c>
      <c r="W795" s="10">
        <v>21</v>
      </c>
      <c r="X795" s="12"/>
      <c r="Y795" s="8" t="b">
        <f>CleanedData[[#This Row],[Ship Date]]&lt;CleanedData[[#This Row],[Order Date]]</f>
        <v>0</v>
      </c>
      <c r="Z795" s="10">
        <f>YEAR(CleanedData[[#This Row],[Order Date]])</f>
        <v>2023</v>
      </c>
      <c r="AA795" s="8">
        <f>MONTH(CleanedData[[#This Row],[Order Date]])</f>
        <v>1</v>
      </c>
    </row>
    <row r="796" spans="1:27" x14ac:dyDescent="0.35">
      <c r="A796" s="8" t="s">
        <v>2393</v>
      </c>
      <c r="B796" s="9">
        <v>45184</v>
      </c>
      <c r="C796" s="9">
        <v>45074</v>
      </c>
      <c r="D796" s="8" t="s">
        <v>2394</v>
      </c>
      <c r="E796" s="8" t="s">
        <v>48</v>
      </c>
      <c r="F796" s="8" t="s">
        <v>281</v>
      </c>
      <c r="G796" s="8" t="s">
        <v>28</v>
      </c>
      <c r="H796" s="8" t="s">
        <v>714</v>
      </c>
      <c r="I796" s="8" t="s">
        <v>4974</v>
      </c>
      <c r="J796" s="10">
        <v>12</v>
      </c>
      <c r="K796" s="11">
        <v>410.17</v>
      </c>
      <c r="L796" s="11">
        <v>478.57</v>
      </c>
      <c r="M796" s="11">
        <v>5742.84</v>
      </c>
      <c r="N796" s="11">
        <v>4922.04</v>
      </c>
      <c r="O796" s="11">
        <f>CleanedData[[#This Row],[Total Sales ($)]]-CleanedData[[#This Row],[Total Cost ($)]]</f>
        <v>820.80000000000018</v>
      </c>
      <c r="P796" s="12">
        <f>CleanedData[[#This Row],[Profit ($)]]/CleanedData[[#This Row],[Total Sales ($)]]</f>
        <v>0.14292579977850683</v>
      </c>
      <c r="Q796" s="8" t="s">
        <v>52</v>
      </c>
      <c r="R796" s="8" t="s">
        <v>63</v>
      </c>
      <c r="S796" s="8" t="b">
        <f>_xlfn.SINGLE(CleanedData[[#This Row],[Delivery Status]])="Late"</f>
        <v>0</v>
      </c>
      <c r="T796" s="10">
        <v>1</v>
      </c>
      <c r="U796" s="8" t="s">
        <v>158</v>
      </c>
      <c r="V796" s="10">
        <v>3285</v>
      </c>
      <c r="W796" s="10">
        <v>0</v>
      </c>
      <c r="X796" s="12">
        <v>0</v>
      </c>
      <c r="Y796" s="8" t="b">
        <f>CleanedData[[#This Row],[Ship Date]]&lt;CleanedData[[#This Row],[Order Date]]</f>
        <v>1</v>
      </c>
      <c r="Z796" s="10">
        <f>YEAR(CleanedData[[#This Row],[Order Date]])</f>
        <v>2023</v>
      </c>
      <c r="AA796" s="8">
        <f>MONTH(CleanedData[[#This Row],[Order Date]])</f>
        <v>9</v>
      </c>
    </row>
    <row r="797" spans="1:27" x14ac:dyDescent="0.35">
      <c r="A797" s="8" t="s">
        <v>2395</v>
      </c>
      <c r="B797" s="9">
        <v>45058</v>
      </c>
      <c r="C797" s="9">
        <v>45096</v>
      </c>
      <c r="D797" s="8" t="s">
        <v>2396</v>
      </c>
      <c r="E797" s="8" t="s">
        <v>48</v>
      </c>
      <c r="F797" s="8" t="s">
        <v>223</v>
      </c>
      <c r="G797" s="8" t="s">
        <v>60</v>
      </c>
      <c r="H797" s="8" t="s">
        <v>229</v>
      </c>
      <c r="I797" s="8" t="s">
        <v>4969</v>
      </c>
      <c r="J797" s="10">
        <v>153</v>
      </c>
      <c r="K797" s="11">
        <v>640.85</v>
      </c>
      <c r="L797" s="11">
        <v>732.27</v>
      </c>
      <c r="M797" s="11">
        <v>112037.31</v>
      </c>
      <c r="N797" s="11">
        <v>98050.05</v>
      </c>
      <c r="O797" s="11">
        <f>CleanedData[[#This Row],[Total Sales ($)]]-CleanedData[[#This Row],[Total Cost ($)]]</f>
        <v>13987.259999999995</v>
      </c>
      <c r="P797" s="12">
        <f>CleanedData[[#This Row],[Profit ($)]]/CleanedData[[#This Row],[Total Sales ($)]]</f>
        <v>0.1248446611222636</v>
      </c>
      <c r="Q797" s="8" t="s">
        <v>52</v>
      </c>
      <c r="R797" s="8" t="s">
        <v>32</v>
      </c>
      <c r="S797" s="8" t="b">
        <f>_xlfn.SINGLE(CleanedData[[#This Row],[Delivery Status]])="Late"</f>
        <v>1</v>
      </c>
      <c r="T797" s="10">
        <v>14</v>
      </c>
      <c r="U797" s="8" t="s">
        <v>112</v>
      </c>
      <c r="V797" s="10">
        <v>1691</v>
      </c>
      <c r="W797" s="10">
        <v>0</v>
      </c>
      <c r="X797" s="12">
        <v>0</v>
      </c>
      <c r="Y797" s="8" t="b">
        <f>CleanedData[[#This Row],[Ship Date]]&lt;CleanedData[[#This Row],[Order Date]]</f>
        <v>0</v>
      </c>
      <c r="Z797" s="10">
        <f>YEAR(CleanedData[[#This Row],[Order Date]])</f>
        <v>2023</v>
      </c>
      <c r="AA797" s="8">
        <f>MONTH(CleanedData[[#This Row],[Order Date]])</f>
        <v>5</v>
      </c>
    </row>
    <row r="798" spans="1:27" x14ac:dyDescent="0.35">
      <c r="A798" s="8" t="s">
        <v>2397</v>
      </c>
      <c r="B798" s="9">
        <v>45063</v>
      </c>
      <c r="C798" s="9">
        <v>45277</v>
      </c>
      <c r="D798" s="8" t="s">
        <v>2398</v>
      </c>
      <c r="E798" s="8" t="s">
        <v>26</v>
      </c>
      <c r="F798" s="8" t="s">
        <v>92</v>
      </c>
      <c r="G798" s="8" t="s">
        <v>70</v>
      </c>
      <c r="H798" s="8" t="s">
        <v>623</v>
      </c>
      <c r="I798" s="8" t="s">
        <v>4967</v>
      </c>
      <c r="J798" s="10">
        <v>104</v>
      </c>
      <c r="K798" s="11">
        <v>1048.31</v>
      </c>
      <c r="L798" s="11">
        <v>1585.72</v>
      </c>
      <c r="M798" s="11">
        <v>164914.88</v>
      </c>
      <c r="N798" s="11">
        <v>109024.24</v>
      </c>
      <c r="O798" s="11">
        <f>CleanedData[[#This Row],[Total Sales ($)]]-CleanedData[[#This Row],[Total Cost ($)]]</f>
        <v>55890.64</v>
      </c>
      <c r="P798" s="12">
        <f>CleanedData[[#This Row],[Profit ($)]]/CleanedData[[#This Row],[Total Sales ($)]]</f>
        <v>0.33890598592437504</v>
      </c>
      <c r="Q798" s="8" t="s">
        <v>95</v>
      </c>
      <c r="R798" s="8" t="s">
        <v>32</v>
      </c>
      <c r="S798" s="8" t="b">
        <f>_xlfn.SINGLE(CleanedData[[#This Row],[Delivery Status]])="Late"</f>
        <v>1</v>
      </c>
      <c r="T798" s="10">
        <v>15</v>
      </c>
      <c r="U798" s="8" t="s">
        <v>112</v>
      </c>
      <c r="V798" s="10">
        <v>3964</v>
      </c>
      <c r="W798" s="10">
        <v>3</v>
      </c>
      <c r="X798" s="12">
        <v>2.8846153846153799E-2</v>
      </c>
      <c r="Y798" s="8" t="b">
        <f>CleanedData[[#This Row],[Ship Date]]&lt;CleanedData[[#This Row],[Order Date]]</f>
        <v>0</v>
      </c>
      <c r="Z798" s="10">
        <f>YEAR(CleanedData[[#This Row],[Order Date]])</f>
        <v>2023</v>
      </c>
      <c r="AA798" s="8">
        <f>MONTH(CleanedData[[#This Row],[Order Date]])</f>
        <v>5</v>
      </c>
    </row>
    <row r="799" spans="1:27" x14ac:dyDescent="0.35">
      <c r="A799" s="8" t="s">
        <v>2399</v>
      </c>
      <c r="B799" s="9">
        <v>45012</v>
      </c>
      <c r="C799" s="9">
        <v>45017</v>
      </c>
      <c r="D799" s="8" t="s">
        <v>2400</v>
      </c>
      <c r="E799" s="8" t="s">
        <v>68</v>
      </c>
      <c r="F799" s="8" t="s">
        <v>276</v>
      </c>
      <c r="G799" s="8" t="s">
        <v>189</v>
      </c>
      <c r="H799" s="8" t="s">
        <v>190</v>
      </c>
      <c r="I799" s="8" t="s">
        <v>4968</v>
      </c>
      <c r="J799" s="10">
        <v>277</v>
      </c>
      <c r="K799" s="11">
        <v>1096.2</v>
      </c>
      <c r="L799" s="11">
        <v>1686.75</v>
      </c>
      <c r="M799" s="11">
        <v>467229.75</v>
      </c>
      <c r="N799" s="11">
        <v>303647.40000000002</v>
      </c>
      <c r="O799" s="11">
        <f>CleanedData[[#This Row],[Total Sales ($)]]-CleanedData[[#This Row],[Total Cost ($)]]</f>
        <v>163582.34999999998</v>
      </c>
      <c r="P799" s="12">
        <f>CleanedData[[#This Row],[Profit ($)]]/CleanedData[[#This Row],[Total Sales ($)]]</f>
        <v>0.35011116051578473</v>
      </c>
      <c r="Q799" s="8" t="s">
        <v>95</v>
      </c>
      <c r="R799" s="8" t="s">
        <v>63</v>
      </c>
      <c r="S799" s="8" t="b">
        <f>_xlfn.SINGLE(CleanedData[[#This Row],[Delivery Status]])="Late"</f>
        <v>0</v>
      </c>
      <c r="T799" s="10">
        <v>5</v>
      </c>
      <c r="U799" s="8" t="s">
        <v>112</v>
      </c>
      <c r="V799" s="10">
        <v>3439</v>
      </c>
      <c r="W799" s="10">
        <v>9</v>
      </c>
      <c r="X799" s="12">
        <v>3.2490974729241798E-2</v>
      </c>
      <c r="Y799" s="8" t="b">
        <f>CleanedData[[#This Row],[Ship Date]]&lt;CleanedData[[#This Row],[Order Date]]</f>
        <v>0</v>
      </c>
      <c r="Z799" s="10">
        <f>YEAR(CleanedData[[#This Row],[Order Date]])</f>
        <v>2023</v>
      </c>
      <c r="AA799" s="8">
        <f>MONTH(CleanedData[[#This Row],[Order Date]])</f>
        <v>3</v>
      </c>
    </row>
    <row r="800" spans="1:27" x14ac:dyDescent="0.35">
      <c r="A800" s="8" t="s">
        <v>2401</v>
      </c>
      <c r="B800" s="9">
        <v>45154</v>
      </c>
      <c r="C800" s="9">
        <v>45268</v>
      </c>
      <c r="D800" s="8" t="s">
        <v>1888</v>
      </c>
      <c r="E800" s="8" t="s">
        <v>58</v>
      </c>
      <c r="F800" s="8" t="s">
        <v>259</v>
      </c>
      <c r="G800" s="8" t="s">
        <v>129</v>
      </c>
      <c r="H800" s="8" t="s">
        <v>316</v>
      </c>
      <c r="I800" s="8" t="s">
        <v>4970</v>
      </c>
      <c r="J800" s="10">
        <v>578</v>
      </c>
      <c r="K800" s="11">
        <v>511.61</v>
      </c>
      <c r="L800" s="11">
        <v>585.59</v>
      </c>
      <c r="M800" s="11">
        <v>338471.02</v>
      </c>
      <c r="N800" s="11">
        <v>295710.58</v>
      </c>
      <c r="O800" s="11">
        <f>CleanedData[[#This Row],[Total Sales ($)]]-CleanedData[[#This Row],[Total Cost ($)]]</f>
        <v>42760.44</v>
      </c>
      <c r="P800" s="12">
        <f>CleanedData[[#This Row],[Profit ($)]]/CleanedData[[#This Row],[Total Sales ($)]]</f>
        <v>0.12633412455813794</v>
      </c>
      <c r="Q800" s="8" t="s">
        <v>52</v>
      </c>
      <c r="R800" s="8" t="s">
        <v>32</v>
      </c>
      <c r="S800" s="8" t="b">
        <f>_xlfn.SINGLE(CleanedData[[#This Row],[Delivery Status]])="Late"</f>
        <v>1</v>
      </c>
      <c r="T800" s="10">
        <v>8</v>
      </c>
      <c r="U800" s="8" t="s">
        <v>112</v>
      </c>
      <c r="V800" s="10">
        <v>4315</v>
      </c>
      <c r="W800" s="10">
        <v>1</v>
      </c>
      <c r="X800" s="12">
        <v>1.7301038062283E-3</v>
      </c>
      <c r="Y800" s="8" t="b">
        <f>CleanedData[[#This Row],[Ship Date]]&lt;CleanedData[[#This Row],[Order Date]]</f>
        <v>0</v>
      </c>
      <c r="Z800" s="10">
        <f>YEAR(CleanedData[[#This Row],[Order Date]])</f>
        <v>2023</v>
      </c>
      <c r="AA800" s="8">
        <f>MONTH(CleanedData[[#This Row],[Order Date]])</f>
        <v>8</v>
      </c>
    </row>
    <row r="801" spans="1:27" x14ac:dyDescent="0.35">
      <c r="A801" s="8" t="s">
        <v>2402</v>
      </c>
      <c r="B801" s="9">
        <v>44943</v>
      </c>
      <c r="C801" s="9">
        <v>45114</v>
      </c>
      <c r="D801" s="8" t="s">
        <v>2403</v>
      </c>
      <c r="E801" s="8" t="s">
        <v>48</v>
      </c>
      <c r="F801" s="8" t="s">
        <v>49</v>
      </c>
      <c r="G801" s="8" t="s">
        <v>129</v>
      </c>
      <c r="H801" s="8" t="s">
        <v>168</v>
      </c>
      <c r="I801" s="8" t="s">
        <v>4979</v>
      </c>
      <c r="J801" s="10">
        <v>242</v>
      </c>
      <c r="K801" s="11">
        <v>106.64</v>
      </c>
      <c r="L801" s="11">
        <v>138.74</v>
      </c>
      <c r="M801" s="11">
        <v>33575.08</v>
      </c>
      <c r="N801" s="11">
        <v>25806.880000000001</v>
      </c>
      <c r="O801" s="11">
        <f>CleanedData[[#This Row],[Total Sales ($)]]-CleanedData[[#This Row],[Total Cost ($)]]</f>
        <v>7768.2000000000007</v>
      </c>
      <c r="P801" s="12">
        <f>CleanedData[[#This Row],[Profit ($)]]/CleanedData[[#This Row],[Total Sales ($)]]</f>
        <v>0.23136802652443419</v>
      </c>
      <c r="Q801" s="8" t="s">
        <v>95</v>
      </c>
      <c r="R801" s="8" t="s">
        <v>32</v>
      </c>
      <c r="S801" s="8" t="b">
        <f>_xlfn.SINGLE(CleanedData[[#This Row],[Delivery Status]])="Late"</f>
        <v>1</v>
      </c>
      <c r="T801" s="10">
        <v>15</v>
      </c>
      <c r="U801" s="8" t="s">
        <v>53</v>
      </c>
      <c r="V801" s="10">
        <v>2338</v>
      </c>
      <c r="W801" s="10">
        <v>8</v>
      </c>
      <c r="X801" s="12">
        <v>3.3057851239669402E-2</v>
      </c>
      <c r="Y801" s="8" t="b">
        <f>CleanedData[[#This Row],[Ship Date]]&lt;CleanedData[[#This Row],[Order Date]]</f>
        <v>0</v>
      </c>
      <c r="Z801" s="10">
        <f>YEAR(CleanedData[[#This Row],[Order Date]])</f>
        <v>2023</v>
      </c>
      <c r="AA801" s="8">
        <f>MONTH(CleanedData[[#This Row],[Order Date]])</f>
        <v>1</v>
      </c>
    </row>
    <row r="802" spans="1:27" x14ac:dyDescent="0.35">
      <c r="A802" s="8" t="s">
        <v>2404</v>
      </c>
      <c r="B802" s="9">
        <v>45082</v>
      </c>
      <c r="C802" s="9">
        <v>44966</v>
      </c>
      <c r="D802" s="8" t="s">
        <v>2406</v>
      </c>
      <c r="E802" s="8" t="s">
        <v>48</v>
      </c>
      <c r="F802" s="8" t="s">
        <v>223</v>
      </c>
      <c r="G802" s="8" t="s">
        <v>50</v>
      </c>
      <c r="H802" s="8" t="s">
        <v>260</v>
      </c>
      <c r="I802" s="8" t="s">
        <v>4974</v>
      </c>
      <c r="J802" s="10">
        <v>703</v>
      </c>
      <c r="K802" s="11">
        <v>691.89</v>
      </c>
      <c r="L802" s="11">
        <v>992.99</v>
      </c>
      <c r="M802" s="11">
        <v>698071.97</v>
      </c>
      <c r="N802" s="11">
        <v>486398.67</v>
      </c>
      <c r="O802" s="11">
        <f>CleanedData[[#This Row],[Total Sales ($)]]-CleanedData[[#This Row],[Total Cost ($)]]</f>
        <v>211673.3</v>
      </c>
      <c r="P802" s="12">
        <f>CleanedData[[#This Row],[Profit ($)]]/CleanedData[[#This Row],[Total Sales ($)]]</f>
        <v>0.3032256115368735</v>
      </c>
      <c r="Q802" s="8" t="s">
        <v>31</v>
      </c>
      <c r="R802" s="8" t="s">
        <v>32</v>
      </c>
      <c r="S802" s="8" t="b">
        <f>_xlfn.SINGLE(CleanedData[[#This Row],[Delivery Status]])="Late"</f>
        <v>1</v>
      </c>
      <c r="T802" s="10">
        <v>6</v>
      </c>
      <c r="U802" s="8" t="s">
        <v>112</v>
      </c>
      <c r="V802" s="10">
        <v>1335</v>
      </c>
      <c r="W802" s="10">
        <v>30</v>
      </c>
      <c r="X802" s="12">
        <v>4.2674253200568897E-2</v>
      </c>
      <c r="Y802" s="8" t="b">
        <f>CleanedData[[#This Row],[Ship Date]]&lt;CleanedData[[#This Row],[Order Date]]</f>
        <v>1</v>
      </c>
      <c r="Z802" s="10">
        <f>YEAR(CleanedData[[#This Row],[Order Date]])</f>
        <v>2023</v>
      </c>
      <c r="AA802" s="8">
        <f>MONTH(CleanedData[[#This Row],[Order Date]])</f>
        <v>6</v>
      </c>
    </row>
    <row r="803" spans="1:27" x14ac:dyDescent="0.35">
      <c r="A803" s="8" t="s">
        <v>2407</v>
      </c>
      <c r="B803" s="9">
        <v>45368</v>
      </c>
      <c r="C803" s="9">
        <v>45491</v>
      </c>
      <c r="D803" s="8" t="s">
        <v>2408</v>
      </c>
      <c r="E803" s="8" t="s">
        <v>100</v>
      </c>
      <c r="F803" s="8" t="s">
        <v>101</v>
      </c>
      <c r="G803" s="8" t="s">
        <v>60</v>
      </c>
      <c r="H803" s="8" t="s">
        <v>61</v>
      </c>
      <c r="I803" s="8" t="s">
        <v>4967</v>
      </c>
      <c r="J803" s="10">
        <v>401</v>
      </c>
      <c r="K803" s="11">
        <v>947.36</v>
      </c>
      <c r="L803" s="11">
        <v>1212.77</v>
      </c>
      <c r="M803" s="11">
        <v>486320.77</v>
      </c>
      <c r="N803" s="11">
        <v>379891.36</v>
      </c>
      <c r="O803" s="11">
        <f>CleanedData[[#This Row],[Total Sales ($)]]-CleanedData[[#This Row],[Total Cost ($)]]</f>
        <v>106429.41000000003</v>
      </c>
      <c r="P803" s="12">
        <f>CleanedData[[#This Row],[Profit ($)]]/CleanedData[[#This Row],[Total Sales ($)]]</f>
        <v>0.21884611261822115</v>
      </c>
      <c r="Q803" s="8" t="s">
        <v>31</v>
      </c>
      <c r="R803" s="8" t="s">
        <v>63</v>
      </c>
      <c r="S803" s="8" t="b">
        <f>_xlfn.SINGLE(CleanedData[[#This Row],[Delivery Status]])="Late"</f>
        <v>0</v>
      </c>
      <c r="T803" s="10">
        <v>4</v>
      </c>
      <c r="U803" s="8" t="s">
        <v>53</v>
      </c>
      <c r="V803" s="10">
        <v>746</v>
      </c>
      <c r="W803" s="10">
        <v>11</v>
      </c>
      <c r="X803" s="12">
        <v>2.7431421446384E-2</v>
      </c>
      <c r="Y803" s="8" t="b">
        <f>CleanedData[[#This Row],[Ship Date]]&lt;CleanedData[[#This Row],[Order Date]]</f>
        <v>0</v>
      </c>
      <c r="Z803" s="10">
        <f>YEAR(CleanedData[[#This Row],[Order Date]])</f>
        <v>2024</v>
      </c>
      <c r="AA803" s="8">
        <f>MONTH(CleanedData[[#This Row],[Order Date]])</f>
        <v>3</v>
      </c>
    </row>
    <row r="804" spans="1:27" x14ac:dyDescent="0.35">
      <c r="A804" s="8" t="s">
        <v>2410</v>
      </c>
      <c r="B804" s="9">
        <v>45220</v>
      </c>
      <c r="C804" s="9">
        <v>45118</v>
      </c>
      <c r="D804" s="8" t="s">
        <v>2411</v>
      </c>
      <c r="E804" s="8" t="s">
        <v>58</v>
      </c>
      <c r="F804" s="8" t="s">
        <v>116</v>
      </c>
      <c r="G804" s="8" t="s">
        <v>70</v>
      </c>
      <c r="H804" s="8" t="s">
        <v>71</v>
      </c>
      <c r="I804" s="8" t="s">
        <v>4973</v>
      </c>
      <c r="J804" s="10">
        <v>531</v>
      </c>
      <c r="K804" s="11">
        <v>1167.71</v>
      </c>
      <c r="L804" s="11">
        <v>1538.18</v>
      </c>
      <c r="M804" s="11">
        <v>816773.58</v>
      </c>
      <c r="N804" s="11">
        <v>620054.01</v>
      </c>
      <c r="O804" s="11">
        <f>CleanedData[[#This Row],[Total Sales ($)]]-CleanedData[[#This Row],[Total Cost ($)]]</f>
        <v>196719.56999999995</v>
      </c>
      <c r="P804" s="12">
        <f>CleanedData[[#This Row],[Profit ($)]]/CleanedData[[#This Row],[Total Sales ($)]]</f>
        <v>0.24084957547231139</v>
      </c>
      <c r="Q804" s="8" t="s">
        <v>42</v>
      </c>
      <c r="R804" s="8" t="s">
        <v>63</v>
      </c>
      <c r="S804" s="8" t="b">
        <f>_xlfn.SINGLE(CleanedData[[#This Row],[Delivery Status]])="Late"</f>
        <v>0</v>
      </c>
      <c r="T804" s="10">
        <v>4</v>
      </c>
      <c r="U804" s="8" t="s">
        <v>53</v>
      </c>
      <c r="V804" s="10">
        <v>655</v>
      </c>
      <c r="W804" s="10">
        <v>17</v>
      </c>
      <c r="X804" s="12">
        <v>3.2015065913370999E-2</v>
      </c>
      <c r="Y804" s="8" t="b">
        <f>CleanedData[[#This Row],[Ship Date]]&lt;CleanedData[[#This Row],[Order Date]]</f>
        <v>1</v>
      </c>
      <c r="Z804" s="10">
        <f>YEAR(CleanedData[[#This Row],[Order Date]])</f>
        <v>2023</v>
      </c>
      <c r="AA804" s="8">
        <f>MONTH(CleanedData[[#This Row],[Order Date]])</f>
        <v>10</v>
      </c>
    </row>
    <row r="805" spans="1:27" x14ac:dyDescent="0.35">
      <c r="A805" s="8" t="s">
        <v>2413</v>
      </c>
      <c r="B805" s="9">
        <v>45309</v>
      </c>
      <c r="C805" s="9">
        <v>45646</v>
      </c>
      <c r="D805" s="8" t="s">
        <v>2414</v>
      </c>
      <c r="E805" s="8" t="s">
        <v>48</v>
      </c>
      <c r="F805" s="8" t="s">
        <v>281</v>
      </c>
      <c r="G805" s="8" t="s">
        <v>50</v>
      </c>
      <c r="H805" s="8" t="s">
        <v>260</v>
      </c>
      <c r="I805" s="8" t="s">
        <v>4968</v>
      </c>
      <c r="J805" s="10">
        <v>74</v>
      </c>
      <c r="K805" s="11">
        <v>1024.6400000000001</v>
      </c>
      <c r="L805" s="11">
        <v>1265.04</v>
      </c>
      <c r="M805" s="11">
        <v>93612.96</v>
      </c>
      <c r="N805" s="11">
        <v>75823.360000000001</v>
      </c>
      <c r="O805" s="11">
        <f>CleanedData[[#This Row],[Total Sales ($)]]-CleanedData[[#This Row],[Total Cost ($)]]</f>
        <v>17789.600000000006</v>
      </c>
      <c r="P805" s="12">
        <f>CleanedData[[#This Row],[Profit ($)]]/CleanedData[[#This Row],[Total Sales ($)]]</f>
        <v>0.19003351672674387</v>
      </c>
      <c r="Q805" s="8" t="s">
        <v>95</v>
      </c>
      <c r="R805" s="8" t="s">
        <v>32</v>
      </c>
      <c r="S805" s="8" t="b">
        <f>_xlfn.SINGLE(CleanedData[[#This Row],[Delivery Status]])="Late"</f>
        <v>1</v>
      </c>
      <c r="T805" s="10">
        <v>10</v>
      </c>
      <c r="U805" s="8" t="s">
        <v>33</v>
      </c>
      <c r="V805" s="10">
        <v>3792</v>
      </c>
      <c r="W805" s="10">
        <v>2</v>
      </c>
      <c r="X805" s="12">
        <v>2.7027027027027001E-2</v>
      </c>
      <c r="Y805" s="8" t="b">
        <f>CleanedData[[#This Row],[Ship Date]]&lt;CleanedData[[#This Row],[Order Date]]</f>
        <v>0</v>
      </c>
      <c r="Z805" s="10">
        <f>YEAR(CleanedData[[#This Row],[Order Date]])</f>
        <v>2024</v>
      </c>
      <c r="AA805" s="8">
        <f>MONTH(CleanedData[[#This Row],[Order Date]])</f>
        <v>1</v>
      </c>
    </row>
    <row r="806" spans="1:27" x14ac:dyDescent="0.35">
      <c r="A806" s="8" t="s">
        <v>2415</v>
      </c>
      <c r="B806" s="9">
        <v>45462</v>
      </c>
      <c r="C806" s="9">
        <v>45386</v>
      </c>
      <c r="D806" s="8" t="s">
        <v>514</v>
      </c>
      <c r="E806" s="8" t="s">
        <v>68</v>
      </c>
      <c r="F806" s="8" t="s">
        <v>146</v>
      </c>
      <c r="G806" s="8" t="s">
        <v>217</v>
      </c>
      <c r="H806" s="8" t="s">
        <v>218</v>
      </c>
      <c r="I806" s="8" t="s">
        <v>4967</v>
      </c>
      <c r="J806" s="10">
        <v>691</v>
      </c>
      <c r="K806" s="11">
        <v>201.13</v>
      </c>
      <c r="L806" s="11">
        <v>302.54000000000002</v>
      </c>
      <c r="M806" s="11">
        <v>209055.14</v>
      </c>
      <c r="N806" s="11">
        <v>138980.82999999999</v>
      </c>
      <c r="O806" s="11">
        <f>CleanedData[[#This Row],[Total Sales ($)]]-CleanedData[[#This Row],[Total Cost ($)]]</f>
        <v>70074.310000000027</v>
      </c>
      <c r="P806" s="12">
        <f>CleanedData[[#This Row],[Profit ($)]]/CleanedData[[#This Row],[Total Sales ($)]]</f>
        <v>0.33519534606994128</v>
      </c>
      <c r="Q806" s="8" t="s">
        <v>42</v>
      </c>
      <c r="R806" s="8" t="s">
        <v>63</v>
      </c>
      <c r="S806" s="8" t="b">
        <f>_xlfn.SINGLE(CleanedData[[#This Row],[Delivery Status]])="Late"</f>
        <v>0</v>
      </c>
      <c r="T806" s="10">
        <v>1</v>
      </c>
      <c r="U806" s="8" t="s">
        <v>53</v>
      </c>
      <c r="V806" s="10">
        <v>318</v>
      </c>
      <c r="W806" s="10">
        <v>31</v>
      </c>
      <c r="X806" s="12">
        <v>4.4862518089725002E-2</v>
      </c>
      <c r="Y806" s="8" t="b">
        <f>CleanedData[[#This Row],[Ship Date]]&lt;CleanedData[[#This Row],[Order Date]]</f>
        <v>1</v>
      </c>
      <c r="Z806" s="10">
        <f>YEAR(CleanedData[[#This Row],[Order Date]])</f>
        <v>2024</v>
      </c>
      <c r="AA806" s="8">
        <f>MONTH(CleanedData[[#This Row],[Order Date]])</f>
        <v>6</v>
      </c>
    </row>
    <row r="807" spans="1:27" x14ac:dyDescent="0.35">
      <c r="A807" s="8" t="s">
        <v>2418</v>
      </c>
      <c r="B807" s="9">
        <v>45088</v>
      </c>
      <c r="C807" s="9">
        <v>45187</v>
      </c>
      <c r="D807" s="8" t="s">
        <v>2419</v>
      </c>
      <c r="E807" s="8" t="s">
        <v>100</v>
      </c>
      <c r="F807" s="8" t="s">
        <v>538</v>
      </c>
      <c r="G807" s="8" t="s">
        <v>129</v>
      </c>
      <c r="H807" s="8" t="s">
        <v>345</v>
      </c>
      <c r="I807" s="8" t="s">
        <v>4977</v>
      </c>
      <c r="J807" s="10">
        <v>375</v>
      </c>
      <c r="K807" s="11">
        <v>1163.03</v>
      </c>
      <c r="L807" s="11">
        <v>1771.73</v>
      </c>
      <c r="M807" s="11">
        <v>664398.75</v>
      </c>
      <c r="N807" s="11">
        <v>436136.25</v>
      </c>
      <c r="O807" s="11">
        <f>CleanedData[[#This Row],[Total Sales ($)]]-CleanedData[[#This Row],[Total Cost ($)]]</f>
        <v>228262.5</v>
      </c>
      <c r="P807" s="12">
        <f>CleanedData[[#This Row],[Profit ($)]]/CleanedData[[#This Row],[Total Sales ($)]]</f>
        <v>0.3435625067024885</v>
      </c>
      <c r="Q807" s="8" t="s">
        <v>52</v>
      </c>
      <c r="R807" s="8" t="s">
        <v>32</v>
      </c>
      <c r="S807" s="8" t="b">
        <f>_xlfn.SINGLE(CleanedData[[#This Row],[Delivery Status]])="Late"</f>
        <v>1</v>
      </c>
      <c r="T807" s="10">
        <v>12</v>
      </c>
      <c r="U807" s="8" t="s">
        <v>43</v>
      </c>
      <c r="V807" s="10">
        <v>42</v>
      </c>
      <c r="W807" s="10">
        <v>18</v>
      </c>
      <c r="X807" s="12">
        <v>4.8000000000000001E-2</v>
      </c>
      <c r="Y807" s="8" t="b">
        <f>CleanedData[[#This Row],[Ship Date]]&lt;CleanedData[[#This Row],[Order Date]]</f>
        <v>0</v>
      </c>
      <c r="Z807" s="10">
        <f>YEAR(CleanedData[[#This Row],[Order Date]])</f>
        <v>2023</v>
      </c>
      <c r="AA807" s="8">
        <f>MONTH(CleanedData[[#This Row],[Order Date]])</f>
        <v>6</v>
      </c>
    </row>
    <row r="808" spans="1:27" x14ac:dyDescent="0.35">
      <c r="A808" s="8" t="s">
        <v>2420</v>
      </c>
      <c r="B808" s="9">
        <v>45509</v>
      </c>
      <c r="C808" s="9">
        <v>45349</v>
      </c>
      <c r="D808" s="8" t="s">
        <v>2421</v>
      </c>
      <c r="E808" s="8" t="s">
        <v>68</v>
      </c>
      <c r="F808" s="8" t="s">
        <v>249</v>
      </c>
      <c r="G808" s="8" t="s">
        <v>70</v>
      </c>
      <c r="H808" s="8" t="s">
        <v>239</v>
      </c>
      <c r="I808" s="8" t="s">
        <v>4977</v>
      </c>
      <c r="J808" s="10">
        <v>236</v>
      </c>
      <c r="K808" s="11">
        <v>1130.1199999999999</v>
      </c>
      <c r="L808" s="11">
        <v>1431.65</v>
      </c>
      <c r="M808" s="11">
        <v>337869.4</v>
      </c>
      <c r="N808" s="11">
        <v>266708.32</v>
      </c>
      <c r="O808" s="11">
        <f>CleanedData[[#This Row],[Total Sales ($)]]-CleanedData[[#This Row],[Total Cost ($)]]</f>
        <v>71161.080000000016</v>
      </c>
      <c r="P808" s="12">
        <f>CleanedData[[#This Row],[Profit ($)]]/CleanedData[[#This Row],[Total Sales ($)]]</f>
        <v>0.21061712010617123</v>
      </c>
      <c r="Q808" s="8" t="s">
        <v>42</v>
      </c>
      <c r="R808" s="8" t="s">
        <v>63</v>
      </c>
      <c r="S808" s="8" t="b">
        <f>_xlfn.SINGLE(CleanedData[[#This Row],[Delivery Status]])="Late"</f>
        <v>0</v>
      </c>
      <c r="T808" s="10">
        <v>2</v>
      </c>
      <c r="U808" s="8" t="s">
        <v>86</v>
      </c>
      <c r="V808" s="10">
        <v>1035</v>
      </c>
      <c r="W808" s="10">
        <v>7</v>
      </c>
      <c r="X808" s="12">
        <v>2.9661016949152502E-2</v>
      </c>
      <c r="Y808" s="8" t="b">
        <f>CleanedData[[#This Row],[Ship Date]]&lt;CleanedData[[#This Row],[Order Date]]</f>
        <v>1</v>
      </c>
      <c r="Z808" s="10">
        <f>YEAR(CleanedData[[#This Row],[Order Date]])</f>
        <v>2024</v>
      </c>
      <c r="AA808" s="8">
        <f>MONTH(CleanedData[[#This Row],[Order Date]])</f>
        <v>8</v>
      </c>
    </row>
    <row r="809" spans="1:27" x14ac:dyDescent="0.35">
      <c r="A809" s="8" t="s">
        <v>2422</v>
      </c>
      <c r="B809" s="9">
        <v>45148</v>
      </c>
      <c r="C809" s="9">
        <v>45196</v>
      </c>
      <c r="D809" s="8" t="s">
        <v>2423</v>
      </c>
      <c r="E809" s="8" t="s">
        <v>58</v>
      </c>
      <c r="F809" s="8" t="s">
        <v>59</v>
      </c>
      <c r="G809" s="8" t="s">
        <v>39</v>
      </c>
      <c r="H809" s="8" t="s">
        <v>147</v>
      </c>
      <c r="I809" s="8" t="s">
        <v>4974</v>
      </c>
      <c r="J809" s="10">
        <v>100</v>
      </c>
      <c r="K809" s="11">
        <v>1105.28</v>
      </c>
      <c r="L809" s="11">
        <v>1641.1</v>
      </c>
      <c r="M809" s="11">
        <v>164110</v>
      </c>
      <c r="N809" s="11">
        <v>110528</v>
      </c>
      <c r="O809" s="11">
        <f>CleanedData[[#This Row],[Total Sales ($)]]-CleanedData[[#This Row],[Total Cost ($)]]</f>
        <v>53582</v>
      </c>
      <c r="P809" s="12">
        <f>CleanedData[[#This Row],[Profit ($)]]/CleanedData[[#This Row],[Total Sales ($)]]</f>
        <v>0.32650051794528062</v>
      </c>
      <c r="Q809" s="8" t="s">
        <v>31</v>
      </c>
      <c r="R809" s="8" t="s">
        <v>32</v>
      </c>
      <c r="S809" s="8" t="b">
        <f>_xlfn.SINGLE(CleanedData[[#This Row],[Delivery Status]])="Late"</f>
        <v>1</v>
      </c>
      <c r="T809" s="10">
        <v>13</v>
      </c>
      <c r="U809" s="8" t="s">
        <v>86</v>
      </c>
      <c r="V809" s="10">
        <v>2987</v>
      </c>
      <c r="W809" s="10">
        <v>2</v>
      </c>
      <c r="X809" s="12">
        <v>0.02</v>
      </c>
      <c r="Y809" s="8" t="b">
        <f>CleanedData[[#This Row],[Ship Date]]&lt;CleanedData[[#This Row],[Order Date]]</f>
        <v>0</v>
      </c>
      <c r="Z809" s="10">
        <f>YEAR(CleanedData[[#This Row],[Order Date]])</f>
        <v>2023</v>
      </c>
      <c r="AA809" s="8">
        <f>MONTH(CleanedData[[#This Row],[Order Date]])</f>
        <v>8</v>
      </c>
    </row>
    <row r="810" spans="1:27" x14ac:dyDescent="0.35">
      <c r="A810" s="8" t="s">
        <v>2424</v>
      </c>
      <c r="B810" s="9">
        <v>44972</v>
      </c>
      <c r="C810" s="9">
        <v>45279</v>
      </c>
      <c r="D810" s="8" t="s">
        <v>2426</v>
      </c>
      <c r="E810" s="8" t="s">
        <v>68</v>
      </c>
      <c r="F810" s="8" t="s">
        <v>69</v>
      </c>
      <c r="G810" s="8" t="s">
        <v>189</v>
      </c>
      <c r="H810" s="8" t="s">
        <v>561</v>
      </c>
      <c r="I810" s="8" t="s">
        <v>4979</v>
      </c>
      <c r="J810" s="10">
        <v>788</v>
      </c>
      <c r="K810" s="11">
        <v>3.45</v>
      </c>
      <c r="L810" s="11">
        <v>4.5999999999999996</v>
      </c>
      <c r="M810" s="11">
        <v>3624.8</v>
      </c>
      <c r="N810" s="11">
        <v>2718.6</v>
      </c>
      <c r="O810" s="11">
        <f>CleanedData[[#This Row],[Total Sales ($)]]-CleanedData[[#This Row],[Total Cost ($)]]</f>
        <v>906.20000000000027</v>
      </c>
      <c r="P810" s="12">
        <f>CleanedData[[#This Row],[Profit ($)]]/CleanedData[[#This Row],[Total Sales ($)]]</f>
        <v>0.25000000000000006</v>
      </c>
      <c r="Q810" s="8" t="s">
        <v>52</v>
      </c>
      <c r="R810" s="8" t="s">
        <v>32</v>
      </c>
      <c r="S810" s="8" t="b">
        <f>_xlfn.SINGLE(CleanedData[[#This Row],[Delivery Status]])="Late"</f>
        <v>1</v>
      </c>
      <c r="T810" s="10">
        <v>11</v>
      </c>
      <c r="U810" s="8" t="s">
        <v>112</v>
      </c>
      <c r="V810" s="10">
        <v>1062</v>
      </c>
      <c r="W810" s="10">
        <v>17</v>
      </c>
      <c r="X810" s="12">
        <v>2.1573604060913701E-2</v>
      </c>
      <c r="Y810" s="8" t="b">
        <f>CleanedData[[#This Row],[Ship Date]]&lt;CleanedData[[#This Row],[Order Date]]</f>
        <v>0</v>
      </c>
      <c r="Z810" s="10">
        <f>YEAR(CleanedData[[#This Row],[Order Date]])</f>
        <v>2023</v>
      </c>
      <c r="AA810" s="8">
        <f>MONTH(CleanedData[[#This Row],[Order Date]])</f>
        <v>2</v>
      </c>
    </row>
    <row r="811" spans="1:27" x14ac:dyDescent="0.35">
      <c r="A811" s="8" t="s">
        <v>2427</v>
      </c>
      <c r="B811" s="9">
        <v>45128</v>
      </c>
      <c r="C811" s="9">
        <v>45035</v>
      </c>
      <c r="D811" s="8" t="s">
        <v>2429</v>
      </c>
      <c r="E811" s="8" t="s">
        <v>26</v>
      </c>
      <c r="F811" s="8" t="s">
        <v>77</v>
      </c>
      <c r="G811" s="8" t="s">
        <v>78</v>
      </c>
      <c r="H811" s="8" t="s">
        <v>840</v>
      </c>
      <c r="I811" s="8" t="s">
        <v>4977</v>
      </c>
      <c r="J811" s="10">
        <v>337</v>
      </c>
      <c r="K811" s="11">
        <v>743.73</v>
      </c>
      <c r="L811" s="11">
        <v>1107.53</v>
      </c>
      <c r="M811" s="11">
        <v>373237.61</v>
      </c>
      <c r="N811" s="11">
        <v>250637.01</v>
      </c>
      <c r="O811" s="11">
        <f>CleanedData[[#This Row],[Total Sales ($)]]-CleanedData[[#This Row],[Total Cost ($)]]</f>
        <v>122600.59999999998</v>
      </c>
      <c r="P811" s="12">
        <f>CleanedData[[#This Row],[Profit ($)]]/CleanedData[[#This Row],[Total Sales ($)]]</f>
        <v>0.3284786868075808</v>
      </c>
      <c r="Q811" s="8" t="s">
        <v>95</v>
      </c>
      <c r="R811" s="8" t="s">
        <v>63</v>
      </c>
      <c r="S811" s="8" t="b">
        <f>_xlfn.SINGLE(CleanedData[[#This Row],[Delivery Status]])="Late"</f>
        <v>0</v>
      </c>
      <c r="T811" s="10">
        <v>3</v>
      </c>
      <c r="U811" s="8" t="s">
        <v>43</v>
      </c>
      <c r="V811" s="10">
        <v>2446</v>
      </c>
      <c r="W811" s="10">
        <v>4</v>
      </c>
      <c r="X811" s="12">
        <v>1.18694362017804E-2</v>
      </c>
      <c r="Y811" s="8" t="b">
        <f>CleanedData[[#This Row],[Ship Date]]&lt;CleanedData[[#This Row],[Order Date]]</f>
        <v>1</v>
      </c>
      <c r="Z811" s="10">
        <f>YEAR(CleanedData[[#This Row],[Order Date]])</f>
        <v>2023</v>
      </c>
      <c r="AA811" s="8">
        <f>MONTH(CleanedData[[#This Row],[Order Date]])</f>
        <v>7</v>
      </c>
    </row>
    <row r="812" spans="1:27" x14ac:dyDescent="0.35">
      <c r="A812" s="8" t="s">
        <v>2430</v>
      </c>
      <c r="B812" s="9">
        <v>45010</v>
      </c>
      <c r="C812" s="9">
        <v>44933</v>
      </c>
      <c r="D812" s="8" t="s">
        <v>2431</v>
      </c>
      <c r="E812" s="8" t="s">
        <v>48</v>
      </c>
      <c r="F812" s="8" t="s">
        <v>49</v>
      </c>
      <c r="G812" s="8" t="s">
        <v>39</v>
      </c>
      <c r="H812" s="8" t="s">
        <v>354</v>
      </c>
      <c r="I812" s="8" t="s">
        <v>4968</v>
      </c>
      <c r="J812" s="10">
        <v>322</v>
      </c>
      <c r="K812" s="11">
        <v>614.16999999999996</v>
      </c>
      <c r="L812" s="11">
        <v>836.04</v>
      </c>
      <c r="M812" s="11">
        <v>269204.88</v>
      </c>
      <c r="N812" s="11">
        <v>197762.74</v>
      </c>
      <c r="O812" s="11">
        <f>CleanedData[[#This Row],[Total Sales ($)]]-CleanedData[[#This Row],[Total Cost ($)]]</f>
        <v>71442.140000000014</v>
      </c>
      <c r="P812" s="12">
        <f>CleanedData[[#This Row],[Profit ($)]]/CleanedData[[#This Row],[Total Sales ($)]]</f>
        <v>0.26538203913688346</v>
      </c>
      <c r="Q812" s="8" t="s">
        <v>42</v>
      </c>
      <c r="R812" s="8" t="s">
        <v>32</v>
      </c>
      <c r="S812" s="8" t="b">
        <f>_xlfn.SINGLE(CleanedData[[#This Row],[Delivery Status]])="Late"</f>
        <v>1</v>
      </c>
      <c r="T812" s="10">
        <v>6</v>
      </c>
      <c r="U812" s="8" t="s">
        <v>33</v>
      </c>
      <c r="V812" s="10">
        <v>3372</v>
      </c>
      <c r="W812" s="10">
        <v>4</v>
      </c>
      <c r="X812" s="12">
        <v>1.2422360248447201E-2</v>
      </c>
      <c r="Y812" s="8" t="b">
        <f>CleanedData[[#This Row],[Ship Date]]&lt;CleanedData[[#This Row],[Order Date]]</f>
        <v>1</v>
      </c>
      <c r="Z812" s="10">
        <f>YEAR(CleanedData[[#This Row],[Order Date]])</f>
        <v>2023</v>
      </c>
      <c r="AA812" s="8">
        <f>MONTH(CleanedData[[#This Row],[Order Date]])</f>
        <v>3</v>
      </c>
    </row>
    <row r="813" spans="1:27" x14ac:dyDescent="0.35">
      <c r="A813" s="8" t="s">
        <v>2432</v>
      </c>
      <c r="B813" s="9">
        <v>45293</v>
      </c>
      <c r="C813" s="9">
        <v>45476</v>
      </c>
      <c r="D813" s="8" t="s">
        <v>2433</v>
      </c>
      <c r="E813" s="8" t="s">
        <v>48</v>
      </c>
      <c r="F813" s="8" t="s">
        <v>49</v>
      </c>
      <c r="G813" s="8" t="s">
        <v>93</v>
      </c>
      <c r="H813" s="8" t="s">
        <v>485</v>
      </c>
      <c r="I813" s="8" t="s">
        <v>4976</v>
      </c>
      <c r="J813" s="10">
        <v>681</v>
      </c>
      <c r="K813" s="11">
        <v>386.37</v>
      </c>
      <c r="L813" s="11">
        <v>607.21</v>
      </c>
      <c r="M813" s="11">
        <v>413510.01</v>
      </c>
      <c r="N813" s="11">
        <v>263117.96999999997</v>
      </c>
      <c r="O813" s="11">
        <f>CleanedData[[#This Row],[Total Sales ($)]]-CleanedData[[#This Row],[Total Cost ($)]]</f>
        <v>150392.04000000004</v>
      </c>
      <c r="P813" s="12">
        <f>CleanedData[[#This Row],[Profit ($)]]/CleanedData[[#This Row],[Total Sales ($)]]</f>
        <v>0.36369625006175793</v>
      </c>
      <c r="Q813" s="8" t="s">
        <v>95</v>
      </c>
      <c r="R813" s="8" t="s">
        <v>32</v>
      </c>
      <c r="S813" s="8" t="b">
        <f>_xlfn.SINGLE(CleanedData[[#This Row],[Delivery Status]])="Late"</f>
        <v>1</v>
      </c>
      <c r="T813" s="10">
        <v>8</v>
      </c>
      <c r="U813" s="8" t="s">
        <v>86</v>
      </c>
      <c r="V813" s="10">
        <v>2501.41</v>
      </c>
      <c r="W813" s="10">
        <v>4</v>
      </c>
      <c r="X813" s="12">
        <v>5.8737151248164001E-3</v>
      </c>
      <c r="Y813" s="8" t="b">
        <f>CleanedData[[#This Row],[Ship Date]]&lt;CleanedData[[#This Row],[Order Date]]</f>
        <v>0</v>
      </c>
      <c r="Z813" s="10">
        <f>YEAR(CleanedData[[#This Row],[Order Date]])</f>
        <v>2024</v>
      </c>
      <c r="AA813" s="8">
        <f>MONTH(CleanedData[[#This Row],[Order Date]])</f>
        <v>1</v>
      </c>
    </row>
    <row r="814" spans="1:27" x14ac:dyDescent="0.35">
      <c r="A814" s="8" t="s">
        <v>2436</v>
      </c>
      <c r="B814" s="9">
        <v>45004</v>
      </c>
      <c r="C814" s="9">
        <v>45081</v>
      </c>
      <c r="D814" s="8" t="s">
        <v>2437</v>
      </c>
      <c r="E814" s="8" t="s">
        <v>26</v>
      </c>
      <c r="F814" s="8" t="s">
        <v>92</v>
      </c>
      <c r="G814" s="8" t="s">
        <v>129</v>
      </c>
      <c r="H814" s="8" t="s">
        <v>152</v>
      </c>
      <c r="I814" s="8" t="s">
        <v>4974</v>
      </c>
      <c r="J814" s="10">
        <v>396</v>
      </c>
      <c r="K814" s="11">
        <v>286.44</v>
      </c>
      <c r="L814" s="11">
        <v>326.47000000000003</v>
      </c>
      <c r="M814" s="11">
        <v>129282.12</v>
      </c>
      <c r="N814" s="11">
        <v>113430.24</v>
      </c>
      <c r="O814" s="11">
        <f>CleanedData[[#This Row],[Total Sales ($)]]-CleanedData[[#This Row],[Total Cost ($)]]</f>
        <v>15851.87999999999</v>
      </c>
      <c r="P814" s="12">
        <f>CleanedData[[#This Row],[Profit ($)]]/CleanedData[[#This Row],[Total Sales ($)]]</f>
        <v>0.12261463534168522</v>
      </c>
      <c r="Q814" s="8" t="s">
        <v>95</v>
      </c>
      <c r="R814" s="8" t="s">
        <v>32</v>
      </c>
      <c r="S814" s="8" t="b">
        <f>_xlfn.SINGLE(CleanedData[[#This Row],[Delivery Status]])="Late"</f>
        <v>1</v>
      </c>
      <c r="T814" s="10">
        <v>-3</v>
      </c>
      <c r="U814" s="8" t="s">
        <v>43</v>
      </c>
      <c r="V814" s="10">
        <v>2950</v>
      </c>
      <c r="W814" s="10">
        <v>8</v>
      </c>
      <c r="X814" s="12">
        <v>2.02020202020202E-2</v>
      </c>
      <c r="Y814" s="8" t="b">
        <f>CleanedData[[#This Row],[Ship Date]]&lt;CleanedData[[#This Row],[Order Date]]</f>
        <v>0</v>
      </c>
      <c r="Z814" s="10">
        <f>YEAR(CleanedData[[#This Row],[Order Date]])</f>
        <v>2023</v>
      </c>
      <c r="AA814" s="8">
        <f>MONTH(CleanedData[[#This Row],[Order Date]])</f>
        <v>3</v>
      </c>
    </row>
    <row r="815" spans="1:27" x14ac:dyDescent="0.35">
      <c r="A815" s="8" t="s">
        <v>2438</v>
      </c>
      <c r="B815" s="9">
        <v>44984</v>
      </c>
      <c r="C815" s="9">
        <v>45051</v>
      </c>
      <c r="D815" s="8" t="s">
        <v>1691</v>
      </c>
      <c r="E815" s="8" t="s">
        <v>26</v>
      </c>
      <c r="F815" s="8" t="s">
        <v>77</v>
      </c>
      <c r="G815" s="8" t="s">
        <v>70</v>
      </c>
      <c r="H815" s="8" t="s">
        <v>446</v>
      </c>
      <c r="I815" s="8" t="s">
        <v>4971</v>
      </c>
      <c r="J815" s="10">
        <v>797</v>
      </c>
      <c r="K815" s="11">
        <v>1183.1199999999999</v>
      </c>
      <c r="L815" s="11">
        <v>1796.83</v>
      </c>
      <c r="M815" s="11">
        <v>1432073.51</v>
      </c>
      <c r="N815" s="11">
        <v>942946.64</v>
      </c>
      <c r="O815" s="11">
        <f>CleanedData[[#This Row],[Total Sales ($)]]-CleanedData[[#This Row],[Total Cost ($)]]</f>
        <v>489126.87</v>
      </c>
      <c r="P815" s="12">
        <f>CleanedData[[#This Row],[Profit ($)]]/CleanedData[[#This Row],[Total Sales ($)]]</f>
        <v>0.34155151015955876</v>
      </c>
      <c r="Q815" s="8" t="s">
        <v>31</v>
      </c>
      <c r="R815" s="8" t="s">
        <v>32</v>
      </c>
      <c r="S815" s="8" t="b">
        <f>_xlfn.SINGLE(CleanedData[[#This Row],[Delivery Status]])="Late"</f>
        <v>1</v>
      </c>
      <c r="T815" s="10">
        <v>10</v>
      </c>
      <c r="U815" s="8" t="s">
        <v>33</v>
      </c>
      <c r="V815" s="10">
        <v>2457</v>
      </c>
      <c r="W815" s="10">
        <v>26</v>
      </c>
      <c r="X815" s="12">
        <v>3.2622333751568297E-2</v>
      </c>
      <c r="Y815" s="8" t="b">
        <f>CleanedData[[#This Row],[Ship Date]]&lt;CleanedData[[#This Row],[Order Date]]</f>
        <v>0</v>
      </c>
      <c r="Z815" s="10">
        <f>YEAR(CleanedData[[#This Row],[Order Date]])</f>
        <v>2023</v>
      </c>
      <c r="AA815" s="8">
        <f>MONTH(CleanedData[[#This Row],[Order Date]])</f>
        <v>2</v>
      </c>
    </row>
    <row r="816" spans="1:27" x14ac:dyDescent="0.35">
      <c r="A816" s="8" t="s">
        <v>2439</v>
      </c>
      <c r="B816" s="9">
        <v>45119</v>
      </c>
      <c r="C816" s="9">
        <v>45113</v>
      </c>
      <c r="D816" s="8" t="s">
        <v>2440</v>
      </c>
      <c r="E816" s="8" t="s">
        <v>68</v>
      </c>
      <c r="F816" s="8" t="s">
        <v>69</v>
      </c>
      <c r="G816" s="8" t="s">
        <v>60</v>
      </c>
      <c r="H816" s="8" t="s">
        <v>61</v>
      </c>
      <c r="I816" s="8" t="s">
        <v>4974</v>
      </c>
      <c r="J816" s="10">
        <v>631</v>
      </c>
      <c r="K816" s="11">
        <v>383.74</v>
      </c>
      <c r="L816" s="11">
        <v>520.99</v>
      </c>
      <c r="M816" s="11">
        <v>328744.69</v>
      </c>
      <c r="N816" s="11">
        <v>242139.94</v>
      </c>
      <c r="O816" s="11">
        <f>CleanedData[[#This Row],[Total Sales ($)]]-CleanedData[[#This Row],[Total Cost ($)]]</f>
        <v>86604.75</v>
      </c>
      <c r="P816" s="12">
        <f>CleanedData[[#This Row],[Profit ($)]]/CleanedData[[#This Row],[Total Sales ($)]]</f>
        <v>0.2634407570202883</v>
      </c>
      <c r="Q816" s="8" t="s">
        <v>42</v>
      </c>
      <c r="R816" s="8" t="s">
        <v>32</v>
      </c>
      <c r="S816" s="8" t="b">
        <f>_xlfn.SINGLE(CleanedData[[#This Row],[Delivery Status]])="Late"</f>
        <v>1</v>
      </c>
      <c r="T816" s="10">
        <v>7</v>
      </c>
      <c r="U816" s="8" t="s">
        <v>86</v>
      </c>
      <c r="V816" s="10">
        <v>4950</v>
      </c>
      <c r="W816" s="10">
        <v>16</v>
      </c>
      <c r="X816" s="12">
        <v>2.53565768621236E-2</v>
      </c>
      <c r="Y816" s="8" t="b">
        <f>CleanedData[[#This Row],[Ship Date]]&lt;CleanedData[[#This Row],[Order Date]]</f>
        <v>1</v>
      </c>
      <c r="Z816" s="10">
        <f>YEAR(CleanedData[[#This Row],[Order Date]])</f>
        <v>2023</v>
      </c>
      <c r="AA816" s="8">
        <f>MONTH(CleanedData[[#This Row],[Order Date]])</f>
        <v>7</v>
      </c>
    </row>
    <row r="817" spans="1:27" x14ac:dyDescent="0.35">
      <c r="A817" s="8" t="s">
        <v>2441</v>
      </c>
      <c r="B817" s="9">
        <v>45084</v>
      </c>
      <c r="C817" s="9">
        <v>45170</v>
      </c>
      <c r="D817" s="8" t="s">
        <v>2442</v>
      </c>
      <c r="E817" s="8" t="s">
        <v>68</v>
      </c>
      <c r="F817" s="8" t="s">
        <v>249</v>
      </c>
      <c r="G817" s="8" t="s">
        <v>39</v>
      </c>
      <c r="H817" s="8" t="s">
        <v>527</v>
      </c>
      <c r="I817" s="8" t="s">
        <v>4978</v>
      </c>
      <c r="J817" s="10">
        <v>68</v>
      </c>
      <c r="K817" s="11">
        <v>297.77</v>
      </c>
      <c r="L817" s="11">
        <v>442.13</v>
      </c>
      <c r="M817" s="11">
        <v>30064.84</v>
      </c>
      <c r="N817" s="11">
        <v>20248.36</v>
      </c>
      <c r="O817" s="11">
        <f>CleanedData[[#This Row],[Total Sales ($)]]-CleanedData[[#This Row],[Total Cost ($)]]</f>
        <v>9816.48</v>
      </c>
      <c r="P817" s="12">
        <f>CleanedData[[#This Row],[Profit ($)]]/CleanedData[[#This Row],[Total Sales ($)]]</f>
        <v>0.32651030239974665</v>
      </c>
      <c r="Q817" s="8" t="s">
        <v>95</v>
      </c>
      <c r="R817" s="8" t="s">
        <v>32</v>
      </c>
      <c r="S817" s="8" t="b">
        <f>_xlfn.SINGLE(CleanedData[[#This Row],[Delivery Status]])="Late"</f>
        <v>1</v>
      </c>
      <c r="T817" s="10">
        <v>8</v>
      </c>
      <c r="U817" s="8" t="s">
        <v>43</v>
      </c>
      <c r="V817" s="10">
        <v>3198</v>
      </c>
      <c r="W817" s="10">
        <v>1</v>
      </c>
      <c r="X817" s="12">
        <v>1.47058823529411E-2</v>
      </c>
      <c r="Y817" s="8" t="b">
        <f>CleanedData[[#This Row],[Ship Date]]&lt;CleanedData[[#This Row],[Order Date]]</f>
        <v>0</v>
      </c>
      <c r="Z817" s="10">
        <f>YEAR(CleanedData[[#This Row],[Order Date]])</f>
        <v>2023</v>
      </c>
      <c r="AA817" s="8">
        <f>MONTH(CleanedData[[#This Row],[Order Date]])</f>
        <v>6</v>
      </c>
    </row>
    <row r="818" spans="1:27" x14ac:dyDescent="0.35">
      <c r="A818" s="8" t="s">
        <v>2443</v>
      </c>
      <c r="B818" s="9">
        <v>45120</v>
      </c>
      <c r="C818" s="9">
        <v>45093</v>
      </c>
      <c r="D818" s="8" t="s">
        <v>2444</v>
      </c>
      <c r="E818" s="8" t="s">
        <v>58</v>
      </c>
      <c r="F818" s="8" t="s">
        <v>116</v>
      </c>
      <c r="G818" s="8" t="s">
        <v>189</v>
      </c>
      <c r="H818" s="8" t="s">
        <v>437</v>
      </c>
      <c r="I818" s="8" t="s">
        <v>4970</v>
      </c>
      <c r="J818" s="10">
        <v>614</v>
      </c>
      <c r="K818" s="11">
        <v>406.54</v>
      </c>
      <c r="L818" s="11">
        <v>456.14</v>
      </c>
      <c r="M818" s="11">
        <v>280069.96000000002</v>
      </c>
      <c r="N818" s="11">
        <v>249615.56</v>
      </c>
      <c r="O818" s="11">
        <f>CleanedData[[#This Row],[Total Sales ($)]]-CleanedData[[#This Row],[Total Cost ($)]]</f>
        <v>30454.400000000023</v>
      </c>
      <c r="P818" s="12">
        <f>CleanedData[[#This Row],[Profit ($)]]/CleanedData[[#This Row],[Total Sales ($)]]</f>
        <v>0.10873854518349638</v>
      </c>
      <c r="Q818" s="8" t="s">
        <v>42</v>
      </c>
      <c r="R818" s="8" t="s">
        <v>63</v>
      </c>
      <c r="S818" s="8" t="b">
        <f>_xlfn.SINGLE(CleanedData[[#This Row],[Delivery Status]])="Late"</f>
        <v>0</v>
      </c>
      <c r="T818" s="10">
        <v>1</v>
      </c>
      <c r="U818" s="8" t="s">
        <v>158</v>
      </c>
      <c r="V818" s="10">
        <v>1869</v>
      </c>
      <c r="W818" s="10">
        <v>13</v>
      </c>
      <c r="X818" s="12">
        <v>2.1172638436482E-2</v>
      </c>
      <c r="Y818" s="8" t="b">
        <f>CleanedData[[#This Row],[Ship Date]]&lt;CleanedData[[#This Row],[Order Date]]</f>
        <v>1</v>
      </c>
      <c r="Z818" s="10">
        <f>YEAR(CleanedData[[#This Row],[Order Date]])</f>
        <v>2023</v>
      </c>
      <c r="AA818" s="8">
        <f>MONTH(CleanedData[[#This Row],[Order Date]])</f>
        <v>7</v>
      </c>
    </row>
    <row r="819" spans="1:27" x14ac:dyDescent="0.35">
      <c r="A819" s="8" t="s">
        <v>2445</v>
      </c>
      <c r="B819" s="9">
        <v>45211</v>
      </c>
      <c r="C819" s="9">
        <v>45251</v>
      </c>
      <c r="D819" s="8" t="s">
        <v>2446</v>
      </c>
      <c r="E819" s="8" t="s">
        <v>26</v>
      </c>
      <c r="F819" s="8" t="s">
        <v>92</v>
      </c>
      <c r="G819" s="8" t="s">
        <v>78</v>
      </c>
      <c r="H819" s="8" t="s">
        <v>481</v>
      </c>
      <c r="I819" s="8" t="s">
        <v>4967</v>
      </c>
      <c r="J819" s="10">
        <v>600</v>
      </c>
      <c r="K819" s="11">
        <v>1014.52</v>
      </c>
      <c r="L819" s="11">
        <v>1521.21</v>
      </c>
      <c r="M819" s="11">
        <v>912726</v>
      </c>
      <c r="N819" s="11">
        <v>608712</v>
      </c>
      <c r="O819" s="11">
        <f>CleanedData[[#This Row],[Total Sales ($)]]-CleanedData[[#This Row],[Total Cost ($)]]</f>
        <v>304014</v>
      </c>
      <c r="P819" s="12">
        <f>CleanedData[[#This Row],[Profit ($)]]/CleanedData[[#This Row],[Total Sales ($)]]</f>
        <v>0.33308353218819231</v>
      </c>
      <c r="Q819" s="8" t="s">
        <v>95</v>
      </c>
      <c r="R819" s="8" t="s">
        <v>32</v>
      </c>
      <c r="S819" s="8" t="b">
        <f>_xlfn.SINGLE(CleanedData[[#This Row],[Delivery Status]])="Late"</f>
        <v>1</v>
      </c>
      <c r="T819" s="10">
        <v>11</v>
      </c>
      <c r="U819" s="8" t="s">
        <v>33</v>
      </c>
      <c r="V819" s="10">
        <v>1015</v>
      </c>
      <c r="W819" s="10">
        <v>1</v>
      </c>
      <c r="X819" s="12">
        <v>1.6666666666666E-3</v>
      </c>
      <c r="Y819" s="8" t="b">
        <f>CleanedData[[#This Row],[Ship Date]]&lt;CleanedData[[#This Row],[Order Date]]</f>
        <v>0</v>
      </c>
      <c r="Z819" s="10">
        <f>YEAR(CleanedData[[#This Row],[Order Date]])</f>
        <v>2023</v>
      </c>
      <c r="AA819" s="8">
        <f>MONTH(CleanedData[[#This Row],[Order Date]])</f>
        <v>10</v>
      </c>
    </row>
    <row r="820" spans="1:27" x14ac:dyDescent="0.35">
      <c r="A820" s="8" t="s">
        <v>2447</v>
      </c>
      <c r="B820" s="9">
        <v>45256</v>
      </c>
      <c r="C820" s="9">
        <v>45208</v>
      </c>
      <c r="D820" s="8" t="s">
        <v>2448</v>
      </c>
      <c r="E820" s="8" t="s">
        <v>100</v>
      </c>
      <c r="F820" s="8" t="s">
        <v>101</v>
      </c>
      <c r="G820" s="8" t="s">
        <v>78</v>
      </c>
      <c r="H820" s="8" t="s">
        <v>628</v>
      </c>
      <c r="I820" s="8" t="s">
        <v>4974</v>
      </c>
      <c r="J820" s="10">
        <v>75</v>
      </c>
      <c r="K820" s="11">
        <v>797.04</v>
      </c>
      <c r="L820" s="11">
        <v>996.12</v>
      </c>
      <c r="M820" s="11">
        <v>74709</v>
      </c>
      <c r="N820" s="11">
        <v>59778</v>
      </c>
      <c r="O820" s="11">
        <f>CleanedData[[#This Row],[Total Sales ($)]]-CleanedData[[#This Row],[Total Cost ($)]]</f>
        <v>14931</v>
      </c>
      <c r="P820" s="12">
        <f>CleanedData[[#This Row],[Profit ($)]]/CleanedData[[#This Row],[Total Sales ($)]]</f>
        <v>0.19985543910372244</v>
      </c>
      <c r="Q820" s="8" t="s">
        <v>52</v>
      </c>
      <c r="R820" s="8" t="s">
        <v>32</v>
      </c>
      <c r="S820" s="8" t="b">
        <f>_xlfn.SINGLE(CleanedData[[#This Row],[Delivery Status]])="Late"</f>
        <v>1</v>
      </c>
      <c r="T820" s="10">
        <v>15</v>
      </c>
      <c r="U820" s="8" t="s">
        <v>53</v>
      </c>
      <c r="V820" s="10">
        <v>186</v>
      </c>
      <c r="W820" s="10">
        <v>0</v>
      </c>
      <c r="X820" s="12">
        <v>0</v>
      </c>
      <c r="Y820" s="8" t="b">
        <f>CleanedData[[#This Row],[Ship Date]]&lt;CleanedData[[#This Row],[Order Date]]</f>
        <v>1</v>
      </c>
      <c r="Z820" s="10">
        <f>YEAR(CleanedData[[#This Row],[Order Date]])</f>
        <v>2023</v>
      </c>
      <c r="AA820" s="8">
        <f>MONTH(CleanedData[[#This Row],[Order Date]])</f>
        <v>11</v>
      </c>
    </row>
    <row r="821" spans="1:27" x14ac:dyDescent="0.35">
      <c r="A821" s="8" t="s">
        <v>2449</v>
      </c>
      <c r="B821" s="9">
        <v>45031</v>
      </c>
      <c r="C821" s="9">
        <v>45081</v>
      </c>
      <c r="D821" s="8" t="s">
        <v>2450</v>
      </c>
      <c r="E821" s="8" t="s">
        <v>100</v>
      </c>
      <c r="F821" s="8" t="s">
        <v>330</v>
      </c>
      <c r="G821" s="8" t="s">
        <v>93</v>
      </c>
      <c r="H821" s="8" t="s">
        <v>321</v>
      </c>
      <c r="I821" s="8" t="s">
        <v>4977</v>
      </c>
      <c r="J821" s="10">
        <v>255</v>
      </c>
      <c r="K821" s="11">
        <v>779.92</v>
      </c>
      <c r="L821" s="11">
        <v>1004.28</v>
      </c>
      <c r="M821" s="11">
        <v>256091.4</v>
      </c>
      <c r="N821" s="11">
        <v>198879.6</v>
      </c>
      <c r="O821" s="11">
        <f>CleanedData[[#This Row],[Total Sales ($)]]-CleanedData[[#This Row],[Total Cost ($)]]</f>
        <v>57211.799999999988</v>
      </c>
      <c r="P821" s="12">
        <f>CleanedData[[#This Row],[Profit ($)]]/CleanedData[[#This Row],[Total Sales ($)]]</f>
        <v>0.22340383160074875</v>
      </c>
      <c r="Q821" s="8" t="s">
        <v>31</v>
      </c>
      <c r="R821" s="8" t="s">
        <v>32</v>
      </c>
      <c r="S821" s="8" t="b">
        <f>_xlfn.SINGLE(CleanedData[[#This Row],[Delivery Status]])="Late"</f>
        <v>1</v>
      </c>
      <c r="T821" s="10">
        <v>7</v>
      </c>
      <c r="U821" s="8" t="s">
        <v>43</v>
      </c>
      <c r="V821" s="10">
        <v>3678</v>
      </c>
      <c r="W821" s="10">
        <v>3</v>
      </c>
      <c r="X821" s="12">
        <v>1.1764705882352899E-2</v>
      </c>
      <c r="Y821" s="8" t="b">
        <f>CleanedData[[#This Row],[Ship Date]]&lt;CleanedData[[#This Row],[Order Date]]</f>
        <v>0</v>
      </c>
      <c r="Z821" s="10">
        <f>YEAR(CleanedData[[#This Row],[Order Date]])</f>
        <v>2023</v>
      </c>
      <c r="AA821" s="8">
        <f>MONTH(CleanedData[[#This Row],[Order Date]])</f>
        <v>4</v>
      </c>
    </row>
    <row r="822" spans="1:27" x14ac:dyDescent="0.35">
      <c r="A822" s="8" t="s">
        <v>2451</v>
      </c>
      <c r="B822" s="9">
        <v>45101</v>
      </c>
      <c r="C822" s="9">
        <v>44938</v>
      </c>
      <c r="D822" s="8" t="s">
        <v>2452</v>
      </c>
      <c r="E822" s="8" t="s">
        <v>58</v>
      </c>
      <c r="F822" s="8" t="s">
        <v>259</v>
      </c>
      <c r="G822" s="8" t="s">
        <v>189</v>
      </c>
      <c r="H822" s="8" t="s">
        <v>369</v>
      </c>
      <c r="I822" s="8" t="s">
        <v>4967</v>
      </c>
      <c r="J822" s="10">
        <v>221</v>
      </c>
      <c r="K822" s="11">
        <v>249.66</v>
      </c>
      <c r="L822" s="11">
        <v>381.2</v>
      </c>
      <c r="M822" s="11">
        <v>84245.2</v>
      </c>
      <c r="N822" s="11">
        <v>55174.86</v>
      </c>
      <c r="O822" s="11">
        <f>CleanedData[[#This Row],[Total Sales ($)]]-CleanedData[[#This Row],[Total Cost ($)]]</f>
        <v>29070.339999999997</v>
      </c>
      <c r="P822" s="12">
        <f>CleanedData[[#This Row],[Profit ($)]]/CleanedData[[#This Row],[Total Sales ($)]]</f>
        <v>0.34506820566631685</v>
      </c>
      <c r="Q822" s="8" t="s">
        <v>31</v>
      </c>
      <c r="R822" s="8" t="s">
        <v>32</v>
      </c>
      <c r="S822" s="8" t="b">
        <f>_xlfn.SINGLE(CleanedData[[#This Row],[Delivery Status]])="Late"</f>
        <v>1</v>
      </c>
      <c r="T822" s="10">
        <v>6</v>
      </c>
      <c r="U822" s="8" t="s">
        <v>43</v>
      </c>
      <c r="V822" s="10">
        <v>290</v>
      </c>
      <c r="W822" s="10">
        <v>9</v>
      </c>
      <c r="X822" s="12">
        <v>4.07239819004524E-2</v>
      </c>
      <c r="Y822" s="8" t="b">
        <f>CleanedData[[#This Row],[Ship Date]]&lt;CleanedData[[#This Row],[Order Date]]</f>
        <v>1</v>
      </c>
      <c r="Z822" s="10">
        <f>YEAR(CleanedData[[#This Row],[Order Date]])</f>
        <v>2023</v>
      </c>
      <c r="AA822" s="8">
        <f>MONTH(CleanedData[[#This Row],[Order Date]])</f>
        <v>6</v>
      </c>
    </row>
    <row r="823" spans="1:27" x14ac:dyDescent="0.35">
      <c r="A823" s="8" t="s">
        <v>2453</v>
      </c>
      <c r="B823" s="9">
        <v>45134</v>
      </c>
      <c r="C823" s="9">
        <v>45087</v>
      </c>
      <c r="D823" s="8" t="s">
        <v>2454</v>
      </c>
      <c r="E823" s="8" t="s">
        <v>100</v>
      </c>
      <c r="F823" s="8" t="s">
        <v>330</v>
      </c>
      <c r="G823" s="8" t="s">
        <v>217</v>
      </c>
      <c r="H823" s="8" t="s">
        <v>335</v>
      </c>
      <c r="I823" s="8" t="s">
        <v>4971</v>
      </c>
      <c r="J823" s="10">
        <v>554</v>
      </c>
      <c r="K823" s="11">
        <v>949.86</v>
      </c>
      <c r="L823" s="11">
        <v>1347.56</v>
      </c>
      <c r="M823" s="11">
        <v>746548.24</v>
      </c>
      <c r="N823" s="11">
        <v>526222.43999999994</v>
      </c>
      <c r="O823" s="11">
        <f>CleanedData[[#This Row],[Total Sales ($)]]-CleanedData[[#This Row],[Total Cost ($)]]</f>
        <v>220325.80000000005</v>
      </c>
      <c r="P823" s="12">
        <f>CleanedData[[#This Row],[Profit ($)]]/CleanedData[[#This Row],[Total Sales ($)]]</f>
        <v>0.29512600552109003</v>
      </c>
      <c r="Q823" s="8" t="s">
        <v>31</v>
      </c>
      <c r="R823" s="8" t="s">
        <v>63</v>
      </c>
      <c r="S823" s="8" t="b">
        <f>_xlfn.SINGLE(CleanedData[[#This Row],[Delivery Status]])="Late"</f>
        <v>0</v>
      </c>
      <c r="T823" s="10">
        <v>5</v>
      </c>
      <c r="U823" s="8" t="s">
        <v>43</v>
      </c>
      <c r="V823" s="10">
        <v>1328</v>
      </c>
      <c r="W823" s="10">
        <v>8</v>
      </c>
      <c r="X823" s="12">
        <v>1.44404332129963E-2</v>
      </c>
      <c r="Y823" s="8" t="b">
        <f>CleanedData[[#This Row],[Ship Date]]&lt;CleanedData[[#This Row],[Order Date]]</f>
        <v>1</v>
      </c>
      <c r="Z823" s="10">
        <f>YEAR(CleanedData[[#This Row],[Order Date]])</f>
        <v>2023</v>
      </c>
      <c r="AA823" s="8">
        <f>MONTH(CleanedData[[#This Row],[Order Date]])</f>
        <v>7</v>
      </c>
    </row>
    <row r="824" spans="1:27" x14ac:dyDescent="0.35">
      <c r="A824" s="8" t="s">
        <v>2455</v>
      </c>
      <c r="B824" s="9">
        <v>44999</v>
      </c>
      <c r="C824" s="9">
        <v>45073</v>
      </c>
      <c r="D824" s="8" t="s">
        <v>2457</v>
      </c>
      <c r="E824" s="8" t="s">
        <v>100</v>
      </c>
      <c r="F824" s="8" t="s">
        <v>538</v>
      </c>
      <c r="G824" s="8" t="s">
        <v>70</v>
      </c>
      <c r="H824" s="8" t="s">
        <v>384</v>
      </c>
      <c r="I824" s="8" t="s">
        <v>4969</v>
      </c>
      <c r="J824" s="10">
        <v>623</v>
      </c>
      <c r="K824" s="11">
        <v>419.02</v>
      </c>
      <c r="L824" s="11">
        <v>508.53</v>
      </c>
      <c r="M824" s="11">
        <v>316814.19</v>
      </c>
      <c r="N824" s="11">
        <v>261049.46</v>
      </c>
      <c r="O824" s="11">
        <f>CleanedData[[#This Row],[Total Sales ($)]]-CleanedData[[#This Row],[Total Cost ($)]]</f>
        <v>55764.73000000001</v>
      </c>
      <c r="P824" s="12">
        <f>CleanedData[[#This Row],[Profit ($)]]/CleanedData[[#This Row],[Total Sales ($)]]</f>
        <v>0.17601714746425975</v>
      </c>
      <c r="Q824" s="8" t="s">
        <v>42</v>
      </c>
      <c r="R824" s="8" t="s">
        <v>63</v>
      </c>
      <c r="S824" s="8" t="b">
        <f>_xlfn.SINGLE(CleanedData[[#This Row],[Delivery Status]])="Late"</f>
        <v>0</v>
      </c>
      <c r="T824" s="10">
        <v>1</v>
      </c>
      <c r="U824" s="8" t="s">
        <v>158</v>
      </c>
      <c r="V824" s="10">
        <v>4963</v>
      </c>
      <c r="W824" s="10">
        <v>22</v>
      </c>
      <c r="X824" s="12">
        <v>3.5313001605136403E-2</v>
      </c>
      <c r="Y824" s="8" t="b">
        <f>CleanedData[[#This Row],[Ship Date]]&lt;CleanedData[[#This Row],[Order Date]]</f>
        <v>0</v>
      </c>
      <c r="Z824" s="10">
        <f>YEAR(CleanedData[[#This Row],[Order Date]])</f>
        <v>2023</v>
      </c>
      <c r="AA824" s="8">
        <f>MONTH(CleanedData[[#This Row],[Order Date]])</f>
        <v>3</v>
      </c>
    </row>
    <row r="825" spans="1:27" x14ac:dyDescent="0.35">
      <c r="A825" s="8" t="s">
        <v>2458</v>
      </c>
      <c r="B825" s="9">
        <v>44953</v>
      </c>
      <c r="C825" s="9">
        <v>45159</v>
      </c>
      <c r="D825" s="8" t="s">
        <v>2459</v>
      </c>
      <c r="E825" s="8" t="s">
        <v>58</v>
      </c>
      <c r="F825" s="8" t="s">
        <v>417</v>
      </c>
      <c r="G825" s="8" t="s">
        <v>78</v>
      </c>
      <c r="H825" s="8" t="s">
        <v>628</v>
      </c>
      <c r="I825" s="8" t="s">
        <v>4970</v>
      </c>
      <c r="J825" s="10">
        <v>656</v>
      </c>
      <c r="K825" s="11">
        <v>506.19</v>
      </c>
      <c r="L825" s="11">
        <v>658.64</v>
      </c>
      <c r="M825" s="11">
        <v>432067.84000000003</v>
      </c>
      <c r="N825" s="11">
        <v>332060.64</v>
      </c>
      <c r="O825" s="11">
        <f>CleanedData[[#This Row],[Total Sales ($)]]-CleanedData[[#This Row],[Total Cost ($)]]</f>
        <v>100007.20000000001</v>
      </c>
      <c r="P825" s="12">
        <f>CleanedData[[#This Row],[Profit ($)]]/CleanedData[[#This Row],[Total Sales ($)]]</f>
        <v>0.23146180007287745</v>
      </c>
      <c r="Q825" s="8" t="s">
        <v>42</v>
      </c>
      <c r="R825" s="8" t="s">
        <v>63</v>
      </c>
      <c r="S825" s="8" t="b">
        <f>_xlfn.SINGLE(CleanedData[[#This Row],[Delivery Status]])="Late"</f>
        <v>0</v>
      </c>
      <c r="T825" s="10">
        <v>5</v>
      </c>
      <c r="U825" s="8" t="s">
        <v>33</v>
      </c>
      <c r="V825" s="10">
        <v>315</v>
      </c>
      <c r="W825" s="10">
        <v>26</v>
      </c>
      <c r="X825" s="12">
        <v>3.9634146341463401E-2</v>
      </c>
      <c r="Y825" s="8" t="b">
        <f>CleanedData[[#This Row],[Ship Date]]&lt;CleanedData[[#This Row],[Order Date]]</f>
        <v>0</v>
      </c>
      <c r="Z825" s="10">
        <f>YEAR(CleanedData[[#This Row],[Order Date]])</f>
        <v>2023</v>
      </c>
      <c r="AA825" s="8">
        <f>MONTH(CleanedData[[#This Row],[Order Date]])</f>
        <v>1</v>
      </c>
    </row>
    <row r="826" spans="1:27" x14ac:dyDescent="0.35">
      <c r="A826" s="8" t="s">
        <v>2460</v>
      </c>
      <c r="B826" s="9">
        <v>45342</v>
      </c>
      <c r="C826" s="9">
        <v>45479</v>
      </c>
      <c r="D826" s="8" t="s">
        <v>2462</v>
      </c>
      <c r="E826" s="8" t="s">
        <v>48</v>
      </c>
      <c r="F826" s="8" t="s">
        <v>223</v>
      </c>
      <c r="G826" s="8" t="s">
        <v>28</v>
      </c>
      <c r="H826" s="8" t="s">
        <v>111</v>
      </c>
      <c r="I826" s="8" t="s">
        <v>4969</v>
      </c>
      <c r="J826" s="10">
        <v>710</v>
      </c>
      <c r="K826" s="11">
        <v>1052.95</v>
      </c>
      <c r="L826" s="11">
        <v>1620.29</v>
      </c>
      <c r="M826" s="11">
        <v>1150405.8999999999</v>
      </c>
      <c r="N826" s="11">
        <v>747594.5</v>
      </c>
      <c r="O826" s="11">
        <f>CleanedData[[#This Row],[Total Sales ($)]]-CleanedData[[#This Row],[Total Cost ($)]]</f>
        <v>402811.39999999991</v>
      </c>
      <c r="P826" s="12">
        <f>CleanedData[[#This Row],[Profit ($)]]/CleanedData[[#This Row],[Total Sales ($)]]</f>
        <v>0.35014719587234377</v>
      </c>
      <c r="Q826" s="8" t="s">
        <v>31</v>
      </c>
      <c r="R826" s="8" t="s">
        <v>63</v>
      </c>
      <c r="S826" s="8" t="b">
        <f>_xlfn.SINGLE(CleanedData[[#This Row],[Delivery Status]])="Late"</f>
        <v>0</v>
      </c>
      <c r="T826" s="10">
        <v>5</v>
      </c>
      <c r="U826" s="8" t="s">
        <v>53</v>
      </c>
      <c r="V826" s="10">
        <v>4850</v>
      </c>
      <c r="W826" s="10">
        <v>7</v>
      </c>
      <c r="X826" s="12">
        <v>9.8591549295773996E-3</v>
      </c>
      <c r="Y826" s="8" t="b">
        <f>CleanedData[[#This Row],[Ship Date]]&lt;CleanedData[[#This Row],[Order Date]]</f>
        <v>0</v>
      </c>
      <c r="Z826" s="10">
        <f>YEAR(CleanedData[[#This Row],[Order Date]])</f>
        <v>2024</v>
      </c>
      <c r="AA826" s="8">
        <f>MONTH(CleanedData[[#This Row],[Order Date]])</f>
        <v>2</v>
      </c>
    </row>
    <row r="827" spans="1:27" x14ac:dyDescent="0.35">
      <c r="A827" s="8" t="s">
        <v>2463</v>
      </c>
      <c r="B827" s="9">
        <v>45206</v>
      </c>
      <c r="C827" s="9">
        <v>45025</v>
      </c>
      <c r="D827" s="8" t="s">
        <v>2464</v>
      </c>
      <c r="E827" s="8" t="s">
        <v>58</v>
      </c>
      <c r="F827" s="8" t="s">
        <v>116</v>
      </c>
      <c r="G827" s="8" t="s">
        <v>70</v>
      </c>
      <c r="H827" s="8" t="s">
        <v>384</v>
      </c>
      <c r="I827" s="8" t="s">
        <v>4974</v>
      </c>
      <c r="J827" s="10">
        <v>522</v>
      </c>
      <c r="K827" s="11">
        <v>967.87</v>
      </c>
      <c r="L827" s="11">
        <v>1230.3800000000001</v>
      </c>
      <c r="M827" s="11">
        <v>642258.36</v>
      </c>
      <c r="N827" s="11">
        <v>505228.14</v>
      </c>
      <c r="O827" s="11">
        <f>CleanedData[[#This Row],[Total Sales ($)]]-CleanedData[[#This Row],[Total Cost ($)]]</f>
        <v>137030.21999999997</v>
      </c>
      <c r="P827" s="12">
        <f>CleanedData[[#This Row],[Profit ($)]]/CleanedData[[#This Row],[Total Sales ($)]]</f>
        <v>0.21335684910352895</v>
      </c>
      <c r="Q827" s="8" t="s">
        <v>42</v>
      </c>
      <c r="R827" s="8" t="s">
        <v>32</v>
      </c>
      <c r="S827" s="8" t="b">
        <f>_xlfn.SINGLE(CleanedData[[#This Row],[Delivery Status]])="Late"</f>
        <v>1</v>
      </c>
      <c r="T827" s="10">
        <v>7</v>
      </c>
      <c r="U827" s="8" t="s">
        <v>86</v>
      </c>
      <c r="V827" s="10">
        <v>4477</v>
      </c>
      <c r="W827" s="10">
        <v>10</v>
      </c>
      <c r="X827" s="12">
        <v>1.91570881226053E-2</v>
      </c>
      <c r="Y827" s="8" t="b">
        <f>CleanedData[[#This Row],[Ship Date]]&lt;CleanedData[[#This Row],[Order Date]]</f>
        <v>1</v>
      </c>
      <c r="Z827" s="10">
        <f>YEAR(CleanedData[[#This Row],[Order Date]])</f>
        <v>2023</v>
      </c>
      <c r="AA827" s="8">
        <f>MONTH(CleanedData[[#This Row],[Order Date]])</f>
        <v>10</v>
      </c>
    </row>
    <row r="828" spans="1:27" x14ac:dyDescent="0.35">
      <c r="A828" s="8" t="s">
        <v>2465</v>
      </c>
      <c r="B828" s="9">
        <v>45217</v>
      </c>
      <c r="C828" s="9">
        <v>45049</v>
      </c>
      <c r="D828" s="8" t="s">
        <v>1247</v>
      </c>
      <c r="E828" s="8" t="s">
        <v>48</v>
      </c>
      <c r="F828" s="8" t="s">
        <v>49</v>
      </c>
      <c r="G828" s="8" t="s">
        <v>39</v>
      </c>
      <c r="H828" s="8" t="s">
        <v>527</v>
      </c>
      <c r="I828" s="8" t="s">
        <v>4968</v>
      </c>
      <c r="J828" s="10">
        <v>471</v>
      </c>
      <c r="K828" s="11">
        <v>177.47</v>
      </c>
      <c r="L828" s="11">
        <v>262.95999999999998</v>
      </c>
      <c r="M828" s="11">
        <v>123854.16</v>
      </c>
      <c r="N828" s="11">
        <v>83588.37</v>
      </c>
      <c r="O828" s="11">
        <f>CleanedData[[#This Row],[Total Sales ($)]]-CleanedData[[#This Row],[Total Cost ($)]]</f>
        <v>40265.790000000008</v>
      </c>
      <c r="P828" s="12">
        <f>CleanedData[[#This Row],[Profit ($)]]/CleanedData[[#This Row],[Total Sales ($)]]</f>
        <v>0.32510648007301496</v>
      </c>
      <c r="Q828" s="8" t="s">
        <v>52</v>
      </c>
      <c r="R828" s="8" t="s">
        <v>32</v>
      </c>
      <c r="S828" s="8" t="b">
        <f>_xlfn.SINGLE(CleanedData[[#This Row],[Delivery Status]])="Late"</f>
        <v>1</v>
      </c>
      <c r="T828" s="10">
        <v>6</v>
      </c>
      <c r="U828" s="8" t="s">
        <v>112</v>
      </c>
      <c r="V828" s="10">
        <v>1767</v>
      </c>
      <c r="W828" s="10">
        <v>2</v>
      </c>
      <c r="X828" s="12">
        <v>4.2462845010614999E-3</v>
      </c>
      <c r="Y828" s="8" t="b">
        <f>CleanedData[[#This Row],[Ship Date]]&lt;CleanedData[[#This Row],[Order Date]]</f>
        <v>1</v>
      </c>
      <c r="Z828" s="10">
        <f>YEAR(CleanedData[[#This Row],[Order Date]])</f>
        <v>2023</v>
      </c>
      <c r="AA828" s="8">
        <f>MONTH(CleanedData[[#This Row],[Order Date]])</f>
        <v>10</v>
      </c>
    </row>
    <row r="829" spans="1:27" x14ac:dyDescent="0.35">
      <c r="A829" s="8" t="s">
        <v>2467</v>
      </c>
      <c r="B829" s="9">
        <v>45055</v>
      </c>
      <c r="C829" s="9">
        <v>45217</v>
      </c>
      <c r="D829" s="8" t="s">
        <v>2468</v>
      </c>
      <c r="E829" s="8" t="s">
        <v>48</v>
      </c>
      <c r="F829" s="8" t="s">
        <v>183</v>
      </c>
      <c r="G829" s="8" t="s">
        <v>60</v>
      </c>
      <c r="H829" s="8" t="s">
        <v>229</v>
      </c>
      <c r="I829" s="8" t="s">
        <v>4973</v>
      </c>
      <c r="J829" s="10">
        <v>794</v>
      </c>
      <c r="K829" s="11">
        <v>200.08</v>
      </c>
      <c r="L829" s="11">
        <v>312.02</v>
      </c>
      <c r="M829" s="11">
        <v>247743.88</v>
      </c>
      <c r="N829" s="11">
        <v>158863.51999999999</v>
      </c>
      <c r="O829" s="11">
        <f>CleanedData[[#This Row],[Total Sales ($)]]-CleanedData[[#This Row],[Total Cost ($)]]</f>
        <v>88880.360000000015</v>
      </c>
      <c r="P829" s="12">
        <f>CleanedData[[#This Row],[Profit ($)]]/CleanedData[[#This Row],[Total Sales ($)]]</f>
        <v>0.35875905390680091</v>
      </c>
      <c r="Q829" s="8" t="s">
        <v>52</v>
      </c>
      <c r="R829" s="8" t="s">
        <v>32</v>
      </c>
      <c r="S829" s="8" t="b">
        <f>_xlfn.SINGLE(CleanedData[[#This Row],[Delivery Status]])="Late"</f>
        <v>1</v>
      </c>
      <c r="T829" s="10">
        <v>8</v>
      </c>
      <c r="U829" s="8" t="s">
        <v>53</v>
      </c>
      <c r="V829" s="10">
        <v>2177</v>
      </c>
      <c r="W829" s="10">
        <v>28</v>
      </c>
      <c r="X829" s="12">
        <v>3.5264483627204003E-2</v>
      </c>
      <c r="Y829" s="8" t="b">
        <f>CleanedData[[#This Row],[Ship Date]]&lt;CleanedData[[#This Row],[Order Date]]</f>
        <v>0</v>
      </c>
      <c r="Z829" s="10">
        <f>YEAR(CleanedData[[#This Row],[Order Date]])</f>
        <v>2023</v>
      </c>
      <c r="AA829" s="8">
        <f>MONTH(CleanedData[[#This Row],[Order Date]])</f>
        <v>5</v>
      </c>
    </row>
    <row r="830" spans="1:27" x14ac:dyDescent="0.35">
      <c r="A830" s="8" t="s">
        <v>2469</v>
      </c>
      <c r="B830" s="9">
        <v>45522</v>
      </c>
      <c r="C830" s="9">
        <v>45388</v>
      </c>
      <c r="D830" s="8" t="s">
        <v>2472</v>
      </c>
      <c r="E830" s="8" t="s">
        <v>100</v>
      </c>
      <c r="F830" s="8" t="s">
        <v>238</v>
      </c>
      <c r="G830" s="8" t="s">
        <v>78</v>
      </c>
      <c r="H830" s="8" t="s">
        <v>572</v>
      </c>
      <c r="I830" s="8" t="s">
        <v>4977</v>
      </c>
      <c r="J830" s="10">
        <v>510</v>
      </c>
      <c r="K830" s="11">
        <v>840.08</v>
      </c>
      <c r="L830" s="11">
        <v>1155.6400000000001</v>
      </c>
      <c r="M830" s="11">
        <v>589376.4</v>
      </c>
      <c r="N830" s="11">
        <v>428440.8</v>
      </c>
      <c r="O830" s="11">
        <f>CleanedData[[#This Row],[Total Sales ($)]]-CleanedData[[#This Row],[Total Cost ($)]]</f>
        <v>160935.60000000003</v>
      </c>
      <c r="P830" s="12">
        <f>CleanedData[[#This Row],[Profit ($)]]/CleanedData[[#This Row],[Total Sales ($)]]</f>
        <v>0.27306081478661182</v>
      </c>
      <c r="Q830" s="8" t="s">
        <v>42</v>
      </c>
      <c r="R830" s="8" t="s">
        <v>32</v>
      </c>
      <c r="S830" s="8" t="b">
        <f>_xlfn.SINGLE(CleanedData[[#This Row],[Delivery Status]])="Late"</f>
        <v>1</v>
      </c>
      <c r="T830" s="10">
        <v>9</v>
      </c>
      <c r="U830" s="8" t="s">
        <v>86</v>
      </c>
      <c r="V830" s="10">
        <v>3259</v>
      </c>
      <c r="W830" s="10">
        <v>14</v>
      </c>
      <c r="X830" s="12">
        <v>2.74509803921568E-2</v>
      </c>
      <c r="Y830" s="8" t="b">
        <f>CleanedData[[#This Row],[Ship Date]]&lt;CleanedData[[#This Row],[Order Date]]</f>
        <v>1</v>
      </c>
      <c r="Z830" s="10">
        <f>YEAR(CleanedData[[#This Row],[Order Date]])</f>
        <v>2024</v>
      </c>
      <c r="AA830" s="8">
        <f>MONTH(CleanedData[[#This Row],[Order Date]])</f>
        <v>8</v>
      </c>
    </row>
    <row r="831" spans="1:27" x14ac:dyDescent="0.35">
      <c r="A831" s="8" t="s">
        <v>2473</v>
      </c>
      <c r="B831" s="9">
        <v>45141</v>
      </c>
      <c r="C831" s="9">
        <v>45058</v>
      </c>
      <c r="D831" s="8" t="s">
        <v>2474</v>
      </c>
      <c r="E831" s="8" t="s">
        <v>100</v>
      </c>
      <c r="F831" s="8" t="s">
        <v>538</v>
      </c>
      <c r="G831" s="8" t="s">
        <v>189</v>
      </c>
      <c r="H831" s="8" t="s">
        <v>369</v>
      </c>
      <c r="I831" s="8" t="s">
        <v>4969</v>
      </c>
      <c r="J831" s="10">
        <v>71</v>
      </c>
      <c r="K831" s="11">
        <v>749.92</v>
      </c>
      <c r="L831" s="11">
        <v>1071.78</v>
      </c>
      <c r="M831" s="11">
        <v>76096.38</v>
      </c>
      <c r="N831" s="11">
        <v>53244.32</v>
      </c>
      <c r="O831" s="11">
        <f>CleanedData[[#This Row],[Total Sales ($)]]-CleanedData[[#This Row],[Total Cost ($)]]</f>
        <v>22852.060000000005</v>
      </c>
      <c r="P831" s="12">
        <f>CleanedData[[#This Row],[Profit ($)]]/CleanedData[[#This Row],[Total Sales ($)]]</f>
        <v>0.30030416689992356</v>
      </c>
      <c r="Q831" s="8" t="s">
        <v>31</v>
      </c>
      <c r="R831" s="8" t="s">
        <v>32</v>
      </c>
      <c r="S831" s="8" t="b">
        <f>_xlfn.SINGLE(CleanedData[[#This Row],[Delivery Status]])="Late"</f>
        <v>1</v>
      </c>
      <c r="T831" s="10">
        <v>8</v>
      </c>
      <c r="U831" s="8" t="s">
        <v>158</v>
      </c>
      <c r="V831" s="10">
        <v>2251</v>
      </c>
      <c r="W831" s="10">
        <v>0</v>
      </c>
      <c r="X831" s="12">
        <v>0</v>
      </c>
      <c r="Y831" s="8" t="b">
        <f>CleanedData[[#This Row],[Ship Date]]&lt;CleanedData[[#This Row],[Order Date]]</f>
        <v>1</v>
      </c>
      <c r="Z831" s="10">
        <f>YEAR(CleanedData[[#This Row],[Order Date]])</f>
        <v>2023</v>
      </c>
      <c r="AA831" s="8">
        <f>MONTH(CleanedData[[#This Row],[Order Date]])</f>
        <v>8</v>
      </c>
    </row>
    <row r="832" spans="1:27" x14ac:dyDescent="0.35">
      <c r="A832" s="8" t="s">
        <v>2475</v>
      </c>
      <c r="B832" s="9">
        <v>45264</v>
      </c>
      <c r="C832" s="9">
        <v>44987</v>
      </c>
      <c r="D832" s="8" t="s">
        <v>2476</v>
      </c>
      <c r="E832" s="8" t="s">
        <v>48</v>
      </c>
      <c r="F832" s="8" t="s">
        <v>270</v>
      </c>
      <c r="G832" s="8" t="s">
        <v>28</v>
      </c>
      <c r="H832" s="8" t="s">
        <v>579</v>
      </c>
      <c r="I832" s="8" t="s">
        <v>4979</v>
      </c>
      <c r="J832" s="10">
        <v>354</v>
      </c>
      <c r="K832" s="11">
        <v>1122.6400000000001</v>
      </c>
      <c r="L832" s="11">
        <v>1557.72</v>
      </c>
      <c r="M832" s="11">
        <v>551432.88</v>
      </c>
      <c r="N832" s="11">
        <v>397414.56</v>
      </c>
      <c r="O832" s="11">
        <f>CleanedData[[#This Row],[Total Sales ($)]]-CleanedData[[#This Row],[Total Cost ($)]]</f>
        <v>154018.32</v>
      </c>
      <c r="P832" s="12">
        <f>CleanedData[[#This Row],[Profit ($)]]/CleanedData[[#This Row],[Total Sales ($)]]</f>
        <v>0.27930565185013995</v>
      </c>
      <c r="Q832" s="8" t="s">
        <v>31</v>
      </c>
      <c r="R832" s="8" t="s">
        <v>63</v>
      </c>
      <c r="S832" s="8" t="b">
        <f>_xlfn.SINGLE(CleanedData[[#This Row],[Delivery Status]])="Late"</f>
        <v>0</v>
      </c>
      <c r="T832" s="10">
        <v>4</v>
      </c>
      <c r="U832" s="8" t="s">
        <v>112</v>
      </c>
      <c r="V832" s="10">
        <v>374</v>
      </c>
      <c r="W832" s="10">
        <v>13</v>
      </c>
      <c r="X832" s="12">
        <v>3.6723163841807897E-2</v>
      </c>
      <c r="Y832" s="8" t="b">
        <f>CleanedData[[#This Row],[Ship Date]]&lt;CleanedData[[#This Row],[Order Date]]</f>
        <v>1</v>
      </c>
      <c r="Z832" s="10">
        <f>YEAR(CleanedData[[#This Row],[Order Date]])</f>
        <v>2023</v>
      </c>
      <c r="AA832" s="8">
        <f>MONTH(CleanedData[[#This Row],[Order Date]])</f>
        <v>12</v>
      </c>
    </row>
    <row r="833" spans="1:27" x14ac:dyDescent="0.35">
      <c r="A833" s="8" t="s">
        <v>2478</v>
      </c>
      <c r="B833" s="9">
        <v>45099</v>
      </c>
      <c r="C833" s="9">
        <v>44939</v>
      </c>
      <c r="D833" s="8" t="s">
        <v>2479</v>
      </c>
      <c r="E833" s="8" t="s">
        <v>26</v>
      </c>
      <c r="F833" s="8" t="s">
        <v>38</v>
      </c>
      <c r="G833" s="8" t="s">
        <v>78</v>
      </c>
      <c r="H833" s="8" t="s">
        <v>178</v>
      </c>
      <c r="I833" s="8" t="s">
        <v>4978</v>
      </c>
      <c r="J833" s="10">
        <v>750</v>
      </c>
      <c r="K833" s="11">
        <v>589.04999999999995</v>
      </c>
      <c r="L833" s="11">
        <v>712.96</v>
      </c>
      <c r="M833" s="11">
        <v>534720</v>
      </c>
      <c r="N833" s="11">
        <v>441787.5</v>
      </c>
      <c r="O833" s="11">
        <f>CleanedData[[#This Row],[Total Sales ($)]]-CleanedData[[#This Row],[Total Cost ($)]]</f>
        <v>92932.5</v>
      </c>
      <c r="P833" s="12">
        <f>CleanedData[[#This Row],[Profit ($)]]/CleanedData[[#This Row],[Total Sales ($)]]</f>
        <v>0.17379656642728905</v>
      </c>
      <c r="Q833" s="8" t="s">
        <v>42</v>
      </c>
      <c r="R833" s="8" t="s">
        <v>32</v>
      </c>
      <c r="S833" s="8" t="b">
        <f>_xlfn.SINGLE(CleanedData[[#This Row],[Delivery Status]])="Late"</f>
        <v>1</v>
      </c>
      <c r="T833" s="10">
        <v>10</v>
      </c>
      <c r="U833" s="8" t="s">
        <v>53</v>
      </c>
      <c r="V833" s="10">
        <v>2171</v>
      </c>
      <c r="W833" s="10">
        <v>7</v>
      </c>
      <c r="X833" s="12">
        <v>9.3333333333332994E-3</v>
      </c>
      <c r="Y833" s="8" t="b">
        <f>CleanedData[[#This Row],[Ship Date]]&lt;CleanedData[[#This Row],[Order Date]]</f>
        <v>1</v>
      </c>
      <c r="Z833" s="10">
        <f>YEAR(CleanedData[[#This Row],[Order Date]])</f>
        <v>2023</v>
      </c>
      <c r="AA833" s="8">
        <f>MONTH(CleanedData[[#This Row],[Order Date]])</f>
        <v>6</v>
      </c>
    </row>
    <row r="834" spans="1:27" x14ac:dyDescent="0.35">
      <c r="A834" s="8" t="s">
        <v>2480</v>
      </c>
      <c r="B834" s="9">
        <v>45029</v>
      </c>
      <c r="C834" s="9">
        <v>44983</v>
      </c>
      <c r="D834" s="8" t="s">
        <v>2481</v>
      </c>
      <c r="E834" s="8" t="s">
        <v>58</v>
      </c>
      <c r="F834" s="8" t="s">
        <v>417</v>
      </c>
      <c r="G834" s="8" t="s">
        <v>70</v>
      </c>
      <c r="H834" s="8" t="s">
        <v>384</v>
      </c>
      <c r="I834" s="8" t="s">
        <v>4969</v>
      </c>
      <c r="J834" s="10">
        <v>556</v>
      </c>
      <c r="K834" s="11">
        <v>1130.8</v>
      </c>
      <c r="L834" s="11">
        <v>1485.36</v>
      </c>
      <c r="M834" s="11">
        <v>825860.16</v>
      </c>
      <c r="N834" s="11">
        <v>628724.80000000005</v>
      </c>
      <c r="O834" s="11">
        <f>CleanedData[[#This Row],[Total Sales ($)]]-CleanedData[[#This Row],[Total Cost ($)]]</f>
        <v>197135.35999999999</v>
      </c>
      <c r="P834" s="12">
        <f>CleanedData[[#This Row],[Profit ($)]]/CleanedData[[#This Row],[Total Sales ($)]]</f>
        <v>0.23870307534873697</v>
      </c>
      <c r="Q834" s="8" t="s">
        <v>31</v>
      </c>
      <c r="R834" s="8" t="s">
        <v>32</v>
      </c>
      <c r="S834" s="8" t="b">
        <f>_xlfn.SINGLE(CleanedData[[#This Row],[Delivery Status]])="Late"</f>
        <v>1</v>
      </c>
      <c r="T834" s="10">
        <v>12</v>
      </c>
      <c r="U834" s="8" t="s">
        <v>158</v>
      </c>
      <c r="V834" s="10">
        <v>1216</v>
      </c>
      <c r="W834" s="10">
        <v>1</v>
      </c>
      <c r="X834" s="12">
        <v>1.7985611510790999E-3</v>
      </c>
      <c r="Y834" s="8" t="b">
        <f>CleanedData[[#This Row],[Ship Date]]&lt;CleanedData[[#This Row],[Order Date]]</f>
        <v>1</v>
      </c>
      <c r="Z834" s="10">
        <f>YEAR(CleanedData[[#This Row],[Order Date]])</f>
        <v>2023</v>
      </c>
      <c r="AA834" s="8">
        <f>MONTH(CleanedData[[#This Row],[Order Date]])</f>
        <v>4</v>
      </c>
    </row>
    <row r="835" spans="1:27" x14ac:dyDescent="0.35">
      <c r="A835" s="8" t="s">
        <v>2482</v>
      </c>
      <c r="B835" s="9">
        <v>44971</v>
      </c>
      <c r="C835" s="9">
        <v>45212</v>
      </c>
      <c r="D835" s="8" t="s">
        <v>2483</v>
      </c>
      <c r="E835" s="8" t="s">
        <v>26</v>
      </c>
      <c r="F835" s="8" t="s">
        <v>38</v>
      </c>
      <c r="G835" s="8" t="s">
        <v>70</v>
      </c>
      <c r="H835" s="8" t="s">
        <v>384</v>
      </c>
      <c r="I835" s="8" t="s">
        <v>4978</v>
      </c>
      <c r="J835" s="10">
        <v>130</v>
      </c>
      <c r="K835" s="11">
        <v>230.85</v>
      </c>
      <c r="L835" s="11">
        <v>316.98</v>
      </c>
      <c r="M835" s="11">
        <v>41207.4</v>
      </c>
      <c r="N835" s="11">
        <v>30010.5</v>
      </c>
      <c r="O835" s="11">
        <f>CleanedData[[#This Row],[Total Sales ($)]]-CleanedData[[#This Row],[Total Cost ($)]]</f>
        <v>11196.900000000001</v>
      </c>
      <c r="P835" s="12">
        <f>CleanedData[[#This Row],[Profit ($)]]/CleanedData[[#This Row],[Total Sales ($)]]</f>
        <v>0.27172061328790464</v>
      </c>
      <c r="Q835" s="8" t="s">
        <v>31</v>
      </c>
      <c r="R835" s="8" t="s">
        <v>32</v>
      </c>
      <c r="S835" s="8" t="b">
        <f>_xlfn.SINGLE(CleanedData[[#This Row],[Delivery Status]])="Late"</f>
        <v>1</v>
      </c>
      <c r="T835" s="10">
        <v>8</v>
      </c>
      <c r="U835" s="8" t="s">
        <v>33</v>
      </c>
      <c r="V835" s="10">
        <v>4031</v>
      </c>
      <c r="W835" s="10">
        <v>5</v>
      </c>
      <c r="X835" s="12">
        <v>3.8461538461538401E-2</v>
      </c>
      <c r="Y835" s="8" t="b">
        <f>CleanedData[[#This Row],[Ship Date]]&lt;CleanedData[[#This Row],[Order Date]]</f>
        <v>0</v>
      </c>
      <c r="Z835" s="10">
        <f>YEAR(CleanedData[[#This Row],[Order Date]])</f>
        <v>2023</v>
      </c>
      <c r="AA835" s="8">
        <f>MONTH(CleanedData[[#This Row],[Order Date]])</f>
        <v>2</v>
      </c>
    </row>
    <row r="836" spans="1:27" x14ac:dyDescent="0.35">
      <c r="A836" s="8" t="s">
        <v>2484</v>
      </c>
      <c r="B836" s="9">
        <v>45241</v>
      </c>
      <c r="C836" s="9">
        <v>45203</v>
      </c>
      <c r="D836" s="8" t="s">
        <v>2485</v>
      </c>
      <c r="E836" s="8" t="s">
        <v>58</v>
      </c>
      <c r="F836" s="8" t="s">
        <v>116</v>
      </c>
      <c r="G836" s="8" t="s">
        <v>28</v>
      </c>
      <c r="H836" s="8" t="s">
        <v>212</v>
      </c>
      <c r="I836" s="8" t="s">
        <v>4970</v>
      </c>
      <c r="J836" s="10">
        <v>12</v>
      </c>
      <c r="K836" s="11">
        <v>270.64999999999998</v>
      </c>
      <c r="L836" s="11">
        <v>428.27</v>
      </c>
      <c r="M836" s="11">
        <v>5139.24</v>
      </c>
      <c r="N836" s="11">
        <v>3247.8</v>
      </c>
      <c r="O836" s="11">
        <f>CleanedData[[#This Row],[Total Sales ($)]]-CleanedData[[#This Row],[Total Cost ($)]]</f>
        <v>1891.4399999999996</v>
      </c>
      <c r="P836" s="12">
        <f>CleanedData[[#This Row],[Profit ($)]]/CleanedData[[#This Row],[Total Sales ($)]]</f>
        <v>0.36803885399397568</v>
      </c>
      <c r="Q836" s="8" t="s">
        <v>31</v>
      </c>
      <c r="R836" s="8" t="s">
        <v>32</v>
      </c>
      <c r="S836" s="8" t="b">
        <f>_xlfn.SINGLE(CleanedData[[#This Row],[Delivery Status]])="Late"</f>
        <v>1</v>
      </c>
      <c r="T836" s="10">
        <v>13</v>
      </c>
      <c r="U836" s="8" t="s">
        <v>158</v>
      </c>
      <c r="V836" s="10">
        <v>870</v>
      </c>
      <c r="W836" s="10">
        <v>1</v>
      </c>
      <c r="X836" s="12">
        <v>8.3333333333333301E-2</v>
      </c>
      <c r="Y836" s="8" t="b">
        <f>CleanedData[[#This Row],[Ship Date]]&lt;CleanedData[[#This Row],[Order Date]]</f>
        <v>1</v>
      </c>
      <c r="Z836" s="10">
        <f>YEAR(CleanedData[[#This Row],[Order Date]])</f>
        <v>2023</v>
      </c>
      <c r="AA836" s="8">
        <f>MONTH(CleanedData[[#This Row],[Order Date]])</f>
        <v>11</v>
      </c>
    </row>
    <row r="837" spans="1:27" x14ac:dyDescent="0.35">
      <c r="A837" s="8" t="s">
        <v>2486</v>
      </c>
      <c r="B837" s="9">
        <v>45033</v>
      </c>
      <c r="C837" s="9">
        <v>45275</v>
      </c>
      <c r="D837" s="8" t="s">
        <v>1518</v>
      </c>
      <c r="E837" s="8" t="s">
        <v>48</v>
      </c>
      <c r="F837" s="8" t="s">
        <v>223</v>
      </c>
      <c r="G837" s="8" t="s">
        <v>28</v>
      </c>
      <c r="H837" s="8" t="s">
        <v>254</v>
      </c>
      <c r="I837" s="8" t="s">
        <v>4977</v>
      </c>
      <c r="J837" s="10">
        <v>207</v>
      </c>
      <c r="K837" s="11">
        <v>1009.75</v>
      </c>
      <c r="L837" s="11">
        <v>1358.1</v>
      </c>
      <c r="M837" s="11">
        <v>281126.7</v>
      </c>
      <c r="N837" s="11">
        <v>209018.25</v>
      </c>
      <c r="O837" s="11">
        <f>CleanedData[[#This Row],[Total Sales ($)]]-CleanedData[[#This Row],[Total Cost ($)]]</f>
        <v>72108.450000000012</v>
      </c>
      <c r="P837" s="12">
        <f>CleanedData[[#This Row],[Profit ($)]]/CleanedData[[#This Row],[Total Sales ($)]]</f>
        <v>0.25649804874456966</v>
      </c>
      <c r="Q837" s="8" t="s">
        <v>42</v>
      </c>
      <c r="R837" s="8" t="s">
        <v>63</v>
      </c>
      <c r="S837" s="8" t="b">
        <f>_xlfn.SINGLE(CleanedData[[#This Row],[Delivery Status]])="Late"</f>
        <v>0</v>
      </c>
      <c r="T837" s="10">
        <v>5</v>
      </c>
      <c r="U837" s="8" t="s">
        <v>112</v>
      </c>
      <c r="V837" s="10">
        <v>162</v>
      </c>
      <c r="W837" s="10">
        <v>9</v>
      </c>
      <c r="X837" s="12">
        <v>4.3478260869565202E-2</v>
      </c>
      <c r="Y837" s="8" t="b">
        <f>CleanedData[[#This Row],[Ship Date]]&lt;CleanedData[[#This Row],[Order Date]]</f>
        <v>0</v>
      </c>
      <c r="Z837" s="10">
        <f>YEAR(CleanedData[[#This Row],[Order Date]])</f>
        <v>2023</v>
      </c>
      <c r="AA837" s="8">
        <f>MONTH(CleanedData[[#This Row],[Order Date]])</f>
        <v>4</v>
      </c>
    </row>
    <row r="838" spans="1:27" x14ac:dyDescent="0.35">
      <c r="A838" s="8" t="s">
        <v>2487</v>
      </c>
      <c r="B838" s="9">
        <v>44958</v>
      </c>
      <c r="C838" s="9">
        <v>45149</v>
      </c>
      <c r="D838" s="8" t="s">
        <v>2488</v>
      </c>
      <c r="E838" s="8" t="s">
        <v>58</v>
      </c>
      <c r="F838" s="8" t="s">
        <v>259</v>
      </c>
      <c r="G838" s="8" t="s">
        <v>78</v>
      </c>
      <c r="H838" s="8" t="s">
        <v>79</v>
      </c>
      <c r="I838" s="8" t="s">
        <v>4972</v>
      </c>
      <c r="J838" s="10">
        <v>327</v>
      </c>
      <c r="K838" s="11">
        <v>591.47</v>
      </c>
      <c r="L838" s="11">
        <v>681.77</v>
      </c>
      <c r="M838" s="11">
        <v>222938.79</v>
      </c>
      <c r="N838" s="11">
        <v>193410.69</v>
      </c>
      <c r="O838" s="11">
        <f>CleanedData[[#This Row],[Total Sales ($)]]-CleanedData[[#This Row],[Total Cost ($)]]</f>
        <v>29528.100000000006</v>
      </c>
      <c r="P838" s="12">
        <f>CleanedData[[#This Row],[Profit ($)]]/CleanedData[[#This Row],[Total Sales ($)]]</f>
        <v>0.13244935975475602</v>
      </c>
      <c r="Q838" s="8" t="s">
        <v>31</v>
      </c>
      <c r="R838" s="8" t="s">
        <v>32</v>
      </c>
      <c r="S838" s="8" t="b">
        <f>_xlfn.SINGLE(CleanedData[[#This Row],[Delivery Status]])="Late"</f>
        <v>1</v>
      </c>
      <c r="T838" s="10">
        <v>13</v>
      </c>
      <c r="U838" s="8" t="s">
        <v>53</v>
      </c>
      <c r="V838" s="10">
        <v>27</v>
      </c>
      <c r="W838" s="10">
        <v>12</v>
      </c>
      <c r="X838" s="12">
        <v>3.6697247706422E-2</v>
      </c>
      <c r="Y838" s="8" t="b">
        <f>CleanedData[[#This Row],[Ship Date]]&lt;CleanedData[[#This Row],[Order Date]]</f>
        <v>0</v>
      </c>
      <c r="Z838" s="10">
        <f>YEAR(CleanedData[[#This Row],[Order Date]])</f>
        <v>2023</v>
      </c>
      <c r="AA838" s="8">
        <f>MONTH(CleanedData[[#This Row],[Order Date]])</f>
        <v>2</v>
      </c>
    </row>
    <row r="839" spans="1:27" x14ac:dyDescent="0.35">
      <c r="A839" s="8" t="s">
        <v>2489</v>
      </c>
      <c r="B839" s="9">
        <v>44930</v>
      </c>
      <c r="C839" s="9">
        <v>44994</v>
      </c>
      <c r="D839" s="8" t="s">
        <v>2490</v>
      </c>
      <c r="E839" s="8" t="s">
        <v>68</v>
      </c>
      <c r="F839" s="8" t="s">
        <v>163</v>
      </c>
      <c r="G839" s="8" t="s">
        <v>50</v>
      </c>
      <c r="H839" s="8" t="s">
        <v>173</v>
      </c>
      <c r="I839" s="8" t="s">
        <v>4968</v>
      </c>
      <c r="J839" s="10">
        <v>467</v>
      </c>
      <c r="K839" s="11">
        <v>450.09</v>
      </c>
      <c r="L839" s="11">
        <v>529.82000000000005</v>
      </c>
      <c r="M839" s="11">
        <v>247425.94</v>
      </c>
      <c r="N839" s="11">
        <v>210192.03</v>
      </c>
      <c r="O839" s="11">
        <f>CleanedData[[#This Row],[Total Sales ($)]]-CleanedData[[#This Row],[Total Cost ($)]]</f>
        <v>37233.910000000003</v>
      </c>
      <c r="P839" s="12">
        <f>CleanedData[[#This Row],[Profit ($)]]/CleanedData[[#This Row],[Total Sales ($)]]</f>
        <v>0.15048507040126838</v>
      </c>
      <c r="Q839" s="8" t="s">
        <v>42</v>
      </c>
      <c r="R839" s="8" t="s">
        <v>32</v>
      </c>
      <c r="S839" s="8" t="b">
        <f>_xlfn.SINGLE(CleanedData[[#This Row],[Delivery Status]])="Late"</f>
        <v>1</v>
      </c>
      <c r="T839" s="10">
        <v>8</v>
      </c>
      <c r="U839" s="8" t="s">
        <v>112</v>
      </c>
      <c r="V839" s="10">
        <v>3783</v>
      </c>
      <c r="W839" s="10">
        <v>9</v>
      </c>
      <c r="X839" s="12">
        <v>1.9271948608137E-2</v>
      </c>
      <c r="Y839" s="8" t="b">
        <f>CleanedData[[#This Row],[Ship Date]]&lt;CleanedData[[#This Row],[Order Date]]</f>
        <v>0</v>
      </c>
      <c r="Z839" s="10">
        <f>YEAR(CleanedData[[#This Row],[Order Date]])</f>
        <v>2023</v>
      </c>
      <c r="AA839" s="8">
        <f>MONTH(CleanedData[[#This Row],[Order Date]])</f>
        <v>1</v>
      </c>
    </row>
    <row r="840" spans="1:27" x14ac:dyDescent="0.35">
      <c r="A840" s="8" t="s">
        <v>2491</v>
      </c>
      <c r="B840" s="9">
        <v>44949</v>
      </c>
      <c r="C840" s="9">
        <v>45628</v>
      </c>
      <c r="D840" s="8" t="s">
        <v>2493</v>
      </c>
      <c r="E840" s="8" t="s">
        <v>4972</v>
      </c>
      <c r="F840" s="8" t="s">
        <v>101</v>
      </c>
      <c r="G840" s="8" t="s">
        <v>129</v>
      </c>
      <c r="H840" s="8" t="s">
        <v>152</v>
      </c>
      <c r="I840" s="8" t="s">
        <v>4967</v>
      </c>
      <c r="J840" s="10">
        <v>45</v>
      </c>
      <c r="K840" s="11">
        <v>1087.43</v>
      </c>
      <c r="L840" s="11">
        <v>1413.56</v>
      </c>
      <c r="M840" s="11">
        <v>63610.2</v>
      </c>
      <c r="N840" s="11">
        <v>48934.35</v>
      </c>
      <c r="O840" s="11">
        <f>CleanedData[[#This Row],[Total Sales ($)]]-CleanedData[[#This Row],[Total Cost ($)]]</f>
        <v>14675.849999999999</v>
      </c>
      <c r="P840" s="12">
        <f>CleanedData[[#This Row],[Profit ($)]]/CleanedData[[#This Row],[Total Sales ($)]]</f>
        <v>0.2307153569710518</v>
      </c>
      <c r="Q840" s="8" t="s">
        <v>42</v>
      </c>
      <c r="R840" s="8" t="s">
        <v>32</v>
      </c>
      <c r="S840" s="8" t="b">
        <f>_xlfn.SINGLE(CleanedData[[#This Row],[Delivery Status]])="Late"</f>
        <v>1</v>
      </c>
      <c r="T840" s="10">
        <v>13</v>
      </c>
      <c r="U840" s="8" t="s">
        <v>158</v>
      </c>
      <c r="V840" s="10">
        <v>3728</v>
      </c>
      <c r="W840" s="10">
        <v>2</v>
      </c>
      <c r="X840" s="12">
        <v>4.4444444444444398E-2</v>
      </c>
      <c r="Y840" s="8" t="b">
        <f>CleanedData[[#This Row],[Ship Date]]&lt;CleanedData[[#This Row],[Order Date]]</f>
        <v>0</v>
      </c>
      <c r="Z840" s="10">
        <f>YEAR(CleanedData[[#This Row],[Order Date]])</f>
        <v>2023</v>
      </c>
      <c r="AA840" s="8">
        <f>MONTH(CleanedData[[#This Row],[Order Date]])</f>
        <v>1</v>
      </c>
    </row>
    <row r="841" spans="1:27" x14ac:dyDescent="0.35">
      <c r="A841" s="8" t="s">
        <v>2494</v>
      </c>
      <c r="B841" s="9">
        <v>45147</v>
      </c>
      <c r="C841" s="9">
        <v>44953</v>
      </c>
      <c r="D841" s="8" t="s">
        <v>1116</v>
      </c>
      <c r="E841" s="8" t="s">
        <v>48</v>
      </c>
      <c r="F841" s="8" t="s">
        <v>49</v>
      </c>
      <c r="G841" s="8" t="s">
        <v>189</v>
      </c>
      <c r="H841" s="8" t="s">
        <v>190</v>
      </c>
      <c r="I841" s="8" t="s">
        <v>4971</v>
      </c>
      <c r="J841" s="10">
        <v>693</v>
      </c>
      <c r="K841" s="11">
        <v>914.01</v>
      </c>
      <c r="L841" s="11">
        <v>1112.32</v>
      </c>
      <c r="M841" s="11">
        <v>770837.76</v>
      </c>
      <c r="N841" s="11">
        <v>633408.93000000005</v>
      </c>
      <c r="O841" s="11">
        <f>CleanedData[[#This Row],[Total Sales ($)]]-CleanedData[[#This Row],[Total Cost ($)]]</f>
        <v>137428.82999999996</v>
      </c>
      <c r="P841" s="12">
        <f>CleanedData[[#This Row],[Profit ($)]]/CleanedData[[#This Row],[Total Sales ($)]]</f>
        <v>0.17828502589182962</v>
      </c>
      <c r="Q841" s="8" t="s">
        <v>42</v>
      </c>
      <c r="R841" s="8" t="s">
        <v>32</v>
      </c>
      <c r="S841" s="8" t="b">
        <f>_xlfn.SINGLE(CleanedData[[#This Row],[Delivery Status]])="Late"</f>
        <v>1</v>
      </c>
      <c r="T841" s="10">
        <v>8</v>
      </c>
      <c r="U841" s="8" t="s">
        <v>112</v>
      </c>
      <c r="V841" s="10">
        <v>2537</v>
      </c>
      <c r="W841" s="10">
        <v>1</v>
      </c>
      <c r="X841" s="12">
        <v>1.4430014430014001E-3</v>
      </c>
      <c r="Y841" s="8" t="b">
        <f>CleanedData[[#This Row],[Ship Date]]&lt;CleanedData[[#This Row],[Order Date]]</f>
        <v>1</v>
      </c>
      <c r="Z841" s="10">
        <f>YEAR(CleanedData[[#This Row],[Order Date]])</f>
        <v>2023</v>
      </c>
      <c r="AA841" s="8">
        <f>MONTH(CleanedData[[#This Row],[Order Date]])</f>
        <v>8</v>
      </c>
    </row>
    <row r="842" spans="1:27" x14ac:dyDescent="0.35">
      <c r="A842" s="8" t="s">
        <v>2495</v>
      </c>
      <c r="B842" s="9">
        <v>45009</v>
      </c>
      <c r="C842" s="9">
        <v>45139</v>
      </c>
      <c r="D842" s="8" t="s">
        <v>2497</v>
      </c>
      <c r="E842" s="8" t="s">
        <v>100</v>
      </c>
      <c r="F842" s="8" t="s">
        <v>538</v>
      </c>
      <c r="G842" s="8" t="s">
        <v>78</v>
      </c>
      <c r="H842" s="8" t="s">
        <v>572</v>
      </c>
      <c r="I842" s="8" t="s">
        <v>4978</v>
      </c>
      <c r="J842" s="10">
        <v>433</v>
      </c>
      <c r="K842" s="11">
        <v>986.5</v>
      </c>
      <c r="L842" s="11">
        <v>1558.3</v>
      </c>
      <c r="M842" s="11">
        <v>674743.9</v>
      </c>
      <c r="N842" s="11">
        <v>427154.5</v>
      </c>
      <c r="O842" s="11">
        <f>CleanedData[[#This Row],[Total Sales ($)]]-CleanedData[[#This Row],[Total Cost ($)]]</f>
        <v>247589.40000000002</v>
      </c>
      <c r="P842" s="12">
        <f>CleanedData[[#This Row],[Profit ($)]]/CleanedData[[#This Row],[Total Sales ($)]]</f>
        <v>0.36693833023166272</v>
      </c>
      <c r="Q842" s="8" t="s">
        <v>31</v>
      </c>
      <c r="R842" s="8" t="s">
        <v>4972</v>
      </c>
      <c r="S842" s="8" t="b">
        <f>_xlfn.SINGLE(CleanedData[[#This Row],[Delivery Status]])="Late"</f>
        <v>0</v>
      </c>
      <c r="T842" s="10">
        <v>9</v>
      </c>
      <c r="U842" s="8" t="s">
        <v>43</v>
      </c>
      <c r="V842" s="10">
        <v>2083</v>
      </c>
      <c r="W842" s="10">
        <v>3</v>
      </c>
      <c r="X842" s="12">
        <v>6.9284064665126998E-3</v>
      </c>
      <c r="Y842" s="8" t="b">
        <f>CleanedData[[#This Row],[Ship Date]]&lt;CleanedData[[#This Row],[Order Date]]</f>
        <v>0</v>
      </c>
      <c r="Z842" s="10">
        <f>YEAR(CleanedData[[#This Row],[Order Date]])</f>
        <v>2023</v>
      </c>
      <c r="AA842" s="8">
        <f>MONTH(CleanedData[[#This Row],[Order Date]])</f>
        <v>3</v>
      </c>
    </row>
    <row r="843" spans="1:27" x14ac:dyDescent="0.35">
      <c r="A843" s="8" t="s">
        <v>2498</v>
      </c>
      <c r="B843" s="9">
        <v>44965</v>
      </c>
      <c r="C843" s="9">
        <v>45193</v>
      </c>
      <c r="D843" s="8" t="s">
        <v>961</v>
      </c>
      <c r="E843" s="8" t="s">
        <v>58</v>
      </c>
      <c r="F843" s="8" t="s">
        <v>259</v>
      </c>
      <c r="G843" s="8" t="s">
        <v>189</v>
      </c>
      <c r="H843" s="8" t="s">
        <v>360</v>
      </c>
      <c r="I843" s="8" t="s">
        <v>4976</v>
      </c>
      <c r="J843" s="10">
        <v>563</v>
      </c>
      <c r="K843" s="11">
        <v>184.52</v>
      </c>
      <c r="L843" s="11">
        <v>270.52</v>
      </c>
      <c r="M843" s="11">
        <v>152302.76</v>
      </c>
      <c r="N843" s="11">
        <v>103884.76</v>
      </c>
      <c r="O843" s="11">
        <f>CleanedData[[#This Row],[Total Sales ($)]]-CleanedData[[#This Row],[Total Cost ($)]]</f>
        <v>48418.000000000015</v>
      </c>
      <c r="P843" s="12">
        <f>CleanedData[[#This Row],[Profit ($)]]/CleanedData[[#This Row],[Total Sales ($)]]</f>
        <v>0.31790625462073052</v>
      </c>
      <c r="Q843" s="8" t="s">
        <v>42</v>
      </c>
      <c r="R843" s="8" t="s">
        <v>32</v>
      </c>
      <c r="S843" s="8" t="b">
        <f>_xlfn.SINGLE(CleanedData[[#This Row],[Delivery Status]])="Late"</f>
        <v>1</v>
      </c>
      <c r="T843" s="10">
        <v>11</v>
      </c>
      <c r="U843" s="8" t="s">
        <v>86</v>
      </c>
      <c r="V843" s="10">
        <v>4946</v>
      </c>
      <c r="W843" s="10">
        <v>7</v>
      </c>
      <c r="X843" s="12">
        <v>1.2433392539964399E-2</v>
      </c>
      <c r="Y843" s="8" t="b">
        <f>CleanedData[[#This Row],[Ship Date]]&lt;CleanedData[[#This Row],[Order Date]]</f>
        <v>0</v>
      </c>
      <c r="Z843" s="10">
        <f>YEAR(CleanedData[[#This Row],[Order Date]])</f>
        <v>2023</v>
      </c>
      <c r="AA843" s="8">
        <f>MONTH(CleanedData[[#This Row],[Order Date]])</f>
        <v>2</v>
      </c>
    </row>
    <row r="844" spans="1:27" x14ac:dyDescent="0.35">
      <c r="A844" s="8" t="s">
        <v>2499</v>
      </c>
      <c r="B844" s="9">
        <v>45086</v>
      </c>
      <c r="C844" s="9">
        <v>44958</v>
      </c>
      <c r="D844" s="8" t="s">
        <v>2501</v>
      </c>
      <c r="E844" s="8" t="s">
        <v>100</v>
      </c>
      <c r="F844" s="8" t="s">
        <v>538</v>
      </c>
      <c r="G844" s="8" t="s">
        <v>39</v>
      </c>
      <c r="H844" s="8" t="s">
        <v>412</v>
      </c>
      <c r="I844" s="8" t="s">
        <v>4970</v>
      </c>
      <c r="J844" s="10">
        <v>301</v>
      </c>
      <c r="K844" s="11">
        <v>243.33</v>
      </c>
      <c r="L844" s="11">
        <v>355.36</v>
      </c>
      <c r="M844" s="11">
        <v>106963.36</v>
      </c>
      <c r="N844" s="11">
        <v>73242.33</v>
      </c>
      <c r="O844" s="11">
        <f>CleanedData[[#This Row],[Total Sales ($)]]-CleanedData[[#This Row],[Total Cost ($)]]</f>
        <v>33721.03</v>
      </c>
      <c r="P844" s="12">
        <f>CleanedData[[#This Row],[Profit ($)]]/CleanedData[[#This Row],[Total Sales ($)]]</f>
        <v>0.31525776677172446</v>
      </c>
      <c r="Q844" s="8" t="s">
        <v>31</v>
      </c>
      <c r="R844" s="8" t="s">
        <v>32</v>
      </c>
      <c r="S844" s="8" t="b">
        <f>_xlfn.SINGLE(CleanedData[[#This Row],[Delivery Status]])="Late"</f>
        <v>1</v>
      </c>
      <c r="T844" s="10">
        <v>6</v>
      </c>
      <c r="U844" s="8" t="s">
        <v>158</v>
      </c>
      <c r="V844" s="10">
        <v>4328</v>
      </c>
      <c r="W844" s="10">
        <v>5</v>
      </c>
      <c r="X844" s="12">
        <v>1.66112956810631E-2</v>
      </c>
      <c r="Y844" s="8" t="b">
        <f>CleanedData[[#This Row],[Ship Date]]&lt;CleanedData[[#This Row],[Order Date]]</f>
        <v>1</v>
      </c>
      <c r="Z844" s="10">
        <f>YEAR(CleanedData[[#This Row],[Order Date]])</f>
        <v>2023</v>
      </c>
      <c r="AA844" s="8">
        <f>MONTH(CleanedData[[#This Row],[Order Date]])</f>
        <v>6</v>
      </c>
    </row>
    <row r="845" spans="1:27" x14ac:dyDescent="0.35">
      <c r="A845" s="8" t="s">
        <v>2502</v>
      </c>
      <c r="B845" s="9">
        <v>44978</v>
      </c>
      <c r="C845" s="9">
        <v>45129</v>
      </c>
      <c r="D845" s="8" t="s">
        <v>2503</v>
      </c>
      <c r="E845" s="8" t="s">
        <v>68</v>
      </c>
      <c r="F845" s="8" t="s">
        <v>276</v>
      </c>
      <c r="G845" s="8" t="s">
        <v>189</v>
      </c>
      <c r="H845" s="8" t="s">
        <v>365</v>
      </c>
      <c r="I845" s="8" t="s">
        <v>4979</v>
      </c>
      <c r="J845" s="10">
        <v>787</v>
      </c>
      <c r="K845" s="11">
        <v>762.03</v>
      </c>
      <c r="L845" s="11">
        <v>1015.78</v>
      </c>
      <c r="M845" s="11">
        <v>799418.86</v>
      </c>
      <c r="N845" s="11">
        <v>599717.61</v>
      </c>
      <c r="O845" s="11">
        <f>CleanedData[[#This Row],[Total Sales ($)]]-CleanedData[[#This Row],[Total Cost ($)]]</f>
        <v>199701.25</v>
      </c>
      <c r="P845" s="12">
        <f>CleanedData[[#This Row],[Profit ($)]]/CleanedData[[#This Row],[Total Sales ($)]]</f>
        <v>0.24980802929768256</v>
      </c>
      <c r="Q845" s="8" t="s">
        <v>42</v>
      </c>
      <c r="R845" s="8" t="s">
        <v>63</v>
      </c>
      <c r="S845" s="8" t="b">
        <f>_xlfn.SINGLE(CleanedData[[#This Row],[Delivery Status]])="Late"</f>
        <v>0</v>
      </c>
      <c r="T845" s="10">
        <v>3</v>
      </c>
      <c r="U845" s="8" t="s">
        <v>53</v>
      </c>
      <c r="V845" s="10">
        <v>2</v>
      </c>
      <c r="W845" s="10">
        <v>38</v>
      </c>
      <c r="X845" s="12">
        <v>4.8284625158831002E-2</v>
      </c>
      <c r="Y845" s="8" t="b">
        <f>CleanedData[[#This Row],[Ship Date]]&lt;CleanedData[[#This Row],[Order Date]]</f>
        <v>0</v>
      </c>
      <c r="Z845" s="10">
        <f>YEAR(CleanedData[[#This Row],[Order Date]])</f>
        <v>2023</v>
      </c>
      <c r="AA845" s="8">
        <f>MONTH(CleanedData[[#This Row],[Order Date]])</f>
        <v>2</v>
      </c>
    </row>
    <row r="846" spans="1:27" x14ac:dyDescent="0.35">
      <c r="A846" s="8" t="s">
        <v>2504</v>
      </c>
      <c r="B846" s="9">
        <v>45105</v>
      </c>
      <c r="C846" s="9">
        <v>45023</v>
      </c>
      <c r="D846" s="8" t="s">
        <v>2505</v>
      </c>
      <c r="E846" s="8" t="s">
        <v>68</v>
      </c>
      <c r="F846" s="8" t="s">
        <v>276</v>
      </c>
      <c r="G846" s="8" t="s">
        <v>189</v>
      </c>
      <c r="H846" s="8" t="s">
        <v>190</v>
      </c>
      <c r="I846" s="8" t="s">
        <v>4976</v>
      </c>
      <c r="J846" s="10">
        <v>439</v>
      </c>
      <c r="K846" s="11">
        <v>786.89</v>
      </c>
      <c r="L846" s="11">
        <v>1166.3800000000001</v>
      </c>
      <c r="M846" s="11">
        <v>512040.82</v>
      </c>
      <c r="N846" s="11">
        <v>345444.71</v>
      </c>
      <c r="O846" s="11">
        <f>CleanedData[[#This Row],[Total Sales ($)]]-CleanedData[[#This Row],[Total Cost ($)]]</f>
        <v>166596.10999999999</v>
      </c>
      <c r="P846" s="12">
        <f>CleanedData[[#This Row],[Profit ($)]]/CleanedData[[#This Row],[Total Sales ($)]]</f>
        <v>0.3253570877415593</v>
      </c>
      <c r="Q846" s="8" t="s">
        <v>52</v>
      </c>
      <c r="R846" s="8" t="s">
        <v>63</v>
      </c>
      <c r="S846" s="8" t="b">
        <f>_xlfn.SINGLE(CleanedData[[#This Row],[Delivery Status]])="Late"</f>
        <v>0</v>
      </c>
      <c r="T846" s="10">
        <v>1</v>
      </c>
      <c r="U846" s="8" t="s">
        <v>53</v>
      </c>
      <c r="V846" s="10">
        <v>1766</v>
      </c>
      <c r="W846" s="10">
        <v>18</v>
      </c>
      <c r="X846" s="12">
        <v>4.1002277904327998E-2</v>
      </c>
      <c r="Y846" s="8" t="b">
        <f>CleanedData[[#This Row],[Ship Date]]&lt;CleanedData[[#This Row],[Order Date]]</f>
        <v>1</v>
      </c>
      <c r="Z846" s="10">
        <f>YEAR(CleanedData[[#This Row],[Order Date]])</f>
        <v>2023</v>
      </c>
      <c r="AA846" s="8">
        <f>MONTH(CleanedData[[#This Row],[Order Date]])</f>
        <v>6</v>
      </c>
    </row>
    <row r="847" spans="1:27" x14ac:dyDescent="0.35">
      <c r="A847" s="8" t="s">
        <v>2506</v>
      </c>
      <c r="B847" s="9">
        <v>45571</v>
      </c>
      <c r="C847" s="9">
        <v>45365</v>
      </c>
      <c r="D847" s="8" t="s">
        <v>4972</v>
      </c>
      <c r="E847" s="8" t="s">
        <v>68</v>
      </c>
      <c r="F847" s="8" t="s">
        <v>276</v>
      </c>
      <c r="G847" s="8" t="s">
        <v>60</v>
      </c>
      <c r="H847" s="8" t="s">
        <v>539</v>
      </c>
      <c r="I847" s="8" t="s">
        <v>1335</v>
      </c>
      <c r="J847" s="10">
        <v>285</v>
      </c>
      <c r="K847" s="11">
        <v>647.54999999999995</v>
      </c>
      <c r="L847" s="11">
        <v>1049.96</v>
      </c>
      <c r="M847" s="11">
        <v>299238.59999999998</v>
      </c>
      <c r="N847" s="11">
        <v>184551.75</v>
      </c>
      <c r="O847" s="11">
        <f>CleanedData[[#This Row],[Total Sales ($)]]-CleanedData[[#This Row],[Total Cost ($)]]</f>
        <v>114686.84999999998</v>
      </c>
      <c r="P847" s="12">
        <f>CleanedData[[#This Row],[Profit ($)]]/CleanedData[[#This Row],[Total Sales ($)]]</f>
        <v>0.38326221951312428</v>
      </c>
      <c r="Q847" s="8" t="s">
        <v>31</v>
      </c>
      <c r="R847" s="8" t="s">
        <v>63</v>
      </c>
      <c r="S847" s="8" t="b">
        <f>_xlfn.SINGLE(CleanedData[[#This Row],[Delivery Status]])="Late"</f>
        <v>0</v>
      </c>
      <c r="T847" s="10">
        <v>5</v>
      </c>
      <c r="U847" s="8" t="s">
        <v>158</v>
      </c>
      <c r="V847" s="10">
        <v>191</v>
      </c>
      <c r="W847" s="10">
        <v>8</v>
      </c>
      <c r="X847" s="12">
        <v>2.8070175438596402E-2</v>
      </c>
      <c r="Y847" s="8" t="b">
        <f>CleanedData[[#This Row],[Ship Date]]&lt;CleanedData[[#This Row],[Order Date]]</f>
        <v>1</v>
      </c>
      <c r="Z847" s="10">
        <f>YEAR(CleanedData[[#This Row],[Order Date]])</f>
        <v>2024</v>
      </c>
      <c r="AA847" s="8">
        <f>MONTH(CleanedData[[#This Row],[Order Date]])</f>
        <v>10</v>
      </c>
    </row>
    <row r="848" spans="1:27" x14ac:dyDescent="0.35">
      <c r="A848" s="8" t="s">
        <v>2509</v>
      </c>
      <c r="B848" s="9">
        <v>44958</v>
      </c>
      <c r="C848" s="9">
        <v>44937</v>
      </c>
      <c r="D848" s="8" t="s">
        <v>2510</v>
      </c>
      <c r="E848" s="8" t="s">
        <v>26</v>
      </c>
      <c r="F848" s="8" t="s">
        <v>77</v>
      </c>
      <c r="G848" s="8" t="s">
        <v>70</v>
      </c>
      <c r="H848" s="8" t="s">
        <v>384</v>
      </c>
      <c r="I848" s="8" t="s">
        <v>4968</v>
      </c>
      <c r="J848" s="10">
        <v>735</v>
      </c>
      <c r="K848" s="11">
        <v>1188.27</v>
      </c>
      <c r="L848" s="11">
        <v>1928.6</v>
      </c>
      <c r="M848" s="11">
        <v>1417521</v>
      </c>
      <c r="N848" s="11">
        <v>873378.45</v>
      </c>
      <c r="O848" s="11">
        <f>CleanedData[[#This Row],[Total Sales ($)]]-CleanedData[[#This Row],[Total Cost ($)]]</f>
        <v>544142.55000000005</v>
      </c>
      <c r="P848" s="12">
        <f>CleanedData[[#This Row],[Profit ($)]]/CleanedData[[#This Row],[Total Sales ($)]]</f>
        <v>0.3838691278647724</v>
      </c>
      <c r="Q848" s="8" t="s">
        <v>42</v>
      </c>
      <c r="R848" s="8" t="s">
        <v>63</v>
      </c>
      <c r="S848" s="8" t="b">
        <f>_xlfn.SINGLE(CleanedData[[#This Row],[Delivery Status]])="Late"</f>
        <v>0</v>
      </c>
      <c r="T848" s="10">
        <v>4</v>
      </c>
      <c r="U848" s="8" t="s">
        <v>43</v>
      </c>
      <c r="V848" s="10">
        <v>474</v>
      </c>
      <c r="W848" s="10">
        <v>25</v>
      </c>
      <c r="X848" s="12">
        <v>3.4013605442176797E-2</v>
      </c>
      <c r="Y848" s="8" t="b">
        <f>CleanedData[[#This Row],[Ship Date]]&lt;CleanedData[[#This Row],[Order Date]]</f>
        <v>1</v>
      </c>
      <c r="Z848" s="10">
        <f>YEAR(CleanedData[[#This Row],[Order Date]])</f>
        <v>2023</v>
      </c>
      <c r="AA848" s="8">
        <f>MONTH(CleanedData[[#This Row],[Order Date]])</f>
        <v>2</v>
      </c>
    </row>
    <row r="849" spans="1:27" x14ac:dyDescent="0.35">
      <c r="A849" s="8" t="s">
        <v>2511</v>
      </c>
      <c r="B849" s="9">
        <v>45096</v>
      </c>
      <c r="C849" s="9">
        <v>45266</v>
      </c>
      <c r="D849" s="8" t="s">
        <v>2512</v>
      </c>
      <c r="E849" s="8" t="s">
        <v>68</v>
      </c>
      <c r="F849" s="8" t="s">
        <v>163</v>
      </c>
      <c r="G849" s="8" t="s">
        <v>39</v>
      </c>
      <c r="H849" s="8" t="s">
        <v>147</v>
      </c>
      <c r="I849" s="8" t="s">
        <v>4975</v>
      </c>
      <c r="J849" s="10">
        <v>530</v>
      </c>
      <c r="K849" s="11">
        <v>13.08</v>
      </c>
      <c r="L849" s="11">
        <v>18.260000000000002</v>
      </c>
      <c r="M849" s="11">
        <v>9677.7999999999993</v>
      </c>
      <c r="N849" s="11">
        <v>6932.4</v>
      </c>
      <c r="O849" s="11">
        <f>CleanedData[[#This Row],[Total Sales ($)]]-CleanedData[[#This Row],[Total Cost ($)]]</f>
        <v>2745.3999999999996</v>
      </c>
      <c r="P849" s="12">
        <f>CleanedData[[#This Row],[Profit ($)]]/CleanedData[[#This Row],[Total Sales ($)]]</f>
        <v>0.28368017524644029</v>
      </c>
      <c r="Q849" s="8" t="s">
        <v>52</v>
      </c>
      <c r="R849" s="8" t="s">
        <v>32</v>
      </c>
      <c r="S849" s="8" t="b">
        <f>_xlfn.SINGLE(CleanedData[[#This Row],[Delivery Status]])="Late"</f>
        <v>1</v>
      </c>
      <c r="T849" s="10">
        <v>12</v>
      </c>
      <c r="U849" s="8" t="s">
        <v>43</v>
      </c>
      <c r="V849" s="10">
        <v>1878</v>
      </c>
      <c r="W849" s="10">
        <v>24</v>
      </c>
      <c r="X849" s="12">
        <v>4.5283018867924497E-2</v>
      </c>
      <c r="Y849" s="8" t="b">
        <f>CleanedData[[#This Row],[Ship Date]]&lt;CleanedData[[#This Row],[Order Date]]</f>
        <v>0</v>
      </c>
      <c r="Z849" s="10">
        <f>YEAR(CleanedData[[#This Row],[Order Date]])</f>
        <v>2023</v>
      </c>
      <c r="AA849" s="8">
        <f>MONTH(CleanedData[[#This Row],[Order Date]])</f>
        <v>6</v>
      </c>
    </row>
    <row r="850" spans="1:27" x14ac:dyDescent="0.35">
      <c r="A850" s="8" t="s">
        <v>2514</v>
      </c>
      <c r="B850" s="9">
        <v>45053</v>
      </c>
      <c r="C850" s="9">
        <v>45147</v>
      </c>
      <c r="D850" s="8" t="s">
        <v>2515</v>
      </c>
      <c r="E850" s="8" t="s">
        <v>68</v>
      </c>
      <c r="F850" s="8" t="s">
        <v>276</v>
      </c>
      <c r="G850" s="8" t="s">
        <v>39</v>
      </c>
      <c r="H850" s="8" t="s">
        <v>40</v>
      </c>
      <c r="I850" s="8" t="s">
        <v>4974</v>
      </c>
      <c r="J850" s="10">
        <v>102</v>
      </c>
      <c r="K850" s="11">
        <v>804.92</v>
      </c>
      <c r="L850" s="11">
        <v>1018.03</v>
      </c>
      <c r="M850" s="11">
        <v>103839.06</v>
      </c>
      <c r="N850" s="11">
        <v>82101.84</v>
      </c>
      <c r="O850" s="11">
        <f>CleanedData[[#This Row],[Total Sales ($)]]-CleanedData[[#This Row],[Total Cost ($)]]</f>
        <v>21737.22</v>
      </c>
      <c r="P850" s="12">
        <f>CleanedData[[#This Row],[Profit ($)]]/CleanedData[[#This Row],[Total Sales ($)]]</f>
        <v>0.20933567773051875</v>
      </c>
      <c r="Q850" s="8" t="s">
        <v>42</v>
      </c>
      <c r="R850" s="8" t="s">
        <v>32</v>
      </c>
      <c r="S850" s="8" t="b">
        <f>_xlfn.SINGLE(CleanedData[[#This Row],[Delivery Status]])="Late"</f>
        <v>1</v>
      </c>
      <c r="T850" s="10">
        <v>8</v>
      </c>
      <c r="U850" s="8" t="s">
        <v>86</v>
      </c>
      <c r="V850" s="10">
        <v>3864</v>
      </c>
      <c r="W850" s="10">
        <v>2</v>
      </c>
      <c r="X850" s="12">
        <v>1.9607843137254902E-2</v>
      </c>
      <c r="Y850" s="8" t="b">
        <f>CleanedData[[#This Row],[Ship Date]]&lt;CleanedData[[#This Row],[Order Date]]</f>
        <v>0</v>
      </c>
      <c r="Z850" s="10">
        <f>YEAR(CleanedData[[#This Row],[Order Date]])</f>
        <v>2023</v>
      </c>
      <c r="AA850" s="8">
        <f>MONTH(CleanedData[[#This Row],[Order Date]])</f>
        <v>5</v>
      </c>
    </row>
    <row r="851" spans="1:27" x14ac:dyDescent="0.35">
      <c r="A851" s="8" t="s">
        <v>2516</v>
      </c>
      <c r="B851" s="9">
        <v>45478</v>
      </c>
      <c r="C851" s="9">
        <v>45396</v>
      </c>
      <c r="D851" s="8" t="s">
        <v>2518</v>
      </c>
      <c r="E851" s="8" t="s">
        <v>58</v>
      </c>
      <c r="F851" s="8" t="s">
        <v>417</v>
      </c>
      <c r="G851" s="8" t="s">
        <v>217</v>
      </c>
      <c r="H851" s="8" t="s">
        <v>684</v>
      </c>
      <c r="I851" s="8" t="s">
        <v>4975</v>
      </c>
      <c r="J851" s="10">
        <v>475</v>
      </c>
      <c r="K851" s="11">
        <v>254.14</v>
      </c>
      <c r="L851" s="11">
        <v>341.31</v>
      </c>
      <c r="M851" s="11">
        <v>162122.25</v>
      </c>
      <c r="N851" s="11">
        <v>120716.5</v>
      </c>
      <c r="O851" s="11">
        <f>CleanedData[[#This Row],[Total Sales ($)]]-CleanedData[[#This Row],[Total Cost ($)]]</f>
        <v>41405.75</v>
      </c>
      <c r="P851" s="12">
        <f>CleanedData[[#This Row],[Profit ($)]]/CleanedData[[#This Row],[Total Sales ($)]]</f>
        <v>0.25539831824441123</v>
      </c>
      <c r="Q851" s="8" t="s">
        <v>95</v>
      </c>
      <c r="R851" s="8" t="s">
        <v>63</v>
      </c>
      <c r="S851" s="8" t="b">
        <f>_xlfn.SINGLE(CleanedData[[#This Row],[Delivery Status]])="Late"</f>
        <v>0</v>
      </c>
      <c r="T851" s="10">
        <v>3</v>
      </c>
      <c r="U851" s="8" t="s">
        <v>43</v>
      </c>
      <c r="V851" s="10">
        <v>3054</v>
      </c>
      <c r="W851" s="10">
        <v>19</v>
      </c>
      <c r="X851" s="12">
        <v>0.04</v>
      </c>
      <c r="Y851" s="8" t="b">
        <f>CleanedData[[#This Row],[Ship Date]]&lt;CleanedData[[#This Row],[Order Date]]</f>
        <v>1</v>
      </c>
      <c r="Z851" s="10">
        <f>YEAR(CleanedData[[#This Row],[Order Date]])</f>
        <v>2024</v>
      </c>
      <c r="AA851" s="8">
        <f>MONTH(CleanedData[[#This Row],[Order Date]])</f>
        <v>7</v>
      </c>
    </row>
    <row r="852" spans="1:27" x14ac:dyDescent="0.35">
      <c r="A852" s="8" t="s">
        <v>2519</v>
      </c>
      <c r="B852" s="9">
        <v>45084</v>
      </c>
      <c r="C852" s="9">
        <v>45280</v>
      </c>
      <c r="D852" s="8" t="s">
        <v>2521</v>
      </c>
      <c r="E852" s="8" t="s">
        <v>48</v>
      </c>
      <c r="F852" s="8" t="s">
        <v>270</v>
      </c>
      <c r="G852" s="8" t="s">
        <v>189</v>
      </c>
      <c r="H852" s="8" t="s">
        <v>369</v>
      </c>
      <c r="I852" s="8" t="s">
        <v>4979</v>
      </c>
      <c r="J852" s="10">
        <v>380</v>
      </c>
      <c r="K852" s="11">
        <v>896.11</v>
      </c>
      <c r="L852" s="11">
        <v>1025.3</v>
      </c>
      <c r="M852" s="11">
        <v>389614</v>
      </c>
      <c r="N852" s="11">
        <v>340521.8</v>
      </c>
      <c r="O852" s="11">
        <f>CleanedData[[#This Row],[Total Sales ($)]]-CleanedData[[#This Row],[Total Cost ($)]]</f>
        <v>49092.200000000012</v>
      </c>
      <c r="P852" s="12">
        <f>CleanedData[[#This Row],[Profit ($)]]/CleanedData[[#This Row],[Total Sales ($)]]</f>
        <v>0.12600214571344975</v>
      </c>
      <c r="Q852" s="8" t="s">
        <v>31</v>
      </c>
      <c r="R852" s="8" t="s">
        <v>32</v>
      </c>
      <c r="S852" s="8" t="b">
        <f>_xlfn.SINGLE(CleanedData[[#This Row],[Delivery Status]])="Late"</f>
        <v>1</v>
      </c>
      <c r="T852" s="10">
        <v>8</v>
      </c>
      <c r="U852" s="8" t="s">
        <v>112</v>
      </c>
      <c r="V852" s="10">
        <v>1964</v>
      </c>
      <c r="W852" s="10">
        <v>17</v>
      </c>
      <c r="X852" s="12">
        <v>4.4736842105263103E-2</v>
      </c>
      <c r="Y852" s="8" t="b">
        <f>CleanedData[[#This Row],[Ship Date]]&lt;CleanedData[[#This Row],[Order Date]]</f>
        <v>0</v>
      </c>
      <c r="Z852" s="10">
        <f>YEAR(CleanedData[[#This Row],[Order Date]])</f>
        <v>2023</v>
      </c>
      <c r="AA852" s="8">
        <f>MONTH(CleanedData[[#This Row],[Order Date]])</f>
        <v>6</v>
      </c>
    </row>
    <row r="853" spans="1:27" x14ac:dyDescent="0.35">
      <c r="A853" s="8" t="s">
        <v>2522</v>
      </c>
      <c r="B853" s="9">
        <v>45216</v>
      </c>
      <c r="C853" s="9">
        <v>45023</v>
      </c>
      <c r="D853" s="8" t="s">
        <v>2523</v>
      </c>
      <c r="E853" s="8" t="s">
        <v>58</v>
      </c>
      <c r="F853" s="8" t="s">
        <v>417</v>
      </c>
      <c r="G853" s="8" t="s">
        <v>129</v>
      </c>
      <c r="H853" s="8" t="s">
        <v>704</v>
      </c>
      <c r="I853" s="8" t="s">
        <v>4979</v>
      </c>
      <c r="J853" s="10">
        <v>708</v>
      </c>
      <c r="K853" s="11">
        <v>508</v>
      </c>
      <c r="L853" s="11">
        <v>732.51</v>
      </c>
      <c r="M853" s="11">
        <v>518617.08</v>
      </c>
      <c r="N853" s="11">
        <v>359664</v>
      </c>
      <c r="O853" s="11">
        <f>CleanedData[[#This Row],[Total Sales ($)]]-CleanedData[[#This Row],[Total Cost ($)]]</f>
        <v>158953.08000000002</v>
      </c>
      <c r="P853" s="12">
        <f>CleanedData[[#This Row],[Profit ($)]]/CleanedData[[#This Row],[Total Sales ($)]]</f>
        <v>0.30649410929543625</v>
      </c>
      <c r="Q853" s="8" t="s">
        <v>52</v>
      </c>
      <c r="R853" s="8" t="s">
        <v>63</v>
      </c>
      <c r="S853" s="8" t="b">
        <f>_xlfn.SINGLE(CleanedData[[#This Row],[Delivery Status]])="Late"</f>
        <v>0</v>
      </c>
      <c r="T853" s="10">
        <v>5</v>
      </c>
      <c r="U853" s="8" t="s">
        <v>53</v>
      </c>
      <c r="V853" s="10">
        <v>1787</v>
      </c>
      <c r="W853" s="10">
        <v>5</v>
      </c>
      <c r="X853" s="12">
        <v>7.0621468926553004E-3</v>
      </c>
      <c r="Y853" s="8" t="b">
        <f>CleanedData[[#This Row],[Ship Date]]&lt;CleanedData[[#This Row],[Order Date]]</f>
        <v>1</v>
      </c>
      <c r="Z853" s="10">
        <f>YEAR(CleanedData[[#This Row],[Order Date]])</f>
        <v>2023</v>
      </c>
      <c r="AA853" s="8">
        <f>MONTH(CleanedData[[#This Row],[Order Date]])</f>
        <v>10</v>
      </c>
    </row>
    <row r="854" spans="1:27" x14ac:dyDescent="0.35">
      <c r="A854" s="8" t="s">
        <v>2524</v>
      </c>
      <c r="B854" s="9">
        <v>45244</v>
      </c>
      <c r="C854" s="9">
        <v>45117</v>
      </c>
      <c r="D854" s="8" t="s">
        <v>2525</v>
      </c>
      <c r="E854" s="8" t="s">
        <v>100</v>
      </c>
      <c r="F854" s="8" t="s">
        <v>238</v>
      </c>
      <c r="G854" s="8" t="s">
        <v>78</v>
      </c>
      <c r="H854" s="8" t="s">
        <v>79</v>
      </c>
      <c r="I854" s="8" t="s">
        <v>4979</v>
      </c>
      <c r="J854" s="10">
        <v>146</v>
      </c>
      <c r="K854" s="11">
        <v>387.99</v>
      </c>
      <c r="L854" s="11">
        <v>512.42999999999995</v>
      </c>
      <c r="M854" s="11">
        <v>74814.78</v>
      </c>
      <c r="N854" s="11">
        <v>56646.54</v>
      </c>
      <c r="O854" s="11">
        <f>CleanedData[[#This Row],[Total Sales ($)]]-CleanedData[[#This Row],[Total Cost ($)]]</f>
        <v>18168.239999999998</v>
      </c>
      <c r="P854" s="12">
        <f>CleanedData[[#This Row],[Profit ($)]]/CleanedData[[#This Row],[Total Sales ($)]]</f>
        <v>0.24284292488730166</v>
      </c>
      <c r="Q854" s="8" t="s">
        <v>42</v>
      </c>
      <c r="R854" s="8" t="s">
        <v>32</v>
      </c>
      <c r="S854" s="8" t="b">
        <f>_xlfn.SINGLE(CleanedData[[#This Row],[Delivery Status]])="Late"</f>
        <v>1</v>
      </c>
      <c r="T854" s="10">
        <v>13</v>
      </c>
      <c r="U854" s="8" t="s">
        <v>33</v>
      </c>
      <c r="V854" s="10">
        <v>1322</v>
      </c>
      <c r="W854" s="10">
        <v>3</v>
      </c>
      <c r="X854" s="12">
        <v>2.0547945205479399E-2</v>
      </c>
      <c r="Y854" s="8" t="b">
        <f>CleanedData[[#This Row],[Ship Date]]&lt;CleanedData[[#This Row],[Order Date]]</f>
        <v>1</v>
      </c>
      <c r="Z854" s="10">
        <f>YEAR(CleanedData[[#This Row],[Order Date]])</f>
        <v>2023</v>
      </c>
      <c r="AA854" s="8">
        <f>MONTH(CleanedData[[#This Row],[Order Date]])</f>
        <v>11</v>
      </c>
    </row>
    <row r="855" spans="1:27" x14ac:dyDescent="0.35">
      <c r="A855" s="8" t="s">
        <v>2526</v>
      </c>
      <c r="B855" s="9">
        <v>45205</v>
      </c>
      <c r="C855" s="9">
        <v>44975</v>
      </c>
      <c r="D855" s="8" t="s">
        <v>2527</v>
      </c>
      <c r="E855" s="8" t="s">
        <v>100</v>
      </c>
      <c r="F855" s="8" t="s">
        <v>101</v>
      </c>
      <c r="G855" s="8" t="s">
        <v>70</v>
      </c>
      <c r="H855" s="8" t="s">
        <v>822</v>
      </c>
      <c r="I855" s="8" t="s">
        <v>4976</v>
      </c>
      <c r="J855" s="10">
        <v>198</v>
      </c>
      <c r="K855" s="11">
        <v>409.43</v>
      </c>
      <c r="L855" s="11">
        <v>498.02</v>
      </c>
      <c r="M855" s="11">
        <v>98607.96</v>
      </c>
      <c r="N855" s="11">
        <v>81067.14</v>
      </c>
      <c r="O855" s="11">
        <f>CleanedData[[#This Row],[Total Sales ($)]]-CleanedData[[#This Row],[Total Cost ($)]]</f>
        <v>17540.820000000007</v>
      </c>
      <c r="P855" s="12">
        <f>CleanedData[[#This Row],[Profit ($)]]/CleanedData[[#This Row],[Total Sales ($)]]</f>
        <v>0.17788442231235699</v>
      </c>
      <c r="Q855" s="8" t="s">
        <v>42</v>
      </c>
      <c r="R855" s="8" t="s">
        <v>63</v>
      </c>
      <c r="S855" s="8" t="b">
        <f>_xlfn.SINGLE(CleanedData[[#This Row],[Delivery Status]])="Late"</f>
        <v>0</v>
      </c>
      <c r="T855" s="10">
        <v>4</v>
      </c>
      <c r="U855" s="8" t="s">
        <v>86</v>
      </c>
      <c r="V855" s="10">
        <v>3903</v>
      </c>
      <c r="W855" s="10">
        <v>3</v>
      </c>
      <c r="X855" s="12">
        <v>1.51515151515151E-2</v>
      </c>
      <c r="Y855" s="8" t="b">
        <f>CleanedData[[#This Row],[Ship Date]]&lt;CleanedData[[#This Row],[Order Date]]</f>
        <v>1</v>
      </c>
      <c r="Z855" s="10">
        <f>YEAR(CleanedData[[#This Row],[Order Date]])</f>
        <v>2023</v>
      </c>
      <c r="AA855" s="8">
        <f>MONTH(CleanedData[[#This Row],[Order Date]])</f>
        <v>10</v>
      </c>
    </row>
    <row r="856" spans="1:27" x14ac:dyDescent="0.35">
      <c r="A856" s="8" t="s">
        <v>2529</v>
      </c>
      <c r="B856" s="9">
        <v>45344</v>
      </c>
      <c r="C856" s="9">
        <v>45339</v>
      </c>
      <c r="D856" s="8" t="s">
        <v>2530</v>
      </c>
      <c r="E856" s="8" t="s">
        <v>26</v>
      </c>
      <c r="F856" s="8" t="s">
        <v>228</v>
      </c>
      <c r="G856" s="8" t="s">
        <v>129</v>
      </c>
      <c r="H856" s="8" t="s">
        <v>811</v>
      </c>
      <c r="I856" s="8" t="s">
        <v>4977</v>
      </c>
      <c r="J856" s="10">
        <v>562</v>
      </c>
      <c r="K856" s="11">
        <v>1004.92</v>
      </c>
      <c r="L856" s="11">
        <v>1249.82</v>
      </c>
      <c r="M856" s="11">
        <v>702398.84</v>
      </c>
      <c r="N856" s="11">
        <v>564765.04</v>
      </c>
      <c r="O856" s="11">
        <f>CleanedData[[#This Row],[Total Sales ($)]]-CleanedData[[#This Row],[Total Cost ($)]]</f>
        <v>137633.79999999993</v>
      </c>
      <c r="P856" s="12">
        <f>CleanedData[[#This Row],[Profit ($)]]/CleanedData[[#This Row],[Total Sales ($)]]</f>
        <v>0.19594821654318212</v>
      </c>
      <c r="Q856" s="8" t="s">
        <v>31</v>
      </c>
      <c r="R856" s="8" t="s">
        <v>32</v>
      </c>
      <c r="S856" s="8" t="b">
        <f>_xlfn.SINGLE(CleanedData[[#This Row],[Delivery Status]])="Late"</f>
        <v>1</v>
      </c>
      <c r="T856" s="10">
        <v>14</v>
      </c>
      <c r="U856" s="8" t="s">
        <v>86</v>
      </c>
      <c r="V856" s="10">
        <v>1587</v>
      </c>
      <c r="W856" s="10">
        <v>3</v>
      </c>
      <c r="X856" s="12">
        <v>5.3380782918148999E-3</v>
      </c>
      <c r="Y856" s="8" t="b">
        <f>CleanedData[[#This Row],[Ship Date]]&lt;CleanedData[[#This Row],[Order Date]]</f>
        <v>1</v>
      </c>
      <c r="Z856" s="10">
        <f>YEAR(CleanedData[[#This Row],[Order Date]])</f>
        <v>2024</v>
      </c>
      <c r="AA856" s="8">
        <f>MONTH(CleanedData[[#This Row],[Order Date]])</f>
        <v>2</v>
      </c>
    </row>
    <row r="857" spans="1:27" x14ac:dyDescent="0.35">
      <c r="A857" s="8" t="s">
        <v>2531</v>
      </c>
      <c r="B857" s="9">
        <v>45235</v>
      </c>
      <c r="C857" s="9">
        <v>44995</v>
      </c>
      <c r="D857" s="8" t="s">
        <v>2532</v>
      </c>
      <c r="E857" s="8" t="s">
        <v>100</v>
      </c>
      <c r="F857" s="8" t="s">
        <v>330</v>
      </c>
      <c r="G857" s="8" t="s">
        <v>60</v>
      </c>
      <c r="H857" s="8" t="s">
        <v>780</v>
      </c>
      <c r="I857" s="8" t="s">
        <v>4977</v>
      </c>
      <c r="J857" s="10">
        <v>365</v>
      </c>
      <c r="K857" s="11">
        <v>1174.1600000000001</v>
      </c>
      <c r="L857" s="11">
        <v>1850.33</v>
      </c>
      <c r="M857" s="11">
        <v>675370.45</v>
      </c>
      <c r="N857" s="11">
        <v>428568.4</v>
      </c>
      <c r="O857" s="11">
        <f>CleanedData[[#This Row],[Total Sales ($)]]-CleanedData[[#This Row],[Total Cost ($)]]</f>
        <v>246802.04999999993</v>
      </c>
      <c r="P857" s="12">
        <f>CleanedData[[#This Row],[Profit ($)]]/CleanedData[[#This Row],[Total Sales ($)]]</f>
        <v>0.3654321121097317</v>
      </c>
      <c r="Q857" s="8" t="s">
        <v>52</v>
      </c>
      <c r="R857" s="8" t="s">
        <v>32</v>
      </c>
      <c r="S857" s="8" t="b">
        <f>_xlfn.SINGLE(CleanedData[[#This Row],[Delivery Status]])="Late"</f>
        <v>1</v>
      </c>
      <c r="T857" s="10">
        <v>15</v>
      </c>
      <c r="U857" s="8" t="s">
        <v>158</v>
      </c>
      <c r="V857" s="10">
        <v>3081</v>
      </c>
      <c r="W857" s="10">
        <v>8</v>
      </c>
      <c r="X857" s="12">
        <v>2.1917808219177999E-2</v>
      </c>
      <c r="Y857" s="8" t="b">
        <f>CleanedData[[#This Row],[Ship Date]]&lt;CleanedData[[#This Row],[Order Date]]</f>
        <v>1</v>
      </c>
      <c r="Z857" s="10">
        <f>YEAR(CleanedData[[#This Row],[Order Date]])</f>
        <v>2023</v>
      </c>
      <c r="AA857" s="8">
        <f>MONTH(CleanedData[[#This Row],[Order Date]])</f>
        <v>11</v>
      </c>
    </row>
    <row r="858" spans="1:27" x14ac:dyDescent="0.35">
      <c r="A858" s="8" t="s">
        <v>2533</v>
      </c>
      <c r="B858" s="9">
        <v>45055</v>
      </c>
      <c r="C858" s="9">
        <v>45070</v>
      </c>
      <c r="D858" s="8" t="s">
        <v>2534</v>
      </c>
      <c r="E858" s="8" t="s">
        <v>26</v>
      </c>
      <c r="F858" s="8" t="s">
        <v>92</v>
      </c>
      <c r="G858" s="8" t="s">
        <v>129</v>
      </c>
      <c r="H858" s="8" t="s">
        <v>345</v>
      </c>
      <c r="I858" s="8" t="s">
        <v>4978</v>
      </c>
      <c r="J858" s="10">
        <v>-20</v>
      </c>
      <c r="K858" s="11">
        <v>342.14</v>
      </c>
      <c r="L858" s="11">
        <v>494.89</v>
      </c>
      <c r="M858" s="11">
        <v>382055.08</v>
      </c>
      <c r="N858" s="11">
        <v>264132.08</v>
      </c>
      <c r="O858" s="11">
        <f>CleanedData[[#This Row],[Total Sales ($)]]-CleanedData[[#This Row],[Total Cost ($)]]</f>
        <v>117923</v>
      </c>
      <c r="P858" s="12">
        <f>CleanedData[[#This Row],[Profit ($)]]/CleanedData[[#This Row],[Total Sales ($)]]</f>
        <v>0.30865444846329487</v>
      </c>
      <c r="Q858" s="8" t="s">
        <v>95</v>
      </c>
      <c r="R858" s="8" t="s">
        <v>32</v>
      </c>
      <c r="S858" s="8" t="b">
        <f>_xlfn.SINGLE(CleanedData[[#This Row],[Delivery Status]])="Late"</f>
        <v>1</v>
      </c>
      <c r="T858" s="10">
        <v>6</v>
      </c>
      <c r="U858" s="8" t="s">
        <v>86</v>
      </c>
      <c r="V858" s="10">
        <v>1372</v>
      </c>
      <c r="W858" s="10">
        <v>9</v>
      </c>
      <c r="X858" s="12"/>
      <c r="Y858" s="8" t="b">
        <f>CleanedData[[#This Row],[Ship Date]]&lt;CleanedData[[#This Row],[Order Date]]</f>
        <v>0</v>
      </c>
      <c r="Z858" s="10">
        <f>YEAR(CleanedData[[#This Row],[Order Date]])</f>
        <v>2023</v>
      </c>
      <c r="AA858" s="8">
        <f>MONTH(CleanedData[[#This Row],[Order Date]])</f>
        <v>5</v>
      </c>
    </row>
    <row r="859" spans="1:27" x14ac:dyDescent="0.35">
      <c r="A859" s="8" t="s">
        <v>2212</v>
      </c>
      <c r="B859" s="9">
        <v>45255</v>
      </c>
      <c r="C859" s="9">
        <v>45146</v>
      </c>
      <c r="D859" s="8" t="s">
        <v>2535</v>
      </c>
      <c r="E859" s="8" t="s">
        <v>100</v>
      </c>
      <c r="F859" s="8" t="s">
        <v>538</v>
      </c>
      <c r="G859" s="8" t="s">
        <v>28</v>
      </c>
      <c r="H859" s="8" t="s">
        <v>29</v>
      </c>
      <c r="I859" s="8" t="s">
        <v>4969</v>
      </c>
      <c r="J859" s="10">
        <v>756</v>
      </c>
      <c r="K859" s="11">
        <v>108.87</v>
      </c>
      <c r="L859" s="11">
        <v>146.69999999999999</v>
      </c>
      <c r="M859" s="11">
        <v>110905.2</v>
      </c>
      <c r="N859" s="11">
        <v>82305.72</v>
      </c>
      <c r="O859" s="11">
        <f>CleanedData[[#This Row],[Total Sales ($)]]-CleanedData[[#This Row],[Total Cost ($)]]</f>
        <v>28599.479999999996</v>
      </c>
      <c r="P859" s="12">
        <f>CleanedData[[#This Row],[Profit ($)]]/CleanedData[[#This Row],[Total Sales ($)]]</f>
        <v>0.2578732106339468</v>
      </c>
      <c r="Q859" s="8" t="s">
        <v>31</v>
      </c>
      <c r="R859" s="8" t="s">
        <v>63</v>
      </c>
      <c r="S859" s="8" t="b">
        <f>_xlfn.SINGLE(CleanedData[[#This Row],[Delivery Status]])="Late"</f>
        <v>0</v>
      </c>
      <c r="T859" s="10">
        <v>-1</v>
      </c>
      <c r="U859" s="8" t="s">
        <v>86</v>
      </c>
      <c r="V859" s="10">
        <v>503</v>
      </c>
      <c r="W859" s="10"/>
      <c r="X859" s="12"/>
      <c r="Y859" s="8" t="b">
        <f>CleanedData[[#This Row],[Ship Date]]&lt;CleanedData[[#This Row],[Order Date]]</f>
        <v>1</v>
      </c>
      <c r="Z859" s="10">
        <f>YEAR(CleanedData[[#This Row],[Order Date]])</f>
        <v>2023</v>
      </c>
      <c r="AA859" s="8">
        <f>MONTH(CleanedData[[#This Row],[Order Date]])</f>
        <v>11</v>
      </c>
    </row>
    <row r="860" spans="1:27" x14ac:dyDescent="0.35">
      <c r="A860" s="8" t="s">
        <v>2536</v>
      </c>
      <c r="B860" s="9">
        <v>45180</v>
      </c>
      <c r="C860" s="9">
        <v>45256</v>
      </c>
      <c r="D860" s="8" t="s">
        <v>2537</v>
      </c>
      <c r="E860" s="8" t="s">
        <v>58</v>
      </c>
      <c r="F860" s="8" t="s">
        <v>122</v>
      </c>
      <c r="G860" s="8" t="s">
        <v>217</v>
      </c>
      <c r="H860" s="8" t="s">
        <v>524</v>
      </c>
      <c r="I860" s="8" t="s">
        <v>4974</v>
      </c>
      <c r="J860" s="10">
        <v>212</v>
      </c>
      <c r="K860" s="11"/>
      <c r="L860" s="11">
        <v>1211.4100000000001</v>
      </c>
      <c r="M860" s="11">
        <v>256818.92</v>
      </c>
      <c r="N860" s="11">
        <v>162951.67999999999</v>
      </c>
      <c r="O860" s="11">
        <f>CleanedData[[#This Row],[Total Sales ($)]]-CleanedData[[#This Row],[Total Cost ($)]]</f>
        <v>93867.24000000002</v>
      </c>
      <c r="P860" s="12">
        <f>CleanedData[[#This Row],[Profit ($)]]/CleanedData[[#This Row],[Total Sales ($)]]</f>
        <v>0.36549970695305478</v>
      </c>
      <c r="Q860" s="8" t="s">
        <v>42</v>
      </c>
      <c r="R860" s="8" t="s">
        <v>32</v>
      </c>
      <c r="S860" s="8" t="b">
        <f>_xlfn.SINGLE(CleanedData[[#This Row],[Delivery Status]])="Late"</f>
        <v>1</v>
      </c>
      <c r="T860" s="10">
        <v>6</v>
      </c>
      <c r="U860" s="8" t="s">
        <v>53</v>
      </c>
      <c r="V860" s="10">
        <v>3310</v>
      </c>
      <c r="W860" s="10">
        <v>1</v>
      </c>
      <c r="X860" s="12">
        <v>4.7169811320754004E-3</v>
      </c>
      <c r="Y860" s="8" t="b">
        <f>CleanedData[[#This Row],[Ship Date]]&lt;CleanedData[[#This Row],[Order Date]]</f>
        <v>0</v>
      </c>
      <c r="Z860" s="10">
        <f>YEAR(CleanedData[[#This Row],[Order Date]])</f>
        <v>2023</v>
      </c>
      <c r="AA860" s="8">
        <f>MONTH(CleanedData[[#This Row],[Order Date]])</f>
        <v>9</v>
      </c>
    </row>
    <row r="861" spans="1:27" x14ac:dyDescent="0.35">
      <c r="A861" s="8" t="s">
        <v>2538</v>
      </c>
      <c r="B861" s="9">
        <v>44959</v>
      </c>
      <c r="C861" s="9">
        <v>45236</v>
      </c>
      <c r="D861" s="8" t="s">
        <v>2540</v>
      </c>
      <c r="E861" s="8" t="s">
        <v>48</v>
      </c>
      <c r="F861" s="8" t="s">
        <v>270</v>
      </c>
      <c r="G861" s="8" t="s">
        <v>50</v>
      </c>
      <c r="H861" s="8" t="s">
        <v>135</v>
      </c>
      <c r="I861" s="8" t="s">
        <v>4977</v>
      </c>
      <c r="J861" s="10">
        <v>749</v>
      </c>
      <c r="K861" s="11">
        <v>509.88</v>
      </c>
      <c r="L861" s="11">
        <v>735.05</v>
      </c>
      <c r="M861" s="11">
        <v>550552.44999999995</v>
      </c>
      <c r="N861" s="11">
        <v>381900.12</v>
      </c>
      <c r="O861" s="11">
        <f>CleanedData[[#This Row],[Total Sales ($)]]-CleanedData[[#This Row],[Total Cost ($)]]</f>
        <v>168652.32999999996</v>
      </c>
      <c r="P861" s="12">
        <f>CleanedData[[#This Row],[Profit ($)]]/CleanedData[[#This Row],[Total Sales ($)]]</f>
        <v>0.30633290252363782</v>
      </c>
      <c r="Q861" s="8" t="s">
        <v>52</v>
      </c>
      <c r="R861" s="8" t="s">
        <v>32</v>
      </c>
      <c r="S861" s="8" t="b">
        <f>_xlfn.SINGLE(CleanedData[[#This Row],[Delivery Status]])="Late"</f>
        <v>1</v>
      </c>
      <c r="T861" s="10">
        <v>9</v>
      </c>
      <c r="U861" s="8" t="s">
        <v>158</v>
      </c>
      <c r="V861" s="10">
        <v>1099</v>
      </c>
      <c r="W861" s="10">
        <v>35</v>
      </c>
      <c r="X861" s="12">
        <v>4.67289719626168E-2</v>
      </c>
      <c r="Y861" s="8" t="b">
        <f>CleanedData[[#This Row],[Ship Date]]&lt;CleanedData[[#This Row],[Order Date]]</f>
        <v>0</v>
      </c>
      <c r="Z861" s="10">
        <f>YEAR(CleanedData[[#This Row],[Order Date]])</f>
        <v>2023</v>
      </c>
      <c r="AA861" s="8">
        <f>MONTH(CleanedData[[#This Row],[Order Date]])</f>
        <v>2</v>
      </c>
    </row>
    <row r="862" spans="1:27" x14ac:dyDescent="0.35">
      <c r="A862" s="8" t="s">
        <v>2541</v>
      </c>
      <c r="B862" s="9">
        <v>45245</v>
      </c>
      <c r="C862" s="9">
        <v>45049</v>
      </c>
      <c r="D862" s="8" t="s">
        <v>2542</v>
      </c>
      <c r="E862" s="8" t="s">
        <v>48</v>
      </c>
      <c r="F862" s="8" t="s">
        <v>49</v>
      </c>
      <c r="G862" s="8" t="s">
        <v>39</v>
      </c>
      <c r="H862" s="8" t="s">
        <v>412</v>
      </c>
      <c r="I862" s="8" t="s">
        <v>4975</v>
      </c>
      <c r="J862" s="10">
        <v>104</v>
      </c>
      <c r="K862" s="11">
        <v>50.94</v>
      </c>
      <c r="L862" s="11">
        <v>66.03</v>
      </c>
      <c r="M862" s="11">
        <v>6867.12</v>
      </c>
      <c r="N862" s="11">
        <v>5297.76</v>
      </c>
      <c r="O862" s="11">
        <f>CleanedData[[#This Row],[Total Sales ($)]]-CleanedData[[#This Row],[Total Cost ($)]]</f>
        <v>1569.3599999999997</v>
      </c>
      <c r="P862" s="12">
        <f>CleanedData[[#This Row],[Profit ($)]]/CleanedData[[#This Row],[Total Sales ($)]]</f>
        <v>0.22853248523398451</v>
      </c>
      <c r="Q862" s="8" t="s">
        <v>31</v>
      </c>
      <c r="R862" s="8" t="s">
        <v>32</v>
      </c>
      <c r="S862" s="8" t="b">
        <f>_xlfn.SINGLE(CleanedData[[#This Row],[Delivery Status]])="Late"</f>
        <v>1</v>
      </c>
      <c r="T862" s="10">
        <v>14</v>
      </c>
      <c r="U862" s="8" t="s">
        <v>43</v>
      </c>
      <c r="V862" s="10">
        <v>412</v>
      </c>
      <c r="W862" s="10">
        <v>1</v>
      </c>
      <c r="X862" s="12">
        <v>9.6153846153846003E-3</v>
      </c>
      <c r="Y862" s="8" t="b">
        <f>CleanedData[[#This Row],[Ship Date]]&lt;CleanedData[[#This Row],[Order Date]]</f>
        <v>1</v>
      </c>
      <c r="Z862" s="10">
        <f>YEAR(CleanedData[[#This Row],[Order Date]])</f>
        <v>2023</v>
      </c>
      <c r="AA862" s="8">
        <f>MONTH(CleanedData[[#This Row],[Order Date]])</f>
        <v>11</v>
      </c>
    </row>
    <row r="863" spans="1:27" x14ac:dyDescent="0.35">
      <c r="A863" s="8" t="s">
        <v>2543</v>
      </c>
      <c r="B863" s="9">
        <v>44976</v>
      </c>
      <c r="C863" s="9">
        <v>44940</v>
      </c>
      <c r="D863" s="8" t="s">
        <v>2544</v>
      </c>
      <c r="E863" s="8" t="s">
        <v>58</v>
      </c>
      <c r="F863" s="8" t="s">
        <v>259</v>
      </c>
      <c r="G863" s="8" t="s">
        <v>70</v>
      </c>
      <c r="H863" s="8" t="s">
        <v>71</v>
      </c>
      <c r="I863" s="8" t="s">
        <v>4974</v>
      </c>
      <c r="J863" s="10">
        <v>707</v>
      </c>
      <c r="K863" s="11">
        <v>37.42</v>
      </c>
      <c r="L863" s="11">
        <v>51.08</v>
      </c>
      <c r="M863" s="11">
        <v>36113.56</v>
      </c>
      <c r="N863" s="11">
        <v>26455.94</v>
      </c>
      <c r="O863" s="11">
        <f>CleanedData[[#This Row],[Total Sales ($)]]-CleanedData[[#This Row],[Total Cost ($)]]</f>
        <v>9657.619999999999</v>
      </c>
      <c r="P863" s="12">
        <f>CleanedData[[#This Row],[Profit ($)]]/CleanedData[[#This Row],[Total Sales ($)]]</f>
        <v>0.26742364917776035</v>
      </c>
      <c r="Q863" s="8" t="s">
        <v>31</v>
      </c>
      <c r="R863" s="8" t="s">
        <v>63</v>
      </c>
      <c r="S863" s="8" t="b">
        <f>_xlfn.SINGLE(CleanedData[[#This Row],[Delivery Status]])="Late"</f>
        <v>0</v>
      </c>
      <c r="T863" s="10">
        <v>3</v>
      </c>
      <c r="U863" s="8" t="s">
        <v>158</v>
      </c>
      <c r="V863" s="10">
        <v>2096</v>
      </c>
      <c r="W863" s="10">
        <v>5</v>
      </c>
      <c r="X863" s="12">
        <v>7.0721357850069997E-3</v>
      </c>
      <c r="Y863" s="8" t="b">
        <f>CleanedData[[#This Row],[Ship Date]]&lt;CleanedData[[#This Row],[Order Date]]</f>
        <v>1</v>
      </c>
      <c r="Z863" s="10">
        <f>YEAR(CleanedData[[#This Row],[Order Date]])</f>
        <v>2023</v>
      </c>
      <c r="AA863" s="8">
        <f>MONTH(CleanedData[[#This Row],[Order Date]])</f>
        <v>2</v>
      </c>
    </row>
    <row r="864" spans="1:27" x14ac:dyDescent="0.35">
      <c r="A864" s="8" t="s">
        <v>2545</v>
      </c>
      <c r="B864" s="9">
        <v>45220</v>
      </c>
      <c r="C864" s="9">
        <v>45029</v>
      </c>
      <c r="D864" s="8" t="s">
        <v>2546</v>
      </c>
      <c r="E864" s="8" t="s">
        <v>100</v>
      </c>
      <c r="F864" s="8" t="s">
        <v>106</v>
      </c>
      <c r="G864" s="8" t="s">
        <v>28</v>
      </c>
      <c r="H864" s="8" t="s">
        <v>579</v>
      </c>
      <c r="I864" s="8" t="s">
        <v>4978</v>
      </c>
      <c r="J864" s="10">
        <v>363</v>
      </c>
      <c r="K864" s="11">
        <v>820.57</v>
      </c>
      <c r="L864" s="11">
        <v>1127.28</v>
      </c>
      <c r="M864" s="11">
        <v>409202.64</v>
      </c>
      <c r="N864" s="11">
        <v>297866.90999999997</v>
      </c>
      <c r="O864" s="11">
        <f>CleanedData[[#This Row],[Total Sales ($)]]-CleanedData[[#This Row],[Total Cost ($)]]</f>
        <v>111335.73000000004</v>
      </c>
      <c r="P864" s="12">
        <f>CleanedData[[#This Row],[Profit ($)]]/CleanedData[[#This Row],[Total Sales ($)]]</f>
        <v>0.27207969626002421</v>
      </c>
      <c r="Q864" s="8" t="s">
        <v>42</v>
      </c>
      <c r="R864" s="8" t="s">
        <v>32</v>
      </c>
      <c r="S864" s="8" t="b">
        <f>_xlfn.SINGLE(CleanedData[[#This Row],[Delivery Status]])="Late"</f>
        <v>1</v>
      </c>
      <c r="T864" s="10">
        <v>15</v>
      </c>
      <c r="U864" s="8" t="s">
        <v>33</v>
      </c>
      <c r="V864" s="10">
        <v>36</v>
      </c>
      <c r="W864" s="10">
        <v>6</v>
      </c>
      <c r="X864" s="12">
        <v>1.6528925619834701E-2</v>
      </c>
      <c r="Y864" s="8" t="b">
        <f>CleanedData[[#This Row],[Ship Date]]&lt;CleanedData[[#This Row],[Order Date]]</f>
        <v>1</v>
      </c>
      <c r="Z864" s="10">
        <f>YEAR(CleanedData[[#This Row],[Order Date]])</f>
        <v>2023</v>
      </c>
      <c r="AA864" s="8">
        <f>MONTH(CleanedData[[#This Row],[Order Date]])</f>
        <v>10</v>
      </c>
    </row>
    <row r="865" spans="1:27" x14ac:dyDescent="0.35">
      <c r="A865" s="8" t="s">
        <v>2547</v>
      </c>
      <c r="B865" s="9">
        <v>45209</v>
      </c>
      <c r="C865" s="9">
        <v>45110</v>
      </c>
      <c r="D865" s="8" t="s">
        <v>2548</v>
      </c>
      <c r="E865" s="8" t="s">
        <v>58</v>
      </c>
      <c r="F865" s="8" t="s">
        <v>59</v>
      </c>
      <c r="G865" s="8" t="s">
        <v>60</v>
      </c>
      <c r="H865" s="8" t="s">
        <v>400</v>
      </c>
      <c r="I865" s="8" t="s">
        <v>4977</v>
      </c>
      <c r="J865" s="10">
        <v>224</v>
      </c>
      <c r="K865" s="11">
        <v>13.75</v>
      </c>
      <c r="L865" s="11">
        <v>15.87</v>
      </c>
      <c r="M865" s="11">
        <v>3554.88</v>
      </c>
      <c r="N865" s="11">
        <v>3080</v>
      </c>
      <c r="O865" s="11">
        <f>CleanedData[[#This Row],[Total Sales ($)]]-CleanedData[[#This Row],[Total Cost ($)]]</f>
        <v>474.88000000000011</v>
      </c>
      <c r="P865" s="12">
        <f>CleanedData[[#This Row],[Profit ($)]]/CleanedData[[#This Row],[Total Sales ($)]]</f>
        <v>0.1335853812224323</v>
      </c>
      <c r="Q865" s="8" t="s">
        <v>52</v>
      </c>
      <c r="R865" s="8" t="s">
        <v>32</v>
      </c>
      <c r="S865" s="8" t="b">
        <f>_xlfn.SINGLE(CleanedData[[#This Row],[Delivery Status]])="Late"</f>
        <v>1</v>
      </c>
      <c r="T865" s="10">
        <v>11</v>
      </c>
      <c r="U865" s="8" t="s">
        <v>86</v>
      </c>
      <c r="V865" s="10">
        <v>1358</v>
      </c>
      <c r="W865" s="10">
        <v>1</v>
      </c>
      <c r="X865" s="12">
        <v>4.4642857142857002E-3</v>
      </c>
      <c r="Y865" s="8" t="b">
        <f>CleanedData[[#This Row],[Ship Date]]&lt;CleanedData[[#This Row],[Order Date]]</f>
        <v>1</v>
      </c>
      <c r="Z865" s="10">
        <f>YEAR(CleanedData[[#This Row],[Order Date]])</f>
        <v>2023</v>
      </c>
      <c r="AA865" s="8">
        <f>MONTH(CleanedData[[#This Row],[Order Date]])</f>
        <v>10</v>
      </c>
    </row>
    <row r="866" spans="1:27" x14ac:dyDescent="0.35">
      <c r="A866" s="8" t="s">
        <v>2549</v>
      </c>
      <c r="B866" s="9">
        <v>45028</v>
      </c>
      <c r="C866" s="9">
        <v>45109</v>
      </c>
      <c r="D866" s="8" t="s">
        <v>2550</v>
      </c>
      <c r="E866" s="8" t="s">
        <v>26</v>
      </c>
      <c r="F866" s="8" t="s">
        <v>1576</v>
      </c>
      <c r="G866" s="8" t="s">
        <v>39</v>
      </c>
      <c r="H866" s="8" t="s">
        <v>477</v>
      </c>
      <c r="I866" s="8" t="s">
        <v>4967</v>
      </c>
      <c r="J866" s="10">
        <v>375</v>
      </c>
      <c r="K866" s="11">
        <v>613.09</v>
      </c>
      <c r="L866" s="11">
        <v>900.05</v>
      </c>
      <c r="M866" s="11">
        <v>337518.75</v>
      </c>
      <c r="N866" s="11">
        <v>229908.75</v>
      </c>
      <c r="O866" s="11">
        <f>CleanedData[[#This Row],[Total Sales ($)]]-CleanedData[[#This Row],[Total Cost ($)]]</f>
        <v>107610</v>
      </c>
      <c r="P866" s="12">
        <f>CleanedData[[#This Row],[Profit ($)]]/CleanedData[[#This Row],[Total Sales ($)]]</f>
        <v>0.31882673184823063</v>
      </c>
      <c r="Q866" s="8" t="s">
        <v>31</v>
      </c>
      <c r="R866" s="8" t="s">
        <v>63</v>
      </c>
      <c r="S866" s="8" t="b">
        <f>_xlfn.SINGLE(CleanedData[[#This Row],[Delivery Status]])="Late"</f>
        <v>0</v>
      </c>
      <c r="T866" s="10">
        <v>1</v>
      </c>
      <c r="U866" s="8" t="s">
        <v>86</v>
      </c>
      <c r="V866" s="10">
        <v>1054</v>
      </c>
      <c r="W866" s="10">
        <v>2</v>
      </c>
      <c r="X866" s="12">
        <v>5.3333333333333002E-3</v>
      </c>
      <c r="Y866" s="8" t="b">
        <f>CleanedData[[#This Row],[Ship Date]]&lt;CleanedData[[#This Row],[Order Date]]</f>
        <v>0</v>
      </c>
      <c r="Z866" s="10">
        <f>YEAR(CleanedData[[#This Row],[Order Date]])</f>
        <v>2023</v>
      </c>
      <c r="AA866" s="8">
        <f>MONTH(CleanedData[[#This Row],[Order Date]])</f>
        <v>4</v>
      </c>
    </row>
    <row r="867" spans="1:27" x14ac:dyDescent="0.35">
      <c r="A867" s="8" t="s">
        <v>2551</v>
      </c>
      <c r="B867" s="9">
        <v>45049</v>
      </c>
      <c r="C867" s="9">
        <v>45071</v>
      </c>
      <c r="D867" s="8" t="s">
        <v>2552</v>
      </c>
      <c r="E867" s="8" t="s">
        <v>26</v>
      </c>
      <c r="F867" s="8" t="s">
        <v>27</v>
      </c>
      <c r="G867" s="8" t="s">
        <v>189</v>
      </c>
      <c r="H867" s="8" t="s">
        <v>190</v>
      </c>
      <c r="I867" s="8" t="s">
        <v>4979</v>
      </c>
      <c r="J867" s="10">
        <v>252</v>
      </c>
      <c r="K867" s="11">
        <v>610.70000000000005</v>
      </c>
      <c r="L867" s="11">
        <v>756.4</v>
      </c>
      <c r="M867" s="11">
        <v>190612.8</v>
      </c>
      <c r="N867" s="11">
        <v>153896.4</v>
      </c>
      <c r="O867" s="11">
        <f>CleanedData[[#This Row],[Total Sales ($)]]-CleanedData[[#This Row],[Total Cost ($)]]</f>
        <v>36716.399999999994</v>
      </c>
      <c r="P867" s="12">
        <f>CleanedData[[#This Row],[Profit ($)]]/CleanedData[[#This Row],[Total Sales ($)]]</f>
        <v>0.19262295081967212</v>
      </c>
      <c r="Q867" s="8" t="s">
        <v>52</v>
      </c>
      <c r="R867" s="8" t="s">
        <v>32</v>
      </c>
      <c r="S867" s="8" t="b">
        <f>_xlfn.SINGLE(CleanedData[[#This Row],[Delivery Status]])="Late"</f>
        <v>1</v>
      </c>
      <c r="T867" s="10">
        <v>9</v>
      </c>
      <c r="U867" s="8" t="s">
        <v>33</v>
      </c>
      <c r="V867" s="10">
        <v>4497</v>
      </c>
      <c r="W867" s="10">
        <v>4</v>
      </c>
      <c r="X867" s="12">
        <v>1.5873015873015799E-2</v>
      </c>
      <c r="Y867" s="8" t="b">
        <f>CleanedData[[#This Row],[Ship Date]]&lt;CleanedData[[#This Row],[Order Date]]</f>
        <v>0</v>
      </c>
      <c r="Z867" s="10">
        <f>YEAR(CleanedData[[#This Row],[Order Date]])</f>
        <v>2023</v>
      </c>
      <c r="AA867" s="8">
        <f>MONTH(CleanedData[[#This Row],[Order Date]])</f>
        <v>5</v>
      </c>
    </row>
    <row r="868" spans="1:27" x14ac:dyDescent="0.35">
      <c r="A868" s="8" t="s">
        <v>2553</v>
      </c>
      <c r="B868" s="9">
        <v>45590</v>
      </c>
      <c r="C868" s="9">
        <v>45489</v>
      </c>
      <c r="D868" s="8" t="s">
        <v>2555</v>
      </c>
      <c r="E868" s="8" t="s">
        <v>58</v>
      </c>
      <c r="F868" s="8" t="s">
        <v>59</v>
      </c>
      <c r="G868" s="8" t="s">
        <v>28</v>
      </c>
      <c r="H868" s="8" t="s">
        <v>507</v>
      </c>
      <c r="I868" s="8" t="s">
        <v>4979</v>
      </c>
      <c r="J868" s="10">
        <v>715</v>
      </c>
      <c r="K868" s="11">
        <v>1196.1500000000001</v>
      </c>
      <c r="L868" s="11">
        <v>1770.26</v>
      </c>
      <c r="M868" s="11">
        <v>1265735.8999999999</v>
      </c>
      <c r="N868" s="11">
        <v>855247.25</v>
      </c>
      <c r="O868" s="11">
        <f>CleanedData[[#This Row],[Total Sales ($)]]-CleanedData[[#This Row],[Total Cost ($)]]</f>
        <v>410488.64999999991</v>
      </c>
      <c r="P868" s="12">
        <f>CleanedData[[#This Row],[Profit ($)]]/CleanedData[[#This Row],[Total Sales ($)]]</f>
        <v>0.32430829369697101</v>
      </c>
      <c r="Q868" s="8" t="s">
        <v>52</v>
      </c>
      <c r="R868" s="8" t="s">
        <v>32</v>
      </c>
      <c r="S868" s="8" t="b">
        <f>_xlfn.SINGLE(CleanedData[[#This Row],[Delivery Status]])="Late"</f>
        <v>1</v>
      </c>
      <c r="T868" s="10">
        <v>15</v>
      </c>
      <c r="U868" s="8" t="s">
        <v>53</v>
      </c>
      <c r="V868" s="10">
        <v>1782</v>
      </c>
      <c r="W868" s="10">
        <v>28</v>
      </c>
      <c r="X868" s="12">
        <v>3.9160839160839102E-2</v>
      </c>
      <c r="Y868" s="8" t="b">
        <f>CleanedData[[#This Row],[Ship Date]]&lt;CleanedData[[#This Row],[Order Date]]</f>
        <v>1</v>
      </c>
      <c r="Z868" s="10">
        <f>YEAR(CleanedData[[#This Row],[Order Date]])</f>
        <v>2024</v>
      </c>
      <c r="AA868" s="8">
        <f>MONTH(CleanedData[[#This Row],[Order Date]])</f>
        <v>10</v>
      </c>
    </row>
    <row r="869" spans="1:27" x14ac:dyDescent="0.35">
      <c r="A869" s="8" t="s">
        <v>2556</v>
      </c>
      <c r="B869" s="9">
        <v>45277</v>
      </c>
      <c r="C869" s="9">
        <v>45224</v>
      </c>
      <c r="D869" s="8" t="s">
        <v>2557</v>
      </c>
      <c r="E869" s="8" t="s">
        <v>100</v>
      </c>
      <c r="F869" s="8" t="s">
        <v>101</v>
      </c>
      <c r="G869" s="8" t="s">
        <v>70</v>
      </c>
      <c r="H869" s="8" t="s">
        <v>822</v>
      </c>
      <c r="I869" s="8" t="s">
        <v>4971</v>
      </c>
      <c r="J869" s="10">
        <v>425</v>
      </c>
      <c r="K869" s="11">
        <v>1010.96</v>
      </c>
      <c r="L869" s="11">
        <v>1200.78</v>
      </c>
      <c r="M869" s="11">
        <v>510331.5</v>
      </c>
      <c r="N869" s="11">
        <v>429658</v>
      </c>
      <c r="O869" s="11">
        <f>CleanedData[[#This Row],[Total Sales ($)]]-CleanedData[[#This Row],[Total Cost ($)]]</f>
        <v>80673.5</v>
      </c>
      <c r="P869" s="12">
        <f>CleanedData[[#This Row],[Profit ($)]]/CleanedData[[#This Row],[Total Sales ($)]]</f>
        <v>0.15808058095571212</v>
      </c>
      <c r="Q869" s="8" t="s">
        <v>42</v>
      </c>
      <c r="R869" s="8" t="s">
        <v>32</v>
      </c>
      <c r="S869" s="8" t="b">
        <f>_xlfn.SINGLE(CleanedData[[#This Row],[Delivery Status]])="Late"</f>
        <v>1</v>
      </c>
      <c r="T869" s="10">
        <v>13</v>
      </c>
      <c r="U869" s="8" t="s">
        <v>158</v>
      </c>
      <c r="V869" s="10">
        <v>2310</v>
      </c>
      <c r="W869" s="10">
        <v>16</v>
      </c>
      <c r="X869" s="12">
        <v>3.7647058823529402E-2</v>
      </c>
      <c r="Y869" s="8" t="b">
        <f>CleanedData[[#This Row],[Ship Date]]&lt;CleanedData[[#This Row],[Order Date]]</f>
        <v>1</v>
      </c>
      <c r="Z869" s="10">
        <f>YEAR(CleanedData[[#This Row],[Order Date]])</f>
        <v>2023</v>
      </c>
      <c r="AA869" s="8">
        <f>MONTH(CleanedData[[#This Row],[Order Date]])</f>
        <v>12</v>
      </c>
    </row>
    <row r="870" spans="1:27" x14ac:dyDescent="0.35">
      <c r="A870" s="8" t="s">
        <v>2558</v>
      </c>
      <c r="B870" s="9">
        <v>45195</v>
      </c>
      <c r="C870" s="9">
        <v>45233</v>
      </c>
      <c r="D870" s="8" t="s">
        <v>2559</v>
      </c>
      <c r="E870" s="8" t="s">
        <v>48</v>
      </c>
      <c r="F870" s="8" t="s">
        <v>49</v>
      </c>
      <c r="G870" s="8" t="s">
        <v>39</v>
      </c>
      <c r="H870" s="8" t="s">
        <v>412</v>
      </c>
      <c r="I870" s="8" t="s">
        <v>4973</v>
      </c>
      <c r="J870" s="10">
        <v>448</v>
      </c>
      <c r="K870" s="11">
        <v>437.69</v>
      </c>
      <c r="L870" s="11">
        <v>712.94</v>
      </c>
      <c r="M870" s="11">
        <v>319397.12</v>
      </c>
      <c r="N870" s="11">
        <v>196085.12</v>
      </c>
      <c r="O870" s="11">
        <f>CleanedData[[#This Row],[Total Sales ($)]]-CleanedData[[#This Row],[Total Cost ($)]]</f>
        <v>123312</v>
      </c>
      <c r="P870" s="12">
        <f>CleanedData[[#This Row],[Profit ($)]]/CleanedData[[#This Row],[Total Sales ($)]]</f>
        <v>0.38607736976463658</v>
      </c>
      <c r="Q870" s="8" t="s">
        <v>52</v>
      </c>
      <c r="R870" s="8" t="s">
        <v>32</v>
      </c>
      <c r="S870" s="8" t="b">
        <f>_xlfn.SINGLE(CleanedData[[#This Row],[Delivery Status]])="Late"</f>
        <v>1</v>
      </c>
      <c r="T870" s="10">
        <v>10</v>
      </c>
      <c r="U870" s="8" t="s">
        <v>158</v>
      </c>
      <c r="V870" s="10">
        <v>4611</v>
      </c>
      <c r="W870" s="10">
        <v>16</v>
      </c>
      <c r="X870" s="12">
        <v>3.5714285714285698E-2</v>
      </c>
      <c r="Y870" s="8" t="b">
        <f>CleanedData[[#This Row],[Ship Date]]&lt;CleanedData[[#This Row],[Order Date]]</f>
        <v>0</v>
      </c>
      <c r="Z870" s="10">
        <f>YEAR(CleanedData[[#This Row],[Order Date]])</f>
        <v>2023</v>
      </c>
      <c r="AA870" s="8">
        <f>MONTH(CleanedData[[#This Row],[Order Date]])</f>
        <v>9</v>
      </c>
    </row>
    <row r="871" spans="1:27" x14ac:dyDescent="0.35">
      <c r="A871" s="8" t="s">
        <v>2560</v>
      </c>
      <c r="B871" s="9">
        <v>45215</v>
      </c>
      <c r="C871" s="9">
        <v>45109</v>
      </c>
      <c r="D871" s="8" t="s">
        <v>2561</v>
      </c>
      <c r="E871" s="8" t="s">
        <v>26</v>
      </c>
      <c r="F871" s="8" t="s">
        <v>77</v>
      </c>
      <c r="G871" s="8" t="s">
        <v>78</v>
      </c>
      <c r="H871" s="8" t="s">
        <v>178</v>
      </c>
      <c r="I871" s="8" t="s">
        <v>4974</v>
      </c>
      <c r="J871" s="10">
        <v>131</v>
      </c>
      <c r="K871" s="11">
        <v>177.13</v>
      </c>
      <c r="L871" s="11">
        <v>259.97000000000003</v>
      </c>
      <c r="M871" s="11">
        <v>34056.07</v>
      </c>
      <c r="N871" s="11">
        <v>23204.03</v>
      </c>
      <c r="O871" s="11">
        <f>CleanedData[[#This Row],[Total Sales ($)]]-CleanedData[[#This Row],[Total Cost ($)]]</f>
        <v>10852.04</v>
      </c>
      <c r="P871" s="12">
        <f>CleanedData[[#This Row],[Profit ($)]]/CleanedData[[#This Row],[Total Sales ($)]]</f>
        <v>0.31865215217140441</v>
      </c>
      <c r="Q871" s="8" t="s">
        <v>31</v>
      </c>
      <c r="R871" s="8" t="s">
        <v>63</v>
      </c>
      <c r="S871" s="8" t="b">
        <f>_xlfn.SINGLE(CleanedData[[#This Row],[Delivery Status]])="Late"</f>
        <v>0</v>
      </c>
      <c r="T871" s="10">
        <v>2</v>
      </c>
      <c r="U871" s="8" t="s">
        <v>53</v>
      </c>
      <c r="V871" s="10">
        <v>1792</v>
      </c>
      <c r="W871" s="10">
        <v>6</v>
      </c>
      <c r="X871" s="12">
        <v>4.5801526717557203E-2</v>
      </c>
      <c r="Y871" s="8" t="b">
        <f>CleanedData[[#This Row],[Ship Date]]&lt;CleanedData[[#This Row],[Order Date]]</f>
        <v>1</v>
      </c>
      <c r="Z871" s="10">
        <f>YEAR(CleanedData[[#This Row],[Order Date]])</f>
        <v>2023</v>
      </c>
      <c r="AA871" s="8">
        <f>MONTH(CleanedData[[#This Row],[Order Date]])</f>
        <v>10</v>
      </c>
    </row>
    <row r="872" spans="1:27" x14ac:dyDescent="0.35">
      <c r="A872" s="8" t="s">
        <v>2562</v>
      </c>
      <c r="B872" s="9">
        <v>45028</v>
      </c>
      <c r="C872" s="9">
        <v>45257</v>
      </c>
      <c r="D872" s="8" t="s">
        <v>2563</v>
      </c>
      <c r="E872" s="8" t="s">
        <v>100</v>
      </c>
      <c r="F872" s="8" t="s">
        <v>238</v>
      </c>
      <c r="G872" s="8" t="s">
        <v>60</v>
      </c>
      <c r="H872" s="8" t="s">
        <v>400</v>
      </c>
      <c r="I872" s="8" t="s">
        <v>4973</v>
      </c>
      <c r="J872" s="10">
        <v>50</v>
      </c>
      <c r="K872" s="11">
        <v>131.57</v>
      </c>
      <c r="L872" s="11">
        <v>165.55</v>
      </c>
      <c r="M872" s="11">
        <v>8277.5</v>
      </c>
      <c r="N872" s="11">
        <v>6578.5</v>
      </c>
      <c r="O872" s="11">
        <f>CleanedData[[#This Row],[Total Sales ($)]]-CleanedData[[#This Row],[Total Cost ($)]]</f>
        <v>1699</v>
      </c>
      <c r="P872" s="12">
        <f>CleanedData[[#This Row],[Profit ($)]]/CleanedData[[#This Row],[Total Sales ($)]]</f>
        <v>0.20525520990637269</v>
      </c>
      <c r="Q872" s="8" t="s">
        <v>95</v>
      </c>
      <c r="R872" s="8" t="s">
        <v>63</v>
      </c>
      <c r="S872" s="8" t="b">
        <f>_xlfn.SINGLE(CleanedData[[#This Row],[Delivery Status]])="Late"</f>
        <v>0</v>
      </c>
      <c r="T872" s="10">
        <v>5</v>
      </c>
      <c r="U872" s="8" t="s">
        <v>86</v>
      </c>
      <c r="V872" s="10">
        <v>2923</v>
      </c>
      <c r="W872" s="10">
        <v>0</v>
      </c>
      <c r="X872" s="12">
        <v>0</v>
      </c>
      <c r="Y872" s="8" t="b">
        <f>CleanedData[[#This Row],[Ship Date]]&lt;CleanedData[[#This Row],[Order Date]]</f>
        <v>0</v>
      </c>
      <c r="Z872" s="10">
        <f>YEAR(CleanedData[[#This Row],[Order Date]])</f>
        <v>2023</v>
      </c>
      <c r="AA872" s="8">
        <f>MONTH(CleanedData[[#This Row],[Order Date]])</f>
        <v>4</v>
      </c>
    </row>
    <row r="873" spans="1:27" x14ac:dyDescent="0.35">
      <c r="A873" s="8" t="s">
        <v>2564</v>
      </c>
      <c r="B873" s="9">
        <v>45398</v>
      </c>
      <c r="C873" s="9">
        <v>45462</v>
      </c>
      <c r="D873" s="8" t="s">
        <v>2565</v>
      </c>
      <c r="E873" s="8" t="s">
        <v>26</v>
      </c>
      <c r="F873" s="8" t="s">
        <v>77</v>
      </c>
      <c r="G873" s="8" t="s">
        <v>189</v>
      </c>
      <c r="H873" s="8" t="s">
        <v>437</v>
      </c>
      <c r="I873" s="8" t="s">
        <v>4970</v>
      </c>
      <c r="J873" s="10">
        <v>39</v>
      </c>
      <c r="K873" s="11">
        <v>77.34</v>
      </c>
      <c r="L873" s="11">
        <v>87.1</v>
      </c>
      <c r="M873" s="11">
        <v>3396.9</v>
      </c>
      <c r="N873" s="11">
        <v>3016.26</v>
      </c>
      <c r="O873" s="11">
        <f>CleanedData[[#This Row],[Total Sales ($)]]-CleanedData[[#This Row],[Total Cost ($)]]</f>
        <v>380.63999999999987</v>
      </c>
      <c r="P873" s="12">
        <f>CleanedData[[#This Row],[Profit ($)]]/CleanedData[[#This Row],[Total Sales ($)]]</f>
        <v>0.11205510907003441</v>
      </c>
      <c r="Q873" s="8" t="s">
        <v>95</v>
      </c>
      <c r="R873" s="8" t="s">
        <v>63</v>
      </c>
      <c r="S873" s="8" t="b">
        <f>_xlfn.SINGLE(CleanedData[[#This Row],[Delivery Status]])="Late"</f>
        <v>0</v>
      </c>
      <c r="T873" s="10">
        <v>1</v>
      </c>
      <c r="U873" s="8" t="s">
        <v>86</v>
      </c>
      <c r="V873" s="10">
        <v>2808</v>
      </c>
      <c r="W873" s="10">
        <v>1</v>
      </c>
      <c r="X873" s="12">
        <v>2.5641025641025599E-2</v>
      </c>
      <c r="Y873" s="8" t="b">
        <f>CleanedData[[#This Row],[Ship Date]]&lt;CleanedData[[#This Row],[Order Date]]</f>
        <v>0</v>
      </c>
      <c r="Z873" s="10">
        <f>YEAR(CleanedData[[#This Row],[Order Date]])</f>
        <v>2024</v>
      </c>
      <c r="AA873" s="8">
        <f>MONTH(CleanedData[[#This Row],[Order Date]])</f>
        <v>4</v>
      </c>
    </row>
    <row r="874" spans="1:27" x14ac:dyDescent="0.35">
      <c r="A874" s="8" t="s">
        <v>2566</v>
      </c>
      <c r="B874" s="9">
        <v>44938</v>
      </c>
      <c r="C874" s="9">
        <v>45194</v>
      </c>
      <c r="D874" s="8" t="s">
        <v>2981</v>
      </c>
      <c r="E874" s="8" t="s">
        <v>100</v>
      </c>
      <c r="F874" s="8" t="s">
        <v>101</v>
      </c>
      <c r="G874" s="8" t="s">
        <v>39</v>
      </c>
      <c r="H874" s="8" t="s">
        <v>664</v>
      </c>
      <c r="I874" s="8" t="s">
        <v>4977</v>
      </c>
      <c r="J874" s="10">
        <v>304</v>
      </c>
      <c r="K874" s="11">
        <v>1108.08</v>
      </c>
      <c r="L874" s="11">
        <v>1597.99</v>
      </c>
      <c r="M874" s="11">
        <v>485788.96</v>
      </c>
      <c r="N874" s="11">
        <v>336856.32000000001</v>
      </c>
      <c r="O874" s="11">
        <f>CleanedData[[#This Row],[Total Sales ($)]]-CleanedData[[#This Row],[Total Cost ($)]]</f>
        <v>148932.64000000001</v>
      </c>
      <c r="P874" s="12">
        <f>CleanedData[[#This Row],[Profit ($)]]/CleanedData[[#This Row],[Total Sales ($)]]</f>
        <v>0.30657888973022362</v>
      </c>
      <c r="Q874" s="8" t="s">
        <v>95</v>
      </c>
      <c r="R874" s="8" t="s">
        <v>32</v>
      </c>
      <c r="S874" s="8" t="b">
        <f>_xlfn.SINGLE(CleanedData[[#This Row],[Delivery Status]])="Late"</f>
        <v>1</v>
      </c>
      <c r="T874" s="10">
        <v>13</v>
      </c>
      <c r="U874" s="8" t="s">
        <v>33</v>
      </c>
      <c r="V874" s="10">
        <v>397</v>
      </c>
      <c r="W874" s="10">
        <v>12</v>
      </c>
      <c r="X874" s="12">
        <v>3.94736842105263E-2</v>
      </c>
      <c r="Y874" s="8" t="b">
        <f>CleanedData[[#This Row],[Ship Date]]&lt;CleanedData[[#This Row],[Order Date]]</f>
        <v>0</v>
      </c>
      <c r="Z874" s="10">
        <f>YEAR(CleanedData[[#This Row],[Order Date]])</f>
        <v>2023</v>
      </c>
      <c r="AA874" s="8">
        <f>MONTH(CleanedData[[#This Row],[Order Date]])</f>
        <v>1</v>
      </c>
    </row>
    <row r="875" spans="1:27" x14ac:dyDescent="0.35">
      <c r="A875" s="8" t="s">
        <v>2568</v>
      </c>
      <c r="B875" s="9">
        <v>45132</v>
      </c>
      <c r="C875" s="9">
        <v>45048</v>
      </c>
      <c r="D875" s="8" t="s">
        <v>2570</v>
      </c>
      <c r="E875" s="8" t="s">
        <v>58</v>
      </c>
      <c r="F875" s="8" t="s">
        <v>59</v>
      </c>
      <c r="G875" s="8" t="s">
        <v>39</v>
      </c>
      <c r="H875" s="8" t="s">
        <v>354</v>
      </c>
      <c r="I875" s="8" t="s">
        <v>4978</v>
      </c>
      <c r="J875" s="10">
        <v>754</v>
      </c>
      <c r="K875" s="11">
        <v>799.87</v>
      </c>
      <c r="L875" s="11">
        <v>1140.33</v>
      </c>
      <c r="M875" s="11">
        <v>859808.82</v>
      </c>
      <c r="N875" s="11">
        <v>603101.98</v>
      </c>
      <c r="O875" s="11">
        <f>CleanedData[[#This Row],[Total Sales ($)]]-CleanedData[[#This Row],[Total Cost ($)]]</f>
        <v>256706.83999999997</v>
      </c>
      <c r="P875" s="12">
        <f>CleanedData[[#This Row],[Profit ($)]]/CleanedData[[#This Row],[Total Sales ($)]]</f>
        <v>0.29856269676321767</v>
      </c>
      <c r="Q875" s="8" t="s">
        <v>42</v>
      </c>
      <c r="R875" s="8" t="s">
        <v>63</v>
      </c>
      <c r="S875" s="8" t="b">
        <f>_xlfn.SINGLE(CleanedData[[#This Row],[Delivery Status]])="Late"</f>
        <v>0</v>
      </c>
      <c r="T875" s="10">
        <v>5</v>
      </c>
      <c r="U875" s="8" t="s">
        <v>53</v>
      </c>
      <c r="V875" s="10">
        <v>3862</v>
      </c>
      <c r="W875" s="10">
        <v>5</v>
      </c>
      <c r="X875" s="12">
        <v>6.6312997347479996E-3</v>
      </c>
      <c r="Y875" s="8" t="b">
        <f>CleanedData[[#This Row],[Ship Date]]&lt;CleanedData[[#This Row],[Order Date]]</f>
        <v>1</v>
      </c>
      <c r="Z875" s="10">
        <f>YEAR(CleanedData[[#This Row],[Order Date]])</f>
        <v>2023</v>
      </c>
      <c r="AA875" s="8">
        <f>MONTH(CleanedData[[#This Row],[Order Date]])</f>
        <v>7</v>
      </c>
    </row>
    <row r="876" spans="1:27" x14ac:dyDescent="0.35">
      <c r="A876" s="8" t="s">
        <v>2571</v>
      </c>
      <c r="B876" s="9">
        <v>45086</v>
      </c>
      <c r="C876" s="9">
        <v>45024</v>
      </c>
      <c r="D876" s="8" t="s">
        <v>2572</v>
      </c>
      <c r="E876" s="8" t="s">
        <v>100</v>
      </c>
      <c r="F876" s="8" t="s">
        <v>538</v>
      </c>
      <c r="G876" s="8" t="s">
        <v>129</v>
      </c>
      <c r="H876" s="8" t="s">
        <v>704</v>
      </c>
      <c r="I876" s="8" t="s">
        <v>4979</v>
      </c>
      <c r="J876" s="10">
        <v>644</v>
      </c>
      <c r="K876" s="11">
        <v>840.65</v>
      </c>
      <c r="L876" s="11">
        <v>1054.1500000000001</v>
      </c>
      <c r="M876" s="11">
        <v>678872.6</v>
      </c>
      <c r="N876" s="11">
        <v>541378.6</v>
      </c>
      <c r="O876" s="11">
        <f>CleanedData[[#This Row],[Total Sales ($)]]-CleanedData[[#This Row],[Total Cost ($)]]</f>
        <v>137494</v>
      </c>
      <c r="P876" s="12">
        <f>CleanedData[[#This Row],[Profit ($)]]/CleanedData[[#This Row],[Total Sales ($)]]</f>
        <v>0.20253284636911256</v>
      </c>
      <c r="Q876" s="8" t="s">
        <v>31</v>
      </c>
      <c r="R876" s="8" t="s">
        <v>32</v>
      </c>
      <c r="S876" s="8" t="b">
        <f>_xlfn.SINGLE(CleanedData[[#This Row],[Delivery Status]])="Late"</f>
        <v>1</v>
      </c>
      <c r="T876" s="10">
        <v>11</v>
      </c>
      <c r="U876" s="8" t="s">
        <v>33</v>
      </c>
      <c r="V876" s="10">
        <v>3582</v>
      </c>
      <c r="W876" s="10">
        <v>32</v>
      </c>
      <c r="X876" s="12">
        <v>4.9689440993788803E-2</v>
      </c>
      <c r="Y876" s="8" t="b">
        <f>CleanedData[[#This Row],[Ship Date]]&lt;CleanedData[[#This Row],[Order Date]]</f>
        <v>1</v>
      </c>
      <c r="Z876" s="10">
        <f>YEAR(CleanedData[[#This Row],[Order Date]])</f>
        <v>2023</v>
      </c>
      <c r="AA876" s="8">
        <f>MONTH(CleanedData[[#This Row],[Order Date]])</f>
        <v>6</v>
      </c>
    </row>
    <row r="877" spans="1:27" x14ac:dyDescent="0.35">
      <c r="A877" s="8" t="s">
        <v>2573</v>
      </c>
      <c r="B877" s="9">
        <v>45157</v>
      </c>
      <c r="C877" s="9">
        <v>45139</v>
      </c>
      <c r="D877" s="8" t="s">
        <v>2574</v>
      </c>
      <c r="E877" s="8" t="s">
        <v>26</v>
      </c>
      <c r="F877" s="8" t="s">
        <v>77</v>
      </c>
      <c r="G877" s="8" t="s">
        <v>217</v>
      </c>
      <c r="H877" s="8" t="s">
        <v>218</v>
      </c>
      <c r="I877" s="8" t="s">
        <v>4976</v>
      </c>
      <c r="J877" s="10">
        <v>158</v>
      </c>
      <c r="K877" s="11">
        <v>410.04</v>
      </c>
      <c r="L877" s="11">
        <v>572.54</v>
      </c>
      <c r="M877" s="11">
        <v>90461.32</v>
      </c>
      <c r="N877" s="11">
        <v>64786.32</v>
      </c>
      <c r="O877" s="11">
        <f>CleanedData[[#This Row],[Total Sales ($)]]-CleanedData[[#This Row],[Total Cost ($)]]</f>
        <v>25675.000000000007</v>
      </c>
      <c r="P877" s="12">
        <f>CleanedData[[#This Row],[Profit ($)]]/CleanedData[[#This Row],[Total Sales ($)]]</f>
        <v>0.28382296433436971</v>
      </c>
      <c r="Q877" s="8" t="s">
        <v>52</v>
      </c>
      <c r="R877" s="8" t="s">
        <v>32</v>
      </c>
      <c r="S877" s="8" t="b">
        <f>_xlfn.SINGLE(CleanedData[[#This Row],[Delivery Status]])="Late"</f>
        <v>1</v>
      </c>
      <c r="T877" s="10">
        <v>10</v>
      </c>
      <c r="U877" s="8" t="s">
        <v>158</v>
      </c>
      <c r="V877" s="10">
        <v>3398</v>
      </c>
      <c r="W877" s="10">
        <v>6</v>
      </c>
      <c r="X877" s="12">
        <v>3.7974683544303799E-2</v>
      </c>
      <c r="Y877" s="8" t="b">
        <f>CleanedData[[#This Row],[Ship Date]]&lt;CleanedData[[#This Row],[Order Date]]</f>
        <v>1</v>
      </c>
      <c r="Z877" s="10">
        <f>YEAR(CleanedData[[#This Row],[Order Date]])</f>
        <v>2023</v>
      </c>
      <c r="AA877" s="8">
        <f>MONTH(CleanedData[[#This Row],[Order Date]])</f>
        <v>8</v>
      </c>
    </row>
    <row r="878" spans="1:27" x14ac:dyDescent="0.35">
      <c r="A878" s="8" t="s">
        <v>2575</v>
      </c>
      <c r="B878" s="9">
        <v>45083</v>
      </c>
      <c r="C878" s="9">
        <v>45236</v>
      </c>
      <c r="D878" s="8" t="s">
        <v>2576</v>
      </c>
      <c r="E878" s="8" t="s">
        <v>100</v>
      </c>
      <c r="F878" s="8" t="s">
        <v>106</v>
      </c>
      <c r="G878" s="8" t="s">
        <v>93</v>
      </c>
      <c r="H878" s="8" t="s">
        <v>321</v>
      </c>
      <c r="I878" s="8" t="s">
        <v>4974</v>
      </c>
      <c r="J878" s="10">
        <v>320</v>
      </c>
      <c r="K878" s="11">
        <v>1108.71</v>
      </c>
      <c r="L878" s="11">
        <v>1581.19</v>
      </c>
      <c r="M878" s="11">
        <v>505980.8</v>
      </c>
      <c r="N878" s="11">
        <v>354787.2</v>
      </c>
      <c r="O878" s="11">
        <f>CleanedData[[#This Row],[Total Sales ($)]]-CleanedData[[#This Row],[Total Cost ($)]]</f>
        <v>151193.59999999998</v>
      </c>
      <c r="P878" s="12">
        <f>CleanedData[[#This Row],[Profit ($)]]/CleanedData[[#This Row],[Total Sales ($)]]</f>
        <v>0.29881291938350224</v>
      </c>
      <c r="Q878" s="8" t="s">
        <v>52</v>
      </c>
      <c r="R878" s="8" t="s">
        <v>32</v>
      </c>
      <c r="S878" s="8" t="b">
        <f>_xlfn.SINGLE(CleanedData[[#This Row],[Delivery Status]])="Late"</f>
        <v>1</v>
      </c>
      <c r="T878" s="10">
        <v>10</v>
      </c>
      <c r="U878" s="8" t="s">
        <v>112</v>
      </c>
      <c r="V878" s="10">
        <v>3514</v>
      </c>
      <c r="W878" s="10"/>
      <c r="X878" s="12"/>
      <c r="Y878" s="8" t="b">
        <f>CleanedData[[#This Row],[Ship Date]]&lt;CleanedData[[#This Row],[Order Date]]</f>
        <v>0</v>
      </c>
      <c r="Z878" s="10">
        <f>YEAR(CleanedData[[#This Row],[Order Date]])</f>
        <v>2023</v>
      </c>
      <c r="AA878" s="8">
        <f>MONTH(CleanedData[[#This Row],[Order Date]])</f>
        <v>6</v>
      </c>
    </row>
    <row r="879" spans="1:27" x14ac:dyDescent="0.35">
      <c r="A879" s="8" t="s">
        <v>2577</v>
      </c>
      <c r="B879" s="9">
        <v>44974</v>
      </c>
      <c r="C879" s="9">
        <v>45269</v>
      </c>
      <c r="D879" s="8" t="s">
        <v>2580</v>
      </c>
      <c r="E879" s="8" t="s">
        <v>58</v>
      </c>
      <c r="F879" s="8" t="s">
        <v>116</v>
      </c>
      <c r="G879" s="8" t="s">
        <v>70</v>
      </c>
      <c r="H879" s="8" t="s">
        <v>623</v>
      </c>
      <c r="I879" s="8" t="s">
        <v>4978</v>
      </c>
      <c r="J879" s="10">
        <v>586</v>
      </c>
      <c r="K879" s="11">
        <v>1197.69</v>
      </c>
      <c r="L879" s="11">
        <v>1553.55</v>
      </c>
      <c r="M879" s="11">
        <v>910380.3</v>
      </c>
      <c r="N879" s="11">
        <v>701846.34</v>
      </c>
      <c r="O879" s="11">
        <f>CleanedData[[#This Row],[Total Sales ($)]]-CleanedData[[#This Row],[Total Cost ($)]]</f>
        <v>208533.96000000008</v>
      </c>
      <c r="P879" s="12">
        <f>CleanedData[[#This Row],[Profit ($)]]/CleanedData[[#This Row],[Total Sales ($)]]</f>
        <v>0.2290624698271701</v>
      </c>
      <c r="Q879" s="8" t="s">
        <v>31</v>
      </c>
      <c r="R879" s="8" t="s">
        <v>32</v>
      </c>
      <c r="S879" s="8" t="b">
        <f>_xlfn.SINGLE(CleanedData[[#This Row],[Delivery Status]])="Late"</f>
        <v>1</v>
      </c>
      <c r="T879" s="10">
        <v>12</v>
      </c>
      <c r="U879" s="8" t="s">
        <v>33</v>
      </c>
      <c r="V879" s="10">
        <v>2602</v>
      </c>
      <c r="W879" s="10">
        <v>2</v>
      </c>
      <c r="X879" s="12">
        <v>3.4129692832763998E-3</v>
      </c>
      <c r="Y879" s="8" t="b">
        <f>CleanedData[[#This Row],[Ship Date]]&lt;CleanedData[[#This Row],[Order Date]]</f>
        <v>0</v>
      </c>
      <c r="Z879" s="10">
        <f>YEAR(CleanedData[[#This Row],[Order Date]])</f>
        <v>2023</v>
      </c>
      <c r="AA879" s="8">
        <f>MONTH(CleanedData[[#This Row],[Order Date]])</f>
        <v>2</v>
      </c>
    </row>
    <row r="880" spans="1:27" x14ac:dyDescent="0.35">
      <c r="A880" s="8" t="s">
        <v>2582</v>
      </c>
      <c r="B880" s="9">
        <v>45562</v>
      </c>
      <c r="C880" s="9">
        <v>45437</v>
      </c>
      <c r="D880" s="8" t="s">
        <v>2585</v>
      </c>
      <c r="E880" s="8" t="s">
        <v>100</v>
      </c>
      <c r="F880" s="8" t="s">
        <v>538</v>
      </c>
      <c r="G880" s="8" t="s">
        <v>129</v>
      </c>
      <c r="H880" s="8" t="s">
        <v>811</v>
      </c>
      <c r="I880" s="8" t="s">
        <v>4968</v>
      </c>
      <c r="J880" s="10">
        <v>285</v>
      </c>
      <c r="K880" s="11">
        <v>360.2</v>
      </c>
      <c r="L880" s="11">
        <v>512.04999999999995</v>
      </c>
      <c r="M880" s="11">
        <v>145934.25</v>
      </c>
      <c r="N880" s="11">
        <v>102657</v>
      </c>
      <c r="O880" s="11">
        <f>CleanedData[[#This Row],[Total Sales ($)]]-CleanedData[[#This Row],[Total Cost ($)]]</f>
        <v>43277.25</v>
      </c>
      <c r="P880" s="12">
        <f>CleanedData[[#This Row],[Profit ($)]]/CleanedData[[#This Row],[Total Sales ($)]]</f>
        <v>0.29655307098916123</v>
      </c>
      <c r="Q880" s="8" t="s">
        <v>95</v>
      </c>
      <c r="R880" s="8" t="s">
        <v>63</v>
      </c>
      <c r="S880" s="8" t="b">
        <f>_xlfn.SINGLE(CleanedData[[#This Row],[Delivery Status]])="Late"</f>
        <v>0</v>
      </c>
      <c r="T880" s="10">
        <v>4</v>
      </c>
      <c r="U880" s="8" t="s">
        <v>43</v>
      </c>
      <c r="V880" s="10">
        <v>4588</v>
      </c>
      <c r="W880" s="10">
        <v>8</v>
      </c>
      <c r="X880" s="12">
        <v>2.8070175438596402E-2</v>
      </c>
      <c r="Y880" s="8" t="b">
        <f>CleanedData[[#This Row],[Ship Date]]&lt;CleanedData[[#This Row],[Order Date]]</f>
        <v>1</v>
      </c>
      <c r="Z880" s="10">
        <f>YEAR(CleanedData[[#This Row],[Order Date]])</f>
        <v>2024</v>
      </c>
      <c r="AA880" s="8">
        <f>MONTH(CleanedData[[#This Row],[Order Date]])</f>
        <v>9</v>
      </c>
    </row>
    <row r="881" spans="1:27" x14ac:dyDescent="0.35">
      <c r="A881" s="8" t="s">
        <v>2586</v>
      </c>
      <c r="B881" s="9">
        <v>45083</v>
      </c>
      <c r="C881" s="9">
        <v>45074</v>
      </c>
      <c r="D881" s="8" t="s">
        <v>2587</v>
      </c>
      <c r="E881" s="8" t="s">
        <v>100</v>
      </c>
      <c r="F881" s="8" t="s">
        <v>538</v>
      </c>
      <c r="G881" s="8" t="s">
        <v>78</v>
      </c>
      <c r="H881" s="8" t="s">
        <v>79</v>
      </c>
      <c r="I881" s="8" t="s">
        <v>4979</v>
      </c>
      <c r="J881" s="10">
        <v>769</v>
      </c>
      <c r="K881" s="11">
        <v>358.87</v>
      </c>
      <c r="L881" s="11">
        <v>406.27</v>
      </c>
      <c r="M881" s="11">
        <v>312421.63</v>
      </c>
      <c r="N881" s="11">
        <v>275971.03000000003</v>
      </c>
      <c r="O881" s="11">
        <f>CleanedData[[#This Row],[Total Sales ($)]]-CleanedData[[#This Row],[Total Cost ($)]]</f>
        <v>36450.599999999977</v>
      </c>
      <c r="P881" s="12">
        <f>CleanedData[[#This Row],[Profit ($)]]/CleanedData[[#This Row],[Total Sales ($)]]</f>
        <v>0.11667117926502073</v>
      </c>
      <c r="Q881" s="8" t="s">
        <v>42</v>
      </c>
      <c r="R881" s="8" t="s">
        <v>32</v>
      </c>
      <c r="S881" s="8" t="b">
        <f>_xlfn.SINGLE(CleanedData[[#This Row],[Delivery Status]])="Late"</f>
        <v>1</v>
      </c>
      <c r="T881" s="10">
        <v>9</v>
      </c>
      <c r="U881" s="8" t="s">
        <v>86</v>
      </c>
      <c r="V881" s="10">
        <v>1395</v>
      </c>
      <c r="W881" s="10">
        <v>36</v>
      </c>
      <c r="X881" s="12">
        <v>4.6814044213263899E-2</v>
      </c>
      <c r="Y881" s="8" t="b">
        <f>CleanedData[[#This Row],[Ship Date]]&lt;CleanedData[[#This Row],[Order Date]]</f>
        <v>1</v>
      </c>
      <c r="Z881" s="10">
        <f>YEAR(CleanedData[[#This Row],[Order Date]])</f>
        <v>2023</v>
      </c>
      <c r="AA881" s="8">
        <f>MONTH(CleanedData[[#This Row],[Order Date]])</f>
        <v>6</v>
      </c>
    </row>
    <row r="882" spans="1:27" x14ac:dyDescent="0.35">
      <c r="A882" s="8" t="s">
        <v>2588</v>
      </c>
      <c r="B882" s="9">
        <v>45616</v>
      </c>
      <c r="C882" s="9">
        <v>45171</v>
      </c>
      <c r="D882" s="8" t="s">
        <v>2590</v>
      </c>
      <c r="E882" s="8" t="s">
        <v>68</v>
      </c>
      <c r="F882" s="8" t="s">
        <v>163</v>
      </c>
      <c r="G882" s="8" t="s">
        <v>189</v>
      </c>
      <c r="H882" s="8" t="s">
        <v>271</v>
      </c>
      <c r="I882" s="8" t="s">
        <v>4973</v>
      </c>
      <c r="J882" s="10">
        <v>455</v>
      </c>
      <c r="K882" s="11">
        <v>1038.26</v>
      </c>
      <c r="L882" s="11">
        <v>1588.06</v>
      </c>
      <c r="M882" s="11">
        <v>722567.3</v>
      </c>
      <c r="N882" s="11">
        <v>472408.3</v>
      </c>
      <c r="O882" s="11">
        <f>CleanedData[[#This Row],[Total Sales ($)]]-CleanedData[[#This Row],[Total Cost ($)]]</f>
        <v>250159.00000000006</v>
      </c>
      <c r="P882" s="12">
        <f>CleanedData[[#This Row],[Profit ($)]]/CleanedData[[#This Row],[Total Sales ($)]]</f>
        <v>0.34620858153974038</v>
      </c>
      <c r="Q882" s="8" t="s">
        <v>52</v>
      </c>
      <c r="R882" s="8" t="s">
        <v>32</v>
      </c>
      <c r="S882" s="8" t="b">
        <f>_xlfn.SINGLE(CleanedData[[#This Row],[Delivery Status]])="Late"</f>
        <v>1</v>
      </c>
      <c r="T882" s="10">
        <v>13</v>
      </c>
      <c r="U882" s="8" t="s">
        <v>33</v>
      </c>
      <c r="V882" s="10">
        <v>909</v>
      </c>
      <c r="W882" s="10">
        <v>16</v>
      </c>
      <c r="X882" s="12">
        <v>3.5164835164835102E-2</v>
      </c>
      <c r="Y882" s="8" t="b">
        <f>CleanedData[[#This Row],[Ship Date]]&lt;CleanedData[[#This Row],[Order Date]]</f>
        <v>1</v>
      </c>
      <c r="Z882" s="10">
        <f>YEAR(CleanedData[[#This Row],[Order Date]])</f>
        <v>2024</v>
      </c>
      <c r="AA882" s="8">
        <f>MONTH(CleanedData[[#This Row],[Order Date]])</f>
        <v>11</v>
      </c>
    </row>
    <row r="883" spans="1:27" x14ac:dyDescent="0.35">
      <c r="A883" s="8" t="s">
        <v>2591</v>
      </c>
      <c r="B883" s="9">
        <v>45161</v>
      </c>
      <c r="C883" s="9">
        <v>45215</v>
      </c>
      <c r="D883" s="8" t="s">
        <v>2592</v>
      </c>
      <c r="E883" s="8" t="s">
        <v>58</v>
      </c>
      <c r="F883" s="8" t="s">
        <v>259</v>
      </c>
      <c r="G883" s="8" t="s">
        <v>50</v>
      </c>
      <c r="H883" s="8" t="s">
        <v>51</v>
      </c>
      <c r="I883" s="8" t="s">
        <v>4969</v>
      </c>
      <c r="J883" s="10">
        <v>70</v>
      </c>
      <c r="K883" s="11">
        <v>500.81</v>
      </c>
      <c r="L883" s="11">
        <v>703.45</v>
      </c>
      <c r="M883" s="11">
        <v>49241.5</v>
      </c>
      <c r="N883" s="11">
        <v>35056.699999999997</v>
      </c>
      <c r="O883" s="11">
        <f>CleanedData[[#This Row],[Total Sales ($)]]-CleanedData[[#This Row],[Total Cost ($)]]</f>
        <v>14184.800000000003</v>
      </c>
      <c r="P883" s="12">
        <f>CleanedData[[#This Row],[Profit ($)]]/CleanedData[[#This Row],[Total Sales ($)]]</f>
        <v>0.28806596062264561</v>
      </c>
      <c r="Q883" s="8" t="s">
        <v>42</v>
      </c>
      <c r="R883" s="8" t="s">
        <v>32</v>
      </c>
      <c r="S883" s="8" t="b">
        <f>_xlfn.SINGLE(CleanedData[[#This Row],[Delivery Status]])="Late"</f>
        <v>1</v>
      </c>
      <c r="T883" s="10">
        <v>12</v>
      </c>
      <c r="U883" s="8" t="s">
        <v>86</v>
      </c>
      <c r="V883" s="10">
        <v>1815</v>
      </c>
      <c r="W883" s="10">
        <v>2</v>
      </c>
      <c r="X883" s="12">
        <v>2.8571428571428501E-2</v>
      </c>
      <c r="Y883" s="8" t="b">
        <f>CleanedData[[#This Row],[Ship Date]]&lt;CleanedData[[#This Row],[Order Date]]</f>
        <v>0</v>
      </c>
      <c r="Z883" s="10">
        <f>YEAR(CleanedData[[#This Row],[Order Date]])</f>
        <v>2023</v>
      </c>
      <c r="AA883" s="8">
        <f>MONTH(CleanedData[[#This Row],[Order Date]])</f>
        <v>8</v>
      </c>
    </row>
    <row r="884" spans="1:27" x14ac:dyDescent="0.35">
      <c r="A884" s="8" t="s">
        <v>2593</v>
      </c>
      <c r="B884" s="9">
        <v>45125</v>
      </c>
      <c r="C884" s="9">
        <v>45156</v>
      </c>
      <c r="D884" s="8" t="s">
        <v>2594</v>
      </c>
      <c r="E884" s="8" t="s">
        <v>26</v>
      </c>
      <c r="F884" s="8" t="s">
        <v>228</v>
      </c>
      <c r="G884" s="8" t="s">
        <v>70</v>
      </c>
      <c r="H884" s="8" t="s">
        <v>84</v>
      </c>
      <c r="I884" s="8" t="s">
        <v>4973</v>
      </c>
      <c r="J884" s="10">
        <v>761</v>
      </c>
      <c r="K884" s="11">
        <v>95.07</v>
      </c>
      <c r="L884" s="11">
        <v>121.04</v>
      </c>
      <c r="M884" s="11">
        <v>92111.44</v>
      </c>
      <c r="N884" s="11">
        <v>72348.27</v>
      </c>
      <c r="O884" s="11">
        <f>CleanedData[[#This Row],[Total Sales ($)]]-CleanedData[[#This Row],[Total Cost ($)]]</f>
        <v>19763.169999999998</v>
      </c>
      <c r="P884" s="12">
        <f>CleanedData[[#This Row],[Profit ($)]]/CleanedData[[#This Row],[Total Sales ($)]]</f>
        <v>0.21455717118307996</v>
      </c>
      <c r="Q884" s="8" t="s">
        <v>42</v>
      </c>
      <c r="R884" s="8" t="s">
        <v>32</v>
      </c>
      <c r="S884" s="8" t="b">
        <f>_xlfn.SINGLE(CleanedData[[#This Row],[Delivery Status]])="Late"</f>
        <v>1</v>
      </c>
      <c r="T884" s="10">
        <v>9</v>
      </c>
      <c r="U884" s="8" t="s">
        <v>112</v>
      </c>
      <c r="V884" s="10">
        <v>424</v>
      </c>
      <c r="W884" s="10">
        <v>25</v>
      </c>
      <c r="X884" s="12">
        <v>3.2851511169513799E-2</v>
      </c>
      <c r="Y884" s="8" t="b">
        <f>CleanedData[[#This Row],[Ship Date]]&lt;CleanedData[[#This Row],[Order Date]]</f>
        <v>0</v>
      </c>
      <c r="Z884" s="10">
        <f>YEAR(CleanedData[[#This Row],[Order Date]])</f>
        <v>2023</v>
      </c>
      <c r="AA884" s="8">
        <f>MONTH(CleanedData[[#This Row],[Order Date]])</f>
        <v>7</v>
      </c>
    </row>
    <row r="885" spans="1:27" x14ac:dyDescent="0.35">
      <c r="A885" s="8" t="s">
        <v>2595</v>
      </c>
      <c r="B885" s="9">
        <v>45043</v>
      </c>
      <c r="C885" s="9">
        <v>45133</v>
      </c>
      <c r="D885" s="8" t="s">
        <v>2596</v>
      </c>
      <c r="E885" s="8" t="s">
        <v>26</v>
      </c>
      <c r="F885" s="8" t="s">
        <v>228</v>
      </c>
      <c r="G885" s="8" t="s">
        <v>28</v>
      </c>
      <c r="H885" s="8" t="s">
        <v>714</v>
      </c>
      <c r="I885" s="8" t="s">
        <v>4973</v>
      </c>
      <c r="J885" s="10">
        <v>95</v>
      </c>
      <c r="K885" s="11">
        <v>771.97</v>
      </c>
      <c r="L885" s="11">
        <v>1193.8</v>
      </c>
      <c r="M885" s="11">
        <v>113411</v>
      </c>
      <c r="N885" s="11">
        <v>73337.149999999994</v>
      </c>
      <c r="O885" s="11">
        <f>CleanedData[[#This Row],[Total Sales ($)]]-CleanedData[[#This Row],[Total Cost ($)]]</f>
        <v>40073.850000000006</v>
      </c>
      <c r="P885" s="12">
        <f>CleanedData[[#This Row],[Profit ($)]]/CleanedData[[#This Row],[Total Sales ($)]]</f>
        <v>0.35335064499916241</v>
      </c>
      <c r="Q885" s="8" t="s">
        <v>95</v>
      </c>
      <c r="R885" s="8" t="s">
        <v>63</v>
      </c>
      <c r="S885" s="8" t="b">
        <f>_xlfn.SINGLE(CleanedData[[#This Row],[Delivery Status]])="Late"</f>
        <v>0</v>
      </c>
      <c r="T885" s="10">
        <v>4</v>
      </c>
      <c r="U885" s="8" t="s">
        <v>112</v>
      </c>
      <c r="V885" s="10">
        <v>2452</v>
      </c>
      <c r="W885" s="10">
        <v>1</v>
      </c>
      <c r="X885" s="12">
        <v>1.0526315789473601E-2</v>
      </c>
      <c r="Y885" s="8" t="b">
        <f>CleanedData[[#This Row],[Ship Date]]&lt;CleanedData[[#This Row],[Order Date]]</f>
        <v>0</v>
      </c>
      <c r="Z885" s="10">
        <f>YEAR(CleanedData[[#This Row],[Order Date]])</f>
        <v>2023</v>
      </c>
      <c r="AA885" s="8">
        <f>MONTH(CleanedData[[#This Row],[Order Date]])</f>
        <v>4</v>
      </c>
    </row>
    <row r="886" spans="1:27" x14ac:dyDescent="0.35">
      <c r="A886" s="8" t="s">
        <v>2597</v>
      </c>
      <c r="B886" s="9">
        <v>45275</v>
      </c>
      <c r="C886" s="9">
        <v>45149</v>
      </c>
      <c r="D886" s="8" t="s">
        <v>2598</v>
      </c>
      <c r="E886" s="8" t="s">
        <v>100</v>
      </c>
      <c r="F886" s="8" t="s">
        <v>106</v>
      </c>
      <c r="G886" s="8" t="s">
        <v>78</v>
      </c>
      <c r="H886" s="8" t="s">
        <v>79</v>
      </c>
      <c r="I886" s="8" t="s">
        <v>4973</v>
      </c>
      <c r="J886" s="10">
        <v>583</v>
      </c>
      <c r="K886" s="11">
        <v>448.28</v>
      </c>
      <c r="L886" s="11">
        <v>610.13</v>
      </c>
      <c r="M886" s="11">
        <v>355705.79</v>
      </c>
      <c r="N886" s="11">
        <v>261347.24</v>
      </c>
      <c r="O886" s="11">
        <f>CleanedData[[#This Row],[Total Sales ($)]]-CleanedData[[#This Row],[Total Cost ($)]]</f>
        <v>94358.549999999988</v>
      </c>
      <c r="P886" s="12">
        <f>CleanedData[[#This Row],[Profit ($)]]/CleanedData[[#This Row],[Total Sales ($)]]</f>
        <v>0.26527133561699962</v>
      </c>
      <c r="Q886" s="8" t="s">
        <v>95</v>
      </c>
      <c r="R886" s="8" t="s">
        <v>32</v>
      </c>
      <c r="S886" s="8" t="b">
        <f>_xlfn.SINGLE(CleanedData[[#This Row],[Delivery Status]])="Late"</f>
        <v>1</v>
      </c>
      <c r="T886" s="10">
        <v>14</v>
      </c>
      <c r="U886" s="8" t="s">
        <v>33</v>
      </c>
      <c r="V886" s="10">
        <v>2692</v>
      </c>
      <c r="W886" s="10">
        <v>10</v>
      </c>
      <c r="X886" s="12">
        <v>1.7152658662092601E-2</v>
      </c>
      <c r="Y886" s="8" t="b">
        <f>CleanedData[[#This Row],[Ship Date]]&lt;CleanedData[[#This Row],[Order Date]]</f>
        <v>1</v>
      </c>
      <c r="Z886" s="10">
        <f>YEAR(CleanedData[[#This Row],[Order Date]])</f>
        <v>2023</v>
      </c>
      <c r="AA886" s="8">
        <f>MONTH(CleanedData[[#This Row],[Order Date]])</f>
        <v>12</v>
      </c>
    </row>
    <row r="887" spans="1:27" x14ac:dyDescent="0.35">
      <c r="A887" s="8" t="s">
        <v>2600</v>
      </c>
      <c r="B887" s="9">
        <v>45157</v>
      </c>
      <c r="C887" s="9">
        <v>45010</v>
      </c>
      <c r="D887" s="8" t="s">
        <v>2601</v>
      </c>
      <c r="E887" s="8" t="s">
        <v>68</v>
      </c>
      <c r="F887" s="8" t="s">
        <v>276</v>
      </c>
      <c r="G887" s="8" t="s">
        <v>189</v>
      </c>
      <c r="H887" s="8" t="s">
        <v>437</v>
      </c>
      <c r="I887" s="8" t="s">
        <v>4976</v>
      </c>
      <c r="J887" s="10">
        <v>187</v>
      </c>
      <c r="K887" s="11">
        <v>814.14</v>
      </c>
      <c r="L887" s="11">
        <v>957.87</v>
      </c>
      <c r="M887" s="11">
        <v>179121.69</v>
      </c>
      <c r="N887" s="11">
        <v>152244.18</v>
      </c>
      <c r="O887" s="11">
        <f>CleanedData[[#This Row],[Total Sales ($)]]-CleanedData[[#This Row],[Total Cost ($)]]</f>
        <v>26877.510000000009</v>
      </c>
      <c r="P887" s="12">
        <f>CleanedData[[#This Row],[Profit ($)]]/CleanedData[[#This Row],[Total Sales ($)]]</f>
        <v>0.15005167715869591</v>
      </c>
      <c r="Q887" s="8" t="s">
        <v>42</v>
      </c>
      <c r="R887" s="8" t="s">
        <v>32</v>
      </c>
      <c r="S887" s="8" t="b">
        <f>_xlfn.SINGLE(CleanedData[[#This Row],[Delivery Status]])="Late"</f>
        <v>1</v>
      </c>
      <c r="T887" s="10">
        <v>8</v>
      </c>
      <c r="U887" s="8" t="s">
        <v>112</v>
      </c>
      <c r="V887" s="10">
        <v>4478</v>
      </c>
      <c r="W887" s="10"/>
      <c r="X887" s="12"/>
      <c r="Y887" s="8" t="b">
        <f>CleanedData[[#This Row],[Ship Date]]&lt;CleanedData[[#This Row],[Order Date]]</f>
        <v>1</v>
      </c>
      <c r="Z887" s="10">
        <f>YEAR(CleanedData[[#This Row],[Order Date]])</f>
        <v>2023</v>
      </c>
      <c r="AA887" s="8">
        <f>MONTH(CleanedData[[#This Row],[Order Date]])</f>
        <v>8</v>
      </c>
    </row>
    <row r="888" spans="1:27" x14ac:dyDescent="0.35">
      <c r="A888" s="8" t="s">
        <v>2602</v>
      </c>
      <c r="B888" s="9">
        <v>45499</v>
      </c>
      <c r="C888" s="9">
        <v>45580</v>
      </c>
      <c r="D888" s="8" t="s">
        <v>2605</v>
      </c>
      <c r="E888" s="8" t="s">
        <v>26</v>
      </c>
      <c r="F888" s="8" t="s">
        <v>77</v>
      </c>
      <c r="G888" s="8" t="s">
        <v>129</v>
      </c>
      <c r="H888" s="8" t="s">
        <v>168</v>
      </c>
      <c r="I888" s="8" t="s">
        <v>4977</v>
      </c>
      <c r="J888" s="10">
        <v>286</v>
      </c>
      <c r="K888" s="11">
        <v>415.28</v>
      </c>
      <c r="L888" s="11">
        <v>577.37</v>
      </c>
      <c r="M888" s="11">
        <v>165127.82</v>
      </c>
      <c r="N888" s="11">
        <v>118770.08</v>
      </c>
      <c r="O888" s="11">
        <f>CleanedData[[#This Row],[Total Sales ($)]]-CleanedData[[#This Row],[Total Cost ($)]]</f>
        <v>46357.740000000005</v>
      </c>
      <c r="P888" s="12">
        <f>CleanedData[[#This Row],[Profit ($)]]/CleanedData[[#This Row],[Total Sales ($)]]</f>
        <v>0.28073852122555731</v>
      </c>
      <c r="Q888" s="8" t="s">
        <v>42</v>
      </c>
      <c r="R888" s="8" t="s">
        <v>32</v>
      </c>
      <c r="S888" s="8" t="b">
        <f>_xlfn.SINGLE(CleanedData[[#This Row],[Delivery Status]])="Late"</f>
        <v>1</v>
      </c>
      <c r="T888" s="10">
        <v>6</v>
      </c>
      <c r="U888" s="8" t="s">
        <v>33</v>
      </c>
      <c r="V888" s="10">
        <v>1404</v>
      </c>
      <c r="W888" s="10">
        <v>5</v>
      </c>
      <c r="X888" s="12">
        <v>1.7482517482517401E-2</v>
      </c>
      <c r="Y888" s="8" t="b">
        <f>CleanedData[[#This Row],[Ship Date]]&lt;CleanedData[[#This Row],[Order Date]]</f>
        <v>0</v>
      </c>
      <c r="Z888" s="10">
        <f>YEAR(CleanedData[[#This Row],[Order Date]])</f>
        <v>2024</v>
      </c>
      <c r="AA888" s="8">
        <f>MONTH(CleanedData[[#This Row],[Order Date]])</f>
        <v>7</v>
      </c>
    </row>
    <row r="889" spans="1:27" x14ac:dyDescent="0.35">
      <c r="A889" s="8" t="s">
        <v>2606</v>
      </c>
      <c r="B889" s="9">
        <v>45518</v>
      </c>
      <c r="C889" s="9">
        <v>45429</v>
      </c>
      <c r="D889" s="8" t="s">
        <v>2607</v>
      </c>
      <c r="E889" s="8" t="s">
        <v>68</v>
      </c>
      <c r="F889" s="8" t="s">
        <v>69</v>
      </c>
      <c r="G889" s="8" t="s">
        <v>70</v>
      </c>
      <c r="H889" s="8" t="s">
        <v>239</v>
      </c>
      <c r="I889" s="8" t="s">
        <v>4975</v>
      </c>
      <c r="J889" s="10">
        <v>-12</v>
      </c>
      <c r="K889" s="11">
        <v>458.06</v>
      </c>
      <c r="L889" s="11">
        <v>548.6</v>
      </c>
      <c r="M889" s="11">
        <v>307216</v>
      </c>
      <c r="N889" s="11">
        <v>256513.6</v>
      </c>
      <c r="O889" s="11">
        <f>CleanedData[[#This Row],[Total Sales ($)]]-CleanedData[[#This Row],[Total Cost ($)]]</f>
        <v>50702.399999999994</v>
      </c>
      <c r="P889" s="12">
        <f>CleanedData[[#This Row],[Profit ($)]]/CleanedData[[#This Row],[Total Sales ($)]]</f>
        <v>0.16503827925628872</v>
      </c>
      <c r="Q889" s="8" t="s">
        <v>52</v>
      </c>
      <c r="R889" s="8" t="s">
        <v>32</v>
      </c>
      <c r="S889" s="8" t="b">
        <f>_xlfn.SINGLE(CleanedData[[#This Row],[Delivery Status]])="Late"</f>
        <v>1</v>
      </c>
      <c r="T889" s="10">
        <v>11</v>
      </c>
      <c r="U889" s="8" t="s">
        <v>43</v>
      </c>
      <c r="V889" s="10">
        <v>4343</v>
      </c>
      <c r="W889" s="10">
        <v>7</v>
      </c>
      <c r="X889" s="12"/>
      <c r="Y889" s="8" t="b">
        <f>CleanedData[[#This Row],[Ship Date]]&lt;CleanedData[[#This Row],[Order Date]]</f>
        <v>1</v>
      </c>
      <c r="Z889" s="10">
        <f>YEAR(CleanedData[[#This Row],[Order Date]])</f>
        <v>2024</v>
      </c>
      <c r="AA889" s="8">
        <f>MONTH(CleanedData[[#This Row],[Order Date]])</f>
        <v>8</v>
      </c>
    </row>
    <row r="890" spans="1:27" x14ac:dyDescent="0.35">
      <c r="A890" s="8" t="s">
        <v>2608</v>
      </c>
      <c r="B890" s="9">
        <v>45560</v>
      </c>
      <c r="C890" s="9">
        <v>45623</v>
      </c>
      <c r="D890" s="8" t="s">
        <v>2610</v>
      </c>
      <c r="E890" s="8" t="s">
        <v>48</v>
      </c>
      <c r="F890" s="8" t="s">
        <v>281</v>
      </c>
      <c r="G890" s="8" t="s">
        <v>78</v>
      </c>
      <c r="H890" s="8" t="s">
        <v>4972</v>
      </c>
      <c r="I890" s="8" t="s">
        <v>4969</v>
      </c>
      <c r="J890" s="10">
        <v>553</v>
      </c>
      <c r="K890" s="11">
        <v>184.72</v>
      </c>
      <c r="L890" s="11">
        <v>208.11</v>
      </c>
      <c r="M890" s="11">
        <v>115084.83</v>
      </c>
      <c r="N890" s="11">
        <v>102150.16</v>
      </c>
      <c r="O890" s="11">
        <f>CleanedData[[#This Row],[Total Sales ($)]]-CleanedData[[#This Row],[Total Cost ($)]]</f>
        <v>12934.669999999998</v>
      </c>
      <c r="P890" s="12">
        <f>CleanedData[[#This Row],[Profit ($)]]/CleanedData[[#This Row],[Total Sales ($)]]</f>
        <v>0.11239248474364517</v>
      </c>
      <c r="Q890" s="8" t="s">
        <v>95</v>
      </c>
      <c r="R890" s="8" t="s">
        <v>32</v>
      </c>
      <c r="S890" s="8" t="b">
        <f>_xlfn.SINGLE(CleanedData[[#This Row],[Delivery Status]])="Late"</f>
        <v>1</v>
      </c>
      <c r="T890" s="10">
        <v>15</v>
      </c>
      <c r="U890" s="8" t="s">
        <v>53</v>
      </c>
      <c r="V890" s="10">
        <v>2144</v>
      </c>
      <c r="W890" s="10">
        <v>19</v>
      </c>
      <c r="X890" s="12">
        <v>3.4358047016274797E-2</v>
      </c>
      <c r="Y890" s="8" t="b">
        <f>CleanedData[[#This Row],[Ship Date]]&lt;CleanedData[[#This Row],[Order Date]]</f>
        <v>0</v>
      </c>
      <c r="Z890" s="10">
        <f>YEAR(CleanedData[[#This Row],[Order Date]])</f>
        <v>2024</v>
      </c>
      <c r="AA890" s="8">
        <f>MONTH(CleanedData[[#This Row],[Order Date]])</f>
        <v>9</v>
      </c>
    </row>
    <row r="891" spans="1:27" x14ac:dyDescent="0.35">
      <c r="A891" s="8" t="s">
        <v>2611</v>
      </c>
      <c r="B891" s="9">
        <v>45558</v>
      </c>
      <c r="C891" s="9">
        <v>45329</v>
      </c>
      <c r="D891" s="8" t="s">
        <v>2613</v>
      </c>
      <c r="E891" s="8" t="s">
        <v>58</v>
      </c>
      <c r="F891" s="8" t="s">
        <v>417</v>
      </c>
      <c r="G891" s="8" t="s">
        <v>50</v>
      </c>
      <c r="H891" s="8" t="s">
        <v>260</v>
      </c>
      <c r="I891" s="8" t="s">
        <v>4970</v>
      </c>
      <c r="J891" s="10">
        <v>477</v>
      </c>
      <c r="K891" s="11">
        <v>1076.6199999999999</v>
      </c>
      <c r="L891" s="11">
        <v>1722.35</v>
      </c>
      <c r="M891" s="11">
        <v>821560.95</v>
      </c>
      <c r="N891" s="11">
        <v>513547.74</v>
      </c>
      <c r="O891" s="11">
        <f>CleanedData[[#This Row],[Total Sales ($)]]-CleanedData[[#This Row],[Total Cost ($)]]</f>
        <v>308013.20999999996</v>
      </c>
      <c r="P891" s="12">
        <f>CleanedData[[#This Row],[Profit ($)]]/CleanedData[[#This Row],[Total Sales ($)]]</f>
        <v>0.3749121839347403</v>
      </c>
      <c r="Q891" s="8" t="s">
        <v>95</v>
      </c>
      <c r="R891" s="8" t="s">
        <v>63</v>
      </c>
      <c r="S891" s="8" t="b">
        <f>_xlfn.SINGLE(CleanedData[[#This Row],[Delivery Status]])="Late"</f>
        <v>0</v>
      </c>
      <c r="T891" s="10">
        <v>10</v>
      </c>
      <c r="U891" s="8" t="s">
        <v>158</v>
      </c>
      <c r="V891" s="10">
        <v>772</v>
      </c>
      <c r="W891" s="10">
        <v>17</v>
      </c>
      <c r="X891" s="12">
        <v>3.5639412997903498E-2</v>
      </c>
      <c r="Y891" s="8" t="b">
        <f>CleanedData[[#This Row],[Ship Date]]&lt;CleanedData[[#This Row],[Order Date]]</f>
        <v>1</v>
      </c>
      <c r="Z891" s="10">
        <f>YEAR(CleanedData[[#This Row],[Order Date]])</f>
        <v>2024</v>
      </c>
      <c r="AA891" s="8">
        <f>MONTH(CleanedData[[#This Row],[Order Date]])</f>
        <v>9</v>
      </c>
    </row>
    <row r="892" spans="1:27" x14ac:dyDescent="0.35">
      <c r="A892" s="8" t="s">
        <v>2614</v>
      </c>
      <c r="B892" s="9">
        <v>45339</v>
      </c>
      <c r="C892" s="9">
        <v>45557</v>
      </c>
      <c r="D892" s="8" t="s">
        <v>2615</v>
      </c>
      <c r="E892" s="8" t="s">
        <v>48</v>
      </c>
      <c r="F892" s="8" t="s">
        <v>223</v>
      </c>
      <c r="G892" s="8" t="s">
        <v>93</v>
      </c>
      <c r="H892" s="8" t="s">
        <v>4972</v>
      </c>
      <c r="I892" s="8" t="s">
        <v>4978</v>
      </c>
      <c r="J892" s="10">
        <v>313</v>
      </c>
      <c r="K892" s="11">
        <v>313.02999999999997</v>
      </c>
      <c r="L892" s="11">
        <v>450.56</v>
      </c>
      <c r="M892" s="11">
        <v>141025.28</v>
      </c>
      <c r="N892" s="11">
        <v>97978.39</v>
      </c>
      <c r="O892" s="11">
        <f>CleanedData[[#This Row],[Total Sales ($)]]-CleanedData[[#This Row],[Total Cost ($)]]</f>
        <v>43046.89</v>
      </c>
      <c r="P892" s="12">
        <f>CleanedData[[#This Row],[Profit ($)]]/CleanedData[[#This Row],[Total Sales ($)]]</f>
        <v>0.30524236505681818</v>
      </c>
      <c r="Q892" s="8" t="s">
        <v>95</v>
      </c>
      <c r="R892" s="8" t="s">
        <v>63</v>
      </c>
      <c r="S892" s="8" t="b">
        <f>_xlfn.SINGLE(CleanedData[[#This Row],[Delivery Status]])="Late"</f>
        <v>0</v>
      </c>
      <c r="T892" s="10">
        <v>4</v>
      </c>
      <c r="U892" s="8" t="s">
        <v>112</v>
      </c>
      <c r="V892" s="10">
        <v>1600</v>
      </c>
      <c r="W892" s="10">
        <v>5</v>
      </c>
      <c r="X892" s="12">
        <v>1.5974440894568599E-2</v>
      </c>
      <c r="Y892" s="8" t="b">
        <f>CleanedData[[#This Row],[Ship Date]]&lt;CleanedData[[#This Row],[Order Date]]</f>
        <v>0</v>
      </c>
      <c r="Z892" s="10">
        <f>YEAR(CleanedData[[#This Row],[Order Date]])</f>
        <v>2024</v>
      </c>
      <c r="AA892" s="8">
        <f>MONTH(CleanedData[[#This Row],[Order Date]])</f>
        <v>2</v>
      </c>
    </row>
    <row r="893" spans="1:27" x14ac:dyDescent="0.35">
      <c r="A893" s="8" t="s">
        <v>1774</v>
      </c>
      <c r="B893" s="9">
        <v>45048</v>
      </c>
      <c r="C893" s="9">
        <v>44953</v>
      </c>
      <c r="D893" s="8" t="s">
        <v>1777</v>
      </c>
      <c r="E893" s="8" t="s">
        <v>100</v>
      </c>
      <c r="F893" s="8" t="s">
        <v>330</v>
      </c>
      <c r="G893" s="8" t="s">
        <v>78</v>
      </c>
      <c r="H893" s="8" t="s">
        <v>572</v>
      </c>
      <c r="I893" s="8" t="s">
        <v>4975</v>
      </c>
      <c r="J893" s="10">
        <v>46</v>
      </c>
      <c r="K893" s="11">
        <v>790.79</v>
      </c>
      <c r="L893" s="11">
        <v>1285.17</v>
      </c>
      <c r="M893" s="11">
        <v>59117.82</v>
      </c>
      <c r="N893" s="11">
        <v>36376.339999999997</v>
      </c>
      <c r="O893" s="11">
        <f>CleanedData[[#This Row],[Total Sales ($)]]-CleanedData[[#This Row],[Total Cost ($)]]</f>
        <v>22741.480000000003</v>
      </c>
      <c r="P893" s="12">
        <f>CleanedData[[#This Row],[Profit ($)]]/CleanedData[[#This Row],[Total Sales ($)]]</f>
        <v>0.38468062590941282</v>
      </c>
      <c r="Q893" s="8" t="s">
        <v>52</v>
      </c>
      <c r="R893" s="8" t="s">
        <v>32</v>
      </c>
      <c r="S893" s="8" t="b">
        <f>_xlfn.SINGLE(CleanedData[[#This Row],[Delivery Status]])="Late"</f>
        <v>1</v>
      </c>
      <c r="T893" s="10">
        <v>3</v>
      </c>
      <c r="U893" s="8" t="s">
        <v>43</v>
      </c>
      <c r="V893" s="10">
        <v>2289</v>
      </c>
      <c r="W893" s="10">
        <v>2</v>
      </c>
      <c r="X893" s="12">
        <v>4.3478260869565202E-2</v>
      </c>
      <c r="Y893" s="8" t="b">
        <f>CleanedData[[#This Row],[Ship Date]]&lt;CleanedData[[#This Row],[Order Date]]</f>
        <v>1</v>
      </c>
      <c r="Z893" s="10">
        <f>YEAR(CleanedData[[#This Row],[Order Date]])</f>
        <v>2023</v>
      </c>
      <c r="AA893" s="8">
        <f>MONTH(CleanedData[[#This Row],[Order Date]])</f>
        <v>5</v>
      </c>
    </row>
    <row r="894" spans="1:27" x14ac:dyDescent="0.35">
      <c r="A894" s="8" t="s">
        <v>2617</v>
      </c>
      <c r="B894" s="9">
        <v>44996</v>
      </c>
      <c r="C894" s="9">
        <v>45069</v>
      </c>
      <c r="D894" s="8" t="s">
        <v>2618</v>
      </c>
      <c r="E894" s="8" t="s">
        <v>68</v>
      </c>
      <c r="F894" s="8" t="s">
        <v>276</v>
      </c>
      <c r="G894" s="8" t="s">
        <v>50</v>
      </c>
      <c r="H894" s="8" t="s">
        <v>51</v>
      </c>
      <c r="I894" s="8" t="s">
        <v>4968</v>
      </c>
      <c r="J894" s="10">
        <v>258</v>
      </c>
      <c r="K894" s="11">
        <v>161.68</v>
      </c>
      <c r="L894" s="11">
        <v>182.61</v>
      </c>
      <c r="M894" s="11">
        <v>47113.38</v>
      </c>
      <c r="N894" s="11">
        <v>41713.440000000002</v>
      </c>
      <c r="O894" s="11">
        <f>CleanedData[[#This Row],[Total Sales ($)]]-CleanedData[[#This Row],[Total Cost ($)]]</f>
        <v>5399.9399999999951</v>
      </c>
      <c r="P894" s="12">
        <f>CleanedData[[#This Row],[Profit ($)]]/CleanedData[[#This Row],[Total Sales ($)]]</f>
        <v>0.11461584798203812</v>
      </c>
      <c r="Q894" s="8" t="s">
        <v>52</v>
      </c>
      <c r="R894" s="8" t="s">
        <v>32</v>
      </c>
      <c r="S894" s="8" t="b">
        <f>_xlfn.SINGLE(CleanedData[[#This Row],[Delivery Status]])="Late"</f>
        <v>1</v>
      </c>
      <c r="T894" s="10">
        <v>6</v>
      </c>
      <c r="U894" s="8" t="s">
        <v>53</v>
      </c>
      <c r="V894" s="10">
        <v>1967</v>
      </c>
      <c r="W894" s="10">
        <v>6</v>
      </c>
      <c r="X894" s="12">
        <v>2.3255813953488299E-2</v>
      </c>
      <c r="Y894" s="8" t="b">
        <f>CleanedData[[#This Row],[Ship Date]]&lt;CleanedData[[#This Row],[Order Date]]</f>
        <v>0</v>
      </c>
      <c r="Z894" s="10">
        <f>YEAR(CleanedData[[#This Row],[Order Date]])</f>
        <v>2023</v>
      </c>
      <c r="AA894" s="8">
        <f>MONTH(CleanedData[[#This Row],[Order Date]])</f>
        <v>3</v>
      </c>
    </row>
    <row r="895" spans="1:27" x14ac:dyDescent="0.35">
      <c r="A895" s="8" t="s">
        <v>2619</v>
      </c>
      <c r="B895" s="9">
        <v>45085</v>
      </c>
      <c r="C895" s="9">
        <v>44967</v>
      </c>
      <c r="D895" s="8" t="s">
        <v>2621</v>
      </c>
      <c r="E895" s="8" t="s">
        <v>68</v>
      </c>
      <c r="F895" s="8" t="s">
        <v>249</v>
      </c>
      <c r="G895" s="8" t="s">
        <v>129</v>
      </c>
      <c r="H895" s="8" t="s">
        <v>811</v>
      </c>
      <c r="I895" s="8" t="s">
        <v>4978</v>
      </c>
      <c r="J895" s="10">
        <v>736</v>
      </c>
      <c r="K895" s="11">
        <v>230.3</v>
      </c>
      <c r="L895" s="11">
        <v>354.13</v>
      </c>
      <c r="M895" s="11">
        <v>260639.68</v>
      </c>
      <c r="N895" s="11">
        <v>169500.79999999999</v>
      </c>
      <c r="O895" s="11">
        <f>CleanedData[[#This Row],[Total Sales ($)]]-CleanedData[[#This Row],[Total Cost ($)]]</f>
        <v>91138.880000000005</v>
      </c>
      <c r="P895" s="12">
        <f>CleanedData[[#This Row],[Profit ($)]]/CleanedData[[#This Row],[Total Sales ($)]]</f>
        <v>0.34967384858667722</v>
      </c>
      <c r="Q895" s="8" t="s">
        <v>95</v>
      </c>
      <c r="R895" s="8" t="s">
        <v>32</v>
      </c>
      <c r="S895" s="8" t="b">
        <f>_xlfn.SINGLE(CleanedData[[#This Row],[Delivery Status]])="Late"</f>
        <v>1</v>
      </c>
      <c r="T895" s="10">
        <v>15</v>
      </c>
      <c r="U895" s="8" t="s">
        <v>43</v>
      </c>
      <c r="V895" s="10">
        <v>2604</v>
      </c>
      <c r="W895" s="10">
        <v>11</v>
      </c>
      <c r="X895" s="12">
        <v>1.4945652173913001E-2</v>
      </c>
      <c r="Y895" s="8" t="b">
        <f>CleanedData[[#This Row],[Ship Date]]&lt;CleanedData[[#This Row],[Order Date]]</f>
        <v>1</v>
      </c>
      <c r="Z895" s="10">
        <f>YEAR(CleanedData[[#This Row],[Order Date]])</f>
        <v>2023</v>
      </c>
      <c r="AA895" s="8">
        <f>MONTH(CleanedData[[#This Row],[Order Date]])</f>
        <v>6</v>
      </c>
    </row>
    <row r="896" spans="1:27" x14ac:dyDescent="0.35">
      <c r="A896" s="8" t="s">
        <v>2622</v>
      </c>
      <c r="B896" s="9">
        <v>45237</v>
      </c>
      <c r="C896" s="9">
        <v>45025</v>
      </c>
      <c r="D896" s="8" t="s">
        <v>2623</v>
      </c>
      <c r="E896" s="8" t="s">
        <v>26</v>
      </c>
      <c r="F896" s="8" t="s">
        <v>27</v>
      </c>
      <c r="G896" s="8" t="s">
        <v>60</v>
      </c>
      <c r="H896" s="8" t="s">
        <v>229</v>
      </c>
      <c r="I896" s="8" t="s">
        <v>4971</v>
      </c>
      <c r="J896" s="10">
        <v>329</v>
      </c>
      <c r="K896" s="11">
        <v>770.12</v>
      </c>
      <c r="L896" s="11">
        <v>971.48</v>
      </c>
      <c r="M896" s="11">
        <v>319616.92</v>
      </c>
      <c r="N896" s="11">
        <v>253369.48</v>
      </c>
      <c r="O896" s="11">
        <f>CleanedData[[#This Row],[Total Sales ($)]]-CleanedData[[#This Row],[Total Cost ($)]]</f>
        <v>66247.439999999973</v>
      </c>
      <c r="P896" s="12">
        <f>CleanedData[[#This Row],[Profit ($)]]/CleanedData[[#This Row],[Total Sales ($)]]</f>
        <v>0.20727137975048374</v>
      </c>
      <c r="Q896" s="8" t="s">
        <v>95</v>
      </c>
      <c r="R896" s="8" t="s">
        <v>63</v>
      </c>
      <c r="S896" s="8" t="b">
        <f>_xlfn.SINGLE(CleanedData[[#This Row],[Delivery Status]])="Late"</f>
        <v>0</v>
      </c>
      <c r="T896" s="10">
        <v>4</v>
      </c>
      <c r="U896" s="8" t="s">
        <v>86</v>
      </c>
      <c r="V896" s="10">
        <v>2533</v>
      </c>
      <c r="W896" s="10">
        <v>14</v>
      </c>
      <c r="X896" s="12">
        <v>4.2553191489361701E-2</v>
      </c>
      <c r="Y896" s="8" t="b">
        <f>CleanedData[[#This Row],[Ship Date]]&lt;CleanedData[[#This Row],[Order Date]]</f>
        <v>1</v>
      </c>
      <c r="Z896" s="10">
        <f>YEAR(CleanedData[[#This Row],[Order Date]])</f>
        <v>2023</v>
      </c>
      <c r="AA896" s="8">
        <f>MONTH(CleanedData[[#This Row],[Order Date]])</f>
        <v>11</v>
      </c>
    </row>
    <row r="897" spans="1:27" x14ac:dyDescent="0.35">
      <c r="A897" s="8" t="s">
        <v>2624</v>
      </c>
      <c r="B897" s="9">
        <v>44935</v>
      </c>
      <c r="C897" s="9">
        <v>45181</v>
      </c>
      <c r="D897" s="8" t="s">
        <v>2625</v>
      </c>
      <c r="E897" s="8" t="s">
        <v>100</v>
      </c>
      <c r="F897" s="8" t="s">
        <v>106</v>
      </c>
      <c r="G897" s="8" t="s">
        <v>28</v>
      </c>
      <c r="H897" s="8" t="s">
        <v>212</v>
      </c>
      <c r="I897" s="8" t="s">
        <v>4977</v>
      </c>
      <c r="J897" s="10">
        <v>310</v>
      </c>
      <c r="K897" s="11">
        <v>262.91000000000003</v>
      </c>
      <c r="L897" s="11">
        <v>348.87</v>
      </c>
      <c r="M897" s="11">
        <v>108149.7</v>
      </c>
      <c r="N897" s="11">
        <v>81502.100000000006</v>
      </c>
      <c r="O897" s="11">
        <f>CleanedData[[#This Row],[Total Sales ($)]]-CleanedData[[#This Row],[Total Cost ($)]]</f>
        <v>26647.599999999991</v>
      </c>
      <c r="P897" s="12">
        <f>CleanedData[[#This Row],[Profit ($)]]/CleanedData[[#This Row],[Total Sales ($)]]</f>
        <v>0.24639550548915062</v>
      </c>
      <c r="Q897" s="8" t="s">
        <v>42</v>
      </c>
      <c r="R897" s="8" t="s">
        <v>32</v>
      </c>
      <c r="S897" s="8" t="b">
        <f>_xlfn.SINGLE(CleanedData[[#This Row],[Delivery Status]])="Late"</f>
        <v>1</v>
      </c>
      <c r="T897" s="10">
        <v>14</v>
      </c>
      <c r="U897" s="8" t="s">
        <v>112</v>
      </c>
      <c r="V897" s="10">
        <v>4099</v>
      </c>
      <c r="W897" s="10">
        <v>8</v>
      </c>
      <c r="X897" s="12">
        <v>2.5806451612903201E-2</v>
      </c>
      <c r="Y897" s="8" t="b">
        <f>CleanedData[[#This Row],[Ship Date]]&lt;CleanedData[[#This Row],[Order Date]]</f>
        <v>0</v>
      </c>
      <c r="Z897" s="10">
        <f>YEAR(CleanedData[[#This Row],[Order Date]])</f>
        <v>2023</v>
      </c>
      <c r="AA897" s="8">
        <f>MONTH(CleanedData[[#This Row],[Order Date]])</f>
        <v>1</v>
      </c>
    </row>
    <row r="898" spans="1:27" x14ac:dyDescent="0.35">
      <c r="A898" s="8" t="s">
        <v>2626</v>
      </c>
      <c r="B898" s="9">
        <v>45218</v>
      </c>
      <c r="C898" s="9">
        <v>45096</v>
      </c>
      <c r="D898" s="8" t="s">
        <v>2627</v>
      </c>
      <c r="E898" s="8" t="s">
        <v>100</v>
      </c>
      <c r="F898" s="8" t="s">
        <v>101</v>
      </c>
      <c r="G898" s="8" t="s">
        <v>50</v>
      </c>
      <c r="H898" s="8" t="s">
        <v>734</v>
      </c>
      <c r="I898" s="8" t="s">
        <v>4974</v>
      </c>
      <c r="J898" s="10">
        <v>264</v>
      </c>
      <c r="K898" s="11">
        <v>536.12</v>
      </c>
      <c r="L898" s="11">
        <v>630.57000000000005</v>
      </c>
      <c r="M898" s="11">
        <v>166470.48000000001</v>
      </c>
      <c r="N898" s="11">
        <v>141535.67999999999</v>
      </c>
      <c r="O898" s="11">
        <f>CleanedData[[#This Row],[Total Sales ($)]]-CleanedData[[#This Row],[Total Cost ($)]]</f>
        <v>24934.800000000017</v>
      </c>
      <c r="P898" s="12">
        <f>CleanedData[[#This Row],[Profit ($)]]/CleanedData[[#This Row],[Total Sales ($)]]</f>
        <v>0.14978511505463321</v>
      </c>
      <c r="Q898" s="8" t="s">
        <v>95</v>
      </c>
      <c r="R898" s="8" t="s">
        <v>63</v>
      </c>
      <c r="S898" s="8" t="b">
        <f>_xlfn.SINGLE(CleanedData[[#This Row],[Delivery Status]])="Late"</f>
        <v>0</v>
      </c>
      <c r="T898" s="10">
        <v>4</v>
      </c>
      <c r="U898" s="8" t="s">
        <v>158</v>
      </c>
      <c r="V898" s="10">
        <v>1410</v>
      </c>
      <c r="W898" s="10">
        <v>4</v>
      </c>
      <c r="X898" s="12">
        <v>1.51515151515151E-2</v>
      </c>
      <c r="Y898" s="8" t="b">
        <f>CleanedData[[#This Row],[Ship Date]]&lt;CleanedData[[#This Row],[Order Date]]</f>
        <v>1</v>
      </c>
      <c r="Z898" s="10">
        <f>YEAR(CleanedData[[#This Row],[Order Date]])</f>
        <v>2023</v>
      </c>
      <c r="AA898" s="8">
        <f>MONTH(CleanedData[[#This Row],[Order Date]])</f>
        <v>10</v>
      </c>
    </row>
    <row r="899" spans="1:27" x14ac:dyDescent="0.35">
      <c r="A899" s="8" t="s">
        <v>2628</v>
      </c>
      <c r="B899" s="9">
        <v>45251</v>
      </c>
      <c r="C899" s="9">
        <v>45007</v>
      </c>
      <c r="D899" s="8" t="s">
        <v>2629</v>
      </c>
      <c r="E899" s="8" t="s">
        <v>48</v>
      </c>
      <c r="F899" s="8" t="s">
        <v>183</v>
      </c>
      <c r="G899" s="8" t="s">
        <v>39</v>
      </c>
      <c r="H899" s="8" t="s">
        <v>527</v>
      </c>
      <c r="I899" s="8" t="s">
        <v>4974</v>
      </c>
      <c r="J899" s="10">
        <v>433</v>
      </c>
      <c r="K899" s="11">
        <v>35.950000000000003</v>
      </c>
      <c r="L899" s="11">
        <v>49.72</v>
      </c>
      <c r="M899" s="11">
        <v>21528.76</v>
      </c>
      <c r="N899" s="11">
        <v>15566.35</v>
      </c>
      <c r="O899" s="11">
        <f>CleanedData[[#This Row],[Total Sales ($)]]-CleanedData[[#This Row],[Total Cost ($)]]</f>
        <v>5962.409999999998</v>
      </c>
      <c r="P899" s="12">
        <f>CleanedData[[#This Row],[Profit ($)]]/CleanedData[[#This Row],[Total Sales ($)]]</f>
        <v>0.27695092518101361</v>
      </c>
      <c r="Q899" s="8" t="s">
        <v>95</v>
      </c>
      <c r="R899" s="8" t="s">
        <v>32</v>
      </c>
      <c r="S899" s="8" t="b">
        <f>_xlfn.SINGLE(CleanedData[[#This Row],[Delivery Status]])="Late"</f>
        <v>1</v>
      </c>
      <c r="T899" s="10">
        <v>6</v>
      </c>
      <c r="U899" s="8" t="s">
        <v>86</v>
      </c>
      <c r="V899" s="10">
        <v>2501.41</v>
      </c>
      <c r="W899" s="10">
        <v>14</v>
      </c>
      <c r="X899" s="12">
        <v>3.2332563510392598E-2</v>
      </c>
      <c r="Y899" s="8" t="b">
        <f>CleanedData[[#This Row],[Ship Date]]&lt;CleanedData[[#This Row],[Order Date]]</f>
        <v>1</v>
      </c>
      <c r="Z899" s="10">
        <f>YEAR(CleanedData[[#This Row],[Order Date]])</f>
        <v>2023</v>
      </c>
      <c r="AA899" s="8">
        <f>MONTH(CleanedData[[#This Row],[Order Date]])</f>
        <v>11</v>
      </c>
    </row>
    <row r="900" spans="1:27" x14ac:dyDescent="0.35">
      <c r="A900" s="8" t="s">
        <v>2630</v>
      </c>
      <c r="B900" s="9">
        <v>45272</v>
      </c>
      <c r="C900" s="9">
        <v>44951</v>
      </c>
      <c r="D900" s="8" t="s">
        <v>2631</v>
      </c>
      <c r="E900" s="8" t="s">
        <v>100</v>
      </c>
      <c r="F900" s="8" t="s">
        <v>101</v>
      </c>
      <c r="G900" s="8" t="s">
        <v>70</v>
      </c>
      <c r="H900" s="8" t="s">
        <v>446</v>
      </c>
      <c r="I900" s="8" t="s">
        <v>4973</v>
      </c>
      <c r="J900" s="10">
        <v>771</v>
      </c>
      <c r="K900" s="11">
        <v>1152.3599999999999</v>
      </c>
      <c r="L900" s="11">
        <v>1863.91</v>
      </c>
      <c r="M900" s="11">
        <v>1437074.61</v>
      </c>
      <c r="N900" s="11">
        <v>888469.56</v>
      </c>
      <c r="O900" s="11">
        <f>CleanedData[[#This Row],[Total Sales ($)]]-CleanedData[[#This Row],[Total Cost ($)]]</f>
        <v>548605.05000000005</v>
      </c>
      <c r="P900" s="12">
        <f>CleanedData[[#This Row],[Profit ($)]]/CleanedData[[#This Row],[Total Sales ($)]]</f>
        <v>0.38175126481428823</v>
      </c>
      <c r="Q900" s="8" t="s">
        <v>42</v>
      </c>
      <c r="R900" s="8" t="s">
        <v>63</v>
      </c>
      <c r="S900" s="8" t="b">
        <f>_xlfn.SINGLE(CleanedData[[#This Row],[Delivery Status]])="Late"</f>
        <v>0</v>
      </c>
      <c r="T900" s="10">
        <v>1</v>
      </c>
      <c r="U900" s="8" t="s">
        <v>33</v>
      </c>
      <c r="V900" s="10">
        <v>3923</v>
      </c>
      <c r="W900" s="10">
        <v>20</v>
      </c>
      <c r="X900" s="12">
        <v>2.5940337224383901E-2</v>
      </c>
      <c r="Y900" s="8" t="b">
        <f>CleanedData[[#This Row],[Ship Date]]&lt;CleanedData[[#This Row],[Order Date]]</f>
        <v>1</v>
      </c>
      <c r="Z900" s="10">
        <f>YEAR(CleanedData[[#This Row],[Order Date]])</f>
        <v>2023</v>
      </c>
      <c r="AA900" s="8">
        <f>MONTH(CleanedData[[#This Row],[Order Date]])</f>
        <v>12</v>
      </c>
    </row>
    <row r="901" spans="1:27" x14ac:dyDescent="0.35">
      <c r="A901" s="8" t="s">
        <v>2632</v>
      </c>
      <c r="B901" s="9">
        <v>45266</v>
      </c>
      <c r="C901" s="9">
        <v>45009</v>
      </c>
      <c r="D901" s="8" t="s">
        <v>2633</v>
      </c>
      <c r="E901" s="8" t="s">
        <v>68</v>
      </c>
      <c r="F901" s="8" t="s">
        <v>146</v>
      </c>
      <c r="G901" s="8" t="s">
        <v>60</v>
      </c>
      <c r="H901" s="8" t="s">
        <v>164</v>
      </c>
      <c r="I901" s="8" t="s">
        <v>4974</v>
      </c>
      <c r="J901" s="10">
        <v>194</v>
      </c>
      <c r="K901" s="11"/>
      <c r="L901" s="11">
        <v>532.86</v>
      </c>
      <c r="M901" s="11">
        <v>103374.84</v>
      </c>
      <c r="N901" s="11">
        <v>72301.86</v>
      </c>
      <c r="O901" s="11">
        <f>CleanedData[[#This Row],[Total Sales ($)]]-CleanedData[[#This Row],[Total Cost ($)]]</f>
        <v>31072.979999999996</v>
      </c>
      <c r="P901" s="12">
        <f>CleanedData[[#This Row],[Profit ($)]]/CleanedData[[#This Row],[Total Sales ($)]]</f>
        <v>0.30058551964868818</v>
      </c>
      <c r="Q901" s="8" t="s">
        <v>52</v>
      </c>
      <c r="R901" s="8" t="s">
        <v>32</v>
      </c>
      <c r="S901" s="8" t="b">
        <f>_xlfn.SINGLE(CleanedData[[#This Row],[Delivery Status]])="Late"</f>
        <v>1</v>
      </c>
      <c r="T901" s="10">
        <v>15</v>
      </c>
      <c r="U901" s="8" t="s">
        <v>158</v>
      </c>
      <c r="V901" s="10">
        <v>3598</v>
      </c>
      <c r="W901" s="10">
        <v>0</v>
      </c>
      <c r="X901" s="12">
        <v>0</v>
      </c>
      <c r="Y901" s="8" t="b">
        <f>CleanedData[[#This Row],[Ship Date]]&lt;CleanedData[[#This Row],[Order Date]]</f>
        <v>1</v>
      </c>
      <c r="Z901" s="10">
        <f>YEAR(CleanedData[[#This Row],[Order Date]])</f>
        <v>2023</v>
      </c>
      <c r="AA901" s="8">
        <f>MONTH(CleanedData[[#This Row],[Order Date]])</f>
        <v>12</v>
      </c>
    </row>
    <row r="902" spans="1:27" x14ac:dyDescent="0.35">
      <c r="A902" s="8" t="s">
        <v>2635</v>
      </c>
      <c r="B902" s="9">
        <v>45334</v>
      </c>
      <c r="C902" s="9">
        <v>45361</v>
      </c>
      <c r="D902" s="8" t="s">
        <v>2637</v>
      </c>
      <c r="E902" s="8" t="s">
        <v>68</v>
      </c>
      <c r="F902" s="8" t="s">
        <v>276</v>
      </c>
      <c r="G902" s="8" t="s">
        <v>129</v>
      </c>
      <c r="H902" s="8" t="s">
        <v>520</v>
      </c>
      <c r="I902" s="8" t="s">
        <v>4967</v>
      </c>
      <c r="J902" s="10">
        <v>682</v>
      </c>
      <c r="K902" s="11">
        <v>765.83</v>
      </c>
      <c r="L902" s="11">
        <v>1045.27</v>
      </c>
      <c r="M902" s="11">
        <v>712874.14</v>
      </c>
      <c r="N902" s="11">
        <v>522296.06</v>
      </c>
      <c r="O902" s="11">
        <f>CleanedData[[#This Row],[Total Sales ($)]]-CleanedData[[#This Row],[Total Cost ($)]]</f>
        <v>190578.08000000002</v>
      </c>
      <c r="P902" s="12">
        <f>CleanedData[[#This Row],[Profit ($)]]/CleanedData[[#This Row],[Total Sales ($)]]</f>
        <v>0.26733762568522967</v>
      </c>
      <c r="Q902" s="8" t="s">
        <v>95</v>
      </c>
      <c r="R902" s="8" t="s">
        <v>32</v>
      </c>
      <c r="S902" s="8" t="b">
        <f>_xlfn.SINGLE(CleanedData[[#This Row],[Delivery Status]])="Late"</f>
        <v>1</v>
      </c>
      <c r="T902" s="10">
        <v>10</v>
      </c>
      <c r="U902" s="8" t="s">
        <v>53</v>
      </c>
      <c r="V902" s="10">
        <v>2302</v>
      </c>
      <c r="W902" s="10">
        <v>28</v>
      </c>
      <c r="X902" s="12">
        <v>4.1055718475073298E-2</v>
      </c>
      <c r="Y902" s="8" t="b">
        <f>CleanedData[[#This Row],[Ship Date]]&lt;CleanedData[[#This Row],[Order Date]]</f>
        <v>0</v>
      </c>
      <c r="Z902" s="10">
        <f>YEAR(CleanedData[[#This Row],[Order Date]])</f>
        <v>2024</v>
      </c>
      <c r="AA902" s="8">
        <f>MONTH(CleanedData[[#This Row],[Order Date]])</f>
        <v>2</v>
      </c>
    </row>
    <row r="903" spans="1:27" x14ac:dyDescent="0.35">
      <c r="A903" s="8" t="s">
        <v>2638</v>
      </c>
      <c r="B903" s="9">
        <v>44940</v>
      </c>
      <c r="C903" s="9">
        <v>45083</v>
      </c>
      <c r="D903" s="8" t="s">
        <v>2640</v>
      </c>
      <c r="E903" s="8" t="s">
        <v>68</v>
      </c>
      <c r="F903" s="8" t="s">
        <v>276</v>
      </c>
      <c r="G903" s="8" t="s">
        <v>78</v>
      </c>
      <c r="H903" s="8" t="s">
        <v>572</v>
      </c>
      <c r="I903" s="8" t="s">
        <v>4974</v>
      </c>
      <c r="J903" s="10">
        <v>35</v>
      </c>
      <c r="K903" s="11">
        <v>196.95</v>
      </c>
      <c r="L903" s="11">
        <v>304.06</v>
      </c>
      <c r="M903" s="11">
        <v>10642.1</v>
      </c>
      <c r="N903" s="11">
        <v>6893.25</v>
      </c>
      <c r="O903" s="11">
        <f>CleanedData[[#This Row],[Total Sales ($)]]-CleanedData[[#This Row],[Total Cost ($)]]</f>
        <v>3748.8500000000004</v>
      </c>
      <c r="P903" s="12">
        <f>CleanedData[[#This Row],[Profit ($)]]/CleanedData[[#This Row],[Total Sales ($)]]</f>
        <v>0.35226600013155301</v>
      </c>
      <c r="Q903" s="8" t="s">
        <v>42</v>
      </c>
      <c r="R903" s="8" t="s">
        <v>32</v>
      </c>
      <c r="S903" s="8" t="b">
        <f>_xlfn.SINGLE(CleanedData[[#This Row],[Delivery Status]])="Late"</f>
        <v>1</v>
      </c>
      <c r="T903" s="10">
        <v>14</v>
      </c>
      <c r="U903" s="8" t="s">
        <v>33</v>
      </c>
      <c r="V903" s="10">
        <v>4806</v>
      </c>
      <c r="W903" s="10">
        <v>1</v>
      </c>
      <c r="X903" s="12">
        <v>2.8571428571428501E-2</v>
      </c>
      <c r="Y903" s="8" t="b">
        <f>CleanedData[[#This Row],[Ship Date]]&lt;CleanedData[[#This Row],[Order Date]]</f>
        <v>0</v>
      </c>
      <c r="Z903" s="10">
        <f>YEAR(CleanedData[[#This Row],[Order Date]])</f>
        <v>2023</v>
      </c>
      <c r="AA903" s="8">
        <f>MONTH(CleanedData[[#This Row],[Order Date]])</f>
        <v>1</v>
      </c>
    </row>
    <row r="904" spans="1:27" x14ac:dyDescent="0.35">
      <c r="A904" s="8" t="s">
        <v>2641</v>
      </c>
      <c r="B904" s="9">
        <v>45180</v>
      </c>
      <c r="C904" s="9">
        <v>45124</v>
      </c>
      <c r="D904" s="8" t="s">
        <v>2642</v>
      </c>
      <c r="E904" s="8" t="s">
        <v>100</v>
      </c>
      <c r="F904" s="8" t="s">
        <v>101</v>
      </c>
      <c r="G904" s="8" t="s">
        <v>28</v>
      </c>
      <c r="H904" s="8" t="s">
        <v>507</v>
      </c>
      <c r="I904" s="8" t="s">
        <v>4967</v>
      </c>
      <c r="J904" s="10">
        <v>769</v>
      </c>
      <c r="K904" s="11">
        <v>226.5</v>
      </c>
      <c r="L904" s="11">
        <v>279.38</v>
      </c>
      <c r="M904" s="11">
        <v>214843.22</v>
      </c>
      <c r="N904" s="11">
        <v>174178.5</v>
      </c>
      <c r="O904" s="11">
        <f>CleanedData[[#This Row],[Total Sales ($)]]-CleanedData[[#This Row],[Total Cost ($)]]</f>
        <v>40664.720000000001</v>
      </c>
      <c r="P904" s="12">
        <f>CleanedData[[#This Row],[Profit ($)]]/CleanedData[[#This Row],[Total Sales ($)]]</f>
        <v>0.18927625456367672</v>
      </c>
      <c r="Q904" s="8" t="s">
        <v>42</v>
      </c>
      <c r="R904" s="8" t="s">
        <v>32</v>
      </c>
      <c r="S904" s="8" t="b">
        <f>_xlfn.SINGLE(CleanedData[[#This Row],[Delivery Status]])="Late"</f>
        <v>1</v>
      </c>
      <c r="T904" s="10">
        <v>11</v>
      </c>
      <c r="U904" s="8" t="s">
        <v>158</v>
      </c>
      <c r="V904" s="10">
        <v>4171</v>
      </c>
      <c r="W904" s="10">
        <v>16</v>
      </c>
      <c r="X904" s="12">
        <v>2.08062418725617E-2</v>
      </c>
      <c r="Y904" s="8" t="b">
        <f>CleanedData[[#This Row],[Ship Date]]&lt;CleanedData[[#This Row],[Order Date]]</f>
        <v>1</v>
      </c>
      <c r="Z904" s="10">
        <f>YEAR(CleanedData[[#This Row],[Order Date]])</f>
        <v>2023</v>
      </c>
      <c r="AA904" s="8">
        <f>MONTH(CleanedData[[#This Row],[Order Date]])</f>
        <v>9</v>
      </c>
    </row>
    <row r="905" spans="1:27" x14ac:dyDescent="0.35">
      <c r="A905" s="8" t="s">
        <v>2643</v>
      </c>
      <c r="B905" s="9">
        <v>45034</v>
      </c>
      <c r="C905" s="9">
        <v>45250</v>
      </c>
      <c r="D905" s="8" t="s">
        <v>2644</v>
      </c>
      <c r="E905" s="8" t="s">
        <v>68</v>
      </c>
      <c r="F905" s="8" t="s">
        <v>276</v>
      </c>
      <c r="G905" s="8" t="s">
        <v>217</v>
      </c>
      <c r="H905" s="8" t="s">
        <v>494</v>
      </c>
      <c r="I905" s="8" t="s">
        <v>4977</v>
      </c>
      <c r="J905" s="10">
        <v>598</v>
      </c>
      <c r="K905" s="11">
        <v>714.03</v>
      </c>
      <c r="L905" s="11">
        <v>1136.6600000000001</v>
      </c>
      <c r="M905" s="11">
        <v>679722.68</v>
      </c>
      <c r="N905" s="11">
        <v>426989.94</v>
      </c>
      <c r="O905" s="11">
        <f>CleanedData[[#This Row],[Total Sales ($)]]-CleanedData[[#This Row],[Total Cost ($)]]</f>
        <v>252732.74000000005</v>
      </c>
      <c r="P905" s="12">
        <f>CleanedData[[#This Row],[Profit ($)]]/CleanedData[[#This Row],[Total Sales ($)]]</f>
        <v>0.37181743001425233</v>
      </c>
      <c r="Q905" s="8" t="s">
        <v>31</v>
      </c>
      <c r="R905" s="8" t="s">
        <v>63</v>
      </c>
      <c r="S905" s="8" t="b">
        <f>_xlfn.SINGLE(CleanedData[[#This Row],[Delivery Status]])="Late"</f>
        <v>0</v>
      </c>
      <c r="T905" s="10">
        <v>4</v>
      </c>
      <c r="U905" s="8" t="s">
        <v>158</v>
      </c>
      <c r="V905" s="10">
        <v>1594</v>
      </c>
      <c r="W905" s="10">
        <v>18</v>
      </c>
      <c r="X905" s="12">
        <v>3.0100334448160501E-2</v>
      </c>
      <c r="Y905" s="8" t="b">
        <f>CleanedData[[#This Row],[Ship Date]]&lt;CleanedData[[#This Row],[Order Date]]</f>
        <v>0</v>
      </c>
      <c r="Z905" s="10">
        <f>YEAR(CleanedData[[#This Row],[Order Date]])</f>
        <v>2023</v>
      </c>
      <c r="AA905" s="8">
        <f>MONTH(CleanedData[[#This Row],[Order Date]])</f>
        <v>4</v>
      </c>
    </row>
    <row r="906" spans="1:27" x14ac:dyDescent="0.35">
      <c r="A906" s="8" t="s">
        <v>2645</v>
      </c>
      <c r="B906" s="9">
        <v>45041</v>
      </c>
      <c r="C906" s="9">
        <v>45134</v>
      </c>
      <c r="D906" s="8" t="s">
        <v>2647</v>
      </c>
      <c r="E906" s="8" t="s">
        <v>26</v>
      </c>
      <c r="F906" s="8" t="s">
        <v>253</v>
      </c>
      <c r="G906" s="8" t="s">
        <v>189</v>
      </c>
      <c r="H906" s="8" t="s">
        <v>561</v>
      </c>
      <c r="I906" s="8" t="s">
        <v>4972</v>
      </c>
      <c r="J906" s="10">
        <v>710</v>
      </c>
      <c r="K906" s="11">
        <v>49.28</v>
      </c>
      <c r="L906" s="11">
        <v>68.77</v>
      </c>
      <c r="M906" s="11">
        <v>48826.7</v>
      </c>
      <c r="N906" s="11">
        <v>34988.800000000003</v>
      </c>
      <c r="O906" s="11">
        <f>CleanedData[[#This Row],[Total Sales ($)]]-CleanedData[[#This Row],[Total Cost ($)]]</f>
        <v>13837.899999999994</v>
      </c>
      <c r="P906" s="12">
        <f>CleanedData[[#This Row],[Profit ($)]]/CleanedData[[#This Row],[Total Sales ($)]]</f>
        <v>0.28340846299258388</v>
      </c>
      <c r="Q906" s="8" t="s">
        <v>31</v>
      </c>
      <c r="R906" s="8" t="s">
        <v>32</v>
      </c>
      <c r="S906" s="8" t="b">
        <f>_xlfn.SINGLE(CleanedData[[#This Row],[Delivery Status]])="Late"</f>
        <v>1</v>
      </c>
      <c r="T906" s="10">
        <v>8</v>
      </c>
      <c r="U906" s="8" t="s">
        <v>158</v>
      </c>
      <c r="V906" s="10">
        <v>3273</v>
      </c>
      <c r="W906" s="10">
        <v>10</v>
      </c>
      <c r="X906" s="12">
        <v>1.4084507042253501E-2</v>
      </c>
      <c r="Y906" s="8" t="b">
        <f>CleanedData[[#This Row],[Ship Date]]&lt;CleanedData[[#This Row],[Order Date]]</f>
        <v>0</v>
      </c>
      <c r="Z906" s="10">
        <f>YEAR(CleanedData[[#This Row],[Order Date]])</f>
        <v>2023</v>
      </c>
      <c r="AA906" s="8">
        <f>MONTH(CleanedData[[#This Row],[Order Date]])</f>
        <v>4</v>
      </c>
    </row>
    <row r="907" spans="1:27" x14ac:dyDescent="0.35">
      <c r="A907" s="8" t="s">
        <v>2648</v>
      </c>
      <c r="B907" s="9">
        <v>45584</v>
      </c>
      <c r="C907" s="9">
        <v>45501</v>
      </c>
      <c r="D907" s="8" t="s">
        <v>2650</v>
      </c>
      <c r="E907" s="8" t="s">
        <v>58</v>
      </c>
      <c r="F907" s="8" t="s">
        <v>417</v>
      </c>
      <c r="G907" s="8" t="s">
        <v>93</v>
      </c>
      <c r="H907" s="8" t="s">
        <v>184</v>
      </c>
      <c r="I907" s="8" t="s">
        <v>4978</v>
      </c>
      <c r="J907" s="10">
        <v>696</v>
      </c>
      <c r="K907" s="11">
        <v>902.33</v>
      </c>
      <c r="L907" s="11">
        <v>1238.1500000000001</v>
      </c>
      <c r="M907" s="11">
        <v>861752.4</v>
      </c>
      <c r="N907" s="11">
        <v>628021.68000000005</v>
      </c>
      <c r="O907" s="11">
        <f>CleanedData[[#This Row],[Total Sales ($)]]-CleanedData[[#This Row],[Total Cost ($)]]</f>
        <v>233730.71999999997</v>
      </c>
      <c r="P907" s="12">
        <f>CleanedData[[#This Row],[Profit ($)]]/CleanedData[[#This Row],[Total Sales ($)]]</f>
        <v>0.27122723418002659</v>
      </c>
      <c r="Q907" s="8" t="s">
        <v>95</v>
      </c>
      <c r="R907" s="8" t="s">
        <v>63</v>
      </c>
      <c r="S907" s="8" t="b">
        <f>_xlfn.SINGLE(CleanedData[[#This Row],[Delivery Status]])="Late"</f>
        <v>0</v>
      </c>
      <c r="T907" s="10">
        <v>5</v>
      </c>
      <c r="U907" s="8" t="s">
        <v>43</v>
      </c>
      <c r="V907" s="10">
        <v>348</v>
      </c>
      <c r="W907" s="10">
        <v>31</v>
      </c>
      <c r="X907" s="12">
        <v>4.4540229885057403E-2</v>
      </c>
      <c r="Y907" s="8" t="b">
        <f>CleanedData[[#This Row],[Ship Date]]&lt;CleanedData[[#This Row],[Order Date]]</f>
        <v>1</v>
      </c>
      <c r="Z907" s="10">
        <f>YEAR(CleanedData[[#This Row],[Order Date]])</f>
        <v>2024</v>
      </c>
      <c r="AA907" s="8">
        <f>MONTH(CleanedData[[#This Row],[Order Date]])</f>
        <v>10</v>
      </c>
    </row>
    <row r="908" spans="1:27" x14ac:dyDescent="0.35">
      <c r="A908" s="8" t="s">
        <v>2651</v>
      </c>
      <c r="B908" s="9">
        <v>44951</v>
      </c>
      <c r="C908" s="9">
        <v>44947</v>
      </c>
      <c r="D908" s="8" t="s">
        <v>2652</v>
      </c>
      <c r="E908" s="8" t="s">
        <v>26</v>
      </c>
      <c r="F908" s="8" t="s">
        <v>38</v>
      </c>
      <c r="G908" s="8" t="s">
        <v>217</v>
      </c>
      <c r="H908" s="8" t="s">
        <v>684</v>
      </c>
      <c r="I908" s="8" t="s">
        <v>4968</v>
      </c>
      <c r="J908" s="10">
        <v>63</v>
      </c>
      <c r="K908" s="11">
        <v>255.2</v>
      </c>
      <c r="L908" s="11">
        <v>331.11</v>
      </c>
      <c r="M908" s="11">
        <v>20859.93</v>
      </c>
      <c r="N908" s="11">
        <v>16077.6</v>
      </c>
      <c r="O908" s="11">
        <f>CleanedData[[#This Row],[Total Sales ($)]]-CleanedData[[#This Row],[Total Cost ($)]]</f>
        <v>4782.33</v>
      </c>
      <c r="P908" s="12">
        <f>CleanedData[[#This Row],[Profit ($)]]/CleanedData[[#This Row],[Total Sales ($)]]</f>
        <v>0.22925915858778048</v>
      </c>
      <c r="Q908" s="8" t="s">
        <v>95</v>
      </c>
      <c r="R908" s="8" t="s">
        <v>63</v>
      </c>
      <c r="S908" s="8" t="b">
        <f>_xlfn.SINGLE(CleanedData[[#This Row],[Delivery Status]])="Late"</f>
        <v>0</v>
      </c>
      <c r="T908" s="10">
        <v>3</v>
      </c>
      <c r="U908" s="8" t="s">
        <v>53</v>
      </c>
      <c r="V908" s="10">
        <v>3991</v>
      </c>
      <c r="W908" s="10">
        <v>1</v>
      </c>
      <c r="X908" s="12">
        <v>1.5873015873015799E-2</v>
      </c>
      <c r="Y908" s="8" t="b">
        <f>CleanedData[[#This Row],[Ship Date]]&lt;CleanedData[[#This Row],[Order Date]]</f>
        <v>1</v>
      </c>
      <c r="Z908" s="10">
        <f>YEAR(CleanedData[[#This Row],[Order Date]])</f>
        <v>2023</v>
      </c>
      <c r="AA908" s="8">
        <f>MONTH(CleanedData[[#This Row],[Order Date]])</f>
        <v>1</v>
      </c>
    </row>
    <row r="909" spans="1:27" x14ac:dyDescent="0.35">
      <c r="A909" s="8" t="s">
        <v>2653</v>
      </c>
      <c r="B909" s="9">
        <v>45044</v>
      </c>
      <c r="C909" s="9">
        <v>45154</v>
      </c>
      <c r="D909" s="8" t="s">
        <v>4972</v>
      </c>
      <c r="E909" s="8" t="s">
        <v>100</v>
      </c>
      <c r="F909" s="8" t="s">
        <v>538</v>
      </c>
      <c r="G909" s="8" t="s">
        <v>78</v>
      </c>
      <c r="H909" s="8" t="s">
        <v>628</v>
      </c>
      <c r="I909" s="8" t="s">
        <v>4979</v>
      </c>
      <c r="J909" s="10">
        <v>673</v>
      </c>
      <c r="K909" s="11">
        <v>999.22</v>
      </c>
      <c r="L909" s="11">
        <v>1232.78</v>
      </c>
      <c r="M909" s="11">
        <v>829660.94</v>
      </c>
      <c r="N909" s="11">
        <v>672475.06</v>
      </c>
      <c r="O909" s="11">
        <f>CleanedData[[#This Row],[Total Sales ($)]]-CleanedData[[#This Row],[Total Cost ($)]]</f>
        <v>157185.87999999989</v>
      </c>
      <c r="P909" s="12">
        <f>CleanedData[[#This Row],[Profit ($)]]/CleanedData[[#This Row],[Total Sales ($)]]</f>
        <v>0.1894579730365514</v>
      </c>
      <c r="Q909" s="8" t="s">
        <v>95</v>
      </c>
      <c r="R909" s="8" t="s">
        <v>32</v>
      </c>
      <c r="S909" s="8" t="b">
        <f>_xlfn.SINGLE(CleanedData[[#This Row],[Delivery Status]])="Late"</f>
        <v>1</v>
      </c>
      <c r="T909" s="10">
        <v>10</v>
      </c>
      <c r="U909" s="8" t="s">
        <v>53</v>
      </c>
      <c r="V909" s="10">
        <v>1885</v>
      </c>
      <c r="W909" s="10">
        <v>16</v>
      </c>
      <c r="X909" s="12">
        <v>2.3774145616641901E-2</v>
      </c>
      <c r="Y909" s="8" t="b">
        <f>CleanedData[[#This Row],[Ship Date]]&lt;CleanedData[[#This Row],[Order Date]]</f>
        <v>0</v>
      </c>
      <c r="Z909" s="10">
        <f>YEAR(CleanedData[[#This Row],[Order Date]])</f>
        <v>2023</v>
      </c>
      <c r="AA909" s="8">
        <f>MONTH(CleanedData[[#This Row],[Order Date]])</f>
        <v>4</v>
      </c>
    </row>
    <row r="910" spans="1:27" x14ac:dyDescent="0.35">
      <c r="A910" s="8" t="s">
        <v>2655</v>
      </c>
      <c r="B910" s="9">
        <v>45232</v>
      </c>
      <c r="C910" s="9">
        <v>45017</v>
      </c>
      <c r="D910" s="8" t="s">
        <v>2656</v>
      </c>
      <c r="E910" s="8" t="s">
        <v>100</v>
      </c>
      <c r="F910" s="8" t="s">
        <v>238</v>
      </c>
      <c r="G910" s="8" t="s">
        <v>129</v>
      </c>
      <c r="H910" s="8" t="s">
        <v>345</v>
      </c>
      <c r="I910" s="8" t="s">
        <v>4973</v>
      </c>
      <c r="J910" s="10">
        <v>5</v>
      </c>
      <c r="K910" s="11">
        <v>152.25</v>
      </c>
      <c r="L910" s="11">
        <v>205.78</v>
      </c>
      <c r="M910" s="11">
        <v>1028.9000000000001</v>
      </c>
      <c r="N910" s="11">
        <v>761.25</v>
      </c>
      <c r="O910" s="11">
        <f>CleanedData[[#This Row],[Total Sales ($)]]-CleanedData[[#This Row],[Total Cost ($)]]</f>
        <v>267.65000000000009</v>
      </c>
      <c r="P910" s="12">
        <f>CleanedData[[#This Row],[Profit ($)]]/CleanedData[[#This Row],[Total Sales ($)]]</f>
        <v>0.26013217999805627</v>
      </c>
      <c r="Q910" s="8" t="s">
        <v>31</v>
      </c>
      <c r="R910" s="8" t="s">
        <v>63</v>
      </c>
      <c r="S910" s="8" t="b">
        <f>_xlfn.SINGLE(CleanedData[[#This Row],[Delivery Status]])="Late"</f>
        <v>0</v>
      </c>
      <c r="T910" s="10">
        <v>1</v>
      </c>
      <c r="U910" s="8" t="s">
        <v>158</v>
      </c>
      <c r="V910" s="10">
        <v>3545</v>
      </c>
      <c r="W910" s="10">
        <v>1</v>
      </c>
      <c r="X910" s="12">
        <v>0.2</v>
      </c>
      <c r="Y910" s="8" t="b">
        <f>CleanedData[[#This Row],[Ship Date]]&lt;CleanedData[[#This Row],[Order Date]]</f>
        <v>1</v>
      </c>
      <c r="Z910" s="10">
        <f>YEAR(CleanedData[[#This Row],[Order Date]])</f>
        <v>2023</v>
      </c>
      <c r="AA910" s="8">
        <f>MONTH(CleanedData[[#This Row],[Order Date]])</f>
        <v>11</v>
      </c>
    </row>
    <row r="911" spans="1:27" x14ac:dyDescent="0.35">
      <c r="A911" s="8" t="s">
        <v>2657</v>
      </c>
      <c r="B911" s="9">
        <v>45354</v>
      </c>
      <c r="C911" s="9">
        <v>45512</v>
      </c>
      <c r="D911" s="8" t="s">
        <v>2659</v>
      </c>
      <c r="E911" s="8" t="s">
        <v>100</v>
      </c>
      <c r="F911" s="8" t="s">
        <v>101</v>
      </c>
      <c r="G911" s="8" t="s">
        <v>70</v>
      </c>
      <c r="H911" s="8" t="s">
        <v>623</v>
      </c>
      <c r="I911" s="8" t="s">
        <v>4968</v>
      </c>
      <c r="J911" s="10">
        <v>626</v>
      </c>
      <c r="K911" s="11">
        <v>465</v>
      </c>
      <c r="L911" s="11">
        <v>551.62</v>
      </c>
      <c r="M911" s="11">
        <v>345314.12</v>
      </c>
      <c r="N911" s="11">
        <v>291090</v>
      </c>
      <c r="O911" s="11">
        <f>CleanedData[[#This Row],[Total Sales ($)]]-CleanedData[[#This Row],[Total Cost ($)]]</f>
        <v>54224.119999999995</v>
      </c>
      <c r="P911" s="12">
        <f>CleanedData[[#This Row],[Profit ($)]]/CleanedData[[#This Row],[Total Sales ($)]]</f>
        <v>0.15702838910844422</v>
      </c>
      <c r="Q911" s="8" t="s">
        <v>31</v>
      </c>
      <c r="R911" s="8" t="s">
        <v>32</v>
      </c>
      <c r="S911" s="8" t="b">
        <f>_xlfn.SINGLE(CleanedData[[#This Row],[Delivery Status]])="Late"</f>
        <v>1</v>
      </c>
      <c r="T911" s="10">
        <v>9</v>
      </c>
      <c r="U911" s="8" t="s">
        <v>43</v>
      </c>
      <c r="V911" s="10">
        <v>3810</v>
      </c>
      <c r="W911" s="10">
        <v>7</v>
      </c>
      <c r="X911" s="12">
        <v>1.1182108626197999E-2</v>
      </c>
      <c r="Y911" s="8" t="b">
        <f>CleanedData[[#This Row],[Ship Date]]&lt;CleanedData[[#This Row],[Order Date]]</f>
        <v>0</v>
      </c>
      <c r="Z911" s="10">
        <f>YEAR(CleanedData[[#This Row],[Order Date]])</f>
        <v>2024</v>
      </c>
      <c r="AA911" s="8">
        <f>MONTH(CleanedData[[#This Row],[Order Date]])</f>
        <v>3</v>
      </c>
    </row>
    <row r="912" spans="1:27" x14ac:dyDescent="0.35">
      <c r="A912" s="8" t="s">
        <v>64</v>
      </c>
      <c r="B912" s="9">
        <v>44981</v>
      </c>
      <c r="C912" s="9">
        <v>45123</v>
      </c>
      <c r="D912" s="8" t="s">
        <v>67</v>
      </c>
      <c r="E912" s="8" t="s">
        <v>68</v>
      </c>
      <c r="F912" s="8" t="s">
        <v>69</v>
      </c>
      <c r="G912" s="8" t="s">
        <v>70</v>
      </c>
      <c r="H912" s="8" t="s">
        <v>71</v>
      </c>
      <c r="I912" s="8" t="s">
        <v>4970</v>
      </c>
      <c r="J912" s="10">
        <v>202</v>
      </c>
      <c r="K912" s="11">
        <v>288.91000000000003</v>
      </c>
      <c r="L912" s="11">
        <v>371.69</v>
      </c>
      <c r="M912" s="11">
        <v>75081.38</v>
      </c>
      <c r="N912" s="11">
        <v>58359.82</v>
      </c>
      <c r="O912" s="11">
        <f>CleanedData[[#This Row],[Total Sales ($)]]-CleanedData[[#This Row],[Total Cost ($)]]</f>
        <v>16721.560000000005</v>
      </c>
      <c r="P912" s="12">
        <f>CleanedData[[#This Row],[Profit ($)]]/CleanedData[[#This Row],[Total Sales ($)]]</f>
        <v>0.2227124754499718</v>
      </c>
      <c r="Q912" s="8" t="s">
        <v>31</v>
      </c>
      <c r="R912" s="8" t="s">
        <v>63</v>
      </c>
      <c r="S912" s="8" t="b">
        <f>_xlfn.SINGLE(CleanedData[[#This Row],[Delivery Status]])="Late"</f>
        <v>0</v>
      </c>
      <c r="T912" s="10">
        <v>3</v>
      </c>
      <c r="U912" s="8" t="s">
        <v>33</v>
      </c>
      <c r="V912" s="10">
        <v>102</v>
      </c>
      <c r="W912" s="10">
        <v>7</v>
      </c>
      <c r="X912" s="12">
        <v>3.4653465346534601E-2</v>
      </c>
      <c r="Y912" s="8" t="b">
        <f>CleanedData[[#This Row],[Ship Date]]&lt;CleanedData[[#This Row],[Order Date]]</f>
        <v>0</v>
      </c>
      <c r="Z912" s="10">
        <f>YEAR(CleanedData[[#This Row],[Order Date]])</f>
        <v>2023</v>
      </c>
      <c r="AA912" s="8">
        <f>MONTH(CleanedData[[#This Row],[Order Date]])</f>
        <v>2</v>
      </c>
    </row>
    <row r="913" spans="1:27" x14ac:dyDescent="0.35">
      <c r="A913" s="8" t="s">
        <v>2660</v>
      </c>
      <c r="B913" s="9">
        <v>45268</v>
      </c>
      <c r="C913" s="9">
        <v>45039</v>
      </c>
      <c r="D913" s="8" t="s">
        <v>2661</v>
      </c>
      <c r="E913" s="8" t="s">
        <v>100</v>
      </c>
      <c r="F913" s="8" t="s">
        <v>101</v>
      </c>
      <c r="G913" s="8" t="s">
        <v>78</v>
      </c>
      <c r="H913" s="8" t="s">
        <v>628</v>
      </c>
      <c r="I913" s="8" t="s">
        <v>4968</v>
      </c>
      <c r="J913" s="10">
        <v>385</v>
      </c>
      <c r="K913" s="11">
        <v>513.28</v>
      </c>
      <c r="L913" s="11">
        <v>843.46</v>
      </c>
      <c r="M913" s="11">
        <v>324732.09999999998</v>
      </c>
      <c r="N913" s="11">
        <v>197612.79999999999</v>
      </c>
      <c r="O913" s="11">
        <f>CleanedData[[#This Row],[Total Sales ($)]]-CleanedData[[#This Row],[Total Cost ($)]]</f>
        <v>127119.29999999999</v>
      </c>
      <c r="P913" s="12">
        <f>CleanedData[[#This Row],[Profit ($)]]/CleanedData[[#This Row],[Total Sales ($)]]</f>
        <v>0.39145899034927562</v>
      </c>
      <c r="Q913" s="8" t="s">
        <v>42</v>
      </c>
      <c r="R913" s="8" t="s">
        <v>63</v>
      </c>
      <c r="S913" s="8" t="b">
        <f>_xlfn.SINGLE(CleanedData[[#This Row],[Delivery Status]])="Late"</f>
        <v>0</v>
      </c>
      <c r="T913" s="10">
        <v>2</v>
      </c>
      <c r="U913" s="8" t="s">
        <v>112</v>
      </c>
      <c r="V913" s="10">
        <v>3614</v>
      </c>
      <c r="W913" s="10">
        <v>10</v>
      </c>
      <c r="X913" s="12">
        <v>2.5974025974025899E-2</v>
      </c>
      <c r="Y913" s="8" t="b">
        <f>CleanedData[[#This Row],[Ship Date]]&lt;CleanedData[[#This Row],[Order Date]]</f>
        <v>1</v>
      </c>
      <c r="Z913" s="10">
        <f>YEAR(CleanedData[[#This Row],[Order Date]])</f>
        <v>2023</v>
      </c>
      <c r="AA913" s="8">
        <f>MONTH(CleanedData[[#This Row],[Order Date]])</f>
        <v>12</v>
      </c>
    </row>
    <row r="914" spans="1:27" x14ac:dyDescent="0.35">
      <c r="A914" s="8" t="s">
        <v>2662</v>
      </c>
      <c r="B914" s="9">
        <v>45052</v>
      </c>
      <c r="C914" s="9">
        <v>44939</v>
      </c>
      <c r="D914" s="8" t="s">
        <v>2663</v>
      </c>
      <c r="E914" s="8" t="s">
        <v>68</v>
      </c>
      <c r="F914" s="8" t="s">
        <v>163</v>
      </c>
      <c r="G914" s="8" t="s">
        <v>129</v>
      </c>
      <c r="H914" s="8" t="s">
        <v>704</v>
      </c>
      <c r="I914" s="8" t="s">
        <v>4973</v>
      </c>
      <c r="J914" s="10">
        <v>12</v>
      </c>
      <c r="K914" s="11">
        <v>623.85</v>
      </c>
      <c r="L914" s="11"/>
      <c r="M914" s="11">
        <v>9819</v>
      </c>
      <c r="N914" s="11">
        <v>7486.2</v>
      </c>
      <c r="O914" s="11">
        <f>CleanedData[[#This Row],[Total Sales ($)]]-CleanedData[[#This Row],[Total Cost ($)]]</f>
        <v>2332.8000000000002</v>
      </c>
      <c r="P914" s="12">
        <f>CleanedData[[#This Row],[Profit ($)]]/CleanedData[[#This Row],[Total Sales ($)]]</f>
        <v>0.23758020164986254</v>
      </c>
      <c r="Q914" s="8" t="s">
        <v>95</v>
      </c>
      <c r="R914" s="8" t="s">
        <v>32</v>
      </c>
      <c r="S914" s="8" t="b">
        <f>_xlfn.SINGLE(CleanedData[[#This Row],[Delivery Status]])="Late"</f>
        <v>1</v>
      </c>
      <c r="T914" s="10">
        <v>14</v>
      </c>
      <c r="U914" s="8" t="s">
        <v>158</v>
      </c>
      <c r="V914" s="10">
        <v>2108</v>
      </c>
      <c r="W914" s="10">
        <v>0</v>
      </c>
      <c r="X914" s="12">
        <v>0</v>
      </c>
      <c r="Y914" s="8" t="b">
        <f>CleanedData[[#This Row],[Ship Date]]&lt;CleanedData[[#This Row],[Order Date]]</f>
        <v>1</v>
      </c>
      <c r="Z914" s="10">
        <f>YEAR(CleanedData[[#This Row],[Order Date]])</f>
        <v>2023</v>
      </c>
      <c r="AA914" s="8">
        <f>MONTH(CleanedData[[#This Row],[Order Date]])</f>
        <v>5</v>
      </c>
    </row>
    <row r="915" spans="1:27" x14ac:dyDescent="0.35">
      <c r="A915" s="8" t="s">
        <v>2664</v>
      </c>
      <c r="B915" s="9">
        <v>45252</v>
      </c>
      <c r="C915" s="9">
        <v>44946</v>
      </c>
      <c r="D915" s="8" t="s">
        <v>2666</v>
      </c>
      <c r="E915" s="8" t="s">
        <v>58</v>
      </c>
      <c r="F915" s="8" t="s">
        <v>116</v>
      </c>
      <c r="G915" s="8" t="s">
        <v>93</v>
      </c>
      <c r="H915" s="8" t="s">
        <v>302</v>
      </c>
      <c r="I915" s="8" t="s">
        <v>4967</v>
      </c>
      <c r="J915" s="10">
        <v>766</v>
      </c>
      <c r="K915" s="11">
        <v>717.78</v>
      </c>
      <c r="L915" s="11">
        <v>1103.99</v>
      </c>
      <c r="M915" s="11">
        <v>845656.34</v>
      </c>
      <c r="N915" s="11">
        <v>549819.48</v>
      </c>
      <c r="O915" s="11">
        <f>CleanedData[[#This Row],[Total Sales ($)]]-CleanedData[[#This Row],[Total Cost ($)]]</f>
        <v>295836.86</v>
      </c>
      <c r="P915" s="12">
        <f>CleanedData[[#This Row],[Profit ($)]]/CleanedData[[#This Row],[Total Sales ($)]]</f>
        <v>0.34983106731039232</v>
      </c>
      <c r="Q915" s="8" t="s">
        <v>42</v>
      </c>
      <c r="R915" s="8" t="s">
        <v>32</v>
      </c>
      <c r="S915" s="8" t="b">
        <f>_xlfn.SINGLE(CleanedData[[#This Row],[Delivery Status]])="Late"</f>
        <v>1</v>
      </c>
      <c r="T915" s="10">
        <v>10</v>
      </c>
      <c r="U915" s="8" t="s">
        <v>33</v>
      </c>
      <c r="V915" s="10">
        <v>3309</v>
      </c>
      <c r="W915" s="10">
        <v>16</v>
      </c>
      <c r="X915" s="12">
        <v>2.0887728459529999E-2</v>
      </c>
      <c r="Y915" s="8" t="b">
        <f>CleanedData[[#This Row],[Ship Date]]&lt;CleanedData[[#This Row],[Order Date]]</f>
        <v>1</v>
      </c>
      <c r="Z915" s="10">
        <f>YEAR(CleanedData[[#This Row],[Order Date]])</f>
        <v>2023</v>
      </c>
      <c r="AA915" s="8">
        <f>MONTH(CleanedData[[#This Row],[Order Date]])</f>
        <v>11</v>
      </c>
    </row>
    <row r="916" spans="1:27" x14ac:dyDescent="0.35">
      <c r="A916" s="8" t="s">
        <v>2667</v>
      </c>
      <c r="B916" s="9">
        <v>45006</v>
      </c>
      <c r="C916" s="9">
        <v>44960</v>
      </c>
      <c r="D916" s="8" t="s">
        <v>2668</v>
      </c>
      <c r="E916" s="8" t="s">
        <v>68</v>
      </c>
      <c r="F916" s="8" t="s">
        <v>249</v>
      </c>
      <c r="G916" s="8" t="s">
        <v>39</v>
      </c>
      <c r="H916" s="8" t="s">
        <v>147</v>
      </c>
      <c r="I916" s="8" t="s">
        <v>4978</v>
      </c>
      <c r="J916" s="10">
        <v>677</v>
      </c>
      <c r="K916" s="11">
        <v>385.79</v>
      </c>
      <c r="L916" s="11">
        <v>504.75</v>
      </c>
      <c r="M916" s="11">
        <v>341715.75</v>
      </c>
      <c r="N916" s="11">
        <v>261179.83</v>
      </c>
      <c r="O916" s="11">
        <f>CleanedData[[#This Row],[Total Sales ($)]]-CleanedData[[#This Row],[Total Cost ($)]]</f>
        <v>80535.920000000013</v>
      </c>
      <c r="P916" s="12">
        <f>CleanedData[[#This Row],[Profit ($)]]/CleanedData[[#This Row],[Total Sales ($)]]</f>
        <v>0.23568103021297676</v>
      </c>
      <c r="Q916" s="8" t="s">
        <v>52</v>
      </c>
      <c r="R916" s="8" t="s">
        <v>63</v>
      </c>
      <c r="S916" s="8" t="b">
        <f>_xlfn.SINGLE(CleanedData[[#This Row],[Delivery Status]])="Late"</f>
        <v>0</v>
      </c>
      <c r="T916" s="10">
        <v>1</v>
      </c>
      <c r="U916" s="8" t="s">
        <v>158</v>
      </c>
      <c r="V916" s="10">
        <v>770</v>
      </c>
      <c r="W916" s="10">
        <v>28</v>
      </c>
      <c r="X916" s="12">
        <v>4.1358936484490398E-2</v>
      </c>
      <c r="Y916" s="8" t="b">
        <f>CleanedData[[#This Row],[Ship Date]]&lt;CleanedData[[#This Row],[Order Date]]</f>
        <v>1</v>
      </c>
      <c r="Z916" s="10">
        <f>YEAR(CleanedData[[#This Row],[Order Date]])</f>
        <v>2023</v>
      </c>
      <c r="AA916" s="8">
        <f>MONTH(CleanedData[[#This Row],[Order Date]])</f>
        <v>3</v>
      </c>
    </row>
    <row r="917" spans="1:27" x14ac:dyDescent="0.35">
      <c r="A917" s="8" t="s">
        <v>2669</v>
      </c>
      <c r="B917" s="9">
        <v>45145</v>
      </c>
      <c r="C917" s="9">
        <v>45237</v>
      </c>
      <c r="D917" s="8" t="s">
        <v>2671</v>
      </c>
      <c r="E917" s="8" t="s">
        <v>58</v>
      </c>
      <c r="F917" s="8" t="s">
        <v>122</v>
      </c>
      <c r="G917" s="8" t="s">
        <v>39</v>
      </c>
      <c r="H917" s="8" t="s">
        <v>40</v>
      </c>
      <c r="I917" s="8" t="s">
        <v>4969</v>
      </c>
      <c r="J917" s="10">
        <v>785</v>
      </c>
      <c r="K917" s="11">
        <v>854.57</v>
      </c>
      <c r="L917" s="11">
        <v>974.6</v>
      </c>
      <c r="M917" s="11">
        <v>765061</v>
      </c>
      <c r="N917" s="11">
        <v>670837.44999999995</v>
      </c>
      <c r="O917" s="11">
        <f>CleanedData[[#This Row],[Total Sales ($)]]-CleanedData[[#This Row],[Total Cost ($)]]</f>
        <v>94223.550000000047</v>
      </c>
      <c r="P917" s="12">
        <f>CleanedData[[#This Row],[Profit ($)]]/CleanedData[[#This Row],[Total Sales ($)]]</f>
        <v>0.12315821875641295</v>
      </c>
      <c r="Q917" s="8" t="s">
        <v>52</v>
      </c>
      <c r="R917" s="8" t="s">
        <v>63</v>
      </c>
      <c r="S917" s="8" t="b">
        <f>_xlfn.SINGLE(CleanedData[[#This Row],[Delivery Status]])="Late"</f>
        <v>0</v>
      </c>
      <c r="T917" s="10">
        <v>1</v>
      </c>
      <c r="U917" s="8" t="s">
        <v>43</v>
      </c>
      <c r="V917" s="10">
        <v>3256</v>
      </c>
      <c r="W917" s="10">
        <v>37</v>
      </c>
      <c r="X917" s="12">
        <v>4.7133757961783401E-2</v>
      </c>
      <c r="Y917" s="8" t="b">
        <f>CleanedData[[#This Row],[Ship Date]]&lt;CleanedData[[#This Row],[Order Date]]</f>
        <v>0</v>
      </c>
      <c r="Z917" s="10">
        <f>YEAR(CleanedData[[#This Row],[Order Date]])</f>
        <v>2023</v>
      </c>
      <c r="AA917" s="8">
        <f>MONTH(CleanedData[[#This Row],[Order Date]])</f>
        <v>8</v>
      </c>
    </row>
    <row r="918" spans="1:27" x14ac:dyDescent="0.35">
      <c r="A918" s="8" t="s">
        <v>2672</v>
      </c>
      <c r="B918" s="9">
        <v>45264</v>
      </c>
      <c r="C918" s="9">
        <v>44977</v>
      </c>
      <c r="D918" s="8" t="s">
        <v>2673</v>
      </c>
      <c r="E918" s="8" t="s">
        <v>68</v>
      </c>
      <c r="F918" s="8" t="s">
        <v>249</v>
      </c>
      <c r="G918" s="8" t="s">
        <v>129</v>
      </c>
      <c r="H918" s="8" t="s">
        <v>520</v>
      </c>
      <c r="I918" s="8" t="s">
        <v>4969</v>
      </c>
      <c r="J918" s="10">
        <v>112</v>
      </c>
      <c r="K918" s="11">
        <v>132.36000000000001</v>
      </c>
      <c r="L918" s="11">
        <v>215.4</v>
      </c>
      <c r="M918" s="11">
        <v>24124.799999999999</v>
      </c>
      <c r="N918" s="11">
        <v>14824.32</v>
      </c>
      <c r="O918" s="11">
        <f>CleanedData[[#This Row],[Total Sales ($)]]-CleanedData[[#This Row],[Total Cost ($)]]</f>
        <v>9300.48</v>
      </c>
      <c r="P918" s="12">
        <f>CleanedData[[#This Row],[Profit ($)]]/CleanedData[[#This Row],[Total Sales ($)]]</f>
        <v>0.38551532033426184</v>
      </c>
      <c r="Q918" s="8" t="s">
        <v>42</v>
      </c>
      <c r="R918" s="8" t="s">
        <v>32</v>
      </c>
      <c r="S918" s="8" t="b">
        <f>_xlfn.SINGLE(CleanedData[[#This Row],[Delivery Status]])="Late"</f>
        <v>1</v>
      </c>
      <c r="T918" s="10">
        <v>10</v>
      </c>
      <c r="U918" s="8" t="s">
        <v>86</v>
      </c>
      <c r="V918" s="10">
        <v>4727</v>
      </c>
      <c r="W918" s="10">
        <v>1</v>
      </c>
      <c r="X918" s="12">
        <v>8.9285714285714003E-3</v>
      </c>
      <c r="Y918" s="8" t="b">
        <f>CleanedData[[#This Row],[Ship Date]]&lt;CleanedData[[#This Row],[Order Date]]</f>
        <v>1</v>
      </c>
      <c r="Z918" s="10">
        <f>YEAR(CleanedData[[#This Row],[Order Date]])</f>
        <v>2023</v>
      </c>
      <c r="AA918" s="8">
        <f>MONTH(CleanedData[[#This Row],[Order Date]])</f>
        <v>12</v>
      </c>
    </row>
    <row r="919" spans="1:27" x14ac:dyDescent="0.35">
      <c r="A919" s="8" t="s">
        <v>2674</v>
      </c>
      <c r="B919" s="9">
        <v>45033</v>
      </c>
      <c r="C919" s="9">
        <v>45221</v>
      </c>
      <c r="D919" s="8" t="s">
        <v>2675</v>
      </c>
      <c r="E919" s="8" t="s">
        <v>58</v>
      </c>
      <c r="F919" s="8" t="s">
        <v>116</v>
      </c>
      <c r="G919" s="8" t="s">
        <v>28</v>
      </c>
      <c r="H919" s="8" t="s">
        <v>254</v>
      </c>
      <c r="I919" s="8" t="s">
        <v>4979</v>
      </c>
      <c r="J919" s="10">
        <v>139</v>
      </c>
      <c r="K919" s="11">
        <v>919.29</v>
      </c>
      <c r="L919" s="11">
        <v>1050.43</v>
      </c>
      <c r="M919" s="11">
        <v>146009.76999999999</v>
      </c>
      <c r="N919" s="11">
        <v>127781.31</v>
      </c>
      <c r="O919" s="11">
        <f>CleanedData[[#This Row],[Total Sales ($)]]-CleanedData[[#This Row],[Total Cost ($)]]</f>
        <v>18228.459999999992</v>
      </c>
      <c r="P919" s="12">
        <f>CleanedData[[#This Row],[Profit ($)]]/CleanedData[[#This Row],[Total Sales ($)]]</f>
        <v>0.1248441114591167</v>
      </c>
      <c r="Q919" s="8" t="s">
        <v>52</v>
      </c>
      <c r="R919" s="8" t="s">
        <v>32</v>
      </c>
      <c r="S919" s="8" t="b">
        <f>_xlfn.SINGLE(CleanedData[[#This Row],[Delivery Status]])="Late"</f>
        <v>1</v>
      </c>
      <c r="T919" s="10">
        <v>12</v>
      </c>
      <c r="U919" s="8" t="s">
        <v>33</v>
      </c>
      <c r="V919" s="10">
        <v>1955</v>
      </c>
      <c r="W919" s="10">
        <v>1</v>
      </c>
      <c r="X919" s="12">
        <v>7.1942446043165003E-3</v>
      </c>
      <c r="Y919" s="8" t="b">
        <f>CleanedData[[#This Row],[Ship Date]]&lt;CleanedData[[#This Row],[Order Date]]</f>
        <v>0</v>
      </c>
      <c r="Z919" s="10">
        <f>YEAR(CleanedData[[#This Row],[Order Date]])</f>
        <v>2023</v>
      </c>
      <c r="AA919" s="8">
        <f>MONTH(CleanedData[[#This Row],[Order Date]])</f>
        <v>4</v>
      </c>
    </row>
    <row r="920" spans="1:27" x14ac:dyDescent="0.35">
      <c r="A920" s="8" t="s">
        <v>2676</v>
      </c>
      <c r="B920" s="9">
        <v>45192</v>
      </c>
      <c r="C920" s="9">
        <v>45139</v>
      </c>
      <c r="D920" s="8" t="s">
        <v>2678</v>
      </c>
      <c r="E920" s="8" t="s">
        <v>48</v>
      </c>
      <c r="F920" s="8" t="s">
        <v>281</v>
      </c>
      <c r="G920" s="8" t="s">
        <v>129</v>
      </c>
      <c r="H920" s="8" t="s">
        <v>152</v>
      </c>
      <c r="I920" s="8" t="s">
        <v>4979</v>
      </c>
      <c r="J920" s="10">
        <v>417</v>
      </c>
      <c r="K920" s="11">
        <v>881.7</v>
      </c>
      <c r="L920" s="11">
        <v>1303.3499999999999</v>
      </c>
      <c r="M920" s="11">
        <v>543496.94999999995</v>
      </c>
      <c r="N920" s="11">
        <v>367668.9</v>
      </c>
      <c r="O920" s="11">
        <f>CleanedData[[#This Row],[Total Sales ($)]]-CleanedData[[#This Row],[Total Cost ($)]]</f>
        <v>175828.04999999993</v>
      </c>
      <c r="P920" s="12">
        <f>CleanedData[[#This Row],[Profit ($)]]/CleanedData[[#This Row],[Total Sales ($)]]</f>
        <v>0.32351248705259511</v>
      </c>
      <c r="Q920" s="8" t="s">
        <v>42</v>
      </c>
      <c r="R920" s="8" t="s">
        <v>32</v>
      </c>
      <c r="S920" s="8" t="b">
        <f>_xlfn.SINGLE(CleanedData[[#This Row],[Delivery Status]])="Late"</f>
        <v>1</v>
      </c>
      <c r="T920" s="10">
        <v>8</v>
      </c>
      <c r="U920" s="8" t="s">
        <v>86</v>
      </c>
      <c r="V920" s="10">
        <v>2032</v>
      </c>
      <c r="W920" s="10">
        <v>20</v>
      </c>
      <c r="X920" s="12">
        <v>4.7961630695443597E-2</v>
      </c>
      <c r="Y920" s="8" t="b">
        <f>CleanedData[[#This Row],[Ship Date]]&lt;CleanedData[[#This Row],[Order Date]]</f>
        <v>1</v>
      </c>
      <c r="Z920" s="10">
        <f>YEAR(CleanedData[[#This Row],[Order Date]])</f>
        <v>2023</v>
      </c>
      <c r="AA920" s="8">
        <f>MONTH(CleanedData[[#This Row],[Order Date]])</f>
        <v>9</v>
      </c>
    </row>
    <row r="921" spans="1:27" x14ac:dyDescent="0.35">
      <c r="A921" s="8" t="s">
        <v>2679</v>
      </c>
      <c r="B921" s="9">
        <v>45054</v>
      </c>
      <c r="C921" s="9">
        <v>45043</v>
      </c>
      <c r="D921" s="8" t="s">
        <v>2680</v>
      </c>
      <c r="E921" s="8" t="s">
        <v>48</v>
      </c>
      <c r="F921" s="8" t="s">
        <v>49</v>
      </c>
      <c r="G921" s="8" t="s">
        <v>28</v>
      </c>
      <c r="H921" s="8" t="s">
        <v>111</v>
      </c>
      <c r="I921" s="8" t="s">
        <v>4971</v>
      </c>
      <c r="J921" s="10">
        <v>398</v>
      </c>
      <c r="K921" s="11">
        <v>637.14</v>
      </c>
      <c r="L921" s="11">
        <v>821.65</v>
      </c>
      <c r="M921" s="11">
        <v>327016.7</v>
      </c>
      <c r="N921" s="11">
        <v>253581.72</v>
      </c>
      <c r="O921" s="11">
        <f>CleanedData[[#This Row],[Total Sales ($)]]-CleanedData[[#This Row],[Total Cost ($)]]</f>
        <v>73434.98000000001</v>
      </c>
      <c r="P921" s="12">
        <f>CleanedData[[#This Row],[Profit ($)]]/CleanedData[[#This Row],[Total Sales ($)]]</f>
        <v>0.22456033590945051</v>
      </c>
      <c r="Q921" s="8" t="s">
        <v>52</v>
      </c>
      <c r="R921" s="8" t="s">
        <v>63</v>
      </c>
      <c r="S921" s="8" t="b">
        <f>_xlfn.SINGLE(CleanedData[[#This Row],[Delivery Status]])="Late"</f>
        <v>0</v>
      </c>
      <c r="T921" s="10">
        <v>5</v>
      </c>
      <c r="U921" s="8" t="s">
        <v>33</v>
      </c>
      <c r="V921" s="10">
        <v>695</v>
      </c>
      <c r="W921" s="10">
        <v>10</v>
      </c>
      <c r="X921" s="12">
        <v>2.5125628140703501E-2</v>
      </c>
      <c r="Y921" s="8" t="b">
        <f>CleanedData[[#This Row],[Ship Date]]&lt;CleanedData[[#This Row],[Order Date]]</f>
        <v>1</v>
      </c>
      <c r="Z921" s="10">
        <f>YEAR(CleanedData[[#This Row],[Order Date]])</f>
        <v>2023</v>
      </c>
      <c r="AA921" s="8">
        <f>MONTH(CleanedData[[#This Row],[Order Date]])</f>
        <v>5</v>
      </c>
    </row>
    <row r="922" spans="1:27" x14ac:dyDescent="0.35">
      <c r="A922" s="8" t="s">
        <v>2681</v>
      </c>
      <c r="B922" s="9">
        <v>45035</v>
      </c>
      <c r="C922" s="9">
        <v>45017</v>
      </c>
      <c r="D922" s="8" t="s">
        <v>2682</v>
      </c>
      <c r="E922" s="8" t="s">
        <v>100</v>
      </c>
      <c r="F922" s="8" t="s">
        <v>538</v>
      </c>
      <c r="G922" s="8" t="s">
        <v>189</v>
      </c>
      <c r="H922" s="8" t="s">
        <v>190</v>
      </c>
      <c r="I922" s="8" t="s">
        <v>4970</v>
      </c>
      <c r="J922" s="10">
        <v>614</v>
      </c>
      <c r="K922" s="11">
        <v>907.71</v>
      </c>
      <c r="L922" s="11">
        <v>1497.18</v>
      </c>
      <c r="M922" s="11">
        <v>919268.52</v>
      </c>
      <c r="N922" s="11">
        <v>557333.93999999994</v>
      </c>
      <c r="O922" s="11">
        <f>CleanedData[[#This Row],[Total Sales ($)]]-CleanedData[[#This Row],[Total Cost ($)]]</f>
        <v>361934.58000000007</v>
      </c>
      <c r="P922" s="12">
        <f>CleanedData[[#This Row],[Profit ($)]]/CleanedData[[#This Row],[Total Sales ($)]]</f>
        <v>0.39372019396465363</v>
      </c>
      <c r="Q922" s="8" t="s">
        <v>42</v>
      </c>
      <c r="R922" s="8" t="s">
        <v>32</v>
      </c>
      <c r="S922" s="8" t="b">
        <f>_xlfn.SINGLE(CleanedData[[#This Row],[Delivery Status]])="Late"</f>
        <v>1</v>
      </c>
      <c r="T922" s="10">
        <v>0</v>
      </c>
      <c r="U922" s="8" t="s">
        <v>158</v>
      </c>
      <c r="V922" s="10">
        <v>4272</v>
      </c>
      <c r="W922" s="10">
        <v>20</v>
      </c>
      <c r="X922" s="12">
        <v>3.2573289902280103E-2</v>
      </c>
      <c r="Y922" s="8" t="b">
        <f>CleanedData[[#This Row],[Ship Date]]&lt;CleanedData[[#This Row],[Order Date]]</f>
        <v>1</v>
      </c>
      <c r="Z922" s="10">
        <f>YEAR(CleanedData[[#This Row],[Order Date]])</f>
        <v>2023</v>
      </c>
      <c r="AA922" s="8">
        <f>MONTH(CleanedData[[#This Row],[Order Date]])</f>
        <v>4</v>
      </c>
    </row>
    <row r="923" spans="1:27" x14ac:dyDescent="0.35">
      <c r="A923" s="8" t="s">
        <v>2684</v>
      </c>
      <c r="B923" s="9">
        <v>45026</v>
      </c>
      <c r="C923" s="9">
        <v>44948</v>
      </c>
      <c r="D923" s="8" t="s">
        <v>2685</v>
      </c>
      <c r="E923" s="8" t="s">
        <v>48</v>
      </c>
      <c r="F923" s="8" t="s">
        <v>223</v>
      </c>
      <c r="G923" s="8" t="s">
        <v>189</v>
      </c>
      <c r="H923" s="8" t="s">
        <v>271</v>
      </c>
      <c r="I923" s="8" t="s">
        <v>4975</v>
      </c>
      <c r="J923" s="10">
        <v>240</v>
      </c>
      <c r="K923" s="11">
        <v>928.36</v>
      </c>
      <c r="L923" s="11">
        <v>1323.58</v>
      </c>
      <c r="M923" s="11">
        <v>317659.2</v>
      </c>
      <c r="N923" s="11">
        <v>222806.39999999999</v>
      </c>
      <c r="O923" s="11">
        <f>CleanedData[[#This Row],[Total Sales ($)]]-CleanedData[[#This Row],[Total Cost ($)]]</f>
        <v>94852.800000000017</v>
      </c>
      <c r="P923" s="12">
        <f>CleanedData[[#This Row],[Profit ($)]]/CleanedData[[#This Row],[Total Sales ($)]]</f>
        <v>0.29859925353964251</v>
      </c>
      <c r="Q923" s="8" t="s">
        <v>31</v>
      </c>
      <c r="R923" s="8" t="s">
        <v>32</v>
      </c>
      <c r="S923" s="8" t="b">
        <f>_xlfn.SINGLE(CleanedData[[#This Row],[Delivery Status]])="Late"</f>
        <v>1</v>
      </c>
      <c r="T923" s="10">
        <v>12</v>
      </c>
      <c r="U923" s="8" t="s">
        <v>43</v>
      </c>
      <c r="V923" s="10">
        <v>2360</v>
      </c>
      <c r="W923" s="10">
        <v>11</v>
      </c>
      <c r="X923" s="12">
        <v>4.5833333333333302E-2</v>
      </c>
      <c r="Y923" s="8" t="b">
        <f>CleanedData[[#This Row],[Ship Date]]&lt;CleanedData[[#This Row],[Order Date]]</f>
        <v>1</v>
      </c>
      <c r="Z923" s="10">
        <f>YEAR(CleanedData[[#This Row],[Order Date]])</f>
        <v>2023</v>
      </c>
      <c r="AA923" s="8">
        <f>MONTH(CleanedData[[#This Row],[Order Date]])</f>
        <v>4</v>
      </c>
    </row>
    <row r="924" spans="1:27" x14ac:dyDescent="0.35">
      <c r="A924" s="8" t="s">
        <v>2686</v>
      </c>
      <c r="B924" s="9">
        <v>45408</v>
      </c>
      <c r="C924" s="9">
        <v>45500</v>
      </c>
      <c r="D924" s="8" t="s">
        <v>2688</v>
      </c>
      <c r="E924" s="8" t="s">
        <v>58</v>
      </c>
      <c r="F924" s="8" t="s">
        <v>417</v>
      </c>
      <c r="G924" s="8" t="s">
        <v>50</v>
      </c>
      <c r="H924" s="8" t="s">
        <v>260</v>
      </c>
      <c r="I924" s="8" t="s">
        <v>4968</v>
      </c>
      <c r="J924" s="10">
        <v>661</v>
      </c>
      <c r="K924" s="11">
        <v>722.37</v>
      </c>
      <c r="L924" s="11">
        <v>1135.3499999999999</v>
      </c>
      <c r="M924" s="11">
        <v>750466.35</v>
      </c>
      <c r="N924" s="11">
        <v>477486.57</v>
      </c>
      <c r="O924" s="11">
        <f>CleanedData[[#This Row],[Total Sales ($)]]-CleanedData[[#This Row],[Total Cost ($)]]</f>
        <v>272979.77999999997</v>
      </c>
      <c r="P924" s="12">
        <f>CleanedData[[#This Row],[Profit ($)]]/CleanedData[[#This Row],[Total Sales ($)]]</f>
        <v>0.36374686220108332</v>
      </c>
      <c r="Q924" s="8" t="s">
        <v>95</v>
      </c>
      <c r="R924" s="8" t="s">
        <v>63</v>
      </c>
      <c r="S924" s="8" t="b">
        <f>_xlfn.SINGLE(CleanedData[[#This Row],[Delivery Status]])="Late"</f>
        <v>0</v>
      </c>
      <c r="T924" s="10">
        <v>4</v>
      </c>
      <c r="U924" s="8" t="s">
        <v>33</v>
      </c>
      <c r="V924" s="10">
        <v>1414</v>
      </c>
      <c r="W924" s="10">
        <v>18</v>
      </c>
      <c r="X924" s="12">
        <v>2.7231467473524899E-2</v>
      </c>
      <c r="Y924" s="8" t="b">
        <f>CleanedData[[#This Row],[Ship Date]]&lt;CleanedData[[#This Row],[Order Date]]</f>
        <v>0</v>
      </c>
      <c r="Z924" s="10">
        <f>YEAR(CleanedData[[#This Row],[Order Date]])</f>
        <v>2024</v>
      </c>
      <c r="AA924" s="8">
        <f>MONTH(CleanedData[[#This Row],[Order Date]])</f>
        <v>4</v>
      </c>
    </row>
    <row r="925" spans="1:27" x14ac:dyDescent="0.35">
      <c r="A925" s="8" t="s">
        <v>2689</v>
      </c>
      <c r="B925" s="9">
        <v>45133</v>
      </c>
      <c r="C925" s="9">
        <v>45121</v>
      </c>
      <c r="D925" s="8" t="s">
        <v>2690</v>
      </c>
      <c r="E925" s="8" t="s">
        <v>48</v>
      </c>
      <c r="F925" s="8" t="s">
        <v>223</v>
      </c>
      <c r="G925" s="8" t="s">
        <v>50</v>
      </c>
      <c r="H925" s="8" t="s">
        <v>734</v>
      </c>
      <c r="I925" s="8" t="s">
        <v>4979</v>
      </c>
      <c r="J925" s="10">
        <v>84</v>
      </c>
      <c r="K925" s="11">
        <v>1187.1300000000001</v>
      </c>
      <c r="L925" s="11">
        <v>1635.02</v>
      </c>
      <c r="M925" s="11">
        <v>137341.68</v>
      </c>
      <c r="N925" s="11">
        <v>99718.92</v>
      </c>
      <c r="O925" s="11">
        <f>CleanedData[[#This Row],[Total Sales ($)]]-CleanedData[[#This Row],[Total Cost ($)]]</f>
        <v>37622.759999999995</v>
      </c>
      <c r="P925" s="12">
        <f>CleanedData[[#This Row],[Profit ($)]]/CleanedData[[#This Row],[Total Sales ($)]]</f>
        <v>0.27393548702768161</v>
      </c>
      <c r="Q925" s="8" t="s">
        <v>42</v>
      </c>
      <c r="R925" s="8" t="s">
        <v>32</v>
      </c>
      <c r="S925" s="8" t="b">
        <f>_xlfn.SINGLE(CleanedData[[#This Row],[Delivery Status]])="Late"</f>
        <v>1</v>
      </c>
      <c r="T925" s="10">
        <v>10</v>
      </c>
      <c r="U925" s="8" t="s">
        <v>158</v>
      </c>
      <c r="V925" s="10">
        <v>4892</v>
      </c>
      <c r="W925" s="10">
        <v>0</v>
      </c>
      <c r="X925" s="12">
        <v>0</v>
      </c>
      <c r="Y925" s="8" t="b">
        <f>CleanedData[[#This Row],[Ship Date]]&lt;CleanedData[[#This Row],[Order Date]]</f>
        <v>1</v>
      </c>
      <c r="Z925" s="10">
        <f>YEAR(CleanedData[[#This Row],[Order Date]])</f>
        <v>2023</v>
      </c>
      <c r="AA925" s="8">
        <f>MONTH(CleanedData[[#This Row],[Order Date]])</f>
        <v>7</v>
      </c>
    </row>
    <row r="926" spans="1:27" x14ac:dyDescent="0.35">
      <c r="A926" s="8" t="s">
        <v>2691</v>
      </c>
      <c r="B926" s="9">
        <v>45606</v>
      </c>
      <c r="C926" s="9">
        <v>45361</v>
      </c>
      <c r="D926" s="8" t="s">
        <v>2692</v>
      </c>
      <c r="E926" s="8" t="s">
        <v>26</v>
      </c>
      <c r="F926" s="8" t="s">
        <v>92</v>
      </c>
      <c r="G926" s="8" t="s">
        <v>217</v>
      </c>
      <c r="H926" s="8" t="s">
        <v>340</v>
      </c>
      <c r="I926" s="8" t="s">
        <v>4979</v>
      </c>
      <c r="J926" s="10">
        <v>714</v>
      </c>
      <c r="K926" s="11">
        <v>1092.1500000000001</v>
      </c>
      <c r="L926" s="11">
        <v>1510.94</v>
      </c>
      <c r="M926" s="11">
        <v>1078811.1599999999</v>
      </c>
      <c r="N926" s="11">
        <v>779795.1</v>
      </c>
      <c r="O926" s="11">
        <f>CleanedData[[#This Row],[Total Sales ($)]]-CleanedData[[#This Row],[Total Cost ($)]]</f>
        <v>299016.05999999994</v>
      </c>
      <c r="P926" s="12">
        <f>CleanedData[[#This Row],[Profit ($)]]/CleanedData[[#This Row],[Total Sales ($)]]</f>
        <v>0.27717182680980051</v>
      </c>
      <c r="Q926" s="8" t="s">
        <v>95</v>
      </c>
      <c r="R926" s="8" t="s">
        <v>32</v>
      </c>
      <c r="S926" s="8" t="b">
        <f>_xlfn.SINGLE(CleanedData[[#This Row],[Delivery Status]])="Late"</f>
        <v>1</v>
      </c>
      <c r="T926" s="10">
        <v>12</v>
      </c>
      <c r="U926" s="8" t="s">
        <v>33</v>
      </c>
      <c r="V926" s="10">
        <v>4444</v>
      </c>
      <c r="W926" s="10">
        <v>1</v>
      </c>
      <c r="X926" s="12">
        <v>1.4005602240896001E-3</v>
      </c>
      <c r="Y926" s="8" t="b">
        <f>CleanedData[[#This Row],[Ship Date]]&lt;CleanedData[[#This Row],[Order Date]]</f>
        <v>1</v>
      </c>
      <c r="Z926" s="10">
        <f>YEAR(CleanedData[[#This Row],[Order Date]])</f>
        <v>2024</v>
      </c>
      <c r="AA926" s="8">
        <f>MONTH(CleanedData[[#This Row],[Order Date]])</f>
        <v>11</v>
      </c>
    </row>
    <row r="927" spans="1:27" x14ac:dyDescent="0.35">
      <c r="A927" s="8" t="s">
        <v>2693</v>
      </c>
      <c r="B927" s="9">
        <v>45571</v>
      </c>
      <c r="C927" s="9">
        <v>45570</v>
      </c>
      <c r="D927" s="8" t="s">
        <v>2695</v>
      </c>
      <c r="E927" s="8" t="s">
        <v>48</v>
      </c>
      <c r="F927" s="8" t="s">
        <v>49</v>
      </c>
      <c r="G927" s="8" t="s">
        <v>60</v>
      </c>
      <c r="H927" s="8" t="s">
        <v>834</v>
      </c>
      <c r="I927" s="8" t="s">
        <v>4974</v>
      </c>
      <c r="J927" s="10">
        <v>457</v>
      </c>
      <c r="K927" s="11">
        <v>446.01</v>
      </c>
      <c r="L927" s="11">
        <v>594.33000000000004</v>
      </c>
      <c r="M927" s="11">
        <v>271608.81</v>
      </c>
      <c r="N927" s="11">
        <v>203826.57</v>
      </c>
      <c r="O927" s="11">
        <f>CleanedData[[#This Row],[Total Sales ($)]]-CleanedData[[#This Row],[Total Cost ($)]]</f>
        <v>67782.239999999991</v>
      </c>
      <c r="P927" s="12">
        <f>CleanedData[[#This Row],[Profit ($)]]/CleanedData[[#This Row],[Total Sales ($)]]</f>
        <v>0.24955832618242388</v>
      </c>
      <c r="Q927" s="8" t="s">
        <v>52</v>
      </c>
      <c r="R927" s="8" t="s">
        <v>63</v>
      </c>
      <c r="S927" s="8" t="b">
        <f>_xlfn.SINGLE(CleanedData[[#This Row],[Delivery Status]])="Late"</f>
        <v>0</v>
      </c>
      <c r="T927" s="10">
        <v>5</v>
      </c>
      <c r="U927" s="8" t="s">
        <v>158</v>
      </c>
      <c r="V927" s="10">
        <v>392</v>
      </c>
      <c r="W927" s="10">
        <v>12</v>
      </c>
      <c r="X927" s="12">
        <v>2.6258205689277898E-2</v>
      </c>
      <c r="Y927" s="8" t="b">
        <f>CleanedData[[#This Row],[Ship Date]]&lt;CleanedData[[#This Row],[Order Date]]</f>
        <v>1</v>
      </c>
      <c r="Z927" s="10">
        <f>YEAR(CleanedData[[#This Row],[Order Date]])</f>
        <v>2024</v>
      </c>
      <c r="AA927" s="8">
        <f>MONTH(CleanedData[[#This Row],[Order Date]])</f>
        <v>10</v>
      </c>
    </row>
    <row r="928" spans="1:27" x14ac:dyDescent="0.35">
      <c r="A928" s="8" t="s">
        <v>2696</v>
      </c>
      <c r="B928" s="9">
        <v>45079</v>
      </c>
      <c r="C928" s="9">
        <v>45219</v>
      </c>
      <c r="D928" s="8" t="s">
        <v>2697</v>
      </c>
      <c r="E928" s="8" t="s">
        <v>48</v>
      </c>
      <c r="F928" s="8" t="s">
        <v>49</v>
      </c>
      <c r="G928" s="8" t="s">
        <v>70</v>
      </c>
      <c r="H928" s="8" t="s">
        <v>623</v>
      </c>
      <c r="I928" s="8" t="s">
        <v>4979</v>
      </c>
      <c r="J928" s="10">
        <v>296</v>
      </c>
      <c r="K928" s="11">
        <v>424.38</v>
      </c>
      <c r="L928" s="11">
        <v>508.28</v>
      </c>
      <c r="M928" s="11">
        <v>150450.88</v>
      </c>
      <c r="N928" s="11">
        <v>125616.48</v>
      </c>
      <c r="O928" s="11">
        <f>CleanedData[[#This Row],[Total Sales ($)]]-CleanedData[[#This Row],[Total Cost ($)]]</f>
        <v>24834.400000000009</v>
      </c>
      <c r="P928" s="12">
        <f>CleanedData[[#This Row],[Profit ($)]]/CleanedData[[#This Row],[Total Sales ($)]]</f>
        <v>0.16506649878019994</v>
      </c>
      <c r="Q928" s="8" t="s">
        <v>31</v>
      </c>
      <c r="R928" s="8" t="s">
        <v>32</v>
      </c>
      <c r="S928" s="8" t="b">
        <f>_xlfn.SINGLE(CleanedData[[#This Row],[Delivery Status]])="Late"</f>
        <v>1</v>
      </c>
      <c r="T928" s="10">
        <v>7</v>
      </c>
      <c r="U928" s="8" t="s">
        <v>158</v>
      </c>
      <c r="V928" s="10">
        <v>4870</v>
      </c>
      <c r="W928" s="10">
        <v>12</v>
      </c>
      <c r="X928" s="12">
        <v>4.0540540540540501E-2</v>
      </c>
      <c r="Y928" s="8" t="b">
        <f>CleanedData[[#This Row],[Ship Date]]&lt;CleanedData[[#This Row],[Order Date]]</f>
        <v>0</v>
      </c>
      <c r="Z928" s="10">
        <f>YEAR(CleanedData[[#This Row],[Order Date]])</f>
        <v>2023</v>
      </c>
      <c r="AA928" s="8">
        <f>MONTH(CleanedData[[#This Row],[Order Date]])</f>
        <v>6</v>
      </c>
    </row>
    <row r="929" spans="1:27" x14ac:dyDescent="0.35">
      <c r="A929" s="8" t="s">
        <v>2698</v>
      </c>
      <c r="B929" s="9">
        <v>45133</v>
      </c>
      <c r="C929" s="9">
        <v>45263</v>
      </c>
      <c r="D929" s="8" t="s">
        <v>2699</v>
      </c>
      <c r="E929" s="8" t="s">
        <v>100</v>
      </c>
      <c r="F929" s="8" t="s">
        <v>538</v>
      </c>
      <c r="G929" s="8" t="s">
        <v>60</v>
      </c>
      <c r="H929" s="8" t="s">
        <v>834</v>
      </c>
      <c r="I929" s="8" t="s">
        <v>4969</v>
      </c>
      <c r="J929" s="10">
        <v>48</v>
      </c>
      <c r="K929" s="11">
        <v>127.98</v>
      </c>
      <c r="L929" s="11">
        <v>156.5</v>
      </c>
      <c r="M929" s="11">
        <v>7512</v>
      </c>
      <c r="N929" s="11">
        <v>6143.04</v>
      </c>
      <c r="O929" s="11">
        <f>CleanedData[[#This Row],[Total Sales ($)]]-CleanedData[[#This Row],[Total Cost ($)]]</f>
        <v>1368.96</v>
      </c>
      <c r="P929" s="12">
        <f>CleanedData[[#This Row],[Profit ($)]]/CleanedData[[#This Row],[Total Sales ($)]]</f>
        <v>0.18223642172523963</v>
      </c>
      <c r="Q929" s="8" t="s">
        <v>52</v>
      </c>
      <c r="R929" s="8" t="s">
        <v>63</v>
      </c>
      <c r="S929" s="8" t="b">
        <f>_xlfn.SINGLE(CleanedData[[#This Row],[Delivery Status]])="Late"</f>
        <v>0</v>
      </c>
      <c r="T929" s="10">
        <v>4</v>
      </c>
      <c r="U929" s="8" t="s">
        <v>53</v>
      </c>
      <c r="V929" s="10">
        <v>3098</v>
      </c>
      <c r="W929" s="10">
        <v>2</v>
      </c>
      <c r="X929" s="12">
        <v>4.1666666666666602E-2</v>
      </c>
      <c r="Y929" s="8" t="b">
        <f>CleanedData[[#This Row],[Ship Date]]&lt;CleanedData[[#This Row],[Order Date]]</f>
        <v>0</v>
      </c>
      <c r="Z929" s="10">
        <f>YEAR(CleanedData[[#This Row],[Order Date]])</f>
        <v>2023</v>
      </c>
      <c r="AA929" s="8">
        <f>MONTH(CleanedData[[#This Row],[Order Date]])</f>
        <v>7</v>
      </c>
    </row>
    <row r="930" spans="1:27" x14ac:dyDescent="0.35">
      <c r="A930" s="8" t="s">
        <v>2700</v>
      </c>
      <c r="B930" s="9">
        <v>45462</v>
      </c>
      <c r="C930" s="9">
        <v>44958</v>
      </c>
      <c r="D930" s="8" t="s">
        <v>2701</v>
      </c>
      <c r="E930" s="8" t="s">
        <v>26</v>
      </c>
      <c r="F930" s="8" t="s">
        <v>228</v>
      </c>
      <c r="G930" s="8" t="s">
        <v>28</v>
      </c>
      <c r="H930" s="8" t="s">
        <v>29</v>
      </c>
      <c r="I930" s="8" t="s">
        <v>4976</v>
      </c>
      <c r="J930" s="10">
        <v>73</v>
      </c>
      <c r="K930" s="11">
        <v>175.56</v>
      </c>
      <c r="L930" s="11">
        <v>205.26</v>
      </c>
      <c r="M930" s="11">
        <v>14983.98</v>
      </c>
      <c r="N930" s="11">
        <v>12815.88</v>
      </c>
      <c r="O930" s="11">
        <f>CleanedData[[#This Row],[Total Sales ($)]]-CleanedData[[#This Row],[Total Cost ($)]]</f>
        <v>2168.1000000000004</v>
      </c>
      <c r="P930" s="12">
        <f>CleanedData[[#This Row],[Profit ($)]]/CleanedData[[#This Row],[Total Sales ($)]]</f>
        <v>0.1446945337620579</v>
      </c>
      <c r="Q930" s="8" t="s">
        <v>31</v>
      </c>
      <c r="R930" s="8" t="s">
        <v>32</v>
      </c>
      <c r="S930" s="8" t="b">
        <f>_xlfn.SINGLE(CleanedData[[#This Row],[Delivery Status]])="Late"</f>
        <v>1</v>
      </c>
      <c r="T930" s="10">
        <v>14</v>
      </c>
      <c r="U930" s="8" t="s">
        <v>43</v>
      </c>
      <c r="V930" s="10">
        <v>4270</v>
      </c>
      <c r="W930" s="10">
        <v>2</v>
      </c>
      <c r="X930" s="12">
        <v>2.7397260273972601E-2</v>
      </c>
      <c r="Y930" s="8" t="b">
        <f>CleanedData[[#This Row],[Ship Date]]&lt;CleanedData[[#This Row],[Order Date]]</f>
        <v>1</v>
      </c>
      <c r="Z930" s="10">
        <f>YEAR(CleanedData[[#This Row],[Order Date]])</f>
        <v>2024</v>
      </c>
      <c r="AA930" s="8">
        <f>MONTH(CleanedData[[#This Row],[Order Date]])</f>
        <v>6</v>
      </c>
    </row>
    <row r="931" spans="1:27" x14ac:dyDescent="0.35">
      <c r="A931" s="8" t="s">
        <v>2702</v>
      </c>
      <c r="B931" s="9">
        <v>45250</v>
      </c>
      <c r="C931" s="9">
        <v>44929</v>
      </c>
      <c r="D931" s="8" t="s">
        <v>2703</v>
      </c>
      <c r="E931" s="8" t="s">
        <v>26</v>
      </c>
      <c r="F931" s="8" t="s">
        <v>77</v>
      </c>
      <c r="G931" s="8" t="s">
        <v>60</v>
      </c>
      <c r="H931" s="8" t="s">
        <v>164</v>
      </c>
      <c r="I931" s="8" t="s">
        <v>4969</v>
      </c>
      <c r="J931" s="10">
        <v>328</v>
      </c>
      <c r="K931" s="11">
        <v>580.91999999999996</v>
      </c>
      <c r="L931" s="11">
        <v>697.26</v>
      </c>
      <c r="M931" s="11">
        <v>228701.28</v>
      </c>
      <c r="N931" s="11">
        <v>190541.76</v>
      </c>
      <c r="O931" s="11">
        <f>CleanedData[[#This Row],[Total Sales ($)]]-CleanedData[[#This Row],[Total Cost ($)]]</f>
        <v>38159.51999999999</v>
      </c>
      <c r="P931" s="12">
        <f>CleanedData[[#This Row],[Profit ($)]]/CleanedData[[#This Row],[Total Sales ($)]]</f>
        <v>0.16685311074778414</v>
      </c>
      <c r="Q931" s="8" t="s">
        <v>52</v>
      </c>
      <c r="R931" s="8" t="s">
        <v>32</v>
      </c>
      <c r="S931" s="8" t="b">
        <f>_xlfn.SINGLE(CleanedData[[#This Row],[Delivery Status]])="Late"</f>
        <v>1</v>
      </c>
      <c r="T931" s="10">
        <v>8</v>
      </c>
      <c r="U931" s="8" t="s">
        <v>86</v>
      </c>
      <c r="V931" s="10">
        <v>2501.41</v>
      </c>
      <c r="W931" s="10">
        <v>7</v>
      </c>
      <c r="X931" s="12">
        <v>2.1341463414634099E-2</v>
      </c>
      <c r="Y931" s="8" t="b">
        <f>CleanedData[[#This Row],[Ship Date]]&lt;CleanedData[[#This Row],[Order Date]]</f>
        <v>1</v>
      </c>
      <c r="Z931" s="10">
        <f>YEAR(CleanedData[[#This Row],[Order Date]])</f>
        <v>2023</v>
      </c>
      <c r="AA931" s="8">
        <f>MONTH(CleanedData[[#This Row],[Order Date]])</f>
        <v>11</v>
      </c>
    </row>
    <row r="932" spans="1:27" x14ac:dyDescent="0.35">
      <c r="A932" s="8" t="s">
        <v>2705</v>
      </c>
      <c r="B932" s="9">
        <v>45165</v>
      </c>
      <c r="C932" s="9">
        <v>45098</v>
      </c>
      <c r="D932" s="8" t="s">
        <v>2707</v>
      </c>
      <c r="E932" s="8" t="s">
        <v>26</v>
      </c>
      <c r="F932" s="8" t="s">
        <v>228</v>
      </c>
      <c r="G932" s="8" t="s">
        <v>50</v>
      </c>
      <c r="H932" s="8" t="s">
        <v>117</v>
      </c>
      <c r="I932" s="8" t="s">
        <v>4967</v>
      </c>
      <c r="J932" s="10">
        <v>358</v>
      </c>
      <c r="K932" s="11">
        <v>182.77</v>
      </c>
      <c r="L932" s="11">
        <v>222.67</v>
      </c>
      <c r="M932" s="11">
        <v>79715.86</v>
      </c>
      <c r="N932" s="11">
        <v>65431.66</v>
      </c>
      <c r="O932" s="11">
        <f>CleanedData[[#This Row],[Total Sales ($)]]-CleanedData[[#This Row],[Total Cost ($)]]</f>
        <v>14284.199999999997</v>
      </c>
      <c r="P932" s="12">
        <f>CleanedData[[#This Row],[Profit ($)]]/CleanedData[[#This Row],[Total Sales ($)]]</f>
        <v>0.17918893429739072</v>
      </c>
      <c r="Q932" s="8" t="s">
        <v>95</v>
      </c>
      <c r="R932" s="8" t="s">
        <v>32</v>
      </c>
      <c r="S932" s="8" t="b">
        <f>_xlfn.SINGLE(CleanedData[[#This Row],[Delivery Status]])="Late"</f>
        <v>1</v>
      </c>
      <c r="T932" s="10">
        <v>6</v>
      </c>
      <c r="U932" s="8" t="s">
        <v>43</v>
      </c>
      <c r="V932" s="10">
        <v>2173</v>
      </c>
      <c r="W932" s="10">
        <v>3</v>
      </c>
      <c r="X932" s="12">
        <v>8.3798882681564001E-3</v>
      </c>
      <c r="Y932" s="8" t="b">
        <f>CleanedData[[#This Row],[Ship Date]]&lt;CleanedData[[#This Row],[Order Date]]</f>
        <v>1</v>
      </c>
      <c r="Z932" s="10">
        <f>YEAR(CleanedData[[#This Row],[Order Date]])</f>
        <v>2023</v>
      </c>
      <c r="AA932" s="8">
        <f>MONTH(CleanedData[[#This Row],[Order Date]])</f>
        <v>8</v>
      </c>
    </row>
    <row r="933" spans="1:27" x14ac:dyDescent="0.35">
      <c r="A933" s="8" t="s">
        <v>2708</v>
      </c>
      <c r="B933" s="9">
        <v>45140</v>
      </c>
      <c r="C933" s="9">
        <v>45304</v>
      </c>
      <c r="D933" s="8" t="s">
        <v>2709</v>
      </c>
      <c r="E933" s="8" t="s">
        <v>58</v>
      </c>
      <c r="F933" s="8" t="s">
        <v>59</v>
      </c>
      <c r="G933" s="8" t="s">
        <v>60</v>
      </c>
      <c r="H933" s="8" t="s">
        <v>400</v>
      </c>
      <c r="I933" s="8" t="s">
        <v>4977</v>
      </c>
      <c r="J933" s="10">
        <v>388</v>
      </c>
      <c r="K933" s="11">
        <v>842.67</v>
      </c>
      <c r="L933" s="11"/>
      <c r="M933" s="11">
        <v>496709.84</v>
      </c>
      <c r="N933" s="11">
        <v>326955.96000000002</v>
      </c>
      <c r="O933" s="11">
        <f>CleanedData[[#This Row],[Total Sales ($)]]-CleanedData[[#This Row],[Total Cost ($)]]</f>
        <v>169753.88</v>
      </c>
      <c r="P933" s="12">
        <f>CleanedData[[#This Row],[Profit ($)]]/CleanedData[[#This Row],[Total Sales ($)]]</f>
        <v>0.3417566279741911</v>
      </c>
      <c r="Q933" s="8" t="s">
        <v>42</v>
      </c>
      <c r="R933" s="8" t="s">
        <v>32</v>
      </c>
      <c r="S933" s="8" t="b">
        <f>_xlfn.SINGLE(CleanedData[[#This Row],[Delivery Status]])="Late"</f>
        <v>1</v>
      </c>
      <c r="T933" s="10">
        <v>6</v>
      </c>
      <c r="U933" s="8" t="s">
        <v>112</v>
      </c>
      <c r="V933" s="10">
        <v>4929</v>
      </c>
      <c r="W933" s="10">
        <v>6</v>
      </c>
      <c r="X933" s="12">
        <v>1.5463917525773099E-2</v>
      </c>
      <c r="Y933" s="8" t="b">
        <f>CleanedData[[#This Row],[Ship Date]]&lt;CleanedData[[#This Row],[Order Date]]</f>
        <v>0</v>
      </c>
      <c r="Z933" s="10">
        <f>YEAR(CleanedData[[#This Row],[Order Date]])</f>
        <v>2023</v>
      </c>
      <c r="AA933" s="8">
        <f>MONTH(CleanedData[[#This Row],[Order Date]])</f>
        <v>8</v>
      </c>
    </row>
    <row r="934" spans="1:27" x14ac:dyDescent="0.35">
      <c r="A934" s="8" t="s">
        <v>2710</v>
      </c>
      <c r="B934" s="9">
        <v>44985</v>
      </c>
      <c r="C934" s="9">
        <v>45172</v>
      </c>
      <c r="D934" s="8" t="s">
        <v>2711</v>
      </c>
      <c r="E934" s="8" t="s">
        <v>58</v>
      </c>
      <c r="F934" s="8" t="s">
        <v>122</v>
      </c>
      <c r="G934" s="8" t="s">
        <v>217</v>
      </c>
      <c r="H934" s="8" t="s">
        <v>292</v>
      </c>
      <c r="I934" s="8" t="s">
        <v>4967</v>
      </c>
      <c r="J934" s="10">
        <v>716</v>
      </c>
      <c r="K934" s="11">
        <v>527.15</v>
      </c>
      <c r="L934" s="11">
        <v>807.89</v>
      </c>
      <c r="M934" s="11">
        <v>578449.24</v>
      </c>
      <c r="N934" s="11">
        <v>377439.4</v>
      </c>
      <c r="O934" s="11">
        <f>CleanedData[[#This Row],[Total Sales ($)]]-CleanedData[[#This Row],[Total Cost ($)]]</f>
        <v>201009.83999999997</v>
      </c>
      <c r="P934" s="12">
        <f>CleanedData[[#This Row],[Profit ($)]]/CleanedData[[#This Row],[Total Sales ($)]]</f>
        <v>0.34749780291871413</v>
      </c>
      <c r="Q934" s="8" t="s">
        <v>31</v>
      </c>
      <c r="R934" s="8" t="s">
        <v>32</v>
      </c>
      <c r="S934" s="8" t="b">
        <f>_xlfn.SINGLE(CleanedData[[#This Row],[Delivery Status]])="Late"</f>
        <v>1</v>
      </c>
      <c r="T934" s="10">
        <v>10</v>
      </c>
      <c r="U934" s="8" t="s">
        <v>33</v>
      </c>
      <c r="V934" s="10">
        <v>2717</v>
      </c>
      <c r="W934" s="10">
        <v>27</v>
      </c>
      <c r="X934" s="12">
        <v>3.7709497206703899E-2</v>
      </c>
      <c r="Y934" s="8" t="b">
        <f>CleanedData[[#This Row],[Ship Date]]&lt;CleanedData[[#This Row],[Order Date]]</f>
        <v>0</v>
      </c>
      <c r="Z934" s="10">
        <f>YEAR(CleanedData[[#This Row],[Order Date]])</f>
        <v>2023</v>
      </c>
      <c r="AA934" s="8">
        <f>MONTH(CleanedData[[#This Row],[Order Date]])</f>
        <v>2</v>
      </c>
    </row>
    <row r="935" spans="1:27" x14ac:dyDescent="0.35">
      <c r="A935" s="8" t="s">
        <v>2712</v>
      </c>
      <c r="B935" s="9">
        <v>45241</v>
      </c>
      <c r="C935" s="9">
        <v>45238</v>
      </c>
      <c r="D935" s="8" t="s">
        <v>1094</v>
      </c>
      <c r="E935" s="8" t="s">
        <v>26</v>
      </c>
      <c r="F935" s="8" t="s">
        <v>92</v>
      </c>
      <c r="G935" s="8" t="s">
        <v>93</v>
      </c>
      <c r="H935" s="8" t="s">
        <v>302</v>
      </c>
      <c r="I935" s="8" t="s">
        <v>4976</v>
      </c>
      <c r="J935" s="10">
        <v>513</v>
      </c>
      <c r="K935" s="11">
        <v>615.82000000000005</v>
      </c>
      <c r="L935" s="11">
        <v>788.53</v>
      </c>
      <c r="M935" s="11">
        <v>404515.89</v>
      </c>
      <c r="N935" s="11">
        <v>315915.65999999997</v>
      </c>
      <c r="O935" s="11">
        <f>CleanedData[[#This Row],[Total Sales ($)]]-CleanedData[[#This Row],[Total Cost ($)]]</f>
        <v>88600.23000000004</v>
      </c>
      <c r="P935" s="12">
        <f>CleanedData[[#This Row],[Profit ($)]]/CleanedData[[#This Row],[Total Sales ($)]]</f>
        <v>0.21902781124370674</v>
      </c>
      <c r="Q935" s="8" t="s">
        <v>52</v>
      </c>
      <c r="R935" s="8" t="s">
        <v>63</v>
      </c>
      <c r="S935" s="8" t="b">
        <f>_xlfn.SINGLE(CleanedData[[#This Row],[Delivery Status]])="Late"</f>
        <v>0</v>
      </c>
      <c r="T935" s="10">
        <v>5</v>
      </c>
      <c r="U935" s="8" t="s">
        <v>86</v>
      </c>
      <c r="V935" s="10">
        <v>2778</v>
      </c>
      <c r="W935" s="10">
        <v>15</v>
      </c>
      <c r="X935" s="12">
        <v>2.9239766081871298E-2</v>
      </c>
      <c r="Y935" s="8" t="b">
        <f>CleanedData[[#This Row],[Ship Date]]&lt;CleanedData[[#This Row],[Order Date]]</f>
        <v>1</v>
      </c>
      <c r="Z935" s="10">
        <f>YEAR(CleanedData[[#This Row],[Order Date]])</f>
        <v>2023</v>
      </c>
      <c r="AA935" s="8">
        <f>MONTH(CleanedData[[#This Row],[Order Date]])</f>
        <v>11</v>
      </c>
    </row>
    <row r="936" spans="1:27" x14ac:dyDescent="0.35">
      <c r="A936" s="8" t="s">
        <v>2713</v>
      </c>
      <c r="B936" s="9">
        <v>44978</v>
      </c>
      <c r="C936" s="9">
        <v>45052</v>
      </c>
      <c r="D936" s="8" t="s">
        <v>2714</v>
      </c>
      <c r="E936" s="8" t="s">
        <v>58</v>
      </c>
      <c r="F936" s="8" t="s">
        <v>417</v>
      </c>
      <c r="G936" s="8" t="s">
        <v>50</v>
      </c>
      <c r="H936" s="8" t="s">
        <v>107</v>
      </c>
      <c r="I936" s="8" t="s">
        <v>4977</v>
      </c>
      <c r="J936" s="10">
        <v>290</v>
      </c>
      <c r="K936" s="11">
        <v>391.73</v>
      </c>
      <c r="L936" s="11">
        <v>442.39</v>
      </c>
      <c r="M936" s="11">
        <v>128293.1</v>
      </c>
      <c r="N936" s="11">
        <v>113601.7</v>
      </c>
      <c r="O936" s="11">
        <f>CleanedData[[#This Row],[Total Sales ($)]]-CleanedData[[#This Row],[Total Cost ($)]]</f>
        <v>14691.400000000009</v>
      </c>
      <c r="P936" s="12">
        <f>CleanedData[[#This Row],[Profit ($)]]/CleanedData[[#This Row],[Total Sales ($)]]</f>
        <v>0.11451434254843018</v>
      </c>
      <c r="Q936" s="8" t="s">
        <v>52</v>
      </c>
      <c r="R936" s="8" t="s">
        <v>32</v>
      </c>
      <c r="S936" s="8" t="b">
        <f>_xlfn.SINGLE(CleanedData[[#This Row],[Delivery Status]])="Late"</f>
        <v>1</v>
      </c>
      <c r="T936" s="10">
        <v>10</v>
      </c>
      <c r="U936" s="8" t="s">
        <v>33</v>
      </c>
      <c r="V936" s="10">
        <v>4642</v>
      </c>
      <c r="W936" s="10">
        <v>13</v>
      </c>
      <c r="X936" s="12">
        <v>4.4827586206896503E-2</v>
      </c>
      <c r="Y936" s="8" t="b">
        <f>CleanedData[[#This Row],[Ship Date]]&lt;CleanedData[[#This Row],[Order Date]]</f>
        <v>0</v>
      </c>
      <c r="Z936" s="10">
        <f>YEAR(CleanedData[[#This Row],[Order Date]])</f>
        <v>2023</v>
      </c>
      <c r="AA936" s="8">
        <f>MONTH(CleanedData[[#This Row],[Order Date]])</f>
        <v>2</v>
      </c>
    </row>
    <row r="937" spans="1:27" x14ac:dyDescent="0.35">
      <c r="A937" s="8" t="s">
        <v>2715</v>
      </c>
      <c r="B937" s="9">
        <v>45484</v>
      </c>
      <c r="C937" s="9">
        <v>45553</v>
      </c>
      <c r="D937" s="8" t="s">
        <v>2716</v>
      </c>
      <c r="E937" s="8" t="s">
        <v>26</v>
      </c>
      <c r="F937" s="8" t="s">
        <v>38</v>
      </c>
      <c r="G937" s="8" t="s">
        <v>39</v>
      </c>
      <c r="H937" s="8" t="s">
        <v>477</v>
      </c>
      <c r="I937" s="8" t="s">
        <v>4969</v>
      </c>
      <c r="J937" s="10">
        <v>664</v>
      </c>
      <c r="K937" s="11">
        <v>852.85</v>
      </c>
      <c r="L937" s="11">
        <v>1260.6099999999999</v>
      </c>
      <c r="M937" s="11">
        <v>837045.04</v>
      </c>
      <c r="N937" s="11">
        <v>566292.4</v>
      </c>
      <c r="O937" s="11">
        <f>CleanedData[[#This Row],[Total Sales ($)]]-CleanedData[[#This Row],[Total Cost ($)]]</f>
        <v>270752.64000000001</v>
      </c>
      <c r="P937" s="12">
        <f>CleanedData[[#This Row],[Profit ($)]]/CleanedData[[#This Row],[Total Sales ($)]]</f>
        <v>0.32346245071830304</v>
      </c>
      <c r="Q937" s="8" t="s">
        <v>95</v>
      </c>
      <c r="R937" s="8" t="s">
        <v>32</v>
      </c>
      <c r="S937" s="8" t="b">
        <f>_xlfn.SINGLE(CleanedData[[#This Row],[Delivery Status]])="Late"</f>
        <v>1</v>
      </c>
      <c r="T937" s="10">
        <v>11</v>
      </c>
      <c r="U937" s="8" t="s">
        <v>86</v>
      </c>
      <c r="V937" s="10">
        <v>2190</v>
      </c>
      <c r="W937" s="10">
        <v>30</v>
      </c>
      <c r="X937" s="12">
        <v>4.5180722891566202E-2</v>
      </c>
      <c r="Y937" s="8" t="b">
        <f>CleanedData[[#This Row],[Ship Date]]&lt;CleanedData[[#This Row],[Order Date]]</f>
        <v>0</v>
      </c>
      <c r="Z937" s="10">
        <f>YEAR(CleanedData[[#This Row],[Order Date]])</f>
        <v>2024</v>
      </c>
      <c r="AA937" s="8">
        <f>MONTH(CleanedData[[#This Row],[Order Date]])</f>
        <v>7</v>
      </c>
    </row>
    <row r="938" spans="1:27" x14ac:dyDescent="0.35">
      <c r="A938" s="8" t="s">
        <v>2717</v>
      </c>
      <c r="B938" s="9">
        <v>45159</v>
      </c>
      <c r="C938" s="9">
        <v>45048</v>
      </c>
      <c r="D938" s="8" t="s">
        <v>2718</v>
      </c>
      <c r="E938" s="8" t="s">
        <v>68</v>
      </c>
      <c r="F938" s="8" t="s">
        <v>276</v>
      </c>
      <c r="G938" s="8" t="s">
        <v>28</v>
      </c>
      <c r="H938" s="8" t="s">
        <v>507</v>
      </c>
      <c r="I938" s="8" t="s">
        <v>4977</v>
      </c>
      <c r="J938" s="10">
        <v>218</v>
      </c>
      <c r="K938" s="11">
        <v>784.81</v>
      </c>
      <c r="L938" s="11">
        <v>984</v>
      </c>
      <c r="M938" s="11">
        <v>214512</v>
      </c>
      <c r="N938" s="11">
        <v>171088.58</v>
      </c>
      <c r="O938" s="11">
        <f>CleanedData[[#This Row],[Total Sales ($)]]-CleanedData[[#This Row],[Total Cost ($)]]</f>
        <v>43423.420000000013</v>
      </c>
      <c r="P938" s="12">
        <f>CleanedData[[#This Row],[Profit ($)]]/CleanedData[[#This Row],[Total Sales ($)]]</f>
        <v>0.20242886178861794</v>
      </c>
      <c r="Q938" s="8" t="s">
        <v>95</v>
      </c>
      <c r="R938" s="8" t="s">
        <v>32</v>
      </c>
      <c r="S938" s="8" t="b">
        <f>_xlfn.SINGLE(CleanedData[[#This Row],[Delivery Status]])="Late"</f>
        <v>1</v>
      </c>
      <c r="T938" s="10">
        <v>15</v>
      </c>
      <c r="U938" s="8" t="s">
        <v>112</v>
      </c>
      <c r="V938" s="10">
        <v>2353</v>
      </c>
      <c r="W938" s="10">
        <v>8</v>
      </c>
      <c r="X938" s="12">
        <v>3.6697247706422E-2</v>
      </c>
      <c r="Y938" s="8" t="b">
        <f>CleanedData[[#This Row],[Ship Date]]&lt;CleanedData[[#This Row],[Order Date]]</f>
        <v>1</v>
      </c>
      <c r="Z938" s="10">
        <f>YEAR(CleanedData[[#This Row],[Order Date]])</f>
        <v>2023</v>
      </c>
      <c r="AA938" s="8">
        <f>MONTH(CleanedData[[#This Row],[Order Date]])</f>
        <v>8</v>
      </c>
    </row>
    <row r="939" spans="1:27" x14ac:dyDescent="0.35">
      <c r="A939" s="8" t="s">
        <v>2719</v>
      </c>
      <c r="B939" s="9">
        <v>45531</v>
      </c>
      <c r="C939" s="9">
        <v>45337</v>
      </c>
      <c r="D939" s="8" t="s">
        <v>2720</v>
      </c>
      <c r="E939" s="8" t="s">
        <v>100</v>
      </c>
      <c r="F939" s="8" t="s">
        <v>101</v>
      </c>
      <c r="G939" s="8" t="s">
        <v>39</v>
      </c>
      <c r="H939" s="8" t="s">
        <v>664</v>
      </c>
      <c r="I939" s="8" t="s">
        <v>4968</v>
      </c>
      <c r="J939" s="10">
        <v>563</v>
      </c>
      <c r="K939" s="11">
        <v>1005.93</v>
      </c>
      <c r="L939" s="11">
        <v>1232.22</v>
      </c>
      <c r="M939" s="11">
        <v>693739.86</v>
      </c>
      <c r="N939" s="11">
        <v>566338.59</v>
      </c>
      <c r="O939" s="11">
        <f>CleanedData[[#This Row],[Total Sales ($)]]-CleanedData[[#This Row],[Total Cost ($)]]</f>
        <v>127401.27000000002</v>
      </c>
      <c r="P939" s="12">
        <f>CleanedData[[#This Row],[Profit ($)]]/CleanedData[[#This Row],[Total Sales ($)]]</f>
        <v>0.18364415445293863</v>
      </c>
      <c r="Q939" s="8" t="s">
        <v>95</v>
      </c>
      <c r="R939" s="8" t="s">
        <v>32</v>
      </c>
      <c r="S939" s="8" t="b">
        <f>_xlfn.SINGLE(CleanedData[[#This Row],[Delivery Status]])="Late"</f>
        <v>1</v>
      </c>
      <c r="T939" s="10">
        <v>14</v>
      </c>
      <c r="U939" s="8" t="s">
        <v>33</v>
      </c>
      <c r="V939" s="10">
        <v>4654</v>
      </c>
      <c r="W939" s="10">
        <v>18</v>
      </c>
      <c r="X939" s="12">
        <v>3.1971580817051502E-2</v>
      </c>
      <c r="Y939" s="8" t="b">
        <f>CleanedData[[#This Row],[Ship Date]]&lt;CleanedData[[#This Row],[Order Date]]</f>
        <v>1</v>
      </c>
      <c r="Z939" s="10">
        <f>YEAR(CleanedData[[#This Row],[Order Date]])</f>
        <v>2024</v>
      </c>
      <c r="AA939" s="8">
        <f>MONTH(CleanedData[[#This Row],[Order Date]])</f>
        <v>8</v>
      </c>
    </row>
    <row r="940" spans="1:27" x14ac:dyDescent="0.35">
      <c r="A940" s="8" t="s">
        <v>2721</v>
      </c>
      <c r="B940" s="9">
        <v>45207</v>
      </c>
      <c r="C940" s="9">
        <v>45266</v>
      </c>
      <c r="D940" s="8" t="s">
        <v>2722</v>
      </c>
      <c r="E940" s="8" t="s">
        <v>100</v>
      </c>
      <c r="F940" s="8" t="s">
        <v>101</v>
      </c>
      <c r="G940" s="8" t="s">
        <v>39</v>
      </c>
      <c r="H940" s="8" t="s">
        <v>647</v>
      </c>
      <c r="I940" s="8" t="s">
        <v>4969</v>
      </c>
      <c r="J940" s="10">
        <v>720</v>
      </c>
      <c r="K940" s="11">
        <v>808.23</v>
      </c>
      <c r="L940" s="11">
        <v>1116.22</v>
      </c>
      <c r="M940" s="11">
        <v>803678.4</v>
      </c>
      <c r="N940" s="11">
        <v>581925.6</v>
      </c>
      <c r="O940" s="11">
        <f>CleanedData[[#This Row],[Total Sales ($)]]-CleanedData[[#This Row],[Total Cost ($)]]</f>
        <v>221752.80000000005</v>
      </c>
      <c r="P940" s="12">
        <f>CleanedData[[#This Row],[Profit ($)]]/CleanedData[[#This Row],[Total Sales ($)]]</f>
        <v>0.2759223092221964</v>
      </c>
      <c r="Q940" s="8" t="s">
        <v>52</v>
      </c>
      <c r="R940" s="8" t="s">
        <v>32</v>
      </c>
      <c r="S940" s="8" t="b">
        <f>_xlfn.SINGLE(CleanedData[[#This Row],[Delivery Status]])="Late"</f>
        <v>1</v>
      </c>
      <c r="T940" s="10">
        <v>11</v>
      </c>
      <c r="U940" s="8" t="s">
        <v>112</v>
      </c>
      <c r="V940" s="10">
        <v>1980</v>
      </c>
      <c r="W940" s="10">
        <v>16</v>
      </c>
      <c r="X940" s="12">
        <v>2.2222222222222199E-2</v>
      </c>
      <c r="Y940" s="8" t="b">
        <f>CleanedData[[#This Row],[Ship Date]]&lt;CleanedData[[#This Row],[Order Date]]</f>
        <v>0</v>
      </c>
      <c r="Z940" s="10">
        <f>YEAR(CleanedData[[#This Row],[Order Date]])</f>
        <v>2023</v>
      </c>
      <c r="AA940" s="8">
        <f>MONTH(CleanedData[[#This Row],[Order Date]])</f>
        <v>10</v>
      </c>
    </row>
    <row r="941" spans="1:27" x14ac:dyDescent="0.35">
      <c r="A941" s="8" t="s">
        <v>2723</v>
      </c>
      <c r="B941" s="9">
        <v>45215</v>
      </c>
      <c r="C941" s="9">
        <v>45050</v>
      </c>
      <c r="D941" s="8" t="s">
        <v>2724</v>
      </c>
      <c r="E941" s="8" t="s">
        <v>26</v>
      </c>
      <c r="F941" s="8" t="s">
        <v>27</v>
      </c>
      <c r="G941" s="8" t="s">
        <v>70</v>
      </c>
      <c r="H941" s="8" t="s">
        <v>384</v>
      </c>
      <c r="I941" s="8" t="s">
        <v>4970</v>
      </c>
      <c r="J941" s="10">
        <v>72</v>
      </c>
      <c r="K941" s="11">
        <v>480.79</v>
      </c>
      <c r="L941" s="11">
        <v>660.96</v>
      </c>
      <c r="M941" s="11">
        <v>47589.120000000003</v>
      </c>
      <c r="N941" s="11">
        <v>34616.879999999997</v>
      </c>
      <c r="O941" s="11">
        <f>CleanedData[[#This Row],[Total Sales ($)]]-CleanedData[[#This Row],[Total Cost ($)]]</f>
        <v>12972.240000000005</v>
      </c>
      <c r="P941" s="12">
        <f>CleanedData[[#This Row],[Profit ($)]]/CleanedData[[#This Row],[Total Sales ($)]]</f>
        <v>0.27258835633018647</v>
      </c>
      <c r="Q941" s="8" t="s">
        <v>52</v>
      </c>
      <c r="R941" s="8" t="s">
        <v>32</v>
      </c>
      <c r="S941" s="8" t="b">
        <f>_xlfn.SINGLE(CleanedData[[#This Row],[Delivery Status]])="Late"</f>
        <v>1</v>
      </c>
      <c r="T941" s="10">
        <v>6</v>
      </c>
      <c r="U941" s="8" t="s">
        <v>86</v>
      </c>
      <c r="V941" s="10">
        <v>4992</v>
      </c>
      <c r="W941" s="10">
        <v>3</v>
      </c>
      <c r="X941" s="12">
        <v>4.1666666666666602E-2</v>
      </c>
      <c r="Y941" s="8" t="b">
        <f>CleanedData[[#This Row],[Ship Date]]&lt;CleanedData[[#This Row],[Order Date]]</f>
        <v>1</v>
      </c>
      <c r="Z941" s="10">
        <f>YEAR(CleanedData[[#This Row],[Order Date]])</f>
        <v>2023</v>
      </c>
      <c r="AA941" s="8">
        <f>MONTH(CleanedData[[#This Row],[Order Date]])</f>
        <v>10</v>
      </c>
    </row>
    <row r="942" spans="1:27" x14ac:dyDescent="0.35">
      <c r="A942" s="8" t="s">
        <v>2725</v>
      </c>
      <c r="B942" s="9">
        <v>45332</v>
      </c>
      <c r="C942" s="9">
        <v>45450</v>
      </c>
      <c r="D942" s="8" t="s">
        <v>2727</v>
      </c>
      <c r="E942" s="8" t="s">
        <v>48</v>
      </c>
      <c r="F942" s="8" t="s">
        <v>49</v>
      </c>
      <c r="G942" s="8" t="s">
        <v>39</v>
      </c>
      <c r="H942" s="8" t="s">
        <v>354</v>
      </c>
      <c r="I942" s="8" t="s">
        <v>4967</v>
      </c>
      <c r="J942" s="10">
        <v>416</v>
      </c>
      <c r="K942" s="11">
        <v>941.63</v>
      </c>
      <c r="L942" s="11">
        <v>1240.58</v>
      </c>
      <c r="M942" s="11">
        <v>516081.28</v>
      </c>
      <c r="N942" s="11">
        <v>391718.08</v>
      </c>
      <c r="O942" s="11">
        <f>CleanedData[[#This Row],[Total Sales ($)]]-CleanedData[[#This Row],[Total Cost ($)]]</f>
        <v>124363.20000000001</v>
      </c>
      <c r="P942" s="12">
        <f>CleanedData[[#This Row],[Profit ($)]]/CleanedData[[#This Row],[Total Sales ($)]]</f>
        <v>0.24097599509906659</v>
      </c>
      <c r="Q942" s="8" t="s">
        <v>42</v>
      </c>
      <c r="R942" s="8" t="s">
        <v>32</v>
      </c>
      <c r="S942" s="8" t="b">
        <f>_xlfn.SINGLE(CleanedData[[#This Row],[Delivery Status]])="Late"</f>
        <v>1</v>
      </c>
      <c r="T942" s="10">
        <v>11</v>
      </c>
      <c r="U942" s="8" t="s">
        <v>33</v>
      </c>
      <c r="V942" s="10">
        <v>3085</v>
      </c>
      <c r="W942" s="10">
        <v>8</v>
      </c>
      <c r="X942" s="12">
        <v>1.9230769230769201E-2</v>
      </c>
      <c r="Y942" s="8" t="b">
        <f>CleanedData[[#This Row],[Ship Date]]&lt;CleanedData[[#This Row],[Order Date]]</f>
        <v>0</v>
      </c>
      <c r="Z942" s="10">
        <f>YEAR(CleanedData[[#This Row],[Order Date]])</f>
        <v>2024</v>
      </c>
      <c r="AA942" s="8">
        <f>MONTH(CleanedData[[#This Row],[Order Date]])</f>
        <v>2</v>
      </c>
    </row>
    <row r="943" spans="1:27" x14ac:dyDescent="0.35">
      <c r="A943" s="8" t="s">
        <v>2728</v>
      </c>
      <c r="B943" s="9">
        <v>45153</v>
      </c>
      <c r="C943" s="9">
        <v>45274</v>
      </c>
      <c r="D943" s="8" t="s">
        <v>2729</v>
      </c>
      <c r="E943" s="8" t="s">
        <v>48</v>
      </c>
      <c r="F943" s="8" t="s">
        <v>183</v>
      </c>
      <c r="G943" s="8" t="s">
        <v>189</v>
      </c>
      <c r="H943" s="8" t="s">
        <v>311</v>
      </c>
      <c r="I943" s="8" t="s">
        <v>4973</v>
      </c>
      <c r="J943" s="10">
        <v>365</v>
      </c>
      <c r="K943" s="11">
        <v>888.59</v>
      </c>
      <c r="L943" s="11">
        <v>1167.56</v>
      </c>
      <c r="M943" s="11">
        <v>426159.4</v>
      </c>
      <c r="N943" s="11">
        <v>324335.34999999998</v>
      </c>
      <c r="O943" s="11">
        <f>CleanedData[[#This Row],[Total Sales ($)]]-CleanedData[[#This Row],[Total Cost ($)]]</f>
        <v>101824.05000000005</v>
      </c>
      <c r="P943" s="12">
        <f>CleanedData[[#This Row],[Profit ($)]]/CleanedData[[#This Row],[Total Sales ($)]]</f>
        <v>0.2389341875364008</v>
      </c>
      <c r="Q943" s="8" t="s">
        <v>31</v>
      </c>
      <c r="R943" s="8" t="s">
        <v>32</v>
      </c>
      <c r="S943" s="8" t="b">
        <f>_xlfn.SINGLE(CleanedData[[#This Row],[Delivery Status]])="Late"</f>
        <v>1</v>
      </c>
      <c r="T943" s="10">
        <v>10</v>
      </c>
      <c r="U943" s="8" t="s">
        <v>43</v>
      </c>
      <c r="V943" s="10">
        <v>4320</v>
      </c>
      <c r="W943" s="10">
        <v>5</v>
      </c>
      <c r="X943" s="12">
        <v>1.3698630136986301E-2</v>
      </c>
      <c r="Y943" s="8" t="b">
        <f>CleanedData[[#This Row],[Ship Date]]&lt;CleanedData[[#This Row],[Order Date]]</f>
        <v>0</v>
      </c>
      <c r="Z943" s="10">
        <f>YEAR(CleanedData[[#This Row],[Order Date]])</f>
        <v>2023</v>
      </c>
      <c r="AA943" s="8">
        <f>MONTH(CleanedData[[#This Row],[Order Date]])</f>
        <v>8</v>
      </c>
    </row>
    <row r="944" spans="1:27" x14ac:dyDescent="0.35">
      <c r="A944" s="8" t="s">
        <v>2730</v>
      </c>
      <c r="B944" s="9">
        <v>45049</v>
      </c>
      <c r="C944" s="9">
        <v>45268</v>
      </c>
      <c r="D944" s="8" t="s">
        <v>2731</v>
      </c>
      <c r="E944" s="8" t="s">
        <v>100</v>
      </c>
      <c r="F944" s="8" t="s">
        <v>106</v>
      </c>
      <c r="G944" s="8" t="s">
        <v>78</v>
      </c>
      <c r="H944" s="8" t="s">
        <v>79</v>
      </c>
      <c r="I944" s="8" t="s">
        <v>4968</v>
      </c>
      <c r="J944" s="10">
        <v>285</v>
      </c>
      <c r="K944" s="11">
        <v>450.93</v>
      </c>
      <c r="L944" s="11">
        <v>514.49</v>
      </c>
      <c r="M944" s="11">
        <v>146629.65</v>
      </c>
      <c r="N944" s="11">
        <v>128515.05</v>
      </c>
      <c r="O944" s="11">
        <f>CleanedData[[#This Row],[Total Sales ($)]]-CleanedData[[#This Row],[Total Cost ($)]]</f>
        <v>18114.599999999991</v>
      </c>
      <c r="P944" s="12">
        <f>CleanedData[[#This Row],[Profit ($)]]/CleanedData[[#This Row],[Total Sales ($)]]</f>
        <v>0.12353981612859331</v>
      </c>
      <c r="Q944" s="8" t="s">
        <v>95</v>
      </c>
      <c r="R944" s="8" t="s">
        <v>32</v>
      </c>
      <c r="S944" s="8" t="b">
        <f>_xlfn.SINGLE(CleanedData[[#This Row],[Delivery Status]])="Late"</f>
        <v>1</v>
      </c>
      <c r="T944" s="10">
        <v>10</v>
      </c>
      <c r="U944" s="8" t="s">
        <v>86</v>
      </c>
      <c r="V944" s="10">
        <v>2501.41</v>
      </c>
      <c r="W944" s="10">
        <v>2</v>
      </c>
      <c r="X944" s="12">
        <v>7.0175438596491004E-3</v>
      </c>
      <c r="Y944" s="8" t="b">
        <f>CleanedData[[#This Row],[Ship Date]]&lt;CleanedData[[#This Row],[Order Date]]</f>
        <v>0</v>
      </c>
      <c r="Z944" s="10">
        <f>YEAR(CleanedData[[#This Row],[Order Date]])</f>
        <v>2023</v>
      </c>
      <c r="AA944" s="8">
        <f>MONTH(CleanedData[[#This Row],[Order Date]])</f>
        <v>5</v>
      </c>
    </row>
    <row r="945" spans="1:27" x14ac:dyDescent="0.35">
      <c r="A945" s="8" t="s">
        <v>2732</v>
      </c>
      <c r="B945" s="9">
        <v>45301</v>
      </c>
      <c r="C945" s="9">
        <v>45327</v>
      </c>
      <c r="D945" s="8" t="s">
        <v>2735</v>
      </c>
      <c r="E945" s="8" t="s">
        <v>26</v>
      </c>
      <c r="F945" s="8" t="s">
        <v>92</v>
      </c>
      <c r="G945" s="8" t="s">
        <v>50</v>
      </c>
      <c r="H945" s="8" t="s">
        <v>734</v>
      </c>
      <c r="I945" s="8" t="s">
        <v>4974</v>
      </c>
      <c r="J945" s="10">
        <v>140</v>
      </c>
      <c r="K945" s="11">
        <v>974.13</v>
      </c>
      <c r="L945" s="11">
        <v>1532.09</v>
      </c>
      <c r="M945" s="11">
        <v>214492.6</v>
      </c>
      <c r="N945" s="11">
        <v>136378.20000000001</v>
      </c>
      <c r="O945" s="11">
        <f>CleanedData[[#This Row],[Total Sales ($)]]-CleanedData[[#This Row],[Total Cost ($)]]</f>
        <v>78114.399999999994</v>
      </c>
      <c r="P945" s="12">
        <f>CleanedData[[#This Row],[Profit ($)]]/CleanedData[[#This Row],[Total Sales ($)]]</f>
        <v>0.36418226083324085</v>
      </c>
      <c r="Q945" s="8" t="s">
        <v>42</v>
      </c>
      <c r="R945" s="8" t="s">
        <v>63</v>
      </c>
      <c r="S945" s="8" t="b">
        <f>_xlfn.SINGLE(CleanedData[[#This Row],[Delivery Status]])="Late"</f>
        <v>0</v>
      </c>
      <c r="T945" s="10">
        <v>3</v>
      </c>
      <c r="U945" s="8" t="s">
        <v>112</v>
      </c>
      <c r="V945" s="10">
        <v>2546</v>
      </c>
      <c r="W945" s="10">
        <v>7</v>
      </c>
      <c r="X945" s="12">
        <v>0.05</v>
      </c>
      <c r="Y945" s="8" t="b">
        <f>CleanedData[[#This Row],[Ship Date]]&lt;CleanedData[[#This Row],[Order Date]]</f>
        <v>0</v>
      </c>
      <c r="Z945" s="10">
        <f>YEAR(CleanedData[[#This Row],[Order Date]])</f>
        <v>2024</v>
      </c>
      <c r="AA945" s="8">
        <f>MONTH(CleanedData[[#This Row],[Order Date]])</f>
        <v>1</v>
      </c>
    </row>
    <row r="946" spans="1:27" x14ac:dyDescent="0.35">
      <c r="A946" s="8" t="s">
        <v>2736</v>
      </c>
      <c r="B946" s="9">
        <v>44959</v>
      </c>
      <c r="C946" s="9">
        <v>45266</v>
      </c>
      <c r="D946" s="8" t="s">
        <v>2737</v>
      </c>
      <c r="E946" s="8" t="s">
        <v>48</v>
      </c>
      <c r="F946" s="8" t="s">
        <v>49</v>
      </c>
      <c r="G946" s="8" t="s">
        <v>60</v>
      </c>
      <c r="H946" s="8" t="s">
        <v>61</v>
      </c>
      <c r="I946" s="8" t="s">
        <v>4974</v>
      </c>
      <c r="J946" s="10">
        <v>484</v>
      </c>
      <c r="K946" s="11">
        <v>631.37</v>
      </c>
      <c r="L946" s="11">
        <v>830.35</v>
      </c>
      <c r="M946" s="11">
        <v>401889.4</v>
      </c>
      <c r="N946" s="11">
        <v>305583.08</v>
      </c>
      <c r="O946" s="11">
        <f>CleanedData[[#This Row],[Total Sales ($)]]-CleanedData[[#This Row],[Total Cost ($)]]</f>
        <v>96306.32</v>
      </c>
      <c r="P946" s="12">
        <f>CleanedData[[#This Row],[Profit ($)]]/CleanedData[[#This Row],[Total Sales ($)]]</f>
        <v>0.23963388932377913</v>
      </c>
      <c r="Q946" s="8" t="s">
        <v>95</v>
      </c>
      <c r="R946" s="8" t="s">
        <v>32</v>
      </c>
      <c r="S946" s="8" t="b">
        <f>_xlfn.SINGLE(CleanedData[[#This Row],[Delivery Status]])="Late"</f>
        <v>1</v>
      </c>
      <c r="T946" s="10">
        <v>8</v>
      </c>
      <c r="U946" s="8" t="s">
        <v>53</v>
      </c>
      <c r="V946" s="10">
        <v>4064</v>
      </c>
      <c r="W946" s="10">
        <v>22</v>
      </c>
      <c r="X946" s="12">
        <v>4.54545454545454E-2</v>
      </c>
      <c r="Y946" s="8" t="b">
        <f>CleanedData[[#This Row],[Ship Date]]&lt;CleanedData[[#This Row],[Order Date]]</f>
        <v>0</v>
      </c>
      <c r="Z946" s="10">
        <f>YEAR(CleanedData[[#This Row],[Order Date]])</f>
        <v>2023</v>
      </c>
      <c r="AA946" s="8">
        <f>MONTH(CleanedData[[#This Row],[Order Date]])</f>
        <v>2</v>
      </c>
    </row>
    <row r="947" spans="1:27" x14ac:dyDescent="0.35">
      <c r="A947" s="8" t="s">
        <v>2738</v>
      </c>
      <c r="B947" s="9">
        <v>45213</v>
      </c>
      <c r="C947" s="9">
        <v>45113</v>
      </c>
      <c r="D947" s="8" t="s">
        <v>2739</v>
      </c>
      <c r="E947" s="8" t="s">
        <v>26</v>
      </c>
      <c r="F947" s="8" t="s">
        <v>38</v>
      </c>
      <c r="G947" s="8" t="s">
        <v>60</v>
      </c>
      <c r="H947" s="8" t="s">
        <v>834</v>
      </c>
      <c r="I947" s="8" t="s">
        <v>4974</v>
      </c>
      <c r="J947" s="10">
        <v>378</v>
      </c>
      <c r="K947" s="11">
        <v>42.11</v>
      </c>
      <c r="L947" s="11">
        <v>56.53</v>
      </c>
      <c r="M947" s="11">
        <v>21368.34</v>
      </c>
      <c r="N947" s="11">
        <v>15917.58</v>
      </c>
      <c r="O947" s="11">
        <f>CleanedData[[#This Row],[Total Sales ($)]]-CleanedData[[#This Row],[Total Cost ($)]]</f>
        <v>5450.76</v>
      </c>
      <c r="P947" s="12">
        <f>CleanedData[[#This Row],[Profit ($)]]/CleanedData[[#This Row],[Total Sales ($)]]</f>
        <v>0.2550857951530161</v>
      </c>
      <c r="Q947" s="8" t="s">
        <v>31</v>
      </c>
      <c r="R947" s="8" t="s">
        <v>32</v>
      </c>
      <c r="S947" s="8" t="b">
        <f>_xlfn.SINGLE(CleanedData[[#This Row],[Delivery Status]])="Late"</f>
        <v>1</v>
      </c>
      <c r="T947" s="10">
        <v>6</v>
      </c>
      <c r="U947" s="8" t="s">
        <v>33</v>
      </c>
      <c r="V947" s="10">
        <v>4483</v>
      </c>
      <c r="W947" s="10">
        <v>3</v>
      </c>
      <c r="X947" s="12">
        <v>7.9365079365078996E-3</v>
      </c>
      <c r="Y947" s="8" t="b">
        <f>CleanedData[[#This Row],[Ship Date]]&lt;CleanedData[[#This Row],[Order Date]]</f>
        <v>1</v>
      </c>
      <c r="Z947" s="10">
        <f>YEAR(CleanedData[[#This Row],[Order Date]])</f>
        <v>2023</v>
      </c>
      <c r="AA947" s="8">
        <f>MONTH(CleanedData[[#This Row],[Order Date]])</f>
        <v>10</v>
      </c>
    </row>
    <row r="948" spans="1:27" x14ac:dyDescent="0.35">
      <c r="A948" s="8" t="s">
        <v>2740</v>
      </c>
      <c r="B948" s="9">
        <v>45040</v>
      </c>
      <c r="C948" s="9">
        <v>45063</v>
      </c>
      <c r="D948" s="8" t="s">
        <v>2741</v>
      </c>
      <c r="E948" s="8" t="s">
        <v>26</v>
      </c>
      <c r="F948" s="8" t="s">
        <v>38</v>
      </c>
      <c r="G948" s="8" t="s">
        <v>50</v>
      </c>
      <c r="H948" s="8" t="s">
        <v>51</v>
      </c>
      <c r="I948" s="8" t="s">
        <v>4974</v>
      </c>
      <c r="J948" s="10">
        <v>146</v>
      </c>
      <c r="K948" s="11">
        <v>731.26</v>
      </c>
      <c r="L948" s="11"/>
      <c r="M948" s="11">
        <v>171266.76</v>
      </c>
      <c r="N948" s="11">
        <v>106763.96</v>
      </c>
      <c r="O948" s="11">
        <f>CleanedData[[#This Row],[Total Sales ($)]]-CleanedData[[#This Row],[Total Cost ($)]]</f>
        <v>64502.8</v>
      </c>
      <c r="P948" s="12">
        <f>CleanedData[[#This Row],[Profit ($)]]/CleanedData[[#This Row],[Total Sales ($)]]</f>
        <v>0.37662182667553235</v>
      </c>
      <c r="Q948" s="8" t="s">
        <v>95</v>
      </c>
      <c r="R948" s="8" t="s">
        <v>32</v>
      </c>
      <c r="S948" s="8" t="b">
        <f>_xlfn.SINGLE(CleanedData[[#This Row],[Delivery Status]])="Late"</f>
        <v>1</v>
      </c>
      <c r="T948" s="10">
        <v>8</v>
      </c>
      <c r="U948" s="8" t="s">
        <v>53</v>
      </c>
      <c r="V948" s="10">
        <v>1262</v>
      </c>
      <c r="W948" s="10">
        <v>5</v>
      </c>
      <c r="X948" s="12">
        <v>3.4246575342465703E-2</v>
      </c>
      <c r="Y948" s="8" t="b">
        <f>CleanedData[[#This Row],[Ship Date]]&lt;CleanedData[[#This Row],[Order Date]]</f>
        <v>0</v>
      </c>
      <c r="Z948" s="10">
        <f>YEAR(CleanedData[[#This Row],[Order Date]])</f>
        <v>2023</v>
      </c>
      <c r="AA948" s="8">
        <f>MONTH(CleanedData[[#This Row],[Order Date]])</f>
        <v>4</v>
      </c>
    </row>
    <row r="949" spans="1:27" x14ac:dyDescent="0.35">
      <c r="A949" s="8" t="s">
        <v>2743</v>
      </c>
      <c r="B949" s="9">
        <v>45242</v>
      </c>
      <c r="C949" s="9">
        <v>45082</v>
      </c>
      <c r="D949" s="8" t="s">
        <v>2744</v>
      </c>
      <c r="E949" s="8" t="s">
        <v>26</v>
      </c>
      <c r="F949" s="8" t="s">
        <v>92</v>
      </c>
      <c r="G949" s="8" t="s">
        <v>93</v>
      </c>
      <c r="H949" s="8" t="s">
        <v>184</v>
      </c>
      <c r="I949" s="8" t="s">
        <v>4971</v>
      </c>
      <c r="J949" s="10">
        <v>352</v>
      </c>
      <c r="K949" s="11">
        <v>563.16</v>
      </c>
      <c r="L949" s="11">
        <v>908.16</v>
      </c>
      <c r="M949" s="11">
        <v>319672.32000000001</v>
      </c>
      <c r="N949" s="11">
        <v>198232.32000000001</v>
      </c>
      <c r="O949" s="11">
        <f>CleanedData[[#This Row],[Total Sales ($)]]-CleanedData[[#This Row],[Total Cost ($)]]</f>
        <v>121440</v>
      </c>
      <c r="P949" s="12">
        <f>CleanedData[[#This Row],[Profit ($)]]/CleanedData[[#This Row],[Total Sales ($)]]</f>
        <v>0.37988900634249473</v>
      </c>
      <c r="Q949" s="8" t="s">
        <v>42</v>
      </c>
      <c r="R949" s="8" t="s">
        <v>32</v>
      </c>
      <c r="S949" s="8" t="b">
        <f>_xlfn.SINGLE(CleanedData[[#This Row],[Delivery Status]])="Late"</f>
        <v>1</v>
      </c>
      <c r="T949" s="10">
        <v>6</v>
      </c>
      <c r="U949" s="8" t="s">
        <v>43</v>
      </c>
      <c r="V949" s="10">
        <v>3968</v>
      </c>
      <c r="W949" s="10">
        <v>2</v>
      </c>
      <c r="X949" s="12">
        <v>5.6818181818180996E-3</v>
      </c>
      <c r="Y949" s="8" t="b">
        <f>CleanedData[[#This Row],[Ship Date]]&lt;CleanedData[[#This Row],[Order Date]]</f>
        <v>1</v>
      </c>
      <c r="Z949" s="10">
        <f>YEAR(CleanedData[[#This Row],[Order Date]])</f>
        <v>2023</v>
      </c>
      <c r="AA949" s="8">
        <f>MONTH(CleanedData[[#This Row],[Order Date]])</f>
        <v>11</v>
      </c>
    </row>
    <row r="950" spans="1:27" x14ac:dyDescent="0.35">
      <c r="A950" s="8" t="s">
        <v>2746</v>
      </c>
      <c r="B950" s="9">
        <v>45011</v>
      </c>
      <c r="C950" s="9">
        <v>45021</v>
      </c>
      <c r="D950" s="8" t="s">
        <v>2747</v>
      </c>
      <c r="E950" s="8" t="s">
        <v>68</v>
      </c>
      <c r="F950" s="8" t="s">
        <v>146</v>
      </c>
      <c r="G950" s="8" t="s">
        <v>50</v>
      </c>
      <c r="H950" s="8" t="s">
        <v>173</v>
      </c>
      <c r="I950" s="8" t="s">
        <v>4974</v>
      </c>
      <c r="J950" s="10">
        <v>615</v>
      </c>
      <c r="K950" s="11">
        <v>649.41</v>
      </c>
      <c r="L950" s="11">
        <v>978.91</v>
      </c>
      <c r="M950" s="11">
        <v>602029.65</v>
      </c>
      <c r="N950" s="11">
        <v>399387.15</v>
      </c>
      <c r="O950" s="11">
        <f>CleanedData[[#This Row],[Total Sales ($)]]-CleanedData[[#This Row],[Total Cost ($)]]</f>
        <v>202642.5</v>
      </c>
      <c r="P950" s="12">
        <f>CleanedData[[#This Row],[Profit ($)]]/CleanedData[[#This Row],[Total Sales ($)]]</f>
        <v>0.33659887017192591</v>
      </c>
      <c r="Q950" s="8" t="s">
        <v>95</v>
      </c>
      <c r="R950" s="8" t="s">
        <v>32</v>
      </c>
      <c r="S950" s="8" t="b">
        <f>_xlfn.SINGLE(CleanedData[[#This Row],[Delivery Status]])="Late"</f>
        <v>1</v>
      </c>
      <c r="T950" s="10">
        <v>12</v>
      </c>
      <c r="U950" s="8" t="s">
        <v>43</v>
      </c>
      <c r="V950" s="10">
        <v>1051</v>
      </c>
      <c r="W950" s="10">
        <v>12</v>
      </c>
      <c r="X950" s="12">
        <v>1.9512195121951199E-2</v>
      </c>
      <c r="Y950" s="8" t="b">
        <f>CleanedData[[#This Row],[Ship Date]]&lt;CleanedData[[#This Row],[Order Date]]</f>
        <v>0</v>
      </c>
      <c r="Z950" s="10">
        <f>YEAR(CleanedData[[#This Row],[Order Date]])</f>
        <v>2023</v>
      </c>
      <c r="AA950" s="8">
        <f>MONTH(CleanedData[[#This Row],[Order Date]])</f>
        <v>3</v>
      </c>
    </row>
    <row r="951" spans="1:27" x14ac:dyDescent="0.35">
      <c r="A951" s="8" t="s">
        <v>2748</v>
      </c>
      <c r="B951" s="9">
        <v>45613</v>
      </c>
      <c r="C951" s="9">
        <v>45496</v>
      </c>
      <c r="D951" s="8" t="s">
        <v>2750</v>
      </c>
      <c r="E951" s="8" t="s">
        <v>48</v>
      </c>
      <c r="F951" s="8" t="s">
        <v>49</v>
      </c>
      <c r="G951" s="8" t="s">
        <v>50</v>
      </c>
      <c r="H951" s="8" t="s">
        <v>51</v>
      </c>
      <c r="I951" s="8" t="s">
        <v>4973</v>
      </c>
      <c r="J951" s="10">
        <v>278</v>
      </c>
      <c r="K951" s="11">
        <v>1167.79</v>
      </c>
      <c r="L951" s="11">
        <v>1711.89</v>
      </c>
      <c r="M951" s="11">
        <v>475905.42</v>
      </c>
      <c r="N951" s="11">
        <v>324645.62</v>
      </c>
      <c r="O951" s="11">
        <f>CleanedData[[#This Row],[Total Sales ($)]]-CleanedData[[#This Row],[Total Cost ($)]]</f>
        <v>151259.79999999999</v>
      </c>
      <c r="P951" s="12">
        <f>CleanedData[[#This Row],[Profit ($)]]/CleanedData[[#This Row],[Total Sales ($)]]</f>
        <v>0.31783584225621975</v>
      </c>
      <c r="Q951" s="8" t="s">
        <v>95</v>
      </c>
      <c r="R951" s="8" t="s">
        <v>32</v>
      </c>
      <c r="S951" s="8" t="b">
        <f>_xlfn.SINGLE(CleanedData[[#This Row],[Delivery Status]])="Late"</f>
        <v>1</v>
      </c>
      <c r="T951" s="10">
        <v>11</v>
      </c>
      <c r="U951" s="8" t="s">
        <v>43</v>
      </c>
      <c r="V951" s="10">
        <v>1262</v>
      </c>
      <c r="W951" s="10">
        <v>3</v>
      </c>
      <c r="X951" s="12">
        <v>1.07913669064748E-2</v>
      </c>
      <c r="Y951" s="8" t="b">
        <f>CleanedData[[#This Row],[Ship Date]]&lt;CleanedData[[#This Row],[Order Date]]</f>
        <v>1</v>
      </c>
      <c r="Z951" s="10">
        <f>YEAR(CleanedData[[#This Row],[Order Date]])</f>
        <v>2024</v>
      </c>
      <c r="AA951" s="8">
        <f>MONTH(CleanedData[[#This Row],[Order Date]])</f>
        <v>11</v>
      </c>
    </row>
    <row r="952" spans="1:27" x14ac:dyDescent="0.35">
      <c r="A952" s="8" t="s">
        <v>2751</v>
      </c>
      <c r="B952" s="9">
        <v>45059</v>
      </c>
      <c r="C952" s="9">
        <v>45170</v>
      </c>
      <c r="D952" s="8" t="s">
        <v>2752</v>
      </c>
      <c r="E952" s="8" t="s">
        <v>100</v>
      </c>
      <c r="F952" s="8" t="s">
        <v>4972</v>
      </c>
      <c r="G952" s="8" t="s">
        <v>78</v>
      </c>
      <c r="H952" s="8" t="s">
        <v>425</v>
      </c>
      <c r="I952" s="8" t="s">
        <v>4973</v>
      </c>
      <c r="J952" s="10">
        <v>416</v>
      </c>
      <c r="K952" s="11">
        <v>809.65</v>
      </c>
      <c r="L952" s="11">
        <v>1280.45</v>
      </c>
      <c r="M952" s="11">
        <v>532667.19999999995</v>
      </c>
      <c r="N952" s="11">
        <v>336814.4</v>
      </c>
      <c r="O952" s="11">
        <f>CleanedData[[#This Row],[Total Sales ($)]]-CleanedData[[#This Row],[Total Cost ($)]]</f>
        <v>195852.79999999993</v>
      </c>
      <c r="P952" s="12">
        <f>CleanedData[[#This Row],[Profit ($)]]/CleanedData[[#This Row],[Total Sales ($)]]</f>
        <v>0.36768323636221634</v>
      </c>
      <c r="Q952" s="8" t="s">
        <v>52</v>
      </c>
      <c r="R952" s="8" t="s">
        <v>63</v>
      </c>
      <c r="S952" s="8" t="b">
        <f>_xlfn.SINGLE(CleanedData[[#This Row],[Delivery Status]])="Late"</f>
        <v>0</v>
      </c>
      <c r="T952" s="10">
        <v>5</v>
      </c>
      <c r="U952" s="8" t="s">
        <v>43</v>
      </c>
      <c r="V952" s="10">
        <v>2095</v>
      </c>
      <c r="W952" s="10">
        <v>7</v>
      </c>
      <c r="X952" s="12">
        <v>1.6826923076923E-2</v>
      </c>
      <c r="Y952" s="8" t="b">
        <f>CleanedData[[#This Row],[Ship Date]]&lt;CleanedData[[#This Row],[Order Date]]</f>
        <v>0</v>
      </c>
      <c r="Z952" s="10">
        <f>YEAR(CleanedData[[#This Row],[Order Date]])</f>
        <v>2023</v>
      </c>
      <c r="AA952" s="8">
        <f>MONTH(CleanedData[[#This Row],[Order Date]])</f>
        <v>5</v>
      </c>
    </row>
    <row r="953" spans="1:27" x14ac:dyDescent="0.35">
      <c r="A953" s="8" t="s">
        <v>2753</v>
      </c>
      <c r="B953" s="9">
        <v>44966</v>
      </c>
      <c r="C953" s="9">
        <v>44999</v>
      </c>
      <c r="D953" s="8" t="s">
        <v>2754</v>
      </c>
      <c r="E953" s="8" t="s">
        <v>58</v>
      </c>
      <c r="F953" s="8" t="s">
        <v>116</v>
      </c>
      <c r="G953" s="8" t="s">
        <v>129</v>
      </c>
      <c r="H953" s="8" t="s">
        <v>168</v>
      </c>
      <c r="I953" s="8" t="s">
        <v>4974</v>
      </c>
      <c r="J953" s="10">
        <v>582</v>
      </c>
      <c r="K953" s="11">
        <v>31.26</v>
      </c>
      <c r="L953" s="11">
        <v>36.49</v>
      </c>
      <c r="M953" s="11">
        <v>21237.18</v>
      </c>
      <c r="N953" s="11">
        <v>18193.32</v>
      </c>
      <c r="O953" s="11">
        <f>CleanedData[[#This Row],[Total Sales ($)]]-CleanedData[[#This Row],[Total Cost ($)]]</f>
        <v>3043.8600000000006</v>
      </c>
      <c r="P953" s="12">
        <f>CleanedData[[#This Row],[Profit ($)]]/CleanedData[[#This Row],[Total Sales ($)]]</f>
        <v>0.14332693888736642</v>
      </c>
      <c r="Q953" s="8" t="s">
        <v>52</v>
      </c>
      <c r="R953" s="8" t="s">
        <v>63</v>
      </c>
      <c r="S953" s="8" t="b">
        <f>_xlfn.SINGLE(CleanedData[[#This Row],[Delivery Status]])="Late"</f>
        <v>0</v>
      </c>
      <c r="T953" s="10">
        <v>1</v>
      </c>
      <c r="U953" s="8" t="s">
        <v>158</v>
      </c>
      <c r="V953" s="10">
        <v>822</v>
      </c>
      <c r="W953" s="10">
        <v>1</v>
      </c>
      <c r="X953" s="12">
        <v>1.7182130584191999E-3</v>
      </c>
      <c r="Y953" s="8" t="b">
        <f>CleanedData[[#This Row],[Ship Date]]&lt;CleanedData[[#This Row],[Order Date]]</f>
        <v>0</v>
      </c>
      <c r="Z953" s="10">
        <f>YEAR(CleanedData[[#This Row],[Order Date]])</f>
        <v>2023</v>
      </c>
      <c r="AA953" s="8">
        <f>MONTH(CleanedData[[#This Row],[Order Date]])</f>
        <v>2</v>
      </c>
    </row>
    <row r="954" spans="1:27" x14ac:dyDescent="0.35">
      <c r="A954" s="8" t="s">
        <v>2755</v>
      </c>
      <c r="B954" s="9">
        <v>45134</v>
      </c>
      <c r="C954" s="9">
        <v>44966</v>
      </c>
      <c r="D954" s="8" t="s">
        <v>2756</v>
      </c>
      <c r="E954" s="8" t="s">
        <v>48</v>
      </c>
      <c r="F954" s="8" t="s">
        <v>183</v>
      </c>
      <c r="G954" s="8" t="s">
        <v>78</v>
      </c>
      <c r="H954" s="8" t="s">
        <v>79</v>
      </c>
      <c r="I954" s="8" t="s">
        <v>4971</v>
      </c>
      <c r="J954" s="10">
        <v>-5</v>
      </c>
      <c r="K954" s="11">
        <v>1035.8399999999999</v>
      </c>
      <c r="L954" s="11">
        <v>1326.58</v>
      </c>
      <c r="M954" s="11">
        <v>761456.92</v>
      </c>
      <c r="N954" s="11">
        <v>594572.16</v>
      </c>
      <c r="O954" s="11">
        <f>CleanedData[[#This Row],[Total Sales ($)]]-CleanedData[[#This Row],[Total Cost ($)]]</f>
        <v>166884.76</v>
      </c>
      <c r="P954" s="12">
        <f>CleanedData[[#This Row],[Profit ($)]]/CleanedData[[#This Row],[Total Sales ($)]]</f>
        <v>0.21916507108504577</v>
      </c>
      <c r="Q954" s="8" t="s">
        <v>95</v>
      </c>
      <c r="R954" s="8" t="s">
        <v>32</v>
      </c>
      <c r="S954" s="8" t="b">
        <f>_xlfn.SINGLE(CleanedData[[#This Row],[Delivery Status]])="Late"</f>
        <v>1</v>
      </c>
      <c r="T954" s="10">
        <v>15</v>
      </c>
      <c r="U954" s="8" t="s">
        <v>33</v>
      </c>
      <c r="V954" s="10">
        <v>2086</v>
      </c>
      <c r="W954" s="10">
        <v>0</v>
      </c>
      <c r="X954" s="12"/>
      <c r="Y954" s="8" t="b">
        <f>CleanedData[[#This Row],[Ship Date]]&lt;CleanedData[[#This Row],[Order Date]]</f>
        <v>1</v>
      </c>
      <c r="Z954" s="10">
        <f>YEAR(CleanedData[[#This Row],[Order Date]])</f>
        <v>2023</v>
      </c>
      <c r="AA954" s="8">
        <f>MONTH(CleanedData[[#This Row],[Order Date]])</f>
        <v>7</v>
      </c>
    </row>
    <row r="955" spans="1:27" x14ac:dyDescent="0.35">
      <c r="A955" s="8" t="s">
        <v>2757</v>
      </c>
      <c r="B955" s="9">
        <v>45279</v>
      </c>
      <c r="C955" s="9">
        <v>45087</v>
      </c>
      <c r="D955" s="8" t="s">
        <v>2758</v>
      </c>
      <c r="E955" s="8" t="s">
        <v>100</v>
      </c>
      <c r="F955" s="8" t="s">
        <v>106</v>
      </c>
      <c r="G955" s="8" t="s">
        <v>93</v>
      </c>
      <c r="H955" s="8" t="s">
        <v>643</v>
      </c>
      <c r="I955" s="8" t="s">
        <v>4974</v>
      </c>
      <c r="J955" s="10">
        <v>636</v>
      </c>
      <c r="K955" s="11">
        <v>291.33999999999997</v>
      </c>
      <c r="L955" s="11">
        <v>446.19</v>
      </c>
      <c r="M955" s="11">
        <v>283776.84000000003</v>
      </c>
      <c r="N955" s="11">
        <v>185292.24</v>
      </c>
      <c r="O955" s="11">
        <f>CleanedData[[#This Row],[Total Sales ($)]]-CleanedData[[#This Row],[Total Cost ($)]]</f>
        <v>98484.600000000035</v>
      </c>
      <c r="P955" s="12">
        <f>CleanedData[[#This Row],[Profit ($)]]/CleanedData[[#This Row],[Total Sales ($)]]</f>
        <v>0.34704946323315189</v>
      </c>
      <c r="Q955" s="8" t="s">
        <v>31</v>
      </c>
      <c r="R955" s="8" t="s">
        <v>63</v>
      </c>
      <c r="S955" s="8" t="b">
        <f>_xlfn.SINGLE(CleanedData[[#This Row],[Delivery Status]])="Late"</f>
        <v>0</v>
      </c>
      <c r="T955" s="10">
        <v>2</v>
      </c>
      <c r="U955" s="8" t="s">
        <v>33</v>
      </c>
      <c r="V955" s="10">
        <v>1556</v>
      </c>
      <c r="W955" s="10">
        <v>3</v>
      </c>
      <c r="X955" s="12">
        <v>4.7169811320754004E-3</v>
      </c>
      <c r="Y955" s="8" t="b">
        <f>CleanedData[[#This Row],[Ship Date]]&lt;CleanedData[[#This Row],[Order Date]]</f>
        <v>1</v>
      </c>
      <c r="Z955" s="10">
        <f>YEAR(CleanedData[[#This Row],[Order Date]])</f>
        <v>2023</v>
      </c>
      <c r="AA955" s="8">
        <f>MONTH(CleanedData[[#This Row],[Order Date]])</f>
        <v>12</v>
      </c>
    </row>
    <row r="956" spans="1:27" x14ac:dyDescent="0.35">
      <c r="A956" s="8" t="s">
        <v>2759</v>
      </c>
      <c r="B956" s="9">
        <v>45157</v>
      </c>
      <c r="C956" s="9">
        <v>45100</v>
      </c>
      <c r="D956" s="8" t="s">
        <v>2760</v>
      </c>
      <c r="E956" s="8" t="s">
        <v>68</v>
      </c>
      <c r="F956" s="8" t="s">
        <v>276</v>
      </c>
      <c r="G956" s="8" t="s">
        <v>39</v>
      </c>
      <c r="H956" s="8" t="s">
        <v>147</v>
      </c>
      <c r="I956" s="8" t="s">
        <v>4977</v>
      </c>
      <c r="J956" s="10">
        <v>574</v>
      </c>
      <c r="K956" s="11">
        <v>1191.02</v>
      </c>
      <c r="L956" s="11">
        <v>1604.53</v>
      </c>
      <c r="M956" s="11">
        <v>921000.22</v>
      </c>
      <c r="N956" s="11">
        <v>683645.48</v>
      </c>
      <c r="O956" s="11">
        <f>CleanedData[[#This Row],[Total Sales ($)]]-CleanedData[[#This Row],[Total Cost ($)]]</f>
        <v>237354.74</v>
      </c>
      <c r="P956" s="12">
        <f>CleanedData[[#This Row],[Profit ($)]]/CleanedData[[#This Row],[Total Sales ($)]]</f>
        <v>0.25771409696297359</v>
      </c>
      <c r="Q956" s="8" t="s">
        <v>52</v>
      </c>
      <c r="R956" s="8" t="s">
        <v>32</v>
      </c>
      <c r="S956" s="8" t="b">
        <f>_xlfn.SINGLE(CleanedData[[#This Row],[Delivery Status]])="Late"</f>
        <v>1</v>
      </c>
      <c r="T956" s="10">
        <v>6</v>
      </c>
      <c r="U956" s="8" t="s">
        <v>43</v>
      </c>
      <c r="V956" s="10">
        <v>1381</v>
      </c>
      <c r="W956" s="10">
        <v>19</v>
      </c>
      <c r="X956" s="12">
        <v>3.3101045296167197E-2</v>
      </c>
      <c r="Y956" s="8" t="b">
        <f>CleanedData[[#This Row],[Ship Date]]&lt;CleanedData[[#This Row],[Order Date]]</f>
        <v>1</v>
      </c>
      <c r="Z956" s="10">
        <f>YEAR(CleanedData[[#This Row],[Order Date]])</f>
        <v>2023</v>
      </c>
      <c r="AA956" s="8">
        <f>MONTH(CleanedData[[#This Row],[Order Date]])</f>
        <v>8</v>
      </c>
    </row>
    <row r="957" spans="1:27" x14ac:dyDescent="0.35">
      <c r="A957" s="8" t="s">
        <v>2761</v>
      </c>
      <c r="B957" s="9">
        <v>45115</v>
      </c>
      <c r="C957" s="9">
        <v>45108</v>
      </c>
      <c r="D957" s="8" t="s">
        <v>2763</v>
      </c>
      <c r="E957" s="8" t="s">
        <v>26</v>
      </c>
      <c r="F957" s="8" t="s">
        <v>38</v>
      </c>
      <c r="G957" s="8" t="s">
        <v>50</v>
      </c>
      <c r="H957" s="8" t="s">
        <v>117</v>
      </c>
      <c r="I957" s="8" t="s">
        <v>4967</v>
      </c>
      <c r="J957" s="10">
        <v>778</v>
      </c>
      <c r="K957" s="11">
        <v>909.09</v>
      </c>
      <c r="L957" s="11">
        <v>1270.5999999999999</v>
      </c>
      <c r="M957" s="11">
        <v>988526.8</v>
      </c>
      <c r="N957" s="11">
        <v>707272.02</v>
      </c>
      <c r="O957" s="11">
        <f>CleanedData[[#This Row],[Total Sales ($)]]-CleanedData[[#This Row],[Total Cost ($)]]</f>
        <v>281254.78000000003</v>
      </c>
      <c r="P957" s="12">
        <f>CleanedData[[#This Row],[Profit ($)]]/CleanedData[[#This Row],[Total Sales ($)]]</f>
        <v>0.2845191248229183</v>
      </c>
      <c r="Q957" s="8" t="s">
        <v>52</v>
      </c>
      <c r="R957" s="8" t="s">
        <v>32</v>
      </c>
      <c r="S957" s="8" t="b">
        <f>_xlfn.SINGLE(CleanedData[[#This Row],[Delivery Status]])="Late"</f>
        <v>1</v>
      </c>
      <c r="T957" s="10">
        <v>11</v>
      </c>
      <c r="U957" s="8" t="s">
        <v>33</v>
      </c>
      <c r="V957" s="10">
        <v>2392</v>
      </c>
      <c r="W957" s="10">
        <v>28</v>
      </c>
      <c r="X957" s="12">
        <v>3.5989717223650297E-2</v>
      </c>
      <c r="Y957" s="8" t="b">
        <f>CleanedData[[#This Row],[Ship Date]]&lt;CleanedData[[#This Row],[Order Date]]</f>
        <v>1</v>
      </c>
      <c r="Z957" s="10">
        <f>YEAR(CleanedData[[#This Row],[Order Date]])</f>
        <v>2023</v>
      </c>
      <c r="AA957" s="8">
        <f>MONTH(CleanedData[[#This Row],[Order Date]])</f>
        <v>7</v>
      </c>
    </row>
    <row r="958" spans="1:27" x14ac:dyDescent="0.35">
      <c r="A958" s="8" t="s">
        <v>2764</v>
      </c>
      <c r="B958" s="9">
        <v>45068</v>
      </c>
      <c r="C958" s="9">
        <v>45037</v>
      </c>
      <c r="D958" s="8" t="s">
        <v>2765</v>
      </c>
      <c r="E958" s="8" t="s">
        <v>58</v>
      </c>
      <c r="F958" s="8" t="s">
        <v>116</v>
      </c>
      <c r="G958" s="8" t="s">
        <v>39</v>
      </c>
      <c r="H958" s="8" t="s">
        <v>664</v>
      </c>
      <c r="I958" s="8" t="s">
        <v>4968</v>
      </c>
      <c r="J958" s="10">
        <v>78</v>
      </c>
      <c r="K958" s="11">
        <v>87.27</v>
      </c>
      <c r="L958" s="11">
        <v>108.72</v>
      </c>
      <c r="M958" s="11">
        <v>8480.16</v>
      </c>
      <c r="N958" s="11">
        <v>6807.06</v>
      </c>
      <c r="O958" s="11">
        <f>CleanedData[[#This Row],[Total Sales ($)]]-CleanedData[[#This Row],[Total Cost ($)]]</f>
        <v>1673.0999999999995</v>
      </c>
      <c r="P958" s="12">
        <f>CleanedData[[#This Row],[Profit ($)]]/CleanedData[[#This Row],[Total Sales ($)]]</f>
        <v>0.1972958057395143</v>
      </c>
      <c r="Q958" s="8" t="s">
        <v>52</v>
      </c>
      <c r="R958" s="8" t="s">
        <v>32</v>
      </c>
      <c r="S958" s="8" t="b">
        <f>_xlfn.SINGLE(CleanedData[[#This Row],[Delivery Status]])="Late"</f>
        <v>1</v>
      </c>
      <c r="T958" s="10">
        <v>11</v>
      </c>
      <c r="U958" s="8" t="s">
        <v>33</v>
      </c>
      <c r="V958" s="10">
        <v>4998</v>
      </c>
      <c r="W958" s="10">
        <v>1</v>
      </c>
      <c r="X958" s="12">
        <v>1.2820512820512799E-2</v>
      </c>
      <c r="Y958" s="8" t="b">
        <f>CleanedData[[#This Row],[Ship Date]]&lt;CleanedData[[#This Row],[Order Date]]</f>
        <v>1</v>
      </c>
      <c r="Z958" s="10">
        <f>YEAR(CleanedData[[#This Row],[Order Date]])</f>
        <v>2023</v>
      </c>
      <c r="AA958" s="8">
        <f>MONTH(CleanedData[[#This Row],[Order Date]])</f>
        <v>5</v>
      </c>
    </row>
    <row r="959" spans="1:27" x14ac:dyDescent="0.35">
      <c r="A959" s="8" t="s">
        <v>2766</v>
      </c>
      <c r="B959" s="9">
        <v>45352</v>
      </c>
      <c r="C959" s="9">
        <v>45598</v>
      </c>
      <c r="D959" s="8" t="s">
        <v>2767</v>
      </c>
      <c r="E959" s="8" t="s">
        <v>58</v>
      </c>
      <c r="F959" s="8" t="s">
        <v>259</v>
      </c>
      <c r="G959" s="8" t="s">
        <v>39</v>
      </c>
      <c r="H959" s="8" t="s">
        <v>647</v>
      </c>
      <c r="I959" s="8" t="s">
        <v>4973</v>
      </c>
      <c r="J959" s="10">
        <v>139</v>
      </c>
      <c r="K959" s="11">
        <v>1080.98</v>
      </c>
      <c r="L959" s="11">
        <v>1313.68</v>
      </c>
      <c r="M959" s="11">
        <v>182601.52</v>
      </c>
      <c r="N959" s="11">
        <v>150256.22</v>
      </c>
      <c r="O959" s="11">
        <f>CleanedData[[#This Row],[Total Sales ($)]]-CleanedData[[#This Row],[Total Cost ($)]]</f>
        <v>32345.299999999988</v>
      </c>
      <c r="P959" s="12">
        <f>CleanedData[[#This Row],[Profit ($)]]/CleanedData[[#This Row],[Total Sales ($)]]</f>
        <v>0.17713598441020639</v>
      </c>
      <c r="Q959" s="8" t="s">
        <v>42</v>
      </c>
      <c r="R959" s="8" t="s">
        <v>63</v>
      </c>
      <c r="S959" s="8" t="b">
        <f>_xlfn.SINGLE(CleanedData[[#This Row],[Delivery Status]])="Late"</f>
        <v>0</v>
      </c>
      <c r="T959" s="10">
        <v>1</v>
      </c>
      <c r="U959" s="8" t="s">
        <v>43</v>
      </c>
      <c r="V959" s="10">
        <v>1501</v>
      </c>
      <c r="W959" s="10">
        <v>4</v>
      </c>
      <c r="X959" s="12">
        <v>2.8776978417266098E-2</v>
      </c>
      <c r="Y959" s="8" t="b">
        <f>CleanedData[[#This Row],[Ship Date]]&lt;CleanedData[[#This Row],[Order Date]]</f>
        <v>0</v>
      </c>
      <c r="Z959" s="10">
        <f>YEAR(CleanedData[[#This Row],[Order Date]])</f>
        <v>2024</v>
      </c>
      <c r="AA959" s="8">
        <f>MONTH(CleanedData[[#This Row],[Order Date]])</f>
        <v>3</v>
      </c>
    </row>
    <row r="960" spans="1:27" x14ac:dyDescent="0.35">
      <c r="A960" s="8" t="s">
        <v>2768</v>
      </c>
      <c r="B960" s="9">
        <v>45219</v>
      </c>
      <c r="C960" s="9">
        <v>45019</v>
      </c>
      <c r="D960" s="8" t="s">
        <v>2769</v>
      </c>
      <c r="E960" s="8" t="s">
        <v>48</v>
      </c>
      <c r="F960" s="8" t="s">
        <v>281</v>
      </c>
      <c r="G960" s="8" t="s">
        <v>39</v>
      </c>
      <c r="H960" s="8" t="s">
        <v>40</v>
      </c>
      <c r="I960" s="8" t="s">
        <v>4974</v>
      </c>
      <c r="J960" s="10">
        <v>719</v>
      </c>
      <c r="K960" s="11">
        <v>796.64</v>
      </c>
      <c r="L960" s="11">
        <v>1038.26</v>
      </c>
      <c r="M960" s="11">
        <v>746508.94</v>
      </c>
      <c r="N960" s="11">
        <v>572784.16</v>
      </c>
      <c r="O960" s="11">
        <f>CleanedData[[#This Row],[Total Sales ($)]]-CleanedData[[#This Row],[Total Cost ($)]]</f>
        <v>173724.77999999991</v>
      </c>
      <c r="P960" s="12">
        <f>CleanedData[[#This Row],[Profit ($)]]/CleanedData[[#This Row],[Total Sales ($)]]</f>
        <v>0.23271627530676314</v>
      </c>
      <c r="Q960" s="8" t="s">
        <v>52</v>
      </c>
      <c r="R960" s="8" t="s">
        <v>63</v>
      </c>
      <c r="S960" s="8" t="b">
        <f>_xlfn.SINGLE(CleanedData[[#This Row],[Delivery Status]])="Late"</f>
        <v>0</v>
      </c>
      <c r="T960" s="10">
        <v>5</v>
      </c>
      <c r="U960" s="8" t="s">
        <v>53</v>
      </c>
      <c r="V960" s="10">
        <v>2501.41</v>
      </c>
      <c r="W960" s="10">
        <v>8</v>
      </c>
      <c r="X960" s="12">
        <v>1.11265646731571E-2</v>
      </c>
      <c r="Y960" s="8" t="b">
        <f>CleanedData[[#This Row],[Ship Date]]&lt;CleanedData[[#This Row],[Order Date]]</f>
        <v>1</v>
      </c>
      <c r="Z960" s="10">
        <f>YEAR(CleanedData[[#This Row],[Order Date]])</f>
        <v>2023</v>
      </c>
      <c r="AA960" s="8">
        <f>MONTH(CleanedData[[#This Row],[Order Date]])</f>
        <v>10</v>
      </c>
    </row>
    <row r="961" spans="1:27" x14ac:dyDescent="0.35">
      <c r="A961" s="8" t="s">
        <v>2770</v>
      </c>
      <c r="B961" s="9">
        <v>45633</v>
      </c>
      <c r="C961" s="9">
        <v>45649</v>
      </c>
      <c r="D961" s="8" t="s">
        <v>1410</v>
      </c>
      <c r="E961" s="8" t="s">
        <v>48</v>
      </c>
      <c r="F961" s="8" t="s">
        <v>281</v>
      </c>
      <c r="G961" s="8" t="s">
        <v>189</v>
      </c>
      <c r="H961" s="8" t="s">
        <v>561</v>
      </c>
      <c r="I961" s="8" t="s">
        <v>4971</v>
      </c>
      <c r="J961" s="10">
        <v>97</v>
      </c>
      <c r="K961" s="11">
        <v>331.33</v>
      </c>
      <c r="L961" s="11">
        <v>452.09</v>
      </c>
      <c r="M961" s="11">
        <v>43852.73</v>
      </c>
      <c r="N961" s="11">
        <v>32139.01</v>
      </c>
      <c r="O961" s="11">
        <f>CleanedData[[#This Row],[Total Sales ($)]]-CleanedData[[#This Row],[Total Cost ($)]]</f>
        <v>11713.720000000005</v>
      </c>
      <c r="P961" s="12">
        <f>CleanedData[[#This Row],[Profit ($)]]/CleanedData[[#This Row],[Total Sales ($)]]</f>
        <v>0.26711495498683901</v>
      </c>
      <c r="Q961" s="8" t="s">
        <v>52</v>
      </c>
      <c r="R961" s="8" t="s">
        <v>32</v>
      </c>
      <c r="S961" s="8" t="b">
        <f>_xlfn.SINGLE(CleanedData[[#This Row],[Delivery Status]])="Late"</f>
        <v>1</v>
      </c>
      <c r="T961" s="10">
        <v>7</v>
      </c>
      <c r="U961" s="8" t="s">
        <v>53</v>
      </c>
      <c r="V961" s="10">
        <v>3934</v>
      </c>
      <c r="W961" s="10">
        <v>1</v>
      </c>
      <c r="X961" s="12">
        <v>1.03092783505154E-2</v>
      </c>
      <c r="Y961" s="8" t="b">
        <f>CleanedData[[#This Row],[Ship Date]]&lt;CleanedData[[#This Row],[Order Date]]</f>
        <v>0</v>
      </c>
      <c r="Z961" s="10">
        <f>YEAR(CleanedData[[#This Row],[Order Date]])</f>
        <v>2024</v>
      </c>
      <c r="AA961" s="8">
        <f>MONTH(CleanedData[[#This Row],[Order Date]])</f>
        <v>12</v>
      </c>
    </row>
    <row r="962" spans="1:27" x14ac:dyDescent="0.35">
      <c r="A962" s="8" t="s">
        <v>2772</v>
      </c>
      <c r="B962" s="9">
        <v>45575</v>
      </c>
      <c r="C962" s="9">
        <v>45586</v>
      </c>
      <c r="D962" s="8" t="s">
        <v>2774</v>
      </c>
      <c r="E962" s="8" t="s">
        <v>100</v>
      </c>
      <c r="F962" s="8" t="s">
        <v>101</v>
      </c>
      <c r="G962" s="8" t="s">
        <v>129</v>
      </c>
      <c r="H962" s="8" t="s">
        <v>704</v>
      </c>
      <c r="I962" s="8" t="s">
        <v>4974</v>
      </c>
      <c r="J962" s="10">
        <v>452</v>
      </c>
      <c r="K962" s="11">
        <v>344.41</v>
      </c>
      <c r="L962" s="11">
        <v>435.41</v>
      </c>
      <c r="M962" s="11">
        <v>196805.32</v>
      </c>
      <c r="N962" s="11">
        <v>155673.32</v>
      </c>
      <c r="O962" s="11">
        <f>CleanedData[[#This Row],[Total Sales ($)]]-CleanedData[[#This Row],[Total Cost ($)]]</f>
        <v>41132</v>
      </c>
      <c r="P962" s="12">
        <f>CleanedData[[#This Row],[Profit ($)]]/CleanedData[[#This Row],[Total Sales ($)]]</f>
        <v>0.20899841528674123</v>
      </c>
      <c r="Q962" s="8" t="s">
        <v>52</v>
      </c>
      <c r="R962" s="8" t="s">
        <v>32</v>
      </c>
      <c r="S962" s="8" t="b">
        <f>_xlfn.SINGLE(CleanedData[[#This Row],[Delivery Status]])="Late"</f>
        <v>1</v>
      </c>
      <c r="T962" s="10">
        <v>14</v>
      </c>
      <c r="U962" s="8" t="s">
        <v>53</v>
      </c>
      <c r="V962" s="10">
        <v>2147</v>
      </c>
      <c r="W962" s="10">
        <v>21</v>
      </c>
      <c r="X962" s="12">
        <v>4.6460176991150397E-2</v>
      </c>
      <c r="Y962" s="8" t="b">
        <f>CleanedData[[#This Row],[Ship Date]]&lt;CleanedData[[#This Row],[Order Date]]</f>
        <v>0</v>
      </c>
      <c r="Z962" s="10">
        <f>YEAR(CleanedData[[#This Row],[Order Date]])</f>
        <v>2024</v>
      </c>
      <c r="AA962" s="8">
        <f>MONTH(CleanedData[[#This Row],[Order Date]])</f>
        <v>10</v>
      </c>
    </row>
    <row r="963" spans="1:27" x14ac:dyDescent="0.35">
      <c r="A963" s="8" t="s">
        <v>2775</v>
      </c>
      <c r="B963" s="9">
        <v>45240</v>
      </c>
      <c r="C963" s="9">
        <v>44994</v>
      </c>
      <c r="D963" s="8" t="s">
        <v>469</v>
      </c>
      <c r="E963" s="8" t="s">
        <v>68</v>
      </c>
      <c r="F963" s="8" t="s">
        <v>69</v>
      </c>
      <c r="G963" s="8" t="s">
        <v>60</v>
      </c>
      <c r="H963" s="8" t="s">
        <v>229</v>
      </c>
      <c r="I963" s="8" t="s">
        <v>4976</v>
      </c>
      <c r="J963" s="10">
        <v>198</v>
      </c>
      <c r="K963" s="11">
        <v>119.15</v>
      </c>
      <c r="L963" s="11">
        <v>173.1</v>
      </c>
      <c r="M963" s="11">
        <v>34273.800000000003</v>
      </c>
      <c r="N963" s="11">
        <v>23591.7</v>
      </c>
      <c r="O963" s="11">
        <f>CleanedData[[#This Row],[Total Sales ($)]]-CleanedData[[#This Row],[Total Cost ($)]]</f>
        <v>10682.100000000002</v>
      </c>
      <c r="P963" s="12">
        <f>CleanedData[[#This Row],[Profit ($)]]/CleanedData[[#This Row],[Total Sales ($)]]</f>
        <v>0.31166955517042177</v>
      </c>
      <c r="Q963" s="8" t="s">
        <v>95</v>
      </c>
      <c r="R963" s="8" t="s">
        <v>32</v>
      </c>
      <c r="S963" s="8" t="b">
        <f>_xlfn.SINGLE(CleanedData[[#This Row],[Delivery Status]])="Late"</f>
        <v>1</v>
      </c>
      <c r="T963" s="10">
        <v>7</v>
      </c>
      <c r="U963" s="8" t="s">
        <v>158</v>
      </c>
      <c r="V963" s="10">
        <v>2582</v>
      </c>
      <c r="W963" s="10">
        <v>3</v>
      </c>
      <c r="X963" s="12">
        <v>1.51515151515151E-2</v>
      </c>
      <c r="Y963" s="8" t="b">
        <f>CleanedData[[#This Row],[Ship Date]]&lt;CleanedData[[#This Row],[Order Date]]</f>
        <v>1</v>
      </c>
      <c r="Z963" s="10">
        <f>YEAR(CleanedData[[#This Row],[Order Date]])</f>
        <v>2023</v>
      </c>
      <c r="AA963" s="8">
        <f>MONTH(CleanedData[[#This Row],[Order Date]])</f>
        <v>11</v>
      </c>
    </row>
    <row r="964" spans="1:27" x14ac:dyDescent="0.35">
      <c r="A964" s="8" t="s">
        <v>2776</v>
      </c>
      <c r="B964" s="9">
        <v>45275</v>
      </c>
      <c r="C964" s="9">
        <v>45087</v>
      </c>
      <c r="D964" s="8" t="s">
        <v>2777</v>
      </c>
      <c r="E964" s="8" t="s">
        <v>26</v>
      </c>
      <c r="F964" s="8" t="s">
        <v>27</v>
      </c>
      <c r="G964" s="8" t="s">
        <v>50</v>
      </c>
      <c r="H964" s="8" t="s">
        <v>282</v>
      </c>
      <c r="I964" s="8" t="s">
        <v>4974</v>
      </c>
      <c r="J964" s="10">
        <v>648</v>
      </c>
      <c r="K964" s="11">
        <v>884.78</v>
      </c>
      <c r="L964" s="11">
        <v>1338.98</v>
      </c>
      <c r="M964" s="11">
        <v>867659.04</v>
      </c>
      <c r="N964" s="11">
        <v>573337.43999999994</v>
      </c>
      <c r="O964" s="11">
        <f>CleanedData[[#This Row],[Total Sales ($)]]-CleanedData[[#This Row],[Total Cost ($)]]</f>
        <v>294321.60000000009</v>
      </c>
      <c r="P964" s="12">
        <f>CleanedData[[#This Row],[Profit ($)]]/CleanedData[[#This Row],[Total Sales ($)]]</f>
        <v>0.33921343111921026</v>
      </c>
      <c r="Q964" s="8" t="s">
        <v>95</v>
      </c>
      <c r="R964" s="8" t="s">
        <v>63</v>
      </c>
      <c r="S964" s="8" t="b">
        <f>_xlfn.SINGLE(CleanedData[[#This Row],[Delivery Status]])="Late"</f>
        <v>0</v>
      </c>
      <c r="T964" s="10">
        <v>2</v>
      </c>
      <c r="U964" s="8" t="s">
        <v>86</v>
      </c>
      <c r="V964" s="10">
        <v>91</v>
      </c>
      <c r="W964" s="10">
        <v>2</v>
      </c>
      <c r="X964" s="12">
        <v>3.0864197530864001E-3</v>
      </c>
      <c r="Y964" s="8" t="b">
        <f>CleanedData[[#This Row],[Ship Date]]&lt;CleanedData[[#This Row],[Order Date]]</f>
        <v>1</v>
      </c>
      <c r="Z964" s="10">
        <f>YEAR(CleanedData[[#This Row],[Order Date]])</f>
        <v>2023</v>
      </c>
      <c r="AA964" s="8">
        <f>MONTH(CleanedData[[#This Row],[Order Date]])</f>
        <v>12</v>
      </c>
    </row>
    <row r="965" spans="1:27" x14ac:dyDescent="0.35">
      <c r="A965" s="8" t="s">
        <v>2778</v>
      </c>
      <c r="B965" s="9">
        <v>45111</v>
      </c>
      <c r="C965" s="9">
        <v>44944</v>
      </c>
      <c r="D965" s="8" t="s">
        <v>408</v>
      </c>
      <c r="E965" s="8" t="s">
        <v>48</v>
      </c>
      <c r="F965" s="8" t="s">
        <v>183</v>
      </c>
      <c r="G965" s="8" t="s">
        <v>39</v>
      </c>
      <c r="H965" s="8" t="s">
        <v>647</v>
      </c>
      <c r="I965" s="8" t="s">
        <v>4979</v>
      </c>
      <c r="J965" s="10">
        <v>579</v>
      </c>
      <c r="K965" s="11">
        <v>343.35</v>
      </c>
      <c r="L965" s="11">
        <v>458.54</v>
      </c>
      <c r="M965" s="11">
        <v>265494.65999999997</v>
      </c>
      <c r="N965" s="11">
        <v>198799.65</v>
      </c>
      <c r="O965" s="11">
        <f>CleanedData[[#This Row],[Total Sales ($)]]-CleanedData[[#This Row],[Total Cost ($)]]</f>
        <v>66695.00999999998</v>
      </c>
      <c r="P965" s="12">
        <f>CleanedData[[#This Row],[Profit ($)]]/CleanedData[[#This Row],[Total Sales ($)]]</f>
        <v>0.25121036332708158</v>
      </c>
      <c r="Q965" s="8" t="s">
        <v>95</v>
      </c>
      <c r="R965" s="8" t="s">
        <v>32</v>
      </c>
      <c r="S965" s="8" t="b">
        <f>_xlfn.SINGLE(CleanedData[[#This Row],[Delivery Status]])="Late"</f>
        <v>1</v>
      </c>
      <c r="T965" s="10">
        <v>12</v>
      </c>
      <c r="U965" s="8" t="s">
        <v>86</v>
      </c>
      <c r="V965" s="10">
        <v>4762</v>
      </c>
      <c r="W965" s="10">
        <v>26</v>
      </c>
      <c r="X965" s="12">
        <v>4.4905008635578503E-2</v>
      </c>
      <c r="Y965" s="8" t="b">
        <f>CleanedData[[#This Row],[Ship Date]]&lt;CleanedData[[#This Row],[Order Date]]</f>
        <v>1</v>
      </c>
      <c r="Z965" s="10">
        <f>YEAR(CleanedData[[#This Row],[Order Date]])</f>
        <v>2023</v>
      </c>
      <c r="AA965" s="8">
        <f>MONTH(CleanedData[[#This Row],[Order Date]])</f>
        <v>7</v>
      </c>
    </row>
    <row r="966" spans="1:27" x14ac:dyDescent="0.35">
      <c r="A966" s="8" t="s">
        <v>2780</v>
      </c>
      <c r="B966" s="9">
        <v>45010</v>
      </c>
      <c r="C966" s="9">
        <v>45550</v>
      </c>
      <c r="D966" s="8" t="s">
        <v>2783</v>
      </c>
      <c r="E966" s="8" t="s">
        <v>68</v>
      </c>
      <c r="F966" s="8" t="s">
        <v>146</v>
      </c>
      <c r="G966" s="8" t="s">
        <v>39</v>
      </c>
      <c r="H966" s="8" t="s">
        <v>477</v>
      </c>
      <c r="I966" s="8" t="s">
        <v>4977</v>
      </c>
      <c r="J966" s="10">
        <v>385</v>
      </c>
      <c r="K966" s="11">
        <v>533.07000000000005</v>
      </c>
      <c r="L966" s="11">
        <v>717.13</v>
      </c>
      <c r="M966" s="11">
        <v>276095.05</v>
      </c>
      <c r="N966" s="11">
        <v>205231.95</v>
      </c>
      <c r="O966" s="11">
        <f>CleanedData[[#This Row],[Total Sales ($)]]-CleanedData[[#This Row],[Total Cost ($)]]</f>
        <v>70863.099999999977</v>
      </c>
      <c r="P966" s="12">
        <f>CleanedData[[#This Row],[Profit ($)]]/CleanedData[[#This Row],[Total Sales ($)]]</f>
        <v>0.25666197202738689</v>
      </c>
      <c r="Q966" s="8" t="s">
        <v>42</v>
      </c>
      <c r="R966" s="8" t="s">
        <v>32</v>
      </c>
      <c r="S966" s="8" t="b">
        <f>_xlfn.SINGLE(CleanedData[[#This Row],[Delivery Status]])="Late"</f>
        <v>1</v>
      </c>
      <c r="T966" s="10">
        <v>7</v>
      </c>
      <c r="U966" s="8" t="s">
        <v>33</v>
      </c>
      <c r="V966" s="10">
        <v>2851</v>
      </c>
      <c r="W966" s="10">
        <v>16</v>
      </c>
      <c r="X966" s="12">
        <v>4.1558441558441503E-2</v>
      </c>
      <c r="Y966" s="8" t="b">
        <f>CleanedData[[#This Row],[Ship Date]]&lt;CleanedData[[#This Row],[Order Date]]</f>
        <v>0</v>
      </c>
      <c r="Z966" s="10">
        <f>YEAR(CleanedData[[#This Row],[Order Date]])</f>
        <v>2023</v>
      </c>
      <c r="AA966" s="8">
        <f>MONTH(CleanedData[[#This Row],[Order Date]])</f>
        <v>3</v>
      </c>
    </row>
    <row r="967" spans="1:27" x14ac:dyDescent="0.35">
      <c r="A967" s="8" t="s">
        <v>2784</v>
      </c>
      <c r="B967" s="9">
        <v>45126</v>
      </c>
      <c r="C967" s="9">
        <v>44969</v>
      </c>
      <c r="D967" s="8" t="s">
        <v>2785</v>
      </c>
      <c r="E967" s="8" t="s">
        <v>100</v>
      </c>
      <c r="F967" s="8" t="s">
        <v>101</v>
      </c>
      <c r="G967" s="8" t="s">
        <v>78</v>
      </c>
      <c r="H967" s="8" t="s">
        <v>425</v>
      </c>
      <c r="I967" s="8" t="s">
        <v>4979</v>
      </c>
      <c r="J967" s="10">
        <v>330</v>
      </c>
      <c r="K967" s="11">
        <v>597.65</v>
      </c>
      <c r="L967" s="11">
        <v>826.16</v>
      </c>
      <c r="M967" s="11">
        <v>272632.8</v>
      </c>
      <c r="N967" s="11">
        <v>197224.5</v>
      </c>
      <c r="O967" s="11">
        <f>CleanedData[[#This Row],[Total Sales ($)]]-CleanedData[[#This Row],[Total Cost ($)]]</f>
        <v>75408.299999999988</v>
      </c>
      <c r="P967" s="12">
        <f>CleanedData[[#This Row],[Profit ($)]]/CleanedData[[#This Row],[Total Sales ($)]]</f>
        <v>0.27659291178464218</v>
      </c>
      <c r="Q967" s="8" t="s">
        <v>95</v>
      </c>
      <c r="R967" s="8" t="s">
        <v>63</v>
      </c>
      <c r="S967" s="8" t="b">
        <f>_xlfn.SINGLE(CleanedData[[#This Row],[Delivery Status]])="Late"</f>
        <v>0</v>
      </c>
      <c r="T967" s="10">
        <v>1</v>
      </c>
      <c r="U967" s="8" t="s">
        <v>33</v>
      </c>
      <c r="V967" s="10">
        <v>3956</v>
      </c>
      <c r="W967" s="10">
        <v>10</v>
      </c>
      <c r="X967" s="12">
        <v>3.03030303030303E-2</v>
      </c>
      <c r="Y967" s="8" t="b">
        <f>CleanedData[[#This Row],[Ship Date]]&lt;CleanedData[[#This Row],[Order Date]]</f>
        <v>1</v>
      </c>
      <c r="Z967" s="10">
        <f>YEAR(CleanedData[[#This Row],[Order Date]])</f>
        <v>2023</v>
      </c>
      <c r="AA967" s="8">
        <f>MONTH(CleanedData[[#This Row],[Order Date]])</f>
        <v>7</v>
      </c>
    </row>
    <row r="968" spans="1:27" x14ac:dyDescent="0.35">
      <c r="A968" s="8" t="s">
        <v>2786</v>
      </c>
      <c r="B968" s="9">
        <v>45243</v>
      </c>
      <c r="C968" s="9">
        <v>44979</v>
      </c>
      <c r="D968" s="8" t="s">
        <v>2787</v>
      </c>
      <c r="E968" s="8" t="s">
        <v>48</v>
      </c>
      <c r="F968" s="8" t="s">
        <v>270</v>
      </c>
      <c r="G968" s="8" t="s">
        <v>60</v>
      </c>
      <c r="H968" s="8" t="s">
        <v>400</v>
      </c>
      <c r="I968" s="8" t="s">
        <v>4970</v>
      </c>
      <c r="J968" s="10">
        <v>675</v>
      </c>
      <c r="K968" s="11">
        <v>1040.9000000000001</v>
      </c>
      <c r="L968" s="11">
        <v>1609.05</v>
      </c>
      <c r="M968" s="11">
        <v>1086108.75</v>
      </c>
      <c r="N968" s="11">
        <v>702607.5</v>
      </c>
      <c r="O968" s="11">
        <f>CleanedData[[#This Row],[Total Sales ($)]]-CleanedData[[#This Row],[Total Cost ($)]]</f>
        <v>383501.25</v>
      </c>
      <c r="P968" s="12">
        <f>CleanedData[[#This Row],[Profit ($)]]/CleanedData[[#This Row],[Total Sales ($)]]</f>
        <v>0.35309654765234144</v>
      </c>
      <c r="Q968" s="8" t="s">
        <v>31</v>
      </c>
      <c r="R968" s="8" t="s">
        <v>63</v>
      </c>
      <c r="S968" s="8" t="b">
        <f>_xlfn.SINGLE(CleanedData[[#This Row],[Delivery Status]])="Late"</f>
        <v>0</v>
      </c>
      <c r="T968" s="10">
        <v>3</v>
      </c>
      <c r="U968" s="8" t="s">
        <v>86</v>
      </c>
      <c r="V968" s="10">
        <v>4282</v>
      </c>
      <c r="W968" s="10">
        <v>8</v>
      </c>
      <c r="X968" s="12">
        <v>1.1851851851851799E-2</v>
      </c>
      <c r="Y968" s="8" t="b">
        <f>CleanedData[[#This Row],[Ship Date]]&lt;CleanedData[[#This Row],[Order Date]]</f>
        <v>1</v>
      </c>
      <c r="Z968" s="10">
        <f>YEAR(CleanedData[[#This Row],[Order Date]])</f>
        <v>2023</v>
      </c>
      <c r="AA968" s="8">
        <f>MONTH(CleanedData[[#This Row],[Order Date]])</f>
        <v>11</v>
      </c>
    </row>
    <row r="969" spans="1:27" x14ac:dyDescent="0.35">
      <c r="A969" s="8" t="s">
        <v>2788</v>
      </c>
      <c r="B969" s="9">
        <v>45159</v>
      </c>
      <c r="C969" s="9">
        <v>45002</v>
      </c>
      <c r="D969" s="8" t="s">
        <v>2790</v>
      </c>
      <c r="E969" s="8" t="s">
        <v>48</v>
      </c>
      <c r="F969" s="8" t="s">
        <v>2791</v>
      </c>
      <c r="G969" s="8" t="s">
        <v>39</v>
      </c>
      <c r="H969" s="8" t="s">
        <v>647</v>
      </c>
      <c r="I969" s="8" t="s">
        <v>4973</v>
      </c>
      <c r="J969" s="10"/>
      <c r="K969" s="11">
        <v>821.07</v>
      </c>
      <c r="L969" s="11">
        <v>1056.9100000000001</v>
      </c>
      <c r="M969" s="11">
        <v>844471.09</v>
      </c>
      <c r="N969" s="11">
        <v>656034.93000000005</v>
      </c>
      <c r="O969" s="11">
        <f>CleanedData[[#This Row],[Total Sales ($)]]-CleanedData[[#This Row],[Total Cost ($)]]</f>
        <v>188436.15999999992</v>
      </c>
      <c r="P969" s="12">
        <f>CleanedData[[#This Row],[Profit ($)]]/CleanedData[[#This Row],[Total Sales ($)]]</f>
        <v>0.22314104322979242</v>
      </c>
      <c r="Q969" s="8" t="s">
        <v>31</v>
      </c>
      <c r="R969" s="8" t="s">
        <v>63</v>
      </c>
      <c r="S969" s="8" t="b">
        <f>_xlfn.SINGLE(CleanedData[[#This Row],[Delivery Status]])="Late"</f>
        <v>0</v>
      </c>
      <c r="T969" s="10">
        <v>5</v>
      </c>
      <c r="U969" s="8" t="s">
        <v>112</v>
      </c>
      <c r="V969" s="10">
        <v>3706</v>
      </c>
      <c r="W969" s="10">
        <v>18</v>
      </c>
      <c r="X969" s="12"/>
      <c r="Y969" s="8" t="b">
        <f>CleanedData[[#This Row],[Ship Date]]&lt;CleanedData[[#This Row],[Order Date]]</f>
        <v>1</v>
      </c>
      <c r="Z969" s="10">
        <f>YEAR(CleanedData[[#This Row],[Order Date]])</f>
        <v>2023</v>
      </c>
      <c r="AA969" s="8">
        <f>MONTH(CleanedData[[#This Row],[Order Date]])</f>
        <v>8</v>
      </c>
    </row>
    <row r="970" spans="1:27" x14ac:dyDescent="0.35">
      <c r="A970" s="8" t="s">
        <v>2792</v>
      </c>
      <c r="B970" s="9">
        <v>45184</v>
      </c>
      <c r="C970" s="9">
        <v>44981</v>
      </c>
      <c r="D970" s="8" t="s">
        <v>2793</v>
      </c>
      <c r="E970" s="8" t="s">
        <v>68</v>
      </c>
      <c r="F970" s="8" t="s">
        <v>69</v>
      </c>
      <c r="G970" s="8" t="s">
        <v>78</v>
      </c>
      <c r="H970" s="8" t="s">
        <v>840</v>
      </c>
      <c r="I970" s="8" t="s">
        <v>4970</v>
      </c>
      <c r="J970" s="10">
        <v>527</v>
      </c>
      <c r="K970" s="11">
        <v>54.69</v>
      </c>
      <c r="L970" s="11">
        <v>73.12</v>
      </c>
      <c r="M970" s="11">
        <v>38534.239999999998</v>
      </c>
      <c r="N970" s="11">
        <v>28821.63</v>
      </c>
      <c r="O970" s="11">
        <f>CleanedData[[#This Row],[Total Sales ($)]]-CleanedData[[#This Row],[Total Cost ($)]]</f>
        <v>9712.6099999999969</v>
      </c>
      <c r="P970" s="12">
        <f>CleanedData[[#This Row],[Profit ($)]]/CleanedData[[#This Row],[Total Sales ($)]]</f>
        <v>0.25205142231947475</v>
      </c>
      <c r="Q970" s="8" t="s">
        <v>52</v>
      </c>
      <c r="R970" s="8" t="s">
        <v>32</v>
      </c>
      <c r="S970" s="8" t="b">
        <f>_xlfn.SINGLE(CleanedData[[#This Row],[Delivery Status]])="Late"</f>
        <v>1</v>
      </c>
      <c r="T970" s="10">
        <v>12</v>
      </c>
      <c r="U970" s="8" t="s">
        <v>53</v>
      </c>
      <c r="V970" s="10">
        <v>4018</v>
      </c>
      <c r="W970" s="10">
        <v>6</v>
      </c>
      <c r="X970" s="12">
        <v>1.13851992409867E-2</v>
      </c>
      <c r="Y970" s="8" t="b">
        <f>CleanedData[[#This Row],[Ship Date]]&lt;CleanedData[[#This Row],[Order Date]]</f>
        <v>1</v>
      </c>
      <c r="Z970" s="10">
        <f>YEAR(CleanedData[[#This Row],[Order Date]])</f>
        <v>2023</v>
      </c>
      <c r="AA970" s="8">
        <f>MONTH(CleanedData[[#This Row],[Order Date]])</f>
        <v>9</v>
      </c>
    </row>
    <row r="971" spans="1:27" x14ac:dyDescent="0.35">
      <c r="A971" s="8" t="s">
        <v>2794</v>
      </c>
      <c r="B971" s="9">
        <v>45057</v>
      </c>
      <c r="C971" s="9">
        <v>45202</v>
      </c>
      <c r="D971" s="8" t="s">
        <v>2795</v>
      </c>
      <c r="E971" s="8" t="s">
        <v>48</v>
      </c>
      <c r="F971" s="8" t="s">
        <v>49</v>
      </c>
      <c r="G971" s="8" t="s">
        <v>93</v>
      </c>
      <c r="H971" s="8" t="s">
        <v>1442</v>
      </c>
      <c r="I971" s="8" t="s">
        <v>4978</v>
      </c>
      <c r="J971" s="10">
        <v>319</v>
      </c>
      <c r="K971" s="11">
        <v>92.72</v>
      </c>
      <c r="L971" s="11">
        <v>129.46</v>
      </c>
      <c r="M971" s="11">
        <v>41297.74</v>
      </c>
      <c r="N971" s="11">
        <v>29577.68</v>
      </c>
      <c r="O971" s="11">
        <f>CleanedData[[#This Row],[Total Sales ($)]]-CleanedData[[#This Row],[Total Cost ($)]]</f>
        <v>11720.059999999998</v>
      </c>
      <c r="P971" s="12">
        <f>CleanedData[[#This Row],[Profit ($)]]/CleanedData[[#This Row],[Total Sales ($)]]</f>
        <v>0.28379422215356093</v>
      </c>
      <c r="Q971" s="8" t="s">
        <v>95</v>
      </c>
      <c r="R971" s="8" t="s">
        <v>63</v>
      </c>
      <c r="S971" s="8" t="b">
        <f>_xlfn.SINGLE(CleanedData[[#This Row],[Delivery Status]])="Late"</f>
        <v>0</v>
      </c>
      <c r="T971" s="10">
        <v>2</v>
      </c>
      <c r="U971" s="8" t="s">
        <v>112</v>
      </c>
      <c r="V971" s="10">
        <v>475</v>
      </c>
      <c r="W971" s="10">
        <v>8</v>
      </c>
      <c r="X971" s="12">
        <v>2.5078369905956101E-2</v>
      </c>
      <c r="Y971" s="8" t="b">
        <f>CleanedData[[#This Row],[Ship Date]]&lt;CleanedData[[#This Row],[Order Date]]</f>
        <v>0</v>
      </c>
      <c r="Z971" s="10">
        <f>YEAR(CleanedData[[#This Row],[Order Date]])</f>
        <v>2023</v>
      </c>
      <c r="AA971" s="8">
        <f>MONTH(CleanedData[[#This Row],[Order Date]])</f>
        <v>5</v>
      </c>
    </row>
    <row r="972" spans="1:27" x14ac:dyDescent="0.35">
      <c r="A972" s="8" t="s">
        <v>2796</v>
      </c>
      <c r="B972" s="9">
        <v>45279</v>
      </c>
      <c r="C972" s="9">
        <v>45090</v>
      </c>
      <c r="D972" s="8" t="s">
        <v>2797</v>
      </c>
      <c r="E972" s="8" t="s">
        <v>68</v>
      </c>
      <c r="F972" s="8" t="s">
        <v>69</v>
      </c>
      <c r="G972" s="8" t="s">
        <v>217</v>
      </c>
      <c r="H972" s="8" t="s">
        <v>335</v>
      </c>
      <c r="I972" s="8" t="s">
        <v>4970</v>
      </c>
      <c r="J972" s="10">
        <v>570</v>
      </c>
      <c r="K972" s="11">
        <v>1048.67</v>
      </c>
      <c r="L972" s="11">
        <v>1216.7</v>
      </c>
      <c r="M972" s="11">
        <v>693519</v>
      </c>
      <c r="N972" s="11">
        <v>597741.9</v>
      </c>
      <c r="O972" s="11">
        <f>CleanedData[[#This Row],[Total Sales ($)]]-CleanedData[[#This Row],[Total Cost ($)]]</f>
        <v>95777.099999999977</v>
      </c>
      <c r="P972" s="12">
        <f>CleanedData[[#This Row],[Profit ($)]]/CleanedData[[#This Row],[Total Sales ($)]]</f>
        <v>0.13810306566943367</v>
      </c>
      <c r="Q972" s="8" t="s">
        <v>52</v>
      </c>
      <c r="R972" s="8" t="s">
        <v>63</v>
      </c>
      <c r="S972" s="8" t="b">
        <f>_xlfn.SINGLE(CleanedData[[#This Row],[Delivery Status]])="Late"</f>
        <v>0</v>
      </c>
      <c r="T972" s="10">
        <v>2</v>
      </c>
      <c r="U972" s="8" t="s">
        <v>53</v>
      </c>
      <c r="V972" s="10">
        <v>4260</v>
      </c>
      <c r="W972" s="10">
        <v>24</v>
      </c>
      <c r="X972" s="12">
        <v>4.2105263157894701E-2</v>
      </c>
      <c r="Y972" s="8" t="b">
        <f>CleanedData[[#This Row],[Ship Date]]&lt;CleanedData[[#This Row],[Order Date]]</f>
        <v>1</v>
      </c>
      <c r="Z972" s="10">
        <f>YEAR(CleanedData[[#This Row],[Order Date]])</f>
        <v>2023</v>
      </c>
      <c r="AA972" s="8">
        <f>MONTH(CleanedData[[#This Row],[Order Date]])</f>
        <v>12</v>
      </c>
    </row>
    <row r="973" spans="1:27" x14ac:dyDescent="0.35">
      <c r="A973" s="8" t="s">
        <v>2799</v>
      </c>
      <c r="B973" s="9">
        <v>45235</v>
      </c>
      <c r="C973" s="9">
        <v>45227</v>
      </c>
      <c r="D973" s="8" t="s">
        <v>2800</v>
      </c>
      <c r="E973" s="8" t="s">
        <v>68</v>
      </c>
      <c r="F973" s="8" t="s">
        <v>163</v>
      </c>
      <c r="G973" s="8" t="s">
        <v>39</v>
      </c>
      <c r="H973" s="8" t="s">
        <v>147</v>
      </c>
      <c r="I973" s="8" t="s">
        <v>4977</v>
      </c>
      <c r="J973" s="10">
        <v>241</v>
      </c>
      <c r="K973" s="11">
        <v>176.84</v>
      </c>
      <c r="L973" s="11">
        <v>218.99</v>
      </c>
      <c r="M973" s="11">
        <v>52776.59</v>
      </c>
      <c r="N973" s="11">
        <v>42618.44</v>
      </c>
      <c r="O973" s="11">
        <f>CleanedData[[#This Row],[Total Sales ($)]]-CleanedData[[#This Row],[Total Cost ($)]]</f>
        <v>10158.149999999994</v>
      </c>
      <c r="P973" s="12">
        <f>CleanedData[[#This Row],[Profit ($)]]/CleanedData[[#This Row],[Total Sales ($)]]</f>
        <v>0.19247454221653948</v>
      </c>
      <c r="Q973" s="8" t="s">
        <v>42</v>
      </c>
      <c r="R973" s="8" t="s">
        <v>63</v>
      </c>
      <c r="S973" s="8" t="b">
        <f>_xlfn.SINGLE(CleanedData[[#This Row],[Delivery Status]])="Late"</f>
        <v>0</v>
      </c>
      <c r="T973" s="10">
        <v>2</v>
      </c>
      <c r="U973" s="8" t="s">
        <v>112</v>
      </c>
      <c r="V973" s="10">
        <v>2373</v>
      </c>
      <c r="W973" s="10">
        <v>8</v>
      </c>
      <c r="X973" s="12">
        <v>3.3195020746887897E-2</v>
      </c>
      <c r="Y973" s="8" t="b">
        <f>CleanedData[[#This Row],[Ship Date]]&lt;CleanedData[[#This Row],[Order Date]]</f>
        <v>1</v>
      </c>
      <c r="Z973" s="10">
        <f>YEAR(CleanedData[[#This Row],[Order Date]])</f>
        <v>2023</v>
      </c>
      <c r="AA973" s="8">
        <f>MONTH(CleanedData[[#This Row],[Order Date]])</f>
        <v>11</v>
      </c>
    </row>
    <row r="974" spans="1:27" x14ac:dyDescent="0.35">
      <c r="A974" s="8" t="s">
        <v>2801</v>
      </c>
      <c r="B974" s="9">
        <v>45232</v>
      </c>
      <c r="C974" s="9">
        <v>45215</v>
      </c>
      <c r="D974" s="8" t="s">
        <v>2802</v>
      </c>
      <c r="E974" s="8" t="s">
        <v>58</v>
      </c>
      <c r="F974" s="8" t="s">
        <v>59</v>
      </c>
      <c r="G974" s="8" t="s">
        <v>28</v>
      </c>
      <c r="H974" s="8" t="s">
        <v>714</v>
      </c>
      <c r="I974" s="8" t="s">
        <v>4977</v>
      </c>
      <c r="J974" s="10">
        <v>663</v>
      </c>
      <c r="K974" s="11">
        <v>193.2</v>
      </c>
      <c r="L974" s="11">
        <v>261.39999999999998</v>
      </c>
      <c r="M974" s="11">
        <v>173308.2</v>
      </c>
      <c r="N974" s="11">
        <v>128091.6</v>
      </c>
      <c r="O974" s="11">
        <f>CleanedData[[#This Row],[Total Sales ($)]]-CleanedData[[#This Row],[Total Cost ($)]]</f>
        <v>45216.600000000006</v>
      </c>
      <c r="P974" s="12">
        <f>CleanedData[[#This Row],[Profit ($)]]/CleanedData[[#This Row],[Total Sales ($)]]</f>
        <v>0.26090283091048205</v>
      </c>
      <c r="Q974" s="8" t="s">
        <v>42</v>
      </c>
      <c r="R974" s="8" t="s">
        <v>32</v>
      </c>
      <c r="S974" s="8" t="b">
        <f>_xlfn.SINGLE(CleanedData[[#This Row],[Delivery Status]])="Late"</f>
        <v>1</v>
      </c>
      <c r="T974" s="10">
        <v>11</v>
      </c>
      <c r="U974" s="8" t="s">
        <v>86</v>
      </c>
      <c r="V974" s="10">
        <v>3496</v>
      </c>
      <c r="W974" s="10">
        <v>29</v>
      </c>
      <c r="X974" s="12">
        <v>4.37405731523378E-2</v>
      </c>
      <c r="Y974" s="8" t="b">
        <f>CleanedData[[#This Row],[Ship Date]]&lt;CleanedData[[#This Row],[Order Date]]</f>
        <v>1</v>
      </c>
      <c r="Z974" s="10">
        <f>YEAR(CleanedData[[#This Row],[Order Date]])</f>
        <v>2023</v>
      </c>
      <c r="AA974" s="8">
        <f>MONTH(CleanedData[[#This Row],[Order Date]])</f>
        <v>11</v>
      </c>
    </row>
    <row r="975" spans="1:27" x14ac:dyDescent="0.35">
      <c r="A975" s="8" t="s">
        <v>2803</v>
      </c>
      <c r="B975" s="9">
        <v>45041</v>
      </c>
      <c r="C975" s="9">
        <v>44966</v>
      </c>
      <c r="D975" s="8" t="s">
        <v>2804</v>
      </c>
      <c r="E975" s="8" t="s">
        <v>100</v>
      </c>
      <c r="F975" s="8" t="s">
        <v>538</v>
      </c>
      <c r="G975" s="8" t="s">
        <v>39</v>
      </c>
      <c r="H975" s="8" t="s">
        <v>412</v>
      </c>
      <c r="I975" s="8" t="s">
        <v>4971</v>
      </c>
      <c r="J975" s="10">
        <v>132</v>
      </c>
      <c r="K975" s="11">
        <v>349</v>
      </c>
      <c r="L975" s="11">
        <v>429.33</v>
      </c>
      <c r="M975" s="11">
        <v>56671.56</v>
      </c>
      <c r="N975" s="11">
        <v>46068</v>
      </c>
      <c r="O975" s="11">
        <f>CleanedData[[#This Row],[Total Sales ($)]]-CleanedData[[#This Row],[Total Cost ($)]]</f>
        <v>10603.559999999998</v>
      </c>
      <c r="P975" s="12">
        <f>CleanedData[[#This Row],[Profit ($)]]/CleanedData[[#This Row],[Total Sales ($)]]</f>
        <v>0.18710548994945608</v>
      </c>
      <c r="Q975" s="8" t="s">
        <v>42</v>
      </c>
      <c r="R975" s="8" t="s">
        <v>32</v>
      </c>
      <c r="S975" s="8" t="b">
        <f>_xlfn.SINGLE(CleanedData[[#This Row],[Delivery Status]])="Late"</f>
        <v>1</v>
      </c>
      <c r="T975" s="10">
        <v>14</v>
      </c>
      <c r="U975" s="8" t="s">
        <v>112</v>
      </c>
      <c r="V975" s="10">
        <v>2872</v>
      </c>
      <c r="W975" s="10">
        <v>4</v>
      </c>
      <c r="X975" s="12">
        <v>3.03030303030303E-2</v>
      </c>
      <c r="Y975" s="8" t="b">
        <f>CleanedData[[#This Row],[Ship Date]]&lt;CleanedData[[#This Row],[Order Date]]</f>
        <v>1</v>
      </c>
      <c r="Z975" s="10">
        <f>YEAR(CleanedData[[#This Row],[Order Date]])</f>
        <v>2023</v>
      </c>
      <c r="AA975" s="8">
        <f>MONTH(CleanedData[[#This Row],[Order Date]])</f>
        <v>4</v>
      </c>
    </row>
    <row r="976" spans="1:27" x14ac:dyDescent="0.35">
      <c r="A976" s="8" t="s">
        <v>2805</v>
      </c>
      <c r="B976" s="9">
        <v>45257</v>
      </c>
      <c r="C976" s="9">
        <v>45142</v>
      </c>
      <c r="D976" s="8" t="s">
        <v>2806</v>
      </c>
      <c r="E976" s="8" t="s">
        <v>100</v>
      </c>
      <c r="F976" s="8" t="s">
        <v>106</v>
      </c>
      <c r="G976" s="8" t="s">
        <v>39</v>
      </c>
      <c r="H976" s="8" t="s">
        <v>477</v>
      </c>
      <c r="I976" s="8" t="s">
        <v>4971</v>
      </c>
      <c r="J976" s="10">
        <v>345</v>
      </c>
      <c r="K976" s="11">
        <v>497.12</v>
      </c>
      <c r="L976" s="11">
        <v>732.34</v>
      </c>
      <c r="M976" s="11">
        <v>252657.3</v>
      </c>
      <c r="N976" s="11">
        <v>171506.4</v>
      </c>
      <c r="O976" s="11">
        <f>CleanedData[[#This Row],[Total Sales ($)]]-CleanedData[[#This Row],[Total Cost ($)]]</f>
        <v>81150.899999999994</v>
      </c>
      <c r="P976" s="12">
        <f>CleanedData[[#This Row],[Profit ($)]]/CleanedData[[#This Row],[Total Sales ($)]]</f>
        <v>0.32118961138269109</v>
      </c>
      <c r="Q976" s="8" t="s">
        <v>52</v>
      </c>
      <c r="R976" s="8" t="s">
        <v>32</v>
      </c>
      <c r="S976" s="8" t="b">
        <f>_xlfn.SINGLE(CleanedData[[#This Row],[Delivery Status]])="Late"</f>
        <v>1</v>
      </c>
      <c r="T976" s="10">
        <v>9</v>
      </c>
      <c r="U976" s="8" t="s">
        <v>43</v>
      </c>
      <c r="V976" s="10">
        <v>2582</v>
      </c>
      <c r="W976" s="10">
        <v>13</v>
      </c>
      <c r="X976" s="12">
        <v>3.7681159420289802E-2</v>
      </c>
      <c r="Y976" s="8" t="b">
        <f>CleanedData[[#This Row],[Ship Date]]&lt;CleanedData[[#This Row],[Order Date]]</f>
        <v>1</v>
      </c>
      <c r="Z976" s="10">
        <f>YEAR(CleanedData[[#This Row],[Order Date]])</f>
        <v>2023</v>
      </c>
      <c r="AA976" s="8">
        <f>MONTH(CleanedData[[#This Row],[Order Date]])</f>
        <v>11</v>
      </c>
    </row>
    <row r="977" spans="1:27" x14ac:dyDescent="0.35">
      <c r="A977" s="8" t="s">
        <v>2807</v>
      </c>
      <c r="B977" s="9">
        <v>45558</v>
      </c>
      <c r="C977" s="9">
        <v>45363</v>
      </c>
      <c r="D977" s="8" t="s">
        <v>2808</v>
      </c>
      <c r="E977" s="8" t="s">
        <v>100</v>
      </c>
      <c r="F977" s="8" t="s">
        <v>1529</v>
      </c>
      <c r="G977" s="8" t="s">
        <v>93</v>
      </c>
      <c r="H977" s="8" t="s">
        <v>184</v>
      </c>
      <c r="I977" s="8" t="s">
        <v>4975</v>
      </c>
      <c r="J977" s="10">
        <v>413</v>
      </c>
      <c r="K977" s="11">
        <v>947.73</v>
      </c>
      <c r="L977" s="11">
        <v>1194.47</v>
      </c>
      <c r="M977" s="11">
        <v>493316.11</v>
      </c>
      <c r="N977" s="11">
        <v>391412.49</v>
      </c>
      <c r="O977" s="11">
        <f>CleanedData[[#This Row],[Total Sales ($)]]-CleanedData[[#This Row],[Total Cost ($)]]</f>
        <v>101903.62</v>
      </c>
      <c r="P977" s="12">
        <f>CleanedData[[#This Row],[Profit ($)]]/CleanedData[[#This Row],[Total Sales ($)]]</f>
        <v>0.20656860364848006</v>
      </c>
      <c r="Q977" s="8" t="s">
        <v>42</v>
      </c>
      <c r="R977" s="8" t="s">
        <v>63</v>
      </c>
      <c r="S977" s="8" t="b">
        <f>_xlfn.SINGLE(CleanedData[[#This Row],[Delivery Status]])="Late"</f>
        <v>0</v>
      </c>
      <c r="T977" s="10">
        <v>3</v>
      </c>
      <c r="U977" s="8" t="s">
        <v>33</v>
      </c>
      <c r="V977" s="10">
        <v>3658</v>
      </c>
      <c r="W977" s="10">
        <v>12</v>
      </c>
      <c r="X977" s="12">
        <v>2.9055690072639199E-2</v>
      </c>
      <c r="Y977" s="8" t="b">
        <f>CleanedData[[#This Row],[Ship Date]]&lt;CleanedData[[#This Row],[Order Date]]</f>
        <v>1</v>
      </c>
      <c r="Z977" s="10">
        <f>YEAR(CleanedData[[#This Row],[Order Date]])</f>
        <v>2024</v>
      </c>
      <c r="AA977" s="8">
        <f>MONTH(CleanedData[[#This Row],[Order Date]])</f>
        <v>9</v>
      </c>
    </row>
    <row r="978" spans="1:27" x14ac:dyDescent="0.35">
      <c r="A978" s="8" t="s">
        <v>2809</v>
      </c>
      <c r="B978" s="9">
        <v>45270</v>
      </c>
      <c r="C978" s="9">
        <v>44927</v>
      </c>
      <c r="D978" s="8" t="s">
        <v>4988</v>
      </c>
      <c r="E978" s="8" t="s">
        <v>68</v>
      </c>
      <c r="F978" s="8" t="s">
        <v>2091</v>
      </c>
      <c r="G978" s="8" t="s">
        <v>78</v>
      </c>
      <c r="H978" s="8" t="s">
        <v>123</v>
      </c>
      <c r="I978" s="8" t="s">
        <v>4977</v>
      </c>
      <c r="J978" s="10">
        <v>105</v>
      </c>
      <c r="K978" s="11">
        <v>845.73</v>
      </c>
      <c r="L978" s="11">
        <v>1021.49</v>
      </c>
      <c r="M978" s="11">
        <v>107256.45</v>
      </c>
      <c r="N978" s="11">
        <v>88801.65</v>
      </c>
      <c r="O978" s="11">
        <f>CleanedData[[#This Row],[Total Sales ($)]]-CleanedData[[#This Row],[Total Cost ($)]]</f>
        <v>18454.800000000003</v>
      </c>
      <c r="P978" s="12">
        <f>CleanedData[[#This Row],[Profit ($)]]/CleanedData[[#This Row],[Total Sales ($)]]</f>
        <v>0.17206237946529093</v>
      </c>
      <c r="Q978" s="8" t="s">
        <v>95</v>
      </c>
      <c r="R978" s="8" t="s">
        <v>63</v>
      </c>
      <c r="S978" s="8" t="b">
        <f>_xlfn.SINGLE(CleanedData[[#This Row],[Delivery Status]])="Late"</f>
        <v>0</v>
      </c>
      <c r="T978" s="10">
        <v>2</v>
      </c>
      <c r="U978" s="8" t="s">
        <v>112</v>
      </c>
      <c r="V978" s="10">
        <v>2666</v>
      </c>
      <c r="W978" s="10">
        <v>2</v>
      </c>
      <c r="X978" s="12">
        <v>1.9047619047619001E-2</v>
      </c>
      <c r="Y978" s="8" t="b">
        <f>CleanedData[[#This Row],[Ship Date]]&lt;CleanedData[[#This Row],[Order Date]]</f>
        <v>1</v>
      </c>
      <c r="Z978" s="10">
        <f>YEAR(CleanedData[[#This Row],[Order Date]])</f>
        <v>2023</v>
      </c>
      <c r="AA978" s="8">
        <f>MONTH(CleanedData[[#This Row],[Order Date]])</f>
        <v>12</v>
      </c>
    </row>
    <row r="979" spans="1:27" x14ac:dyDescent="0.35">
      <c r="A979" s="8" t="s">
        <v>2811</v>
      </c>
      <c r="B979" s="9">
        <v>45545</v>
      </c>
      <c r="C979" s="9">
        <v>45637</v>
      </c>
      <c r="D979" s="8" t="s">
        <v>2813</v>
      </c>
      <c r="E979" s="8" t="s">
        <v>100</v>
      </c>
      <c r="F979" s="8" t="s">
        <v>238</v>
      </c>
      <c r="G979" s="8" t="s">
        <v>50</v>
      </c>
      <c r="H979" s="8" t="s">
        <v>51</v>
      </c>
      <c r="I979" s="8" t="s">
        <v>4970</v>
      </c>
      <c r="J979" s="10">
        <v>106</v>
      </c>
      <c r="K979" s="11">
        <v>3.86</v>
      </c>
      <c r="L979" s="11">
        <v>5.83</v>
      </c>
      <c r="M979" s="11">
        <v>617.98</v>
      </c>
      <c r="N979" s="11">
        <v>409.16</v>
      </c>
      <c r="O979" s="11">
        <f>CleanedData[[#This Row],[Total Sales ($)]]-CleanedData[[#This Row],[Total Cost ($)]]</f>
        <v>208.82</v>
      </c>
      <c r="P979" s="12">
        <f>CleanedData[[#This Row],[Profit ($)]]/CleanedData[[#This Row],[Total Sales ($)]]</f>
        <v>0.33790737564322471</v>
      </c>
      <c r="Q979" s="8" t="s">
        <v>95</v>
      </c>
      <c r="R979" s="8" t="s">
        <v>63</v>
      </c>
      <c r="S979" s="8" t="b">
        <f>_xlfn.SINGLE(CleanedData[[#This Row],[Delivery Status]])="Late"</f>
        <v>0</v>
      </c>
      <c r="T979" s="10">
        <v>4</v>
      </c>
      <c r="U979" s="8" t="s">
        <v>86</v>
      </c>
      <c r="V979" s="10">
        <v>1985</v>
      </c>
      <c r="W979" s="10">
        <v>4</v>
      </c>
      <c r="X979" s="12">
        <v>3.7735849056603703E-2</v>
      </c>
      <c r="Y979" s="8" t="b">
        <f>CleanedData[[#This Row],[Ship Date]]&lt;CleanedData[[#This Row],[Order Date]]</f>
        <v>0</v>
      </c>
      <c r="Z979" s="10">
        <f>YEAR(CleanedData[[#This Row],[Order Date]])</f>
        <v>2024</v>
      </c>
      <c r="AA979" s="8">
        <f>MONTH(CleanedData[[#This Row],[Order Date]])</f>
        <v>9</v>
      </c>
    </row>
    <row r="980" spans="1:27" x14ac:dyDescent="0.35">
      <c r="A980" s="8" t="s">
        <v>2814</v>
      </c>
      <c r="B980" s="9">
        <v>45087</v>
      </c>
      <c r="C980" s="9">
        <v>45006</v>
      </c>
      <c r="D980" s="8" t="s">
        <v>2815</v>
      </c>
      <c r="E980" s="8" t="s">
        <v>26</v>
      </c>
      <c r="F980" s="8" t="s">
        <v>38</v>
      </c>
      <c r="G980" s="8" t="s">
        <v>129</v>
      </c>
      <c r="H980" s="8" t="s">
        <v>520</v>
      </c>
      <c r="I980" s="8" t="s">
        <v>4977</v>
      </c>
      <c r="J980" s="10">
        <v>492</v>
      </c>
      <c r="K980" s="11">
        <v>743.75</v>
      </c>
      <c r="L980" s="11">
        <v>1014.86</v>
      </c>
      <c r="M980" s="11">
        <v>499311.12</v>
      </c>
      <c r="N980" s="11">
        <v>365925</v>
      </c>
      <c r="O980" s="11">
        <f>CleanedData[[#This Row],[Total Sales ($)]]-CleanedData[[#This Row],[Total Cost ($)]]</f>
        <v>133386.12</v>
      </c>
      <c r="P980" s="12">
        <f>CleanedData[[#This Row],[Profit ($)]]/CleanedData[[#This Row],[Total Sales ($)]]</f>
        <v>0.26714029521313282</v>
      </c>
      <c r="Q980" s="8" t="s">
        <v>31</v>
      </c>
      <c r="R980" s="8" t="s">
        <v>63</v>
      </c>
      <c r="S980" s="8" t="b">
        <f>_xlfn.SINGLE(CleanedData[[#This Row],[Delivery Status]])="Late"</f>
        <v>0</v>
      </c>
      <c r="T980" s="10">
        <v>3</v>
      </c>
      <c r="U980" s="8" t="s">
        <v>33</v>
      </c>
      <c r="V980" s="10">
        <v>2676</v>
      </c>
      <c r="W980" s="10">
        <v>0</v>
      </c>
      <c r="X980" s="12">
        <v>0</v>
      </c>
      <c r="Y980" s="8" t="b">
        <f>CleanedData[[#This Row],[Ship Date]]&lt;CleanedData[[#This Row],[Order Date]]</f>
        <v>1</v>
      </c>
      <c r="Z980" s="10">
        <f>YEAR(CleanedData[[#This Row],[Order Date]])</f>
        <v>2023</v>
      </c>
      <c r="AA980" s="8">
        <f>MONTH(CleanedData[[#This Row],[Order Date]])</f>
        <v>6</v>
      </c>
    </row>
    <row r="981" spans="1:27" x14ac:dyDescent="0.35">
      <c r="A981" s="8" t="s">
        <v>2816</v>
      </c>
      <c r="B981" s="9">
        <v>45088</v>
      </c>
      <c r="C981" s="9">
        <v>45233</v>
      </c>
      <c r="D981" s="8" t="s">
        <v>2817</v>
      </c>
      <c r="E981" s="8" t="s">
        <v>100</v>
      </c>
      <c r="F981" s="8" t="s">
        <v>101</v>
      </c>
      <c r="G981" s="8" t="s">
        <v>70</v>
      </c>
      <c r="H981" s="8" t="s">
        <v>822</v>
      </c>
      <c r="I981" s="8" t="s">
        <v>4974</v>
      </c>
      <c r="J981" s="10">
        <v>69</v>
      </c>
      <c r="K981" s="11">
        <v>338.02</v>
      </c>
      <c r="L981" s="11">
        <v>395.66</v>
      </c>
      <c r="M981" s="11">
        <v>27300.54</v>
      </c>
      <c r="N981" s="11">
        <v>23323.38</v>
      </c>
      <c r="O981" s="11">
        <f>CleanedData[[#This Row],[Total Sales ($)]]-CleanedData[[#This Row],[Total Cost ($)]]</f>
        <v>3977.16</v>
      </c>
      <c r="P981" s="12">
        <f>CleanedData[[#This Row],[Profit ($)]]/CleanedData[[#This Row],[Total Sales ($)]]</f>
        <v>0.14568063488854066</v>
      </c>
      <c r="Q981" s="8" t="s">
        <v>52</v>
      </c>
      <c r="R981" s="8" t="s">
        <v>63</v>
      </c>
      <c r="S981" s="8" t="b">
        <f>_xlfn.SINGLE(CleanedData[[#This Row],[Delivery Status]])="Late"</f>
        <v>0</v>
      </c>
      <c r="T981" s="10">
        <v>5</v>
      </c>
      <c r="U981" s="8" t="s">
        <v>43</v>
      </c>
      <c r="V981" s="10">
        <v>4075</v>
      </c>
      <c r="W981" s="10">
        <v>2</v>
      </c>
      <c r="X981" s="12">
        <v>2.8985507246376802E-2</v>
      </c>
      <c r="Y981" s="8" t="b">
        <f>CleanedData[[#This Row],[Ship Date]]&lt;CleanedData[[#This Row],[Order Date]]</f>
        <v>0</v>
      </c>
      <c r="Z981" s="10">
        <f>YEAR(CleanedData[[#This Row],[Order Date]])</f>
        <v>2023</v>
      </c>
      <c r="AA981" s="8">
        <f>MONTH(CleanedData[[#This Row],[Order Date]])</f>
        <v>6</v>
      </c>
    </row>
    <row r="982" spans="1:27" x14ac:dyDescent="0.35">
      <c r="A982" s="8" t="s">
        <v>2819</v>
      </c>
      <c r="B982" s="9">
        <v>45280</v>
      </c>
      <c r="C982" s="9">
        <v>45181</v>
      </c>
      <c r="D982" s="8" t="s">
        <v>2820</v>
      </c>
      <c r="E982" s="8" t="s">
        <v>68</v>
      </c>
      <c r="F982" s="8" t="s">
        <v>249</v>
      </c>
      <c r="G982" s="8" t="s">
        <v>93</v>
      </c>
      <c r="H982" s="8" t="s">
        <v>485</v>
      </c>
      <c r="I982" s="8" t="s">
        <v>4969</v>
      </c>
      <c r="J982" s="10">
        <v>355</v>
      </c>
      <c r="K982" s="11">
        <v>1136.8399999999999</v>
      </c>
      <c r="L982" s="11">
        <v>1690.35</v>
      </c>
      <c r="M982" s="11">
        <v>600074.25</v>
      </c>
      <c r="N982" s="11">
        <v>403578.2</v>
      </c>
      <c r="O982" s="11">
        <f>CleanedData[[#This Row],[Total Sales ($)]]-CleanedData[[#This Row],[Total Cost ($)]]</f>
        <v>196496.05</v>
      </c>
      <c r="P982" s="12">
        <f>CleanedData[[#This Row],[Profit ($)]]/CleanedData[[#This Row],[Total Sales ($)]]</f>
        <v>0.32745289437098823</v>
      </c>
      <c r="Q982" s="8" t="s">
        <v>42</v>
      </c>
      <c r="R982" s="8" t="s">
        <v>63</v>
      </c>
      <c r="S982" s="8" t="b">
        <f>_xlfn.SINGLE(CleanedData[[#This Row],[Delivery Status]])="Late"</f>
        <v>0</v>
      </c>
      <c r="T982" s="10">
        <v>2</v>
      </c>
      <c r="U982" s="8" t="s">
        <v>53</v>
      </c>
      <c r="V982" s="10">
        <v>603</v>
      </c>
      <c r="W982" s="10">
        <v>4</v>
      </c>
      <c r="X982" s="12">
        <v>1.12676056338028E-2</v>
      </c>
      <c r="Y982" s="8" t="b">
        <f>CleanedData[[#This Row],[Ship Date]]&lt;CleanedData[[#This Row],[Order Date]]</f>
        <v>1</v>
      </c>
      <c r="Z982" s="10">
        <f>YEAR(CleanedData[[#This Row],[Order Date]])</f>
        <v>2023</v>
      </c>
      <c r="AA982" s="8">
        <f>MONTH(CleanedData[[#This Row],[Order Date]])</f>
        <v>12</v>
      </c>
    </row>
    <row r="983" spans="1:27" x14ac:dyDescent="0.35">
      <c r="A983" s="8" t="s">
        <v>2821</v>
      </c>
      <c r="B983" s="9">
        <v>44968</v>
      </c>
      <c r="C983" s="9">
        <v>44927</v>
      </c>
      <c r="D983" s="8" t="s">
        <v>2822</v>
      </c>
      <c r="E983" s="8" t="s">
        <v>68</v>
      </c>
      <c r="F983" s="8" t="s">
        <v>163</v>
      </c>
      <c r="G983" s="8" t="s">
        <v>70</v>
      </c>
      <c r="H983" s="8" t="s">
        <v>384</v>
      </c>
      <c r="I983" s="8" t="s">
        <v>4974</v>
      </c>
      <c r="J983" s="10">
        <v>732</v>
      </c>
      <c r="K983" s="11">
        <v>447.17</v>
      </c>
      <c r="L983" s="11">
        <v>627.96</v>
      </c>
      <c r="M983" s="11">
        <v>459666.72</v>
      </c>
      <c r="N983" s="11">
        <v>327328.44</v>
      </c>
      <c r="O983" s="11">
        <f>CleanedData[[#This Row],[Total Sales ($)]]-CleanedData[[#This Row],[Total Cost ($)]]</f>
        <v>132338.27999999997</v>
      </c>
      <c r="P983" s="12">
        <f>CleanedData[[#This Row],[Profit ($)]]/CleanedData[[#This Row],[Total Sales ($)]]</f>
        <v>0.28790050321676536</v>
      </c>
      <c r="Q983" s="8" t="s">
        <v>52</v>
      </c>
      <c r="R983" s="8" t="s">
        <v>63</v>
      </c>
      <c r="S983" s="8" t="b">
        <f>_xlfn.SINGLE(CleanedData[[#This Row],[Delivery Status]])="Late"</f>
        <v>0</v>
      </c>
      <c r="T983" s="10">
        <v>4</v>
      </c>
      <c r="U983" s="8" t="s">
        <v>53</v>
      </c>
      <c r="V983" s="10">
        <v>4753</v>
      </c>
      <c r="W983" s="10">
        <v>17</v>
      </c>
      <c r="X983" s="12">
        <v>2.3224043715846899E-2</v>
      </c>
      <c r="Y983" s="8" t="b">
        <f>CleanedData[[#This Row],[Ship Date]]&lt;CleanedData[[#This Row],[Order Date]]</f>
        <v>1</v>
      </c>
      <c r="Z983" s="10">
        <f>YEAR(CleanedData[[#This Row],[Order Date]])</f>
        <v>2023</v>
      </c>
      <c r="AA983" s="8">
        <f>MONTH(CleanedData[[#This Row],[Order Date]])</f>
        <v>2</v>
      </c>
    </row>
    <row r="984" spans="1:27" x14ac:dyDescent="0.35">
      <c r="A984" s="8" t="s">
        <v>2824</v>
      </c>
      <c r="B984" s="9">
        <v>44933</v>
      </c>
      <c r="C984" s="9">
        <v>45089</v>
      </c>
      <c r="D984" s="8" t="s">
        <v>2825</v>
      </c>
      <c r="E984" s="8" t="s">
        <v>68</v>
      </c>
      <c r="F984" s="8" t="s">
        <v>146</v>
      </c>
      <c r="G984" s="8" t="s">
        <v>189</v>
      </c>
      <c r="H984" s="8" t="s">
        <v>369</v>
      </c>
      <c r="I984" s="8" t="s">
        <v>4967</v>
      </c>
      <c r="J984" s="10">
        <v>14</v>
      </c>
      <c r="K984" s="11">
        <v>343.48</v>
      </c>
      <c r="L984" s="11">
        <v>516.39</v>
      </c>
      <c r="M984" s="11">
        <v>7229.46</v>
      </c>
      <c r="N984" s="11">
        <v>4808.72</v>
      </c>
      <c r="O984" s="11">
        <f>CleanedData[[#This Row],[Total Sales ($)]]-CleanedData[[#This Row],[Total Cost ($)]]</f>
        <v>2420.7399999999998</v>
      </c>
      <c r="P984" s="12">
        <f>CleanedData[[#This Row],[Profit ($)]]/CleanedData[[#This Row],[Total Sales ($)]]</f>
        <v>0.3348438195937179</v>
      </c>
      <c r="Q984" s="8" t="s">
        <v>42</v>
      </c>
      <c r="R984" s="8" t="s">
        <v>32</v>
      </c>
      <c r="S984" s="8" t="b">
        <f>_xlfn.SINGLE(CleanedData[[#This Row],[Delivery Status]])="Late"</f>
        <v>1</v>
      </c>
      <c r="T984" s="10">
        <v>12</v>
      </c>
      <c r="U984" s="8" t="s">
        <v>43</v>
      </c>
      <c r="V984" s="10">
        <v>938</v>
      </c>
      <c r="W984" s="10">
        <v>0</v>
      </c>
      <c r="X984" s="12">
        <v>0</v>
      </c>
      <c r="Y984" s="8" t="b">
        <f>CleanedData[[#This Row],[Ship Date]]&lt;CleanedData[[#This Row],[Order Date]]</f>
        <v>0</v>
      </c>
      <c r="Z984" s="10">
        <f>YEAR(CleanedData[[#This Row],[Order Date]])</f>
        <v>2023</v>
      </c>
      <c r="AA984" s="8">
        <f>MONTH(CleanedData[[#This Row],[Order Date]])</f>
        <v>1</v>
      </c>
    </row>
    <row r="985" spans="1:27" x14ac:dyDescent="0.35">
      <c r="A985" s="8" t="s">
        <v>2826</v>
      </c>
      <c r="B985" s="9">
        <v>45213</v>
      </c>
      <c r="C985" s="9">
        <v>45176</v>
      </c>
      <c r="D985" s="8" t="s">
        <v>4989</v>
      </c>
      <c r="E985" s="8" t="s">
        <v>58</v>
      </c>
      <c r="F985" s="8" t="s">
        <v>59</v>
      </c>
      <c r="G985" s="8" t="s">
        <v>129</v>
      </c>
      <c r="H985" s="8" t="s">
        <v>316</v>
      </c>
      <c r="I985" s="8" t="s">
        <v>4968</v>
      </c>
      <c r="J985" s="10">
        <v>324</v>
      </c>
      <c r="K985" s="11">
        <v>395</v>
      </c>
      <c r="L985" s="11">
        <v>470.16</v>
      </c>
      <c r="M985" s="11">
        <v>152331.84</v>
      </c>
      <c r="N985" s="11">
        <v>127980</v>
      </c>
      <c r="O985" s="11">
        <f>CleanedData[[#This Row],[Total Sales ($)]]-CleanedData[[#This Row],[Total Cost ($)]]</f>
        <v>24351.839999999997</v>
      </c>
      <c r="P985" s="12">
        <f>CleanedData[[#This Row],[Profit ($)]]/CleanedData[[#This Row],[Total Sales ($)]]</f>
        <v>0.15986047303045769</v>
      </c>
      <c r="Q985" s="8" t="s">
        <v>42</v>
      </c>
      <c r="R985" s="8" t="s">
        <v>32</v>
      </c>
      <c r="S985" s="8" t="b">
        <f>_xlfn.SINGLE(CleanedData[[#This Row],[Delivery Status]])="Late"</f>
        <v>1</v>
      </c>
      <c r="T985" s="10">
        <v>12</v>
      </c>
      <c r="U985" s="8" t="s">
        <v>53</v>
      </c>
      <c r="V985" s="10">
        <v>4837</v>
      </c>
      <c r="W985" s="10">
        <v>13</v>
      </c>
      <c r="X985" s="12">
        <v>4.0123456790123399E-2</v>
      </c>
      <c r="Y985" s="8" t="b">
        <f>CleanedData[[#This Row],[Ship Date]]&lt;CleanedData[[#This Row],[Order Date]]</f>
        <v>1</v>
      </c>
      <c r="Z985" s="10">
        <f>YEAR(CleanedData[[#This Row],[Order Date]])</f>
        <v>2023</v>
      </c>
      <c r="AA985" s="8">
        <f>MONTH(CleanedData[[#This Row],[Order Date]])</f>
        <v>10</v>
      </c>
    </row>
    <row r="986" spans="1:27" x14ac:dyDescent="0.35">
      <c r="A986" s="8" t="s">
        <v>2828</v>
      </c>
      <c r="B986" s="9">
        <v>45211</v>
      </c>
      <c r="C986" s="9">
        <v>45070</v>
      </c>
      <c r="D986" s="8" t="s">
        <v>2829</v>
      </c>
      <c r="E986" s="8" t="s">
        <v>26</v>
      </c>
      <c r="F986" s="8" t="s">
        <v>77</v>
      </c>
      <c r="G986" s="8" t="s">
        <v>217</v>
      </c>
      <c r="H986" s="8" t="s">
        <v>340</v>
      </c>
      <c r="I986" s="8" t="s">
        <v>4970</v>
      </c>
      <c r="J986" s="10">
        <v>353</v>
      </c>
      <c r="K986" s="11">
        <v>279.56</v>
      </c>
      <c r="L986" s="11">
        <v>321.08999999999997</v>
      </c>
      <c r="M986" s="11">
        <v>113344.77</v>
      </c>
      <c r="N986" s="11">
        <v>98684.68</v>
      </c>
      <c r="O986" s="11">
        <f>CleanedData[[#This Row],[Total Sales ($)]]-CleanedData[[#This Row],[Total Cost ($)]]</f>
        <v>14660.090000000011</v>
      </c>
      <c r="P986" s="12">
        <f>CleanedData[[#This Row],[Profit ($)]]/CleanedData[[#This Row],[Total Sales ($)]]</f>
        <v>0.12934068329751791</v>
      </c>
      <c r="Q986" s="8" t="s">
        <v>42</v>
      </c>
      <c r="R986" s="8" t="s">
        <v>63</v>
      </c>
      <c r="S986" s="8" t="b">
        <f>_xlfn.SINGLE(CleanedData[[#This Row],[Delivery Status]])="Late"</f>
        <v>0</v>
      </c>
      <c r="T986" s="10">
        <v>4</v>
      </c>
      <c r="U986" s="8" t="s">
        <v>43</v>
      </c>
      <c r="V986" s="10">
        <v>3295</v>
      </c>
      <c r="W986" s="10">
        <v>4</v>
      </c>
      <c r="X986" s="12">
        <v>1.1331444759206799E-2</v>
      </c>
      <c r="Y986" s="8" t="b">
        <f>CleanedData[[#This Row],[Ship Date]]&lt;CleanedData[[#This Row],[Order Date]]</f>
        <v>1</v>
      </c>
      <c r="Z986" s="10">
        <f>YEAR(CleanedData[[#This Row],[Order Date]])</f>
        <v>2023</v>
      </c>
      <c r="AA986" s="8">
        <f>MONTH(CleanedData[[#This Row],[Order Date]])</f>
        <v>10</v>
      </c>
    </row>
    <row r="987" spans="1:27" x14ac:dyDescent="0.35">
      <c r="A987" s="8" t="s">
        <v>2830</v>
      </c>
      <c r="B987" s="9">
        <v>45018</v>
      </c>
      <c r="C987" s="9">
        <v>45216</v>
      </c>
      <c r="D987" s="8" t="s">
        <v>2831</v>
      </c>
      <c r="E987" s="8" t="s">
        <v>100</v>
      </c>
      <c r="F987" s="8" t="s">
        <v>330</v>
      </c>
      <c r="G987" s="8" t="s">
        <v>39</v>
      </c>
      <c r="H987" s="8" t="s">
        <v>664</v>
      </c>
      <c r="I987" s="8" t="s">
        <v>4976</v>
      </c>
      <c r="J987" s="10">
        <v>150</v>
      </c>
      <c r="K987" s="11">
        <v>368.77</v>
      </c>
      <c r="L987" s="11">
        <v>551.17999999999995</v>
      </c>
      <c r="M987" s="11">
        <v>82677</v>
      </c>
      <c r="N987" s="11">
        <v>55315.5</v>
      </c>
      <c r="O987" s="11">
        <f>CleanedData[[#This Row],[Total Sales ($)]]-CleanedData[[#This Row],[Total Cost ($)]]</f>
        <v>27361.5</v>
      </c>
      <c r="P987" s="12">
        <f>CleanedData[[#This Row],[Profit ($)]]/CleanedData[[#This Row],[Total Sales ($)]]</f>
        <v>0.3309445190318952</v>
      </c>
      <c r="Q987" s="8" t="s">
        <v>42</v>
      </c>
      <c r="R987" s="8" t="s">
        <v>32</v>
      </c>
      <c r="S987" s="8" t="b">
        <f>_xlfn.SINGLE(CleanedData[[#This Row],[Delivery Status]])="Late"</f>
        <v>1</v>
      </c>
      <c r="T987" s="10">
        <v>11</v>
      </c>
      <c r="U987" s="8" t="s">
        <v>158</v>
      </c>
      <c r="V987" s="10">
        <v>577</v>
      </c>
      <c r="W987" s="10">
        <v>3</v>
      </c>
      <c r="X987" s="12">
        <v>0.02</v>
      </c>
      <c r="Y987" s="8" t="b">
        <f>CleanedData[[#This Row],[Ship Date]]&lt;CleanedData[[#This Row],[Order Date]]</f>
        <v>0</v>
      </c>
      <c r="Z987" s="10">
        <f>YEAR(CleanedData[[#This Row],[Order Date]])</f>
        <v>2023</v>
      </c>
      <c r="AA987" s="8">
        <f>MONTH(CleanedData[[#This Row],[Order Date]])</f>
        <v>4</v>
      </c>
    </row>
    <row r="988" spans="1:27" x14ac:dyDescent="0.35">
      <c r="A988" s="8" t="s">
        <v>2832</v>
      </c>
      <c r="B988" s="9">
        <v>44942</v>
      </c>
      <c r="C988" s="9">
        <v>45047</v>
      </c>
      <c r="D988" s="8" t="s">
        <v>2834</v>
      </c>
      <c r="E988" s="8" t="s">
        <v>48</v>
      </c>
      <c r="F988" s="8" t="s">
        <v>270</v>
      </c>
      <c r="G988" s="8" t="s">
        <v>60</v>
      </c>
      <c r="H988" s="8" t="s">
        <v>265</v>
      </c>
      <c r="I988" s="8" t="s">
        <v>4968</v>
      </c>
      <c r="J988" s="10">
        <v>450</v>
      </c>
      <c r="K988" s="11">
        <v>337.22</v>
      </c>
      <c r="L988" s="11">
        <v>543.22</v>
      </c>
      <c r="M988" s="11">
        <v>244449</v>
      </c>
      <c r="N988" s="11">
        <v>151749</v>
      </c>
      <c r="O988" s="11">
        <f>CleanedData[[#This Row],[Total Sales ($)]]-CleanedData[[#This Row],[Total Cost ($)]]</f>
        <v>92700</v>
      </c>
      <c r="P988" s="12">
        <f>CleanedData[[#This Row],[Profit ($)]]/CleanedData[[#This Row],[Total Sales ($)]]</f>
        <v>0.37922020544162588</v>
      </c>
      <c r="Q988" s="8" t="s">
        <v>52</v>
      </c>
      <c r="R988" s="8" t="s">
        <v>32</v>
      </c>
      <c r="S988" s="8" t="b">
        <f>_xlfn.SINGLE(CleanedData[[#This Row],[Delivery Status]])="Late"</f>
        <v>1</v>
      </c>
      <c r="T988" s="10">
        <v>10</v>
      </c>
      <c r="U988" s="8" t="s">
        <v>158</v>
      </c>
      <c r="V988" s="10">
        <v>2104</v>
      </c>
      <c r="W988" s="10">
        <v>15</v>
      </c>
      <c r="X988" s="12">
        <v>3.3333333333333298E-2</v>
      </c>
      <c r="Y988" s="8" t="b">
        <f>CleanedData[[#This Row],[Ship Date]]&lt;CleanedData[[#This Row],[Order Date]]</f>
        <v>0</v>
      </c>
      <c r="Z988" s="10">
        <f>YEAR(CleanedData[[#This Row],[Order Date]])</f>
        <v>2023</v>
      </c>
      <c r="AA988" s="8">
        <f>MONTH(CleanedData[[#This Row],[Order Date]])</f>
        <v>1</v>
      </c>
    </row>
    <row r="989" spans="1:27" x14ac:dyDescent="0.35">
      <c r="A989" s="8" t="s">
        <v>2835</v>
      </c>
      <c r="B989" s="9">
        <v>45231</v>
      </c>
      <c r="C989" s="9">
        <v>45139</v>
      </c>
      <c r="D989" s="8" t="s">
        <v>2836</v>
      </c>
      <c r="E989" s="8" t="s">
        <v>100</v>
      </c>
      <c r="F989" s="8" t="s">
        <v>538</v>
      </c>
      <c r="G989" s="8" t="s">
        <v>39</v>
      </c>
      <c r="H989" s="8" t="s">
        <v>664</v>
      </c>
      <c r="I989" s="8" t="s">
        <v>4974</v>
      </c>
      <c r="J989" s="10">
        <v>106</v>
      </c>
      <c r="K989" s="11">
        <v>1019.77</v>
      </c>
      <c r="L989" s="11">
        <v>1330.86</v>
      </c>
      <c r="M989" s="11">
        <v>141071.16</v>
      </c>
      <c r="N989" s="11">
        <v>108095.62</v>
      </c>
      <c r="O989" s="11">
        <f>CleanedData[[#This Row],[Total Sales ($)]]-CleanedData[[#This Row],[Total Cost ($)]]</f>
        <v>32975.540000000008</v>
      </c>
      <c r="P989" s="12">
        <f>CleanedData[[#This Row],[Profit ($)]]/CleanedData[[#This Row],[Total Sales ($)]]</f>
        <v>0.23375110830590751</v>
      </c>
      <c r="Q989" s="8" t="s">
        <v>42</v>
      </c>
      <c r="R989" s="8" t="s">
        <v>63</v>
      </c>
      <c r="S989" s="8" t="b">
        <f>_xlfn.SINGLE(CleanedData[[#This Row],[Delivery Status]])="Late"</f>
        <v>0</v>
      </c>
      <c r="T989" s="10">
        <v>5</v>
      </c>
      <c r="U989" s="8" t="s">
        <v>33</v>
      </c>
      <c r="V989" s="10">
        <v>2116</v>
      </c>
      <c r="W989" s="10">
        <v>4</v>
      </c>
      <c r="X989" s="12">
        <v>3.7735849056603703E-2</v>
      </c>
      <c r="Y989" s="8" t="b">
        <f>CleanedData[[#This Row],[Ship Date]]&lt;CleanedData[[#This Row],[Order Date]]</f>
        <v>1</v>
      </c>
      <c r="Z989" s="10">
        <f>YEAR(CleanedData[[#This Row],[Order Date]])</f>
        <v>2023</v>
      </c>
      <c r="AA989" s="8">
        <f>MONTH(CleanedData[[#This Row],[Order Date]])</f>
        <v>11</v>
      </c>
    </row>
    <row r="990" spans="1:27" x14ac:dyDescent="0.35">
      <c r="A990" s="8" t="s">
        <v>2837</v>
      </c>
      <c r="B990" s="9">
        <v>45501</v>
      </c>
      <c r="C990" s="9">
        <v>45393</v>
      </c>
      <c r="D990" s="8" t="s">
        <v>2838</v>
      </c>
      <c r="E990" s="8" t="s">
        <v>26</v>
      </c>
      <c r="F990" s="8" t="s">
        <v>77</v>
      </c>
      <c r="G990" s="8" t="s">
        <v>78</v>
      </c>
      <c r="H990" s="8" t="s">
        <v>79</v>
      </c>
      <c r="I990" s="8" t="s">
        <v>4984</v>
      </c>
      <c r="J990" s="10">
        <v>623</v>
      </c>
      <c r="K990" s="11">
        <v>1050.57</v>
      </c>
      <c r="L990" s="11">
        <v>1603.16</v>
      </c>
      <c r="M990" s="11">
        <v>998768.68</v>
      </c>
      <c r="N990" s="11">
        <v>654505.11</v>
      </c>
      <c r="O990" s="11">
        <f>CleanedData[[#This Row],[Total Sales ($)]]-CleanedData[[#This Row],[Total Cost ($)]]</f>
        <v>344263.57000000007</v>
      </c>
      <c r="P990" s="12">
        <f>CleanedData[[#This Row],[Profit ($)]]/CleanedData[[#This Row],[Total Sales ($)]]</f>
        <v>0.34468799121734578</v>
      </c>
      <c r="Q990" s="8" t="s">
        <v>31</v>
      </c>
      <c r="R990" s="8" t="s">
        <v>32</v>
      </c>
      <c r="S990" s="8" t="b">
        <f>_xlfn.SINGLE(CleanedData[[#This Row],[Delivery Status]])="Late"</f>
        <v>1</v>
      </c>
      <c r="T990" s="10">
        <v>6</v>
      </c>
      <c r="U990" s="8" t="s">
        <v>53</v>
      </c>
      <c r="V990" s="10">
        <v>3744</v>
      </c>
      <c r="W990" s="10">
        <v>23</v>
      </c>
      <c r="X990" s="12">
        <v>3.6918138041733502E-2</v>
      </c>
      <c r="Y990" s="8" t="b">
        <f>CleanedData[[#This Row],[Ship Date]]&lt;CleanedData[[#This Row],[Order Date]]</f>
        <v>1</v>
      </c>
      <c r="Z990" s="10">
        <f>YEAR(CleanedData[[#This Row],[Order Date]])</f>
        <v>2024</v>
      </c>
      <c r="AA990" s="8">
        <f>MONTH(CleanedData[[#This Row],[Order Date]])</f>
        <v>7</v>
      </c>
    </row>
    <row r="991" spans="1:27" x14ac:dyDescent="0.35">
      <c r="A991" s="8" t="s">
        <v>2839</v>
      </c>
      <c r="B991" s="9">
        <v>44938</v>
      </c>
      <c r="C991" s="9">
        <v>45284</v>
      </c>
      <c r="D991" s="8" t="s">
        <v>2840</v>
      </c>
      <c r="E991" s="8" t="s">
        <v>100</v>
      </c>
      <c r="F991" s="8" t="s">
        <v>106</v>
      </c>
      <c r="G991" s="8" t="s">
        <v>93</v>
      </c>
      <c r="H991" s="8" t="s">
        <v>302</v>
      </c>
      <c r="I991" s="8" t="s">
        <v>4974</v>
      </c>
      <c r="J991" s="10">
        <v>328</v>
      </c>
      <c r="K991" s="11">
        <v>1088.98</v>
      </c>
      <c r="L991" s="11">
        <v>1406.58</v>
      </c>
      <c r="M991" s="11">
        <v>461358.24</v>
      </c>
      <c r="N991" s="11">
        <v>357185.44</v>
      </c>
      <c r="O991" s="11">
        <f>CleanedData[[#This Row],[Total Sales ($)]]-CleanedData[[#This Row],[Total Cost ($)]]</f>
        <v>104172.79999999999</v>
      </c>
      <c r="P991" s="12">
        <f>CleanedData[[#This Row],[Profit ($)]]/CleanedData[[#This Row],[Total Sales ($)]]</f>
        <v>0.22579590211719203</v>
      </c>
      <c r="Q991" s="8" t="s">
        <v>42</v>
      </c>
      <c r="R991" s="8" t="s">
        <v>63</v>
      </c>
      <c r="S991" s="8" t="b">
        <f>_xlfn.SINGLE(CleanedData[[#This Row],[Delivery Status]])="Late"</f>
        <v>0</v>
      </c>
      <c r="T991" s="10">
        <v>1</v>
      </c>
      <c r="U991" s="8" t="s">
        <v>43</v>
      </c>
      <c r="V991" s="10">
        <v>4002</v>
      </c>
      <c r="W991" s="10">
        <v>0</v>
      </c>
      <c r="X991" s="12">
        <v>0</v>
      </c>
      <c r="Y991" s="8" t="b">
        <f>CleanedData[[#This Row],[Ship Date]]&lt;CleanedData[[#This Row],[Order Date]]</f>
        <v>0</v>
      </c>
      <c r="Z991" s="10">
        <f>YEAR(CleanedData[[#This Row],[Order Date]])</f>
        <v>2023</v>
      </c>
      <c r="AA991" s="8">
        <f>MONTH(CleanedData[[#This Row],[Order Date]])</f>
        <v>1</v>
      </c>
    </row>
    <row r="992" spans="1:27" x14ac:dyDescent="0.35">
      <c r="A992" s="8" t="s">
        <v>2842</v>
      </c>
      <c r="B992" s="9">
        <v>45400</v>
      </c>
      <c r="C992" s="9">
        <v>45493</v>
      </c>
      <c r="D992" s="8" t="s">
        <v>2845</v>
      </c>
      <c r="E992" s="8" t="s">
        <v>68</v>
      </c>
      <c r="F992" s="8" t="s">
        <v>146</v>
      </c>
      <c r="G992" s="8" t="s">
        <v>28</v>
      </c>
      <c r="H992" s="8" t="s">
        <v>111</v>
      </c>
      <c r="I992" s="8" t="s">
        <v>4974</v>
      </c>
      <c r="J992" s="10">
        <v>349</v>
      </c>
      <c r="K992" s="11">
        <v>621.48</v>
      </c>
      <c r="L992" s="11">
        <v>733.67</v>
      </c>
      <c r="M992" s="11">
        <v>256050.83</v>
      </c>
      <c r="N992" s="11">
        <v>216896.52</v>
      </c>
      <c r="O992" s="11">
        <f>CleanedData[[#This Row],[Total Sales ($)]]-CleanedData[[#This Row],[Total Cost ($)]]</f>
        <v>39154.31</v>
      </c>
      <c r="P992" s="12">
        <f>CleanedData[[#This Row],[Profit ($)]]/CleanedData[[#This Row],[Total Sales ($)]]</f>
        <v>0.15291616121689589</v>
      </c>
      <c r="Q992" s="8" t="s">
        <v>95</v>
      </c>
      <c r="R992" s="8" t="s">
        <v>32</v>
      </c>
      <c r="S992" s="8" t="b">
        <f>_xlfn.SINGLE(CleanedData[[#This Row],[Delivery Status]])="Late"</f>
        <v>1</v>
      </c>
      <c r="T992" s="10">
        <v>10</v>
      </c>
      <c r="U992" s="8" t="s">
        <v>53</v>
      </c>
      <c r="V992" s="10">
        <v>473</v>
      </c>
      <c r="W992" s="10">
        <v>2</v>
      </c>
      <c r="X992" s="12">
        <v>5.7306590257879004E-3</v>
      </c>
      <c r="Y992" s="8" t="b">
        <f>CleanedData[[#This Row],[Ship Date]]&lt;CleanedData[[#This Row],[Order Date]]</f>
        <v>0</v>
      </c>
      <c r="Z992" s="10">
        <f>YEAR(CleanedData[[#This Row],[Order Date]])</f>
        <v>2024</v>
      </c>
      <c r="AA992" s="8">
        <f>MONTH(CleanedData[[#This Row],[Order Date]])</f>
        <v>4</v>
      </c>
    </row>
    <row r="993" spans="1:27" x14ac:dyDescent="0.35">
      <c r="A993" s="8" t="s">
        <v>2846</v>
      </c>
      <c r="B993" s="9">
        <v>45141</v>
      </c>
      <c r="C993" s="9">
        <v>45150</v>
      </c>
      <c r="D993" s="8" t="s">
        <v>2847</v>
      </c>
      <c r="E993" s="8" t="s">
        <v>68</v>
      </c>
      <c r="F993" s="8" t="s">
        <v>69</v>
      </c>
      <c r="G993" s="8" t="s">
        <v>28</v>
      </c>
      <c r="H993" s="8" t="s">
        <v>714</v>
      </c>
      <c r="I993" s="8" t="s">
        <v>4977</v>
      </c>
      <c r="J993" s="10">
        <v>70</v>
      </c>
      <c r="K993" s="11">
        <v>341.72</v>
      </c>
      <c r="L993" s="11">
        <v>396.13</v>
      </c>
      <c r="M993" s="11">
        <v>27729.1</v>
      </c>
      <c r="N993" s="11">
        <v>23920.400000000001</v>
      </c>
      <c r="O993" s="11">
        <f>CleanedData[[#This Row],[Total Sales ($)]]-CleanedData[[#This Row],[Total Cost ($)]]</f>
        <v>3808.6999999999971</v>
      </c>
      <c r="P993" s="12">
        <f>CleanedData[[#This Row],[Profit ($)]]/CleanedData[[#This Row],[Total Sales ($)]]</f>
        <v>0.13735389897255942</v>
      </c>
      <c r="Q993" s="8" t="s">
        <v>95</v>
      </c>
      <c r="R993" s="8" t="s">
        <v>63</v>
      </c>
      <c r="S993" s="8" t="b">
        <f>_xlfn.SINGLE(CleanedData[[#This Row],[Delivery Status]])="Late"</f>
        <v>0</v>
      </c>
      <c r="T993" s="10">
        <v>3</v>
      </c>
      <c r="U993" s="8" t="s">
        <v>43</v>
      </c>
      <c r="V993" s="10">
        <v>4002</v>
      </c>
      <c r="W993" s="10">
        <v>3</v>
      </c>
      <c r="X993" s="12">
        <v>4.2857142857142802E-2</v>
      </c>
      <c r="Y993" s="8" t="b">
        <f>CleanedData[[#This Row],[Ship Date]]&lt;CleanedData[[#This Row],[Order Date]]</f>
        <v>0</v>
      </c>
      <c r="Z993" s="10">
        <f>YEAR(CleanedData[[#This Row],[Order Date]])</f>
        <v>2023</v>
      </c>
      <c r="AA993" s="8">
        <f>MONTH(CleanedData[[#This Row],[Order Date]])</f>
        <v>8</v>
      </c>
    </row>
    <row r="994" spans="1:27" x14ac:dyDescent="0.35">
      <c r="A994" s="8" t="s">
        <v>2848</v>
      </c>
      <c r="B994" s="9">
        <v>45574</v>
      </c>
      <c r="C994" s="9">
        <v>45337</v>
      </c>
      <c r="D994" s="8" t="s">
        <v>1818</v>
      </c>
      <c r="E994" s="8" t="s">
        <v>68</v>
      </c>
      <c r="F994" s="8" t="s">
        <v>163</v>
      </c>
      <c r="G994" s="8" t="s">
        <v>93</v>
      </c>
      <c r="H994" s="8" t="s">
        <v>643</v>
      </c>
      <c r="I994" s="8" t="s">
        <v>4976</v>
      </c>
      <c r="J994" s="10">
        <v>256</v>
      </c>
      <c r="K994" s="11">
        <v>577.66</v>
      </c>
      <c r="L994" s="11">
        <v>846.53</v>
      </c>
      <c r="M994" s="11">
        <v>216711.67999999999</v>
      </c>
      <c r="N994" s="11">
        <v>147880.95999999999</v>
      </c>
      <c r="O994" s="11">
        <f>CleanedData[[#This Row],[Total Sales ($)]]-CleanedData[[#This Row],[Total Cost ($)]]</f>
        <v>68830.720000000001</v>
      </c>
      <c r="P994" s="12">
        <f>CleanedData[[#This Row],[Profit ($)]]/CleanedData[[#This Row],[Total Sales ($)]]</f>
        <v>0.3176142605696195</v>
      </c>
      <c r="Q994" s="8" t="s">
        <v>95</v>
      </c>
      <c r="R994" s="8" t="s">
        <v>32</v>
      </c>
      <c r="S994" s="8" t="b">
        <f>_xlfn.SINGLE(CleanedData[[#This Row],[Delivery Status]])="Late"</f>
        <v>1</v>
      </c>
      <c r="T994" s="10">
        <v>9</v>
      </c>
      <c r="U994" s="8" t="s">
        <v>86</v>
      </c>
      <c r="V994" s="10">
        <v>2108</v>
      </c>
      <c r="W994" s="10">
        <v>5</v>
      </c>
      <c r="X994" s="12">
        <v>1.953125E-2</v>
      </c>
      <c r="Y994" s="8" t="b">
        <f>CleanedData[[#This Row],[Ship Date]]&lt;CleanedData[[#This Row],[Order Date]]</f>
        <v>1</v>
      </c>
      <c r="Z994" s="10">
        <f>YEAR(CleanedData[[#This Row],[Order Date]])</f>
        <v>2024</v>
      </c>
      <c r="AA994" s="8">
        <f>MONTH(CleanedData[[#This Row],[Order Date]])</f>
        <v>10</v>
      </c>
    </row>
    <row r="995" spans="1:27" x14ac:dyDescent="0.35">
      <c r="A995" s="8" t="s">
        <v>2850</v>
      </c>
      <c r="B995" s="9">
        <v>45628</v>
      </c>
      <c r="C995" s="9">
        <v>45529</v>
      </c>
      <c r="D995" s="8" t="s">
        <v>2852</v>
      </c>
      <c r="E995" s="8" t="s">
        <v>100</v>
      </c>
      <c r="F995" s="8" t="s">
        <v>106</v>
      </c>
      <c r="G995" s="8" t="s">
        <v>129</v>
      </c>
      <c r="H995" s="8" t="s">
        <v>811</v>
      </c>
      <c r="I995" s="8" t="s">
        <v>4973</v>
      </c>
      <c r="J995" s="10">
        <v>297</v>
      </c>
      <c r="K995" s="11">
        <v>695.94</v>
      </c>
      <c r="L995" s="11"/>
      <c r="M995" s="11">
        <v>311772.78000000003</v>
      </c>
      <c r="N995" s="11">
        <v>206694.18</v>
      </c>
      <c r="O995" s="11">
        <f>CleanedData[[#This Row],[Total Sales ($)]]-CleanedData[[#This Row],[Total Cost ($)]]</f>
        <v>105078.60000000003</v>
      </c>
      <c r="P995" s="12">
        <f>CleanedData[[#This Row],[Profit ($)]]/CleanedData[[#This Row],[Total Sales ($)]]</f>
        <v>0.33703583744546278</v>
      </c>
      <c r="Q995" s="8" t="s">
        <v>42</v>
      </c>
      <c r="R995" s="8" t="s">
        <v>63</v>
      </c>
      <c r="S995" s="8" t="b">
        <f>_xlfn.SINGLE(CleanedData[[#This Row],[Delivery Status]])="Late"</f>
        <v>0</v>
      </c>
      <c r="T995" s="10">
        <v>2</v>
      </c>
      <c r="U995" s="8" t="s">
        <v>86</v>
      </c>
      <c r="V995" s="10">
        <v>3296</v>
      </c>
      <c r="W995" s="10">
        <v>14</v>
      </c>
      <c r="X995" s="12">
        <v>4.7138047138047097E-2</v>
      </c>
      <c r="Y995" s="8" t="b">
        <f>CleanedData[[#This Row],[Ship Date]]&lt;CleanedData[[#This Row],[Order Date]]</f>
        <v>1</v>
      </c>
      <c r="Z995" s="10">
        <f>YEAR(CleanedData[[#This Row],[Order Date]])</f>
        <v>2024</v>
      </c>
      <c r="AA995" s="8">
        <f>MONTH(CleanedData[[#This Row],[Order Date]])</f>
        <v>12</v>
      </c>
    </row>
    <row r="996" spans="1:27" x14ac:dyDescent="0.35">
      <c r="A996" s="8" t="s">
        <v>2853</v>
      </c>
      <c r="B996" s="9">
        <v>45161</v>
      </c>
      <c r="C996" s="9">
        <v>45057</v>
      </c>
      <c r="D996" s="8" t="s">
        <v>2854</v>
      </c>
      <c r="E996" s="8" t="s">
        <v>68</v>
      </c>
      <c r="F996" s="8" t="s">
        <v>276</v>
      </c>
      <c r="G996" s="8" t="s">
        <v>189</v>
      </c>
      <c r="H996" s="8" t="s">
        <v>190</v>
      </c>
      <c r="I996" s="8" t="s">
        <v>4971</v>
      </c>
      <c r="J996" s="10">
        <v>466</v>
      </c>
      <c r="K996" s="11">
        <v>1129.5899999999999</v>
      </c>
      <c r="L996" s="11">
        <v>1466.13</v>
      </c>
      <c r="M996" s="11">
        <v>683216.58</v>
      </c>
      <c r="N996" s="11">
        <v>526388.93999999994</v>
      </c>
      <c r="O996" s="11">
        <f>CleanedData[[#This Row],[Total Sales ($)]]-CleanedData[[#This Row],[Total Cost ($)]]</f>
        <v>156827.64000000001</v>
      </c>
      <c r="P996" s="12">
        <f>CleanedData[[#This Row],[Profit ($)]]/CleanedData[[#This Row],[Total Sales ($)]]</f>
        <v>0.22954308280984637</v>
      </c>
      <c r="Q996" s="8" t="s">
        <v>31</v>
      </c>
      <c r="R996" s="8" t="s">
        <v>32</v>
      </c>
      <c r="S996" s="8" t="b">
        <f>_xlfn.SINGLE(CleanedData[[#This Row],[Delivery Status]])="Late"</f>
        <v>1</v>
      </c>
      <c r="T996" s="10">
        <v>12</v>
      </c>
      <c r="U996" s="8" t="s">
        <v>86</v>
      </c>
      <c r="V996" s="10">
        <v>2973</v>
      </c>
      <c r="W996" s="10">
        <v>23</v>
      </c>
      <c r="X996" s="12">
        <v>4.9356223175965601E-2</v>
      </c>
      <c r="Y996" s="8" t="b">
        <f>CleanedData[[#This Row],[Ship Date]]&lt;CleanedData[[#This Row],[Order Date]]</f>
        <v>1</v>
      </c>
      <c r="Z996" s="10">
        <f>YEAR(CleanedData[[#This Row],[Order Date]])</f>
        <v>2023</v>
      </c>
      <c r="AA996" s="8">
        <f>MONTH(CleanedData[[#This Row],[Order Date]])</f>
        <v>8</v>
      </c>
    </row>
    <row r="997" spans="1:27" x14ac:dyDescent="0.35">
      <c r="A997" s="8" t="s">
        <v>2855</v>
      </c>
      <c r="B997" s="9">
        <v>45606</v>
      </c>
      <c r="C997" s="9">
        <v>45495</v>
      </c>
      <c r="D997" s="8" t="s">
        <v>2856</v>
      </c>
      <c r="E997" s="8" t="s">
        <v>48</v>
      </c>
      <c r="F997" s="8" t="s">
        <v>270</v>
      </c>
      <c r="G997" s="8" t="s">
        <v>28</v>
      </c>
      <c r="H997" s="8" t="s">
        <v>579</v>
      </c>
      <c r="I997" s="8" t="s">
        <v>4978</v>
      </c>
      <c r="J997" s="10">
        <v>619</v>
      </c>
      <c r="K997" s="11">
        <v>915.23</v>
      </c>
      <c r="L997" s="11">
        <v>1288.8900000000001</v>
      </c>
      <c r="M997" s="11">
        <v>797822.91</v>
      </c>
      <c r="N997" s="11">
        <v>566527.37</v>
      </c>
      <c r="O997" s="11">
        <f>CleanedData[[#This Row],[Total Sales ($)]]-CleanedData[[#This Row],[Total Cost ($)]]</f>
        <v>231295.54000000004</v>
      </c>
      <c r="P997" s="12">
        <f>CleanedData[[#This Row],[Profit ($)]]/CleanedData[[#This Row],[Total Sales ($)]]</f>
        <v>0.28990837076864595</v>
      </c>
      <c r="Q997" s="8" t="s">
        <v>52</v>
      </c>
      <c r="R997" s="8" t="s">
        <v>32</v>
      </c>
      <c r="S997" s="8" t="b">
        <f>_xlfn.SINGLE(CleanedData[[#This Row],[Delivery Status]])="Late"</f>
        <v>1</v>
      </c>
      <c r="T997" s="10">
        <v>14</v>
      </c>
      <c r="U997" s="8" t="s">
        <v>53</v>
      </c>
      <c r="V997" s="10">
        <v>1195</v>
      </c>
      <c r="W997" s="10">
        <v>23</v>
      </c>
      <c r="X997" s="12">
        <v>3.7156704361873898E-2</v>
      </c>
      <c r="Y997" s="8" t="b">
        <f>CleanedData[[#This Row],[Ship Date]]&lt;CleanedData[[#This Row],[Order Date]]</f>
        <v>1</v>
      </c>
      <c r="Z997" s="10">
        <f>YEAR(CleanedData[[#This Row],[Order Date]])</f>
        <v>2024</v>
      </c>
      <c r="AA997" s="8">
        <f>MONTH(CleanedData[[#This Row],[Order Date]])</f>
        <v>11</v>
      </c>
    </row>
    <row r="998" spans="1:27" x14ac:dyDescent="0.35">
      <c r="A998" s="8" t="s">
        <v>2857</v>
      </c>
      <c r="B998" s="9">
        <v>45365</v>
      </c>
      <c r="C998" s="9">
        <v>45339</v>
      </c>
      <c r="D998" s="8" t="s">
        <v>2858</v>
      </c>
      <c r="E998" s="8" t="s">
        <v>48</v>
      </c>
      <c r="F998" s="8" t="s">
        <v>270</v>
      </c>
      <c r="G998" s="8" t="s">
        <v>189</v>
      </c>
      <c r="H998" s="8" t="s">
        <v>271</v>
      </c>
      <c r="I998" s="8" t="s">
        <v>4973</v>
      </c>
      <c r="J998" s="10">
        <v>457</v>
      </c>
      <c r="K998" s="11">
        <v>524.42999999999995</v>
      </c>
      <c r="L998" s="11">
        <v>863.89</v>
      </c>
      <c r="M998" s="11">
        <v>394797.73</v>
      </c>
      <c r="N998" s="11">
        <v>239664.51</v>
      </c>
      <c r="O998" s="11">
        <f>CleanedData[[#This Row],[Total Sales ($)]]-CleanedData[[#This Row],[Total Cost ($)]]</f>
        <v>155133.21999999997</v>
      </c>
      <c r="P998" s="12">
        <f>CleanedData[[#This Row],[Profit ($)]]/CleanedData[[#This Row],[Total Sales ($)]]</f>
        <v>0.39294354605331694</v>
      </c>
      <c r="Q998" s="8" t="s">
        <v>52</v>
      </c>
      <c r="R998" s="8" t="s">
        <v>32</v>
      </c>
      <c r="S998" s="8" t="b">
        <f>_xlfn.SINGLE(CleanedData[[#This Row],[Delivery Status]])="Late"</f>
        <v>1</v>
      </c>
      <c r="T998" s="10">
        <v>11</v>
      </c>
      <c r="U998" s="8" t="s">
        <v>86</v>
      </c>
      <c r="V998" s="10">
        <v>3695</v>
      </c>
      <c r="W998" s="10">
        <v>20</v>
      </c>
      <c r="X998" s="12">
        <v>4.3763676148796497E-2</v>
      </c>
      <c r="Y998" s="8" t="b">
        <f>CleanedData[[#This Row],[Ship Date]]&lt;CleanedData[[#This Row],[Order Date]]</f>
        <v>1</v>
      </c>
      <c r="Z998" s="10">
        <f>YEAR(CleanedData[[#This Row],[Order Date]])</f>
        <v>2024</v>
      </c>
      <c r="AA998" s="8">
        <f>MONTH(CleanedData[[#This Row],[Order Date]])</f>
        <v>3</v>
      </c>
    </row>
    <row r="999" spans="1:27" x14ac:dyDescent="0.35">
      <c r="A999" s="8" t="s">
        <v>2859</v>
      </c>
      <c r="B999" s="9">
        <v>45058</v>
      </c>
      <c r="C999" s="9">
        <v>44937</v>
      </c>
      <c r="D999" s="8" t="s">
        <v>2860</v>
      </c>
      <c r="E999" s="8" t="s">
        <v>48</v>
      </c>
      <c r="F999" s="8" t="s">
        <v>49</v>
      </c>
      <c r="G999" s="8" t="s">
        <v>93</v>
      </c>
      <c r="H999" s="8" t="s">
        <v>643</v>
      </c>
      <c r="I999" s="8" t="s">
        <v>4975</v>
      </c>
      <c r="J999" s="10">
        <v>172</v>
      </c>
      <c r="K999" s="11">
        <v>765.52</v>
      </c>
      <c r="L999" s="11">
        <v>1057.3699999999999</v>
      </c>
      <c r="M999" s="11">
        <v>181867.64</v>
      </c>
      <c r="N999" s="11">
        <v>131669.44</v>
      </c>
      <c r="O999" s="11">
        <f>CleanedData[[#This Row],[Total Sales ($)]]-CleanedData[[#This Row],[Total Cost ($)]]</f>
        <v>50198.200000000012</v>
      </c>
      <c r="P999" s="12">
        <f>CleanedData[[#This Row],[Profit ($)]]/CleanedData[[#This Row],[Total Sales ($)]]</f>
        <v>0.27601501839469633</v>
      </c>
      <c r="Q999" s="8" t="s">
        <v>31</v>
      </c>
      <c r="R999" s="8" t="s">
        <v>63</v>
      </c>
      <c r="S999" s="8" t="b">
        <f>_xlfn.SINGLE(CleanedData[[#This Row],[Delivery Status]])="Late"</f>
        <v>0</v>
      </c>
      <c r="T999" s="10">
        <v>2</v>
      </c>
      <c r="U999" s="8" t="s">
        <v>158</v>
      </c>
      <c r="V999" s="10">
        <v>4687</v>
      </c>
      <c r="W999" s="10">
        <v>1</v>
      </c>
      <c r="X999" s="12">
        <v>5.8139534883720001E-3</v>
      </c>
      <c r="Y999" s="8" t="b">
        <f>CleanedData[[#This Row],[Ship Date]]&lt;CleanedData[[#This Row],[Order Date]]</f>
        <v>1</v>
      </c>
      <c r="Z999" s="10">
        <f>YEAR(CleanedData[[#This Row],[Order Date]])</f>
        <v>2023</v>
      </c>
      <c r="AA999" s="8">
        <f>MONTH(CleanedData[[#This Row],[Order Date]])</f>
        <v>5</v>
      </c>
    </row>
    <row r="1000" spans="1:27" x14ac:dyDescent="0.35">
      <c r="A1000" s="8" t="s">
        <v>2861</v>
      </c>
      <c r="B1000" s="9">
        <v>45396</v>
      </c>
      <c r="C1000" s="9">
        <v>45580</v>
      </c>
      <c r="D1000" s="8" t="s">
        <v>2862</v>
      </c>
      <c r="E1000" s="8" t="s">
        <v>4972</v>
      </c>
      <c r="F1000" s="8" t="s">
        <v>228</v>
      </c>
      <c r="G1000" s="8" t="s">
        <v>70</v>
      </c>
      <c r="H1000" s="8" t="s">
        <v>239</v>
      </c>
      <c r="I1000" s="8" t="s">
        <v>4976</v>
      </c>
      <c r="J1000" s="10">
        <v>713</v>
      </c>
      <c r="K1000" s="11">
        <v>239.93</v>
      </c>
      <c r="L1000" s="11">
        <v>362.28</v>
      </c>
      <c r="M1000" s="11">
        <v>258305.64</v>
      </c>
      <c r="N1000" s="11">
        <v>171070.09</v>
      </c>
      <c r="O1000" s="11">
        <f>CleanedData[[#This Row],[Total Sales ($)]]-CleanedData[[#This Row],[Total Cost ($)]]</f>
        <v>87235.550000000017</v>
      </c>
      <c r="P1000" s="12">
        <f>CleanedData[[#This Row],[Profit ($)]]/CleanedData[[#This Row],[Total Sales ($)]]</f>
        <v>0.33772220382024959</v>
      </c>
      <c r="Q1000" s="8" t="s">
        <v>31</v>
      </c>
      <c r="R1000" s="8" t="s">
        <v>63</v>
      </c>
      <c r="S1000" s="8" t="b">
        <f>_xlfn.SINGLE(CleanedData[[#This Row],[Delivery Status]])="Late"</f>
        <v>0</v>
      </c>
      <c r="T1000" s="10">
        <v>1</v>
      </c>
      <c r="U1000" s="8" t="s">
        <v>158</v>
      </c>
      <c r="V1000" s="10">
        <v>183</v>
      </c>
      <c r="W1000" s="10">
        <v>6</v>
      </c>
      <c r="X1000" s="12">
        <v>8.4151472650771005E-3</v>
      </c>
      <c r="Y1000" s="8" t="b">
        <f>CleanedData[[#This Row],[Ship Date]]&lt;CleanedData[[#This Row],[Order Date]]</f>
        <v>0</v>
      </c>
      <c r="Z1000" s="10">
        <f>YEAR(CleanedData[[#This Row],[Order Date]])</f>
        <v>2024</v>
      </c>
      <c r="AA1000" s="8">
        <f>MONTH(CleanedData[[#This Row],[Order Date]])</f>
        <v>4</v>
      </c>
    </row>
    <row r="1001" spans="1:27" x14ac:dyDescent="0.35">
      <c r="A1001" s="8" t="s">
        <v>2863</v>
      </c>
      <c r="B1001" s="9">
        <v>45007</v>
      </c>
      <c r="C1001" s="9">
        <v>44999</v>
      </c>
      <c r="D1001" s="8" t="s">
        <v>2864</v>
      </c>
      <c r="E1001" s="8" t="s">
        <v>48</v>
      </c>
      <c r="F1001" s="8" t="s">
        <v>49</v>
      </c>
      <c r="G1001" s="8" t="s">
        <v>70</v>
      </c>
      <c r="H1001" s="8" t="s">
        <v>623</v>
      </c>
      <c r="I1001" s="8" t="s">
        <v>4973</v>
      </c>
      <c r="J1001" s="10">
        <v>673</v>
      </c>
      <c r="K1001" s="11">
        <v>1141.3900000000001</v>
      </c>
      <c r="L1001" s="11">
        <v>1389.1</v>
      </c>
      <c r="M1001" s="11">
        <v>934864.3</v>
      </c>
      <c r="N1001" s="11">
        <v>768155.47</v>
      </c>
      <c r="O1001" s="11">
        <f>CleanedData[[#This Row],[Total Sales ($)]]-CleanedData[[#This Row],[Total Cost ($)]]</f>
        <v>166708.83000000007</v>
      </c>
      <c r="P1001" s="12">
        <f>CleanedData[[#This Row],[Profit ($)]]/CleanedData[[#This Row],[Total Sales ($)]]</f>
        <v>0.17832409473759994</v>
      </c>
      <c r="Q1001" s="8" t="s">
        <v>42</v>
      </c>
      <c r="R1001" s="8" t="s">
        <v>32</v>
      </c>
      <c r="S1001" s="8" t="b">
        <f>_xlfn.SINGLE(CleanedData[[#This Row],[Delivery Status]])="Late"</f>
        <v>1</v>
      </c>
      <c r="T1001" s="10">
        <v>8</v>
      </c>
      <c r="U1001" s="8" t="s">
        <v>43</v>
      </c>
      <c r="V1001" s="10">
        <v>2371</v>
      </c>
      <c r="W1001" s="10">
        <v>19</v>
      </c>
      <c r="X1001" s="12">
        <v>2.82317979197622E-2</v>
      </c>
      <c r="Y1001" s="8" t="b">
        <f>CleanedData[[#This Row],[Ship Date]]&lt;CleanedData[[#This Row],[Order Date]]</f>
        <v>1</v>
      </c>
      <c r="Z1001" s="10">
        <f>YEAR(CleanedData[[#This Row],[Order Date]])</f>
        <v>2023</v>
      </c>
      <c r="AA1001" s="8">
        <f>MONTH(CleanedData[[#This Row],[Order Date]])</f>
        <v>3</v>
      </c>
    </row>
    <row r="1002" spans="1:27" x14ac:dyDescent="0.35">
      <c r="A1002" s="8" t="s">
        <v>2865</v>
      </c>
      <c r="B1002" s="9">
        <v>45378</v>
      </c>
      <c r="C1002" s="9">
        <v>45624</v>
      </c>
      <c r="D1002" s="8" t="s">
        <v>2866</v>
      </c>
      <c r="E1002" s="8" t="s">
        <v>68</v>
      </c>
      <c r="F1002" s="8" t="s">
        <v>249</v>
      </c>
      <c r="G1002" s="8" t="s">
        <v>78</v>
      </c>
      <c r="H1002" s="8" t="s">
        <v>425</v>
      </c>
      <c r="I1002" s="8" t="s">
        <v>4971</v>
      </c>
      <c r="J1002" s="10">
        <v>605</v>
      </c>
      <c r="K1002" s="11">
        <v>1198.01</v>
      </c>
      <c r="L1002" s="11">
        <v>1875.48</v>
      </c>
      <c r="M1002" s="11">
        <v>1134665.3999999999</v>
      </c>
      <c r="N1002" s="11">
        <v>724796.05</v>
      </c>
      <c r="O1002" s="11">
        <f>CleanedData[[#This Row],[Total Sales ($)]]-CleanedData[[#This Row],[Total Cost ($)]]</f>
        <v>409869.34999999986</v>
      </c>
      <c r="P1002" s="12">
        <f>CleanedData[[#This Row],[Profit ($)]]/CleanedData[[#This Row],[Total Sales ($)]]</f>
        <v>0.3612248597692323</v>
      </c>
      <c r="Q1002" s="8" t="s">
        <v>42</v>
      </c>
      <c r="R1002" s="8" t="s">
        <v>63</v>
      </c>
      <c r="S1002" s="8" t="b">
        <f>_xlfn.SINGLE(CleanedData[[#This Row],[Delivery Status]])="Late"</f>
        <v>0</v>
      </c>
      <c r="T1002" s="10">
        <v>5</v>
      </c>
      <c r="U1002" s="8" t="s">
        <v>112</v>
      </c>
      <c r="V1002" s="10">
        <v>1688</v>
      </c>
      <c r="W1002" s="10">
        <v>28</v>
      </c>
      <c r="X1002" s="12">
        <v>4.6280991735537097E-2</v>
      </c>
      <c r="Y1002" s="8" t="b">
        <f>CleanedData[[#This Row],[Ship Date]]&lt;CleanedData[[#This Row],[Order Date]]</f>
        <v>0</v>
      </c>
      <c r="Z1002" s="10">
        <f>YEAR(CleanedData[[#This Row],[Order Date]])</f>
        <v>2024</v>
      </c>
      <c r="AA1002" s="8">
        <f>MONTH(CleanedData[[#This Row],[Order Date]])</f>
        <v>3</v>
      </c>
    </row>
    <row r="1003" spans="1:27" x14ac:dyDescent="0.35">
      <c r="A1003" s="8" t="s">
        <v>2867</v>
      </c>
      <c r="B1003" s="9">
        <v>45222</v>
      </c>
      <c r="C1003" s="9">
        <v>45166</v>
      </c>
      <c r="D1003" s="8" t="s">
        <v>2868</v>
      </c>
      <c r="E1003" s="8" t="s">
        <v>68</v>
      </c>
      <c r="F1003" s="8" t="s">
        <v>163</v>
      </c>
      <c r="G1003" s="8" t="s">
        <v>50</v>
      </c>
      <c r="H1003" s="8" t="s">
        <v>282</v>
      </c>
      <c r="I1003" s="8" t="s">
        <v>4975</v>
      </c>
      <c r="J1003" s="10">
        <v>316</v>
      </c>
      <c r="K1003" s="11">
        <v>242.49</v>
      </c>
      <c r="L1003" s="11">
        <v>304.42</v>
      </c>
      <c r="M1003" s="11">
        <v>96196.72</v>
      </c>
      <c r="N1003" s="11">
        <v>76626.84</v>
      </c>
      <c r="O1003" s="11">
        <f>CleanedData[[#This Row],[Total Sales ($)]]-CleanedData[[#This Row],[Total Cost ($)]]</f>
        <v>19569.880000000005</v>
      </c>
      <c r="P1003" s="12">
        <f>CleanedData[[#This Row],[Profit ($)]]/CleanedData[[#This Row],[Total Sales ($)]]</f>
        <v>0.20343604230996654</v>
      </c>
      <c r="Q1003" s="8" t="s">
        <v>42</v>
      </c>
      <c r="R1003" s="8" t="s">
        <v>32</v>
      </c>
      <c r="S1003" s="8" t="b">
        <f>_xlfn.SINGLE(CleanedData[[#This Row],[Delivery Status]])="Late"</f>
        <v>1</v>
      </c>
      <c r="T1003" s="10">
        <v>14</v>
      </c>
      <c r="U1003" s="8" t="s">
        <v>53</v>
      </c>
      <c r="V1003" s="10">
        <v>2694</v>
      </c>
      <c r="W1003" s="10">
        <v>9</v>
      </c>
      <c r="X1003" s="12">
        <v>2.8481012658227799E-2</v>
      </c>
      <c r="Y1003" s="8" t="b">
        <f>CleanedData[[#This Row],[Ship Date]]&lt;CleanedData[[#This Row],[Order Date]]</f>
        <v>1</v>
      </c>
      <c r="Z1003" s="10">
        <f>YEAR(CleanedData[[#This Row],[Order Date]])</f>
        <v>2023</v>
      </c>
      <c r="AA1003" s="8">
        <f>MONTH(CleanedData[[#This Row],[Order Date]])</f>
        <v>10</v>
      </c>
    </row>
    <row r="1004" spans="1:27" x14ac:dyDescent="0.35">
      <c r="A1004" s="8" t="s">
        <v>2869</v>
      </c>
      <c r="B1004" s="9">
        <v>45364</v>
      </c>
      <c r="C1004" s="9">
        <v>45485</v>
      </c>
      <c r="D1004" s="8" t="s">
        <v>2870</v>
      </c>
      <c r="E1004" s="8" t="s">
        <v>68</v>
      </c>
      <c r="F1004" s="8" t="s">
        <v>146</v>
      </c>
      <c r="G1004" s="8" t="s">
        <v>129</v>
      </c>
      <c r="H1004" s="8" t="s">
        <v>345</v>
      </c>
      <c r="I1004" s="8" t="s">
        <v>4976</v>
      </c>
      <c r="J1004" s="10">
        <v>671</v>
      </c>
      <c r="K1004" s="11">
        <v>319.26</v>
      </c>
      <c r="L1004" s="11">
        <v>389</v>
      </c>
      <c r="M1004" s="11">
        <v>261019</v>
      </c>
      <c r="N1004" s="11">
        <v>214223.46</v>
      </c>
      <c r="O1004" s="11">
        <f>CleanedData[[#This Row],[Total Sales ($)]]-CleanedData[[#This Row],[Total Cost ($)]]</f>
        <v>46795.540000000008</v>
      </c>
      <c r="P1004" s="12">
        <f>CleanedData[[#This Row],[Profit ($)]]/CleanedData[[#This Row],[Total Sales ($)]]</f>
        <v>0.17928020565552702</v>
      </c>
      <c r="Q1004" s="8" t="s">
        <v>31</v>
      </c>
      <c r="R1004" s="8" t="s">
        <v>32</v>
      </c>
      <c r="S1004" s="8" t="b">
        <f>_xlfn.SINGLE(CleanedData[[#This Row],[Delivery Status]])="Late"</f>
        <v>1</v>
      </c>
      <c r="T1004" s="10">
        <v>13</v>
      </c>
      <c r="U1004" s="8" t="s">
        <v>53</v>
      </c>
      <c r="V1004" s="10">
        <v>3787</v>
      </c>
      <c r="W1004" s="10">
        <v>33</v>
      </c>
      <c r="X1004" s="12">
        <v>4.9180327868852403E-2</v>
      </c>
      <c r="Y1004" s="8" t="b">
        <f>CleanedData[[#This Row],[Ship Date]]&lt;CleanedData[[#This Row],[Order Date]]</f>
        <v>0</v>
      </c>
      <c r="Z1004" s="10">
        <f>YEAR(CleanedData[[#This Row],[Order Date]])</f>
        <v>2024</v>
      </c>
      <c r="AA1004" s="8">
        <f>MONTH(CleanedData[[#This Row],[Order Date]])</f>
        <v>3</v>
      </c>
    </row>
    <row r="1005" spans="1:27" x14ac:dyDescent="0.35">
      <c r="A1005" s="8" t="s">
        <v>2871</v>
      </c>
      <c r="B1005" s="9">
        <v>45253</v>
      </c>
      <c r="C1005" s="9">
        <v>44995</v>
      </c>
      <c r="D1005" s="8" t="s">
        <v>2872</v>
      </c>
      <c r="E1005" s="8" t="s">
        <v>58</v>
      </c>
      <c r="F1005" s="8" t="s">
        <v>122</v>
      </c>
      <c r="G1005" s="8" t="s">
        <v>39</v>
      </c>
      <c r="H1005" s="8" t="s">
        <v>40</v>
      </c>
      <c r="I1005" s="8" t="s">
        <v>4971</v>
      </c>
      <c r="J1005" s="10">
        <v>771</v>
      </c>
      <c r="K1005" s="11">
        <v>990.49</v>
      </c>
      <c r="L1005" s="11">
        <v>1537.23</v>
      </c>
      <c r="M1005" s="11">
        <v>1185204.33</v>
      </c>
      <c r="N1005" s="11">
        <v>763667.79</v>
      </c>
      <c r="O1005" s="11">
        <f>CleanedData[[#This Row],[Total Sales ($)]]-CleanedData[[#This Row],[Total Cost ($)]]</f>
        <v>421536.54000000004</v>
      </c>
      <c r="P1005" s="12">
        <f>CleanedData[[#This Row],[Profit ($)]]/CleanedData[[#This Row],[Total Sales ($)]]</f>
        <v>0.35566571040117617</v>
      </c>
      <c r="Q1005" s="8" t="s">
        <v>52</v>
      </c>
      <c r="R1005" s="8" t="s">
        <v>32</v>
      </c>
      <c r="S1005" s="8" t="b">
        <f>_xlfn.SINGLE(CleanedData[[#This Row],[Delivery Status]])="Late"</f>
        <v>1</v>
      </c>
      <c r="T1005" s="10">
        <v>15</v>
      </c>
      <c r="U1005" s="8" t="s">
        <v>86</v>
      </c>
      <c r="V1005" s="10">
        <v>2171</v>
      </c>
      <c r="W1005" s="10">
        <v>27</v>
      </c>
      <c r="X1005" s="12">
        <v>3.5019455252918198E-2</v>
      </c>
      <c r="Y1005" s="8" t="b">
        <f>CleanedData[[#This Row],[Ship Date]]&lt;CleanedData[[#This Row],[Order Date]]</f>
        <v>1</v>
      </c>
      <c r="Z1005" s="10">
        <f>YEAR(CleanedData[[#This Row],[Order Date]])</f>
        <v>2023</v>
      </c>
      <c r="AA1005" s="8">
        <f>MONTH(CleanedData[[#This Row],[Order Date]])</f>
        <v>11</v>
      </c>
    </row>
    <row r="1006" spans="1:27" x14ac:dyDescent="0.35">
      <c r="A1006" s="8" t="s">
        <v>2873</v>
      </c>
      <c r="B1006" s="9">
        <v>45342</v>
      </c>
      <c r="C1006" s="9">
        <v>45599</v>
      </c>
      <c r="D1006" s="8" t="s">
        <v>2874</v>
      </c>
      <c r="E1006" s="8" t="s">
        <v>48</v>
      </c>
      <c r="F1006" s="8" t="s">
        <v>183</v>
      </c>
      <c r="G1006" s="8" t="s">
        <v>39</v>
      </c>
      <c r="H1006" s="8" t="s">
        <v>354</v>
      </c>
      <c r="I1006" s="8" t="s">
        <v>4979</v>
      </c>
      <c r="J1006" s="10">
        <v>767</v>
      </c>
      <c r="K1006" s="11">
        <v>1039.33</v>
      </c>
      <c r="L1006" s="11">
        <v>1707.75</v>
      </c>
      <c r="M1006" s="11">
        <v>1309844.25</v>
      </c>
      <c r="N1006" s="11">
        <v>797166.11</v>
      </c>
      <c r="O1006" s="11">
        <f>CleanedData[[#This Row],[Total Sales ($)]]-CleanedData[[#This Row],[Total Cost ($)]]</f>
        <v>512678.14</v>
      </c>
      <c r="P1006" s="12">
        <f>CleanedData[[#This Row],[Profit ($)]]/CleanedData[[#This Row],[Total Sales ($)]]</f>
        <v>0.39140389401258968</v>
      </c>
      <c r="Q1006" s="8" t="s">
        <v>42</v>
      </c>
      <c r="R1006" s="8" t="s">
        <v>32</v>
      </c>
      <c r="S1006" s="8" t="b">
        <f>_xlfn.SINGLE(CleanedData[[#This Row],[Delivery Status]])="Late"</f>
        <v>1</v>
      </c>
      <c r="T1006" s="10">
        <v>10</v>
      </c>
      <c r="U1006" s="8" t="s">
        <v>112</v>
      </c>
      <c r="V1006" s="10">
        <v>3399</v>
      </c>
      <c r="W1006" s="10">
        <v>24</v>
      </c>
      <c r="X1006" s="12">
        <v>3.1290743155149903E-2</v>
      </c>
      <c r="Y1006" s="8" t="b">
        <f>CleanedData[[#This Row],[Ship Date]]&lt;CleanedData[[#This Row],[Order Date]]</f>
        <v>0</v>
      </c>
      <c r="Z1006" s="10">
        <f>YEAR(CleanedData[[#This Row],[Order Date]])</f>
        <v>2024</v>
      </c>
      <c r="AA1006" s="8">
        <f>MONTH(CleanedData[[#This Row],[Order Date]])</f>
        <v>2</v>
      </c>
    </row>
    <row r="1007" spans="1:27" x14ac:dyDescent="0.35">
      <c r="A1007" s="8" t="s">
        <v>2875</v>
      </c>
      <c r="B1007" s="9">
        <v>45159</v>
      </c>
      <c r="C1007" s="9">
        <v>45240</v>
      </c>
      <c r="D1007" s="8" t="s">
        <v>2876</v>
      </c>
      <c r="E1007" s="8" t="s">
        <v>58</v>
      </c>
      <c r="F1007" s="8" t="s">
        <v>59</v>
      </c>
      <c r="G1007" s="8" t="s">
        <v>50</v>
      </c>
      <c r="H1007" s="8" t="s">
        <v>51</v>
      </c>
      <c r="I1007" s="8" t="s">
        <v>4979</v>
      </c>
      <c r="J1007" s="10">
        <v>336</v>
      </c>
      <c r="K1007" s="11">
        <v>1035.67</v>
      </c>
      <c r="L1007" s="11">
        <v>1588.94</v>
      </c>
      <c r="M1007" s="11">
        <v>533883.84</v>
      </c>
      <c r="N1007" s="11">
        <v>347985.12</v>
      </c>
      <c r="O1007" s="11">
        <f>CleanedData[[#This Row],[Total Sales ($)]]-CleanedData[[#This Row],[Total Cost ($)]]</f>
        <v>185898.71999999997</v>
      </c>
      <c r="P1007" s="12">
        <f>CleanedData[[#This Row],[Profit ($)]]/CleanedData[[#This Row],[Total Sales ($)]]</f>
        <v>0.34820068725061987</v>
      </c>
      <c r="Q1007" s="8" t="s">
        <v>31</v>
      </c>
      <c r="R1007" s="8" t="s">
        <v>63</v>
      </c>
      <c r="S1007" s="8" t="b">
        <f>_xlfn.SINGLE(CleanedData[[#This Row],[Delivery Status]])="Late"</f>
        <v>0</v>
      </c>
      <c r="T1007" s="10">
        <v>3</v>
      </c>
      <c r="U1007" s="8" t="s">
        <v>33</v>
      </c>
      <c r="V1007" s="10">
        <v>276</v>
      </c>
      <c r="W1007" s="10">
        <v>5</v>
      </c>
      <c r="X1007" s="12">
        <v>1.48809523809523E-2</v>
      </c>
      <c r="Y1007" s="8" t="b">
        <f>CleanedData[[#This Row],[Ship Date]]&lt;CleanedData[[#This Row],[Order Date]]</f>
        <v>0</v>
      </c>
      <c r="Z1007" s="10">
        <f>YEAR(CleanedData[[#This Row],[Order Date]])</f>
        <v>2023</v>
      </c>
      <c r="AA1007" s="8">
        <f>MONTH(CleanedData[[#This Row],[Order Date]])</f>
        <v>8</v>
      </c>
    </row>
    <row r="1008" spans="1:27" x14ac:dyDescent="0.35">
      <c r="A1008" s="8" t="s">
        <v>2877</v>
      </c>
      <c r="B1008" s="9">
        <v>45103</v>
      </c>
      <c r="C1008" s="9">
        <v>45257</v>
      </c>
      <c r="D1008" s="8" t="s">
        <v>2878</v>
      </c>
      <c r="E1008" s="8" t="s">
        <v>26</v>
      </c>
      <c r="F1008" s="8" t="s">
        <v>77</v>
      </c>
      <c r="G1008" s="8" t="s">
        <v>93</v>
      </c>
      <c r="H1008" s="8" t="s">
        <v>302</v>
      </c>
      <c r="I1008" s="8" t="s">
        <v>4978</v>
      </c>
      <c r="J1008" s="10">
        <v>12</v>
      </c>
      <c r="K1008" s="11">
        <v>1081.47</v>
      </c>
      <c r="L1008" s="11">
        <v>1574.04</v>
      </c>
      <c r="M1008" s="11">
        <v>18888.48</v>
      </c>
      <c r="N1008" s="11">
        <v>12977.64</v>
      </c>
      <c r="O1008" s="11">
        <f>CleanedData[[#This Row],[Total Sales ($)]]-CleanedData[[#This Row],[Total Cost ($)]]</f>
        <v>5910.84</v>
      </c>
      <c r="P1008" s="12">
        <f>CleanedData[[#This Row],[Profit ($)]]/CleanedData[[#This Row],[Total Sales ($)]]</f>
        <v>0.31293359762140732</v>
      </c>
      <c r="Q1008" s="8" t="s">
        <v>31</v>
      </c>
      <c r="R1008" s="8" t="s">
        <v>63</v>
      </c>
      <c r="S1008" s="8" t="b">
        <f>_xlfn.SINGLE(CleanedData[[#This Row],[Delivery Status]])="Late"</f>
        <v>0</v>
      </c>
      <c r="T1008" s="10">
        <v>2</v>
      </c>
      <c r="U1008" s="8" t="s">
        <v>86</v>
      </c>
      <c r="V1008" s="10">
        <v>3848</v>
      </c>
      <c r="W1008" s="10">
        <v>1</v>
      </c>
      <c r="X1008" s="12">
        <v>8.3333333333333301E-2</v>
      </c>
      <c r="Y1008" s="8" t="b">
        <f>CleanedData[[#This Row],[Ship Date]]&lt;CleanedData[[#This Row],[Order Date]]</f>
        <v>0</v>
      </c>
      <c r="Z1008" s="10">
        <f>YEAR(CleanedData[[#This Row],[Order Date]])</f>
        <v>2023</v>
      </c>
      <c r="AA1008" s="8">
        <f>MONTH(CleanedData[[#This Row],[Order Date]])</f>
        <v>6</v>
      </c>
    </row>
    <row r="1009" spans="1:27" x14ac:dyDescent="0.35">
      <c r="A1009" s="8" t="s">
        <v>2879</v>
      </c>
      <c r="B1009" s="9">
        <v>45256</v>
      </c>
      <c r="C1009" s="9">
        <v>45225</v>
      </c>
      <c r="D1009" s="8" t="s">
        <v>2880</v>
      </c>
      <c r="E1009" s="8" t="s">
        <v>26</v>
      </c>
      <c r="F1009" s="8" t="s">
        <v>77</v>
      </c>
      <c r="G1009" s="8" t="s">
        <v>93</v>
      </c>
      <c r="H1009" s="8" t="s">
        <v>140</v>
      </c>
      <c r="I1009" s="8" t="s">
        <v>4974</v>
      </c>
      <c r="J1009" s="10">
        <v>776</v>
      </c>
      <c r="K1009" s="11">
        <v>151.82</v>
      </c>
      <c r="L1009" s="11">
        <v>208.74</v>
      </c>
      <c r="M1009" s="11">
        <v>161982.24</v>
      </c>
      <c r="N1009" s="11">
        <v>117812.32</v>
      </c>
      <c r="O1009" s="11">
        <f>CleanedData[[#This Row],[Total Sales ($)]]-CleanedData[[#This Row],[Total Cost ($)]]</f>
        <v>44169.919999999984</v>
      </c>
      <c r="P1009" s="12">
        <f>CleanedData[[#This Row],[Profit ($)]]/CleanedData[[#This Row],[Total Sales ($)]]</f>
        <v>0.27268372137587421</v>
      </c>
      <c r="Q1009" s="8" t="s">
        <v>42</v>
      </c>
      <c r="R1009" s="8" t="s">
        <v>32</v>
      </c>
      <c r="S1009" s="8" t="b">
        <f>_xlfn.SINGLE(CleanedData[[#This Row],[Delivery Status]])="Late"</f>
        <v>1</v>
      </c>
      <c r="T1009" s="10">
        <v>9</v>
      </c>
      <c r="U1009" s="8" t="s">
        <v>112</v>
      </c>
      <c r="V1009" s="10">
        <v>4352</v>
      </c>
      <c r="W1009" s="10">
        <v>30</v>
      </c>
      <c r="X1009" s="12">
        <v>3.8659793814432901E-2</v>
      </c>
      <c r="Y1009" s="8" t="b">
        <f>CleanedData[[#This Row],[Ship Date]]&lt;CleanedData[[#This Row],[Order Date]]</f>
        <v>1</v>
      </c>
      <c r="Z1009" s="10">
        <f>YEAR(CleanedData[[#This Row],[Order Date]])</f>
        <v>2023</v>
      </c>
      <c r="AA1009" s="8">
        <f>MONTH(CleanedData[[#This Row],[Order Date]])</f>
        <v>11</v>
      </c>
    </row>
    <row r="1010" spans="1:27" x14ac:dyDescent="0.35">
      <c r="A1010" s="8" t="s">
        <v>2881</v>
      </c>
      <c r="B1010" s="9">
        <v>45272</v>
      </c>
      <c r="C1010" s="9">
        <v>44968</v>
      </c>
      <c r="D1010" s="8" t="s">
        <v>1756</v>
      </c>
      <c r="E1010" s="8" t="s">
        <v>48</v>
      </c>
      <c r="F1010" s="8" t="s">
        <v>281</v>
      </c>
      <c r="G1010" s="8" t="s">
        <v>28</v>
      </c>
      <c r="H1010" s="8" t="s">
        <v>111</v>
      </c>
      <c r="I1010" s="8" t="s">
        <v>4969</v>
      </c>
      <c r="J1010" s="10">
        <v>604</v>
      </c>
      <c r="K1010" s="11">
        <v>540.78</v>
      </c>
      <c r="L1010" s="11">
        <v>733.57</v>
      </c>
      <c r="M1010" s="11">
        <v>443076.28</v>
      </c>
      <c r="N1010" s="11">
        <v>326631.12</v>
      </c>
      <c r="O1010" s="11">
        <f>CleanedData[[#This Row],[Total Sales ($)]]-CleanedData[[#This Row],[Total Cost ($)]]</f>
        <v>116445.16000000003</v>
      </c>
      <c r="P1010" s="12">
        <f>CleanedData[[#This Row],[Profit ($)]]/CleanedData[[#This Row],[Total Sales ($)]]</f>
        <v>0.26281063838488494</v>
      </c>
      <c r="Q1010" s="8" t="s">
        <v>31</v>
      </c>
      <c r="R1010" s="8" t="s">
        <v>63</v>
      </c>
      <c r="S1010" s="8" t="b">
        <f>_xlfn.SINGLE(CleanedData[[#This Row],[Delivery Status]])="Late"</f>
        <v>0</v>
      </c>
      <c r="T1010" s="10">
        <v>4</v>
      </c>
      <c r="U1010" s="8" t="s">
        <v>33</v>
      </c>
      <c r="V1010" s="10">
        <v>4816</v>
      </c>
      <c r="W1010" s="10">
        <v>13</v>
      </c>
      <c r="X1010" s="12">
        <v>2.1523178807947001E-2</v>
      </c>
      <c r="Y1010" s="8" t="b">
        <f>CleanedData[[#This Row],[Ship Date]]&lt;CleanedData[[#This Row],[Order Date]]</f>
        <v>1</v>
      </c>
      <c r="Z1010" s="10">
        <f>YEAR(CleanedData[[#This Row],[Order Date]])</f>
        <v>2023</v>
      </c>
      <c r="AA1010" s="8">
        <f>MONTH(CleanedData[[#This Row],[Order Date]])</f>
        <v>12</v>
      </c>
    </row>
    <row r="1011" spans="1:27" x14ac:dyDescent="0.35">
      <c r="A1011" s="8" t="s">
        <v>2882</v>
      </c>
      <c r="B1011" s="9">
        <v>45043</v>
      </c>
      <c r="C1011" s="9">
        <v>45218</v>
      </c>
      <c r="D1011" s="8" t="s">
        <v>2883</v>
      </c>
      <c r="E1011" s="8" t="s">
        <v>26</v>
      </c>
      <c r="F1011" s="8" t="s">
        <v>228</v>
      </c>
      <c r="G1011" s="8" t="s">
        <v>28</v>
      </c>
      <c r="H1011" s="8" t="s">
        <v>674</v>
      </c>
      <c r="I1011" s="8" t="s">
        <v>4975</v>
      </c>
      <c r="J1011" s="10">
        <v>496</v>
      </c>
      <c r="K1011" s="11">
        <v>892.09</v>
      </c>
      <c r="L1011" s="11">
        <v>1038.3800000000001</v>
      </c>
      <c r="M1011" s="11">
        <v>515036.48</v>
      </c>
      <c r="N1011" s="11">
        <v>442476.64</v>
      </c>
      <c r="O1011" s="11">
        <f>CleanedData[[#This Row],[Total Sales ($)]]-CleanedData[[#This Row],[Total Cost ($)]]</f>
        <v>72559.839999999967</v>
      </c>
      <c r="P1011" s="12">
        <f>CleanedData[[#This Row],[Profit ($)]]/CleanedData[[#This Row],[Total Sales ($)]]</f>
        <v>0.14088291376952555</v>
      </c>
      <c r="Q1011" s="8" t="s">
        <v>31</v>
      </c>
      <c r="R1011" s="8" t="s">
        <v>32</v>
      </c>
      <c r="S1011" s="8" t="b">
        <f>_xlfn.SINGLE(CleanedData[[#This Row],[Delivery Status]])="Late"</f>
        <v>1</v>
      </c>
      <c r="T1011" s="10">
        <v>12</v>
      </c>
      <c r="U1011" s="8" t="s">
        <v>53</v>
      </c>
      <c r="V1011" s="10">
        <v>3964</v>
      </c>
      <c r="W1011" s="10">
        <v>24</v>
      </c>
      <c r="X1011" s="12">
        <v>4.8387096774193498E-2</v>
      </c>
      <c r="Y1011" s="8" t="b">
        <f>CleanedData[[#This Row],[Ship Date]]&lt;CleanedData[[#This Row],[Order Date]]</f>
        <v>0</v>
      </c>
      <c r="Z1011" s="10">
        <f>YEAR(CleanedData[[#This Row],[Order Date]])</f>
        <v>2023</v>
      </c>
      <c r="AA1011" s="8">
        <f>MONTH(CleanedData[[#This Row],[Order Date]])</f>
        <v>4</v>
      </c>
    </row>
    <row r="1012" spans="1:27" x14ac:dyDescent="0.35">
      <c r="A1012" s="8" t="s">
        <v>2884</v>
      </c>
      <c r="B1012" s="9">
        <v>44937</v>
      </c>
      <c r="C1012" s="9">
        <v>44958</v>
      </c>
      <c r="D1012" s="8" t="s">
        <v>2885</v>
      </c>
      <c r="E1012" s="8" t="s">
        <v>48</v>
      </c>
      <c r="F1012" s="8" t="s">
        <v>270</v>
      </c>
      <c r="G1012" s="8" t="s">
        <v>28</v>
      </c>
      <c r="H1012" s="8" t="s">
        <v>714</v>
      </c>
      <c r="I1012" s="8" t="s">
        <v>4968</v>
      </c>
      <c r="J1012" s="10">
        <v>599</v>
      </c>
      <c r="K1012" s="11">
        <v>740.02</v>
      </c>
      <c r="L1012" s="11">
        <v>1195.75</v>
      </c>
      <c r="M1012" s="11">
        <v>716254.25</v>
      </c>
      <c r="N1012" s="11">
        <v>443271.98</v>
      </c>
      <c r="O1012" s="11">
        <f>CleanedData[[#This Row],[Total Sales ($)]]-CleanedData[[#This Row],[Total Cost ($)]]</f>
        <v>272982.27</v>
      </c>
      <c r="P1012" s="12">
        <f>CleanedData[[#This Row],[Profit ($)]]/CleanedData[[#This Row],[Total Sales ($)]]</f>
        <v>0.38112481706042234</v>
      </c>
      <c r="Q1012" s="8" t="s">
        <v>52</v>
      </c>
      <c r="R1012" s="8" t="s">
        <v>32</v>
      </c>
      <c r="S1012" s="8" t="b">
        <f>_xlfn.SINGLE(CleanedData[[#This Row],[Delivery Status]])="Late"</f>
        <v>1</v>
      </c>
      <c r="T1012" s="10">
        <v>12</v>
      </c>
      <c r="U1012" s="8" t="s">
        <v>112</v>
      </c>
      <c r="V1012" s="10">
        <v>4099</v>
      </c>
      <c r="W1012" s="10">
        <v>7</v>
      </c>
      <c r="X1012" s="12">
        <v>1.1686143572621E-2</v>
      </c>
      <c r="Y1012" s="8" t="b">
        <f>CleanedData[[#This Row],[Ship Date]]&lt;CleanedData[[#This Row],[Order Date]]</f>
        <v>0</v>
      </c>
      <c r="Z1012" s="10">
        <f>YEAR(CleanedData[[#This Row],[Order Date]])</f>
        <v>2023</v>
      </c>
      <c r="AA1012" s="8">
        <f>MONTH(CleanedData[[#This Row],[Order Date]])</f>
        <v>1</v>
      </c>
    </row>
    <row r="1013" spans="1:27" x14ac:dyDescent="0.35">
      <c r="A1013" s="8" t="s">
        <v>2886</v>
      </c>
      <c r="B1013" s="9">
        <v>45049</v>
      </c>
      <c r="C1013" s="9">
        <v>45130</v>
      </c>
      <c r="D1013" s="8" t="s">
        <v>2887</v>
      </c>
      <c r="E1013" s="8" t="s">
        <v>26</v>
      </c>
      <c r="F1013" s="8" t="s">
        <v>38</v>
      </c>
      <c r="G1013" s="8" t="s">
        <v>28</v>
      </c>
      <c r="H1013" s="8" t="s">
        <v>507</v>
      </c>
      <c r="I1013" s="8" t="s">
        <v>4971</v>
      </c>
      <c r="J1013" s="10">
        <v>88</v>
      </c>
      <c r="K1013" s="11">
        <v>590.96</v>
      </c>
      <c r="L1013" s="11">
        <v>805.84</v>
      </c>
      <c r="M1013" s="11">
        <v>70913.919999999998</v>
      </c>
      <c r="N1013" s="11">
        <v>52004.480000000003</v>
      </c>
      <c r="O1013" s="11">
        <f>CleanedData[[#This Row],[Total Sales ($)]]-CleanedData[[#This Row],[Total Cost ($)]]</f>
        <v>18909.439999999995</v>
      </c>
      <c r="P1013" s="12">
        <f>CleanedData[[#This Row],[Profit ($)]]/CleanedData[[#This Row],[Total Sales ($)]]</f>
        <v>0.26665342996128255</v>
      </c>
      <c r="Q1013" s="8" t="s">
        <v>42</v>
      </c>
      <c r="R1013" s="8" t="s">
        <v>32</v>
      </c>
      <c r="S1013" s="8" t="b">
        <f>_xlfn.SINGLE(CleanedData[[#This Row],[Delivery Status]])="Late"</f>
        <v>1</v>
      </c>
      <c r="T1013" s="10">
        <v>6</v>
      </c>
      <c r="U1013" s="8" t="s">
        <v>53</v>
      </c>
      <c r="V1013" s="10">
        <v>3774</v>
      </c>
      <c r="W1013" s="10">
        <v>2</v>
      </c>
      <c r="X1013" s="12">
        <v>2.27272727272727E-2</v>
      </c>
      <c r="Y1013" s="8" t="b">
        <f>CleanedData[[#This Row],[Ship Date]]&lt;CleanedData[[#This Row],[Order Date]]</f>
        <v>0</v>
      </c>
      <c r="Z1013" s="10">
        <f>YEAR(CleanedData[[#This Row],[Order Date]])</f>
        <v>2023</v>
      </c>
      <c r="AA1013" s="8">
        <f>MONTH(CleanedData[[#This Row],[Order Date]])</f>
        <v>5</v>
      </c>
    </row>
    <row r="1014" spans="1:27" x14ac:dyDescent="0.35">
      <c r="A1014" s="8" t="s">
        <v>2888</v>
      </c>
      <c r="B1014" s="9">
        <v>45569</v>
      </c>
      <c r="C1014" s="9">
        <v>45593</v>
      </c>
      <c r="D1014" s="8" t="s">
        <v>2890</v>
      </c>
      <c r="E1014" s="8" t="s">
        <v>48</v>
      </c>
      <c r="F1014" s="8" t="s">
        <v>49</v>
      </c>
      <c r="G1014" s="8" t="s">
        <v>217</v>
      </c>
      <c r="H1014" s="8" t="s">
        <v>340</v>
      </c>
      <c r="I1014" s="8" t="s">
        <v>4977</v>
      </c>
      <c r="J1014" s="10">
        <v>610</v>
      </c>
      <c r="K1014" s="11">
        <v>249.24</v>
      </c>
      <c r="L1014" s="11">
        <v>398.06</v>
      </c>
      <c r="M1014" s="11">
        <v>242816.6</v>
      </c>
      <c r="N1014" s="11">
        <v>152036.4</v>
      </c>
      <c r="O1014" s="11">
        <f>CleanedData[[#This Row],[Total Sales ($)]]-CleanedData[[#This Row],[Total Cost ($)]]</f>
        <v>90780.200000000012</v>
      </c>
      <c r="P1014" s="12">
        <f>CleanedData[[#This Row],[Profit ($)]]/CleanedData[[#This Row],[Total Sales ($)]]</f>
        <v>0.37386323669798527</v>
      </c>
      <c r="Q1014" s="8" t="s">
        <v>42</v>
      </c>
      <c r="R1014" s="8" t="s">
        <v>63</v>
      </c>
      <c r="S1014" s="8" t="b">
        <f>_xlfn.SINGLE(CleanedData[[#This Row],[Delivery Status]])="Late"</f>
        <v>0</v>
      </c>
      <c r="T1014" s="10">
        <v>5</v>
      </c>
      <c r="U1014" s="8" t="s">
        <v>43</v>
      </c>
      <c r="V1014" s="10">
        <v>4902</v>
      </c>
      <c r="W1014" s="10">
        <v>0</v>
      </c>
      <c r="X1014" s="12">
        <v>0</v>
      </c>
      <c r="Y1014" s="8" t="b">
        <f>CleanedData[[#This Row],[Ship Date]]&lt;CleanedData[[#This Row],[Order Date]]</f>
        <v>0</v>
      </c>
      <c r="Z1014" s="10">
        <f>YEAR(CleanedData[[#This Row],[Order Date]])</f>
        <v>2024</v>
      </c>
      <c r="AA1014" s="8">
        <f>MONTH(CleanedData[[#This Row],[Order Date]])</f>
        <v>10</v>
      </c>
    </row>
    <row r="1015" spans="1:27" x14ac:dyDescent="0.35">
      <c r="A1015" s="8" t="s">
        <v>2891</v>
      </c>
      <c r="B1015" s="9">
        <v>45250</v>
      </c>
      <c r="C1015" s="9">
        <v>45002</v>
      </c>
      <c r="D1015" s="8" t="s">
        <v>951</v>
      </c>
      <c r="E1015" s="8" t="s">
        <v>48</v>
      </c>
      <c r="F1015" s="8" t="s">
        <v>281</v>
      </c>
      <c r="G1015" s="8" t="s">
        <v>78</v>
      </c>
      <c r="H1015" s="8" t="s">
        <v>572</v>
      </c>
      <c r="I1015" s="8" t="s">
        <v>4968</v>
      </c>
      <c r="J1015" s="10">
        <v>404</v>
      </c>
      <c r="K1015" s="11">
        <v>224.06</v>
      </c>
      <c r="L1015" s="11">
        <v>369.33</v>
      </c>
      <c r="M1015" s="11">
        <v>149209.32</v>
      </c>
      <c r="N1015" s="11">
        <v>90520.24</v>
      </c>
      <c r="O1015" s="11">
        <f>CleanedData[[#This Row],[Total Sales ($)]]-CleanedData[[#This Row],[Total Cost ($)]]</f>
        <v>58689.08</v>
      </c>
      <c r="P1015" s="12">
        <f>CleanedData[[#This Row],[Profit ($)]]/CleanedData[[#This Row],[Total Sales ($)]]</f>
        <v>0.39333387485446619</v>
      </c>
      <c r="Q1015" s="8" t="s">
        <v>31</v>
      </c>
      <c r="R1015" s="8" t="s">
        <v>32</v>
      </c>
      <c r="S1015" s="8" t="b">
        <f>_xlfn.SINGLE(CleanedData[[#This Row],[Delivery Status]])="Late"</f>
        <v>1</v>
      </c>
      <c r="T1015" s="10">
        <v>10</v>
      </c>
      <c r="U1015" s="8" t="s">
        <v>53</v>
      </c>
      <c r="V1015" s="10">
        <v>4341</v>
      </c>
      <c r="W1015" s="10">
        <v>9</v>
      </c>
      <c r="X1015" s="12">
        <v>2.22772277227722E-2</v>
      </c>
      <c r="Y1015" s="8" t="b">
        <f>CleanedData[[#This Row],[Ship Date]]&lt;CleanedData[[#This Row],[Order Date]]</f>
        <v>1</v>
      </c>
      <c r="Z1015" s="10">
        <f>YEAR(CleanedData[[#This Row],[Order Date]])</f>
        <v>2023</v>
      </c>
      <c r="AA1015" s="8">
        <f>MONTH(CleanedData[[#This Row],[Order Date]])</f>
        <v>11</v>
      </c>
    </row>
    <row r="1016" spans="1:27" x14ac:dyDescent="0.35">
      <c r="A1016" s="8" t="s">
        <v>2893</v>
      </c>
      <c r="B1016" s="9">
        <v>45312</v>
      </c>
      <c r="C1016" s="9">
        <v>45398</v>
      </c>
      <c r="D1016" s="8" t="s">
        <v>2895</v>
      </c>
      <c r="E1016" s="8" t="s">
        <v>58</v>
      </c>
      <c r="F1016" s="8" t="s">
        <v>116</v>
      </c>
      <c r="G1016" s="8" t="s">
        <v>217</v>
      </c>
      <c r="H1016" s="8" t="s">
        <v>218</v>
      </c>
      <c r="I1016" s="8" t="s">
        <v>4968</v>
      </c>
      <c r="J1016" s="10">
        <v>573</v>
      </c>
      <c r="K1016" s="11">
        <v>730.15</v>
      </c>
      <c r="L1016" s="11">
        <v>944.21</v>
      </c>
      <c r="M1016" s="11">
        <v>541032.32999999996</v>
      </c>
      <c r="N1016" s="11">
        <v>418375.95</v>
      </c>
      <c r="O1016" s="11">
        <f>CleanedData[[#This Row],[Total Sales ($)]]-CleanedData[[#This Row],[Total Cost ($)]]</f>
        <v>122656.37999999995</v>
      </c>
      <c r="P1016" s="12">
        <f>CleanedData[[#This Row],[Profit ($)]]/CleanedData[[#This Row],[Total Sales ($)]]</f>
        <v>0.22670804164327843</v>
      </c>
      <c r="Q1016" s="8" t="s">
        <v>42</v>
      </c>
      <c r="R1016" s="8" t="s">
        <v>32</v>
      </c>
      <c r="S1016" s="8" t="b">
        <f>_xlfn.SINGLE(CleanedData[[#This Row],[Delivery Status]])="Late"</f>
        <v>1</v>
      </c>
      <c r="T1016" s="10">
        <v>14</v>
      </c>
      <c r="U1016" s="8" t="s">
        <v>158</v>
      </c>
      <c r="V1016" s="10">
        <v>879</v>
      </c>
      <c r="W1016" s="10">
        <v>17</v>
      </c>
      <c r="X1016" s="12">
        <v>2.96684118673647E-2</v>
      </c>
      <c r="Y1016" s="8" t="b">
        <f>CleanedData[[#This Row],[Ship Date]]&lt;CleanedData[[#This Row],[Order Date]]</f>
        <v>0</v>
      </c>
      <c r="Z1016" s="10">
        <f>YEAR(CleanedData[[#This Row],[Order Date]])</f>
        <v>2024</v>
      </c>
      <c r="AA1016" s="8">
        <f>MONTH(CleanedData[[#This Row],[Order Date]])</f>
        <v>1</v>
      </c>
    </row>
    <row r="1017" spans="1:27" x14ac:dyDescent="0.35">
      <c r="A1017" s="8" t="s">
        <v>2896</v>
      </c>
      <c r="B1017" s="9">
        <v>45205</v>
      </c>
      <c r="C1017" s="9">
        <v>45245</v>
      </c>
      <c r="D1017" s="8" t="s">
        <v>2897</v>
      </c>
      <c r="E1017" s="8" t="s">
        <v>100</v>
      </c>
      <c r="F1017" s="8" t="s">
        <v>106</v>
      </c>
      <c r="G1017" s="8" t="s">
        <v>129</v>
      </c>
      <c r="H1017" s="8" t="s">
        <v>168</v>
      </c>
      <c r="I1017" s="8" t="s">
        <v>4978</v>
      </c>
      <c r="J1017" s="10">
        <v>698</v>
      </c>
      <c r="K1017" s="11">
        <v>449.12</v>
      </c>
      <c r="L1017" s="11">
        <v>535.98</v>
      </c>
      <c r="M1017" s="11">
        <v>374114.04</v>
      </c>
      <c r="N1017" s="11">
        <v>313485.76</v>
      </c>
      <c r="O1017" s="11">
        <f>CleanedData[[#This Row],[Total Sales ($)]]-CleanedData[[#This Row],[Total Cost ($)]]</f>
        <v>60628.27999999997</v>
      </c>
      <c r="P1017" s="12">
        <f>CleanedData[[#This Row],[Profit ($)]]/CleanedData[[#This Row],[Total Sales ($)]]</f>
        <v>0.16205828575693115</v>
      </c>
      <c r="Q1017" s="8" t="s">
        <v>95</v>
      </c>
      <c r="R1017" s="8" t="s">
        <v>63</v>
      </c>
      <c r="S1017" s="8" t="b">
        <f>_xlfn.SINGLE(CleanedData[[#This Row],[Delivery Status]])="Late"</f>
        <v>0</v>
      </c>
      <c r="T1017" s="10">
        <v>2</v>
      </c>
      <c r="U1017" s="8" t="s">
        <v>43</v>
      </c>
      <c r="V1017" s="10">
        <v>2065</v>
      </c>
      <c r="W1017" s="10">
        <v>18</v>
      </c>
      <c r="X1017" s="12">
        <v>2.5787965616045801E-2</v>
      </c>
      <c r="Y1017" s="8" t="b">
        <f>CleanedData[[#This Row],[Ship Date]]&lt;CleanedData[[#This Row],[Order Date]]</f>
        <v>0</v>
      </c>
      <c r="Z1017" s="10">
        <f>YEAR(CleanedData[[#This Row],[Order Date]])</f>
        <v>2023</v>
      </c>
      <c r="AA1017" s="8">
        <f>MONTH(CleanedData[[#This Row],[Order Date]])</f>
        <v>10</v>
      </c>
    </row>
    <row r="1018" spans="1:27" x14ac:dyDescent="0.35">
      <c r="A1018" s="8" t="s">
        <v>2898</v>
      </c>
      <c r="B1018" s="9">
        <v>45089</v>
      </c>
      <c r="C1018" s="9">
        <v>45219</v>
      </c>
      <c r="D1018" s="8" t="s">
        <v>2899</v>
      </c>
      <c r="E1018" s="8" t="s">
        <v>100</v>
      </c>
      <c r="F1018" s="8" t="s">
        <v>538</v>
      </c>
      <c r="G1018" s="8" t="s">
        <v>28</v>
      </c>
      <c r="H1018" s="8" t="s">
        <v>507</v>
      </c>
      <c r="I1018" s="8" t="s">
        <v>4974</v>
      </c>
      <c r="J1018" s="10">
        <v>225</v>
      </c>
      <c r="K1018" s="11">
        <v>277.32</v>
      </c>
      <c r="L1018" s="11">
        <v>373.1</v>
      </c>
      <c r="M1018" s="11">
        <v>83947.5</v>
      </c>
      <c r="N1018" s="11">
        <v>62397</v>
      </c>
      <c r="O1018" s="11">
        <f>CleanedData[[#This Row],[Total Sales ($)]]-CleanedData[[#This Row],[Total Cost ($)]]</f>
        <v>21550.5</v>
      </c>
      <c r="P1018" s="12">
        <f>CleanedData[[#This Row],[Profit ($)]]/CleanedData[[#This Row],[Total Sales ($)]]</f>
        <v>0.25671401768962743</v>
      </c>
      <c r="Q1018" s="8" t="s">
        <v>52</v>
      </c>
      <c r="R1018" s="8" t="s">
        <v>4972</v>
      </c>
      <c r="S1018" s="8" t="b">
        <f>_xlfn.SINGLE(CleanedData[[#This Row],[Delivery Status]])="Late"</f>
        <v>0</v>
      </c>
      <c r="T1018" s="10">
        <v>8</v>
      </c>
      <c r="U1018" s="8" t="s">
        <v>53</v>
      </c>
      <c r="V1018" s="10">
        <v>655</v>
      </c>
      <c r="W1018" s="10">
        <v>2</v>
      </c>
      <c r="X1018" s="12">
        <v>8.8888888888888004E-3</v>
      </c>
      <c r="Y1018" s="8" t="b">
        <f>CleanedData[[#This Row],[Ship Date]]&lt;CleanedData[[#This Row],[Order Date]]</f>
        <v>0</v>
      </c>
      <c r="Z1018" s="10">
        <f>YEAR(CleanedData[[#This Row],[Order Date]])</f>
        <v>2023</v>
      </c>
      <c r="AA1018" s="8">
        <f>MONTH(CleanedData[[#This Row],[Order Date]])</f>
        <v>6</v>
      </c>
    </row>
    <row r="1019" spans="1:27" x14ac:dyDescent="0.35">
      <c r="A1019" s="8" t="s">
        <v>2900</v>
      </c>
      <c r="B1019" s="9">
        <v>45589</v>
      </c>
      <c r="C1019" s="9">
        <v>45276</v>
      </c>
      <c r="D1019" s="8" t="s">
        <v>2902</v>
      </c>
      <c r="E1019" s="8" t="s">
        <v>58</v>
      </c>
      <c r="F1019" s="8" t="s">
        <v>417</v>
      </c>
      <c r="G1019" s="8" t="s">
        <v>129</v>
      </c>
      <c r="H1019" s="8" t="s">
        <v>520</v>
      </c>
      <c r="I1019" s="8" t="s">
        <v>4975</v>
      </c>
      <c r="J1019" s="10">
        <v>228</v>
      </c>
      <c r="K1019" s="11">
        <v>493.37</v>
      </c>
      <c r="L1019" s="11">
        <v>666.06</v>
      </c>
      <c r="M1019" s="11">
        <v>151861.68</v>
      </c>
      <c r="N1019" s="11">
        <v>112488.36</v>
      </c>
      <c r="O1019" s="11">
        <f>CleanedData[[#This Row],[Total Sales ($)]]-CleanedData[[#This Row],[Total Cost ($)]]</f>
        <v>39373.319999999992</v>
      </c>
      <c r="P1019" s="12">
        <f>CleanedData[[#This Row],[Profit ($)]]/CleanedData[[#This Row],[Total Sales ($)]]</f>
        <v>0.25927093655226252</v>
      </c>
      <c r="Q1019" s="8" t="s">
        <v>31</v>
      </c>
      <c r="R1019" s="8" t="s">
        <v>63</v>
      </c>
      <c r="S1019" s="8" t="b">
        <f>_xlfn.SINGLE(CleanedData[[#This Row],[Delivery Status]])="Late"</f>
        <v>0</v>
      </c>
      <c r="T1019" s="10">
        <v>2</v>
      </c>
      <c r="U1019" s="8" t="s">
        <v>158</v>
      </c>
      <c r="V1019" s="10">
        <v>2114</v>
      </c>
      <c r="W1019" s="10">
        <v>11</v>
      </c>
      <c r="X1019" s="12">
        <v>4.8245614035087703E-2</v>
      </c>
      <c r="Y1019" s="8" t="b">
        <f>CleanedData[[#This Row],[Ship Date]]&lt;CleanedData[[#This Row],[Order Date]]</f>
        <v>1</v>
      </c>
      <c r="Z1019" s="10">
        <f>YEAR(CleanedData[[#This Row],[Order Date]])</f>
        <v>2024</v>
      </c>
      <c r="AA1019" s="8">
        <f>MONTH(CleanedData[[#This Row],[Order Date]])</f>
        <v>10</v>
      </c>
    </row>
    <row r="1020" spans="1:27" x14ac:dyDescent="0.35">
      <c r="A1020" s="8" t="s">
        <v>2903</v>
      </c>
      <c r="B1020" s="9">
        <v>45234</v>
      </c>
      <c r="C1020" s="9">
        <v>45232</v>
      </c>
      <c r="D1020" s="8" t="s">
        <v>2904</v>
      </c>
      <c r="E1020" s="8" t="s">
        <v>58</v>
      </c>
      <c r="F1020" s="8" t="s">
        <v>59</v>
      </c>
      <c r="G1020" s="8" t="s">
        <v>129</v>
      </c>
      <c r="H1020" s="8" t="s">
        <v>130</v>
      </c>
      <c r="I1020" s="8" t="s">
        <v>4976</v>
      </c>
      <c r="J1020" s="10">
        <v>359</v>
      </c>
      <c r="K1020" s="11">
        <v>111.78</v>
      </c>
      <c r="L1020" s="11">
        <v>172.95</v>
      </c>
      <c r="M1020" s="11">
        <v>62089.05</v>
      </c>
      <c r="N1020" s="11">
        <v>40129.019999999997</v>
      </c>
      <c r="O1020" s="11">
        <f>CleanedData[[#This Row],[Total Sales ($)]]-CleanedData[[#This Row],[Total Cost ($)]]</f>
        <v>21960.030000000006</v>
      </c>
      <c r="P1020" s="12">
        <f>CleanedData[[#This Row],[Profit ($)]]/CleanedData[[#This Row],[Total Sales ($)]]</f>
        <v>0.35368603642671298</v>
      </c>
      <c r="Q1020" s="8" t="s">
        <v>52</v>
      </c>
      <c r="R1020" s="8" t="s">
        <v>32</v>
      </c>
      <c r="S1020" s="8" t="b">
        <f>_xlfn.SINGLE(CleanedData[[#This Row],[Delivery Status]])="Late"</f>
        <v>1</v>
      </c>
      <c r="T1020" s="10">
        <v>15</v>
      </c>
      <c r="U1020" s="8" t="s">
        <v>112</v>
      </c>
      <c r="V1020" s="10">
        <v>4176</v>
      </c>
      <c r="W1020" s="10">
        <v>11</v>
      </c>
      <c r="X1020" s="12">
        <v>3.0640668523676799E-2</v>
      </c>
      <c r="Y1020" s="8" t="b">
        <f>CleanedData[[#This Row],[Ship Date]]&lt;CleanedData[[#This Row],[Order Date]]</f>
        <v>1</v>
      </c>
      <c r="Z1020" s="10">
        <f>YEAR(CleanedData[[#This Row],[Order Date]])</f>
        <v>2023</v>
      </c>
      <c r="AA1020" s="8">
        <f>MONTH(CleanedData[[#This Row],[Order Date]])</f>
        <v>11</v>
      </c>
    </row>
    <row r="1021" spans="1:27" x14ac:dyDescent="0.35">
      <c r="A1021" s="8" t="s">
        <v>2905</v>
      </c>
      <c r="B1021" s="9">
        <v>45505</v>
      </c>
      <c r="C1021" s="9">
        <v>45305</v>
      </c>
      <c r="D1021" s="8" t="s">
        <v>2906</v>
      </c>
      <c r="E1021" s="8" t="s">
        <v>26</v>
      </c>
      <c r="F1021" s="8" t="s">
        <v>27</v>
      </c>
      <c r="G1021" s="8" t="s">
        <v>70</v>
      </c>
      <c r="H1021" s="8" t="s">
        <v>71</v>
      </c>
      <c r="I1021" s="8" t="s">
        <v>4972</v>
      </c>
      <c r="J1021" s="10">
        <v>497</v>
      </c>
      <c r="K1021" s="11">
        <v>849.72</v>
      </c>
      <c r="L1021" s="11">
        <v>1229.77</v>
      </c>
      <c r="M1021" s="11">
        <v>611195.68999999994</v>
      </c>
      <c r="N1021" s="11">
        <v>422310.84</v>
      </c>
      <c r="O1021" s="11">
        <f>CleanedData[[#This Row],[Total Sales ($)]]-CleanedData[[#This Row],[Total Cost ($)]]</f>
        <v>188884.84999999992</v>
      </c>
      <c r="P1021" s="12">
        <f>CleanedData[[#This Row],[Profit ($)]]/CleanedData[[#This Row],[Total Sales ($)]]</f>
        <v>0.30904152809061847</v>
      </c>
      <c r="Q1021" s="8" t="s">
        <v>95</v>
      </c>
      <c r="R1021" s="8" t="s">
        <v>63</v>
      </c>
      <c r="S1021" s="8" t="b">
        <f>_xlfn.SINGLE(CleanedData[[#This Row],[Delivery Status]])="Late"</f>
        <v>0</v>
      </c>
      <c r="T1021" s="10">
        <v>4</v>
      </c>
      <c r="U1021" s="8" t="s">
        <v>158</v>
      </c>
      <c r="V1021" s="10">
        <v>3136</v>
      </c>
      <c r="W1021" s="10">
        <v>24</v>
      </c>
      <c r="X1021" s="12">
        <v>4.8289738430583498E-2</v>
      </c>
      <c r="Y1021" s="8" t="b">
        <f>CleanedData[[#This Row],[Ship Date]]&lt;CleanedData[[#This Row],[Order Date]]</f>
        <v>1</v>
      </c>
      <c r="Z1021" s="10">
        <f>YEAR(CleanedData[[#This Row],[Order Date]])</f>
        <v>2024</v>
      </c>
      <c r="AA1021" s="8">
        <f>MONTH(CleanedData[[#This Row],[Order Date]])</f>
        <v>8</v>
      </c>
    </row>
    <row r="1022" spans="1:27" x14ac:dyDescent="0.35">
      <c r="A1022" s="8" t="s">
        <v>2907</v>
      </c>
      <c r="B1022" s="9">
        <v>45145</v>
      </c>
      <c r="C1022" s="9">
        <v>45084</v>
      </c>
      <c r="D1022" s="8" t="s">
        <v>2908</v>
      </c>
      <c r="E1022" s="8" t="s">
        <v>58</v>
      </c>
      <c r="F1022" s="8" t="s">
        <v>116</v>
      </c>
      <c r="G1022" s="8" t="s">
        <v>60</v>
      </c>
      <c r="H1022" s="8" t="s">
        <v>834</v>
      </c>
      <c r="I1022" s="8" t="s">
        <v>4976</v>
      </c>
      <c r="J1022" s="10">
        <v>256</v>
      </c>
      <c r="K1022" s="11">
        <v>1152.8699999999999</v>
      </c>
      <c r="L1022" s="11">
        <v>1560.26</v>
      </c>
      <c r="M1022" s="11">
        <v>399426.56</v>
      </c>
      <c r="N1022" s="11">
        <v>295134.71999999997</v>
      </c>
      <c r="O1022" s="11">
        <f>CleanedData[[#This Row],[Total Sales ($)]]-CleanedData[[#This Row],[Total Cost ($)]]</f>
        <v>104291.84000000003</v>
      </c>
      <c r="P1022" s="12">
        <f>CleanedData[[#This Row],[Profit ($)]]/CleanedData[[#This Row],[Total Sales ($)]]</f>
        <v>0.26110391857767301</v>
      </c>
      <c r="Q1022" s="8" t="s">
        <v>52</v>
      </c>
      <c r="R1022" s="8" t="s">
        <v>32</v>
      </c>
      <c r="S1022" s="8" t="b">
        <f>_xlfn.SINGLE(CleanedData[[#This Row],[Delivery Status]])="Late"</f>
        <v>1</v>
      </c>
      <c r="T1022" s="10">
        <v>7</v>
      </c>
      <c r="U1022" s="8" t="s">
        <v>43</v>
      </c>
      <c r="V1022" s="10">
        <v>844</v>
      </c>
      <c r="W1022" s="10">
        <v>10</v>
      </c>
      <c r="X1022" s="12">
        <v>3.90625E-2</v>
      </c>
      <c r="Y1022" s="8" t="b">
        <f>CleanedData[[#This Row],[Ship Date]]&lt;CleanedData[[#This Row],[Order Date]]</f>
        <v>1</v>
      </c>
      <c r="Z1022" s="10">
        <f>YEAR(CleanedData[[#This Row],[Order Date]])</f>
        <v>2023</v>
      </c>
      <c r="AA1022" s="8">
        <f>MONTH(CleanedData[[#This Row],[Order Date]])</f>
        <v>8</v>
      </c>
    </row>
    <row r="1023" spans="1:27" x14ac:dyDescent="0.35">
      <c r="A1023" s="8" t="s">
        <v>2909</v>
      </c>
      <c r="B1023" s="9">
        <v>45057</v>
      </c>
      <c r="C1023" s="9">
        <v>45037</v>
      </c>
      <c r="D1023" s="8" t="s">
        <v>2910</v>
      </c>
      <c r="E1023" s="8" t="s">
        <v>48</v>
      </c>
      <c r="F1023" s="8" t="s">
        <v>223</v>
      </c>
      <c r="G1023" s="8" t="s">
        <v>28</v>
      </c>
      <c r="H1023" s="8" t="s">
        <v>29</v>
      </c>
      <c r="I1023" s="8" t="s">
        <v>4973</v>
      </c>
      <c r="J1023" s="10">
        <v>578</v>
      </c>
      <c r="K1023" s="11">
        <v>37.9</v>
      </c>
      <c r="L1023" s="11">
        <v>55.15</v>
      </c>
      <c r="M1023" s="11">
        <v>31876.7</v>
      </c>
      <c r="N1023" s="11">
        <v>21906.2</v>
      </c>
      <c r="O1023" s="11">
        <f>CleanedData[[#This Row],[Total Sales ($)]]-CleanedData[[#This Row],[Total Cost ($)]]</f>
        <v>9970.5</v>
      </c>
      <c r="P1023" s="12">
        <f>CleanedData[[#This Row],[Profit ($)]]/CleanedData[[#This Row],[Total Sales ($)]]</f>
        <v>0.31278331822302807</v>
      </c>
      <c r="Q1023" s="8" t="s">
        <v>42</v>
      </c>
      <c r="R1023" s="8" t="s">
        <v>63</v>
      </c>
      <c r="S1023" s="8" t="b">
        <f>_xlfn.SINGLE(CleanedData[[#This Row],[Delivery Status]])="Late"</f>
        <v>0</v>
      </c>
      <c r="T1023" s="10">
        <v>1</v>
      </c>
      <c r="U1023" s="8" t="s">
        <v>158</v>
      </c>
      <c r="V1023" s="10">
        <v>1313</v>
      </c>
      <c r="W1023" s="10">
        <v>6</v>
      </c>
      <c r="X1023" s="12">
        <v>1.03806228373702E-2</v>
      </c>
      <c r="Y1023" s="8" t="b">
        <f>CleanedData[[#This Row],[Ship Date]]&lt;CleanedData[[#This Row],[Order Date]]</f>
        <v>1</v>
      </c>
      <c r="Z1023" s="10">
        <f>YEAR(CleanedData[[#This Row],[Order Date]])</f>
        <v>2023</v>
      </c>
      <c r="AA1023" s="8">
        <f>MONTH(CleanedData[[#This Row],[Order Date]])</f>
        <v>5</v>
      </c>
    </row>
    <row r="1024" spans="1:27" x14ac:dyDescent="0.35">
      <c r="A1024" s="8" t="s">
        <v>2911</v>
      </c>
      <c r="B1024" s="9">
        <v>45162</v>
      </c>
      <c r="C1024" s="9">
        <v>45215</v>
      </c>
      <c r="D1024" s="8" t="s">
        <v>2912</v>
      </c>
      <c r="E1024" s="8" t="s">
        <v>68</v>
      </c>
      <c r="F1024" s="8" t="s">
        <v>249</v>
      </c>
      <c r="G1024" s="8" t="s">
        <v>129</v>
      </c>
      <c r="H1024" s="8" t="s">
        <v>316</v>
      </c>
      <c r="I1024" s="8" t="s">
        <v>4979</v>
      </c>
      <c r="J1024" s="10">
        <v>164</v>
      </c>
      <c r="K1024" s="11">
        <v>573.13</v>
      </c>
      <c r="L1024" s="11">
        <v>680.56</v>
      </c>
      <c r="M1024" s="11">
        <v>111611.84</v>
      </c>
      <c r="N1024" s="11">
        <v>93993.32</v>
      </c>
      <c r="O1024" s="11">
        <f>CleanedData[[#This Row],[Total Sales ($)]]-CleanedData[[#This Row],[Total Cost ($)]]</f>
        <v>17618.51999999999</v>
      </c>
      <c r="P1024" s="12">
        <f>CleanedData[[#This Row],[Profit ($)]]/CleanedData[[#This Row],[Total Sales ($)]]</f>
        <v>0.15785529563888553</v>
      </c>
      <c r="Q1024" s="8" t="s">
        <v>52</v>
      </c>
      <c r="R1024" s="8" t="s">
        <v>32</v>
      </c>
      <c r="S1024" s="8" t="b">
        <f>_xlfn.SINGLE(CleanedData[[#This Row],[Delivery Status]])="Late"</f>
        <v>1</v>
      </c>
      <c r="T1024" s="10">
        <v>7</v>
      </c>
      <c r="U1024" s="8" t="s">
        <v>86</v>
      </c>
      <c r="V1024" s="10">
        <v>2920</v>
      </c>
      <c r="W1024" s="10">
        <v>4</v>
      </c>
      <c r="X1024" s="12">
        <v>2.4390243902439001E-2</v>
      </c>
      <c r="Y1024" s="8" t="b">
        <f>CleanedData[[#This Row],[Ship Date]]&lt;CleanedData[[#This Row],[Order Date]]</f>
        <v>0</v>
      </c>
      <c r="Z1024" s="10">
        <f>YEAR(CleanedData[[#This Row],[Order Date]])</f>
        <v>2023</v>
      </c>
      <c r="AA1024" s="8">
        <f>MONTH(CleanedData[[#This Row],[Order Date]])</f>
        <v>8</v>
      </c>
    </row>
    <row r="1025" spans="1:27" x14ac:dyDescent="0.35">
      <c r="A1025" s="8" t="s">
        <v>1021</v>
      </c>
      <c r="B1025" s="9">
        <v>45242</v>
      </c>
      <c r="C1025" s="9">
        <v>45037</v>
      </c>
      <c r="D1025" s="8" t="s">
        <v>1024</v>
      </c>
      <c r="E1025" s="8" t="s">
        <v>58</v>
      </c>
      <c r="F1025" s="8" t="s">
        <v>429</v>
      </c>
      <c r="G1025" s="8" t="s">
        <v>28</v>
      </c>
      <c r="H1025" s="8" t="s">
        <v>714</v>
      </c>
      <c r="I1025" s="8" t="s">
        <v>4976</v>
      </c>
      <c r="J1025" s="10">
        <v>208</v>
      </c>
      <c r="K1025" s="11">
        <v>460.65</v>
      </c>
      <c r="L1025" s="11">
        <v>654.21</v>
      </c>
      <c r="M1025" s="11">
        <v>136075.68</v>
      </c>
      <c r="N1025" s="11">
        <v>95815.2</v>
      </c>
      <c r="O1025" s="11">
        <f>CleanedData[[#This Row],[Total Sales ($)]]-CleanedData[[#This Row],[Total Cost ($)]]</f>
        <v>40260.479999999996</v>
      </c>
      <c r="P1025" s="12">
        <f>CleanedData[[#This Row],[Profit ($)]]/CleanedData[[#This Row],[Total Sales ($)]]</f>
        <v>0.2958682991699913</v>
      </c>
      <c r="Q1025" s="8" t="s">
        <v>42</v>
      </c>
      <c r="R1025" s="8" t="s">
        <v>63</v>
      </c>
      <c r="S1025" s="8" t="b">
        <f>_xlfn.SINGLE(CleanedData[[#This Row],[Delivery Status]])="Late"</f>
        <v>0</v>
      </c>
      <c r="T1025" s="10">
        <v>2</v>
      </c>
      <c r="U1025" s="8" t="s">
        <v>112</v>
      </c>
      <c r="V1025" s="10">
        <v>4093</v>
      </c>
      <c r="W1025" s="10">
        <v>10</v>
      </c>
      <c r="X1025" s="12">
        <v>4.8076923076923003E-2</v>
      </c>
      <c r="Y1025" s="8" t="b">
        <f>CleanedData[[#This Row],[Ship Date]]&lt;CleanedData[[#This Row],[Order Date]]</f>
        <v>1</v>
      </c>
      <c r="Z1025" s="10">
        <f>YEAR(CleanedData[[#This Row],[Order Date]])</f>
        <v>2023</v>
      </c>
      <c r="AA1025" s="8">
        <f>MONTH(CleanedData[[#This Row],[Order Date]])</f>
        <v>11</v>
      </c>
    </row>
    <row r="1026" spans="1:27" x14ac:dyDescent="0.35">
      <c r="A1026" s="8" t="s">
        <v>2913</v>
      </c>
      <c r="B1026" s="9">
        <v>45012</v>
      </c>
      <c r="C1026" s="9">
        <v>44984</v>
      </c>
      <c r="D1026" s="8" t="s">
        <v>2914</v>
      </c>
      <c r="E1026" s="8" t="s">
        <v>26</v>
      </c>
      <c r="F1026" s="8" t="s">
        <v>92</v>
      </c>
      <c r="G1026" s="8" t="s">
        <v>50</v>
      </c>
      <c r="H1026" s="8" t="s">
        <v>135</v>
      </c>
      <c r="I1026" s="8" t="s">
        <v>4968</v>
      </c>
      <c r="J1026" s="10">
        <v>591</v>
      </c>
      <c r="K1026" s="11">
        <v>396.81</v>
      </c>
      <c r="L1026" s="11"/>
      <c r="M1026" s="11">
        <v>307136.78999999998</v>
      </c>
      <c r="N1026" s="11">
        <v>234514.71</v>
      </c>
      <c r="O1026" s="11">
        <f>CleanedData[[#This Row],[Total Sales ($)]]-CleanedData[[#This Row],[Total Cost ($)]]</f>
        <v>72622.079999999987</v>
      </c>
      <c r="P1026" s="12">
        <f>CleanedData[[#This Row],[Profit ($)]]/CleanedData[[#This Row],[Total Sales ($)]]</f>
        <v>0.23644865208104829</v>
      </c>
      <c r="Q1026" s="8" t="s">
        <v>52</v>
      </c>
      <c r="R1026" s="8" t="s">
        <v>63</v>
      </c>
      <c r="S1026" s="8" t="b">
        <f>_xlfn.SINGLE(CleanedData[[#This Row],[Delivery Status]])="Late"</f>
        <v>0</v>
      </c>
      <c r="T1026" s="10">
        <v>2</v>
      </c>
      <c r="U1026" s="8" t="s">
        <v>53</v>
      </c>
      <c r="V1026" s="10">
        <v>1114</v>
      </c>
      <c r="W1026" s="10">
        <v>24</v>
      </c>
      <c r="X1026" s="12">
        <v>4.0609137055837498E-2</v>
      </c>
      <c r="Y1026" s="8" t="b">
        <f>CleanedData[[#This Row],[Ship Date]]&lt;CleanedData[[#This Row],[Order Date]]</f>
        <v>1</v>
      </c>
      <c r="Z1026" s="10">
        <f>YEAR(CleanedData[[#This Row],[Order Date]])</f>
        <v>2023</v>
      </c>
      <c r="AA1026" s="8">
        <f>MONTH(CleanedData[[#This Row],[Order Date]])</f>
        <v>3</v>
      </c>
    </row>
    <row r="1027" spans="1:27" x14ac:dyDescent="0.35">
      <c r="A1027" s="8" t="s">
        <v>2915</v>
      </c>
      <c r="B1027" s="9">
        <v>45525</v>
      </c>
      <c r="C1027" s="9">
        <v>45310</v>
      </c>
      <c r="D1027" s="8" t="s">
        <v>2917</v>
      </c>
      <c r="E1027" s="8" t="s">
        <v>48</v>
      </c>
      <c r="F1027" s="8" t="s">
        <v>49</v>
      </c>
      <c r="G1027" s="8" t="s">
        <v>70</v>
      </c>
      <c r="H1027" s="8" t="s">
        <v>71</v>
      </c>
      <c r="I1027" s="8" t="s">
        <v>4978</v>
      </c>
      <c r="J1027" s="10">
        <v>331</v>
      </c>
      <c r="K1027" s="11">
        <v>975.75</v>
      </c>
      <c r="L1027" s="11">
        <v>1418.29</v>
      </c>
      <c r="M1027" s="11">
        <v>469453.99</v>
      </c>
      <c r="N1027" s="11">
        <v>322973.25</v>
      </c>
      <c r="O1027" s="11">
        <f>CleanedData[[#This Row],[Total Sales ($)]]-CleanedData[[#This Row],[Total Cost ($)]]</f>
        <v>146480.74</v>
      </c>
      <c r="P1027" s="12">
        <f>CleanedData[[#This Row],[Profit ($)]]/CleanedData[[#This Row],[Total Sales ($)]]</f>
        <v>0.31202363409457867</v>
      </c>
      <c r="Q1027" s="8" t="s">
        <v>42</v>
      </c>
      <c r="R1027" s="8" t="s">
        <v>32</v>
      </c>
      <c r="S1027" s="8" t="b">
        <f>_xlfn.SINGLE(CleanedData[[#This Row],[Delivery Status]])="Late"</f>
        <v>1</v>
      </c>
      <c r="T1027" s="10">
        <v>7</v>
      </c>
      <c r="U1027" s="8" t="s">
        <v>33</v>
      </c>
      <c r="V1027" s="10">
        <v>713</v>
      </c>
      <c r="W1027" s="10">
        <v>7</v>
      </c>
      <c r="X1027" s="12">
        <v>2.1148036253776401E-2</v>
      </c>
      <c r="Y1027" s="8" t="b">
        <f>CleanedData[[#This Row],[Ship Date]]&lt;CleanedData[[#This Row],[Order Date]]</f>
        <v>1</v>
      </c>
      <c r="Z1027" s="10">
        <f>YEAR(CleanedData[[#This Row],[Order Date]])</f>
        <v>2024</v>
      </c>
      <c r="AA1027" s="8">
        <f>MONTH(CleanedData[[#This Row],[Order Date]])</f>
        <v>8</v>
      </c>
    </row>
    <row r="1028" spans="1:27" x14ac:dyDescent="0.35">
      <c r="A1028" s="8" t="s">
        <v>2918</v>
      </c>
      <c r="B1028" s="9">
        <v>45418</v>
      </c>
      <c r="C1028" s="9">
        <v>45337</v>
      </c>
      <c r="D1028" s="8" t="s">
        <v>2920</v>
      </c>
      <c r="E1028" s="8" t="s">
        <v>48</v>
      </c>
      <c r="F1028" s="8" t="s">
        <v>183</v>
      </c>
      <c r="G1028" s="8" t="s">
        <v>39</v>
      </c>
      <c r="H1028" s="8" t="s">
        <v>40</v>
      </c>
      <c r="I1028" s="8" t="s">
        <v>4970</v>
      </c>
      <c r="J1028" s="10">
        <v>288</v>
      </c>
      <c r="K1028" s="11">
        <v>839.3</v>
      </c>
      <c r="L1028" s="11">
        <v>1007.98</v>
      </c>
      <c r="M1028" s="11">
        <v>290298.23999999999</v>
      </c>
      <c r="N1028" s="11">
        <v>241718.39999999999</v>
      </c>
      <c r="O1028" s="11">
        <f>CleanedData[[#This Row],[Total Sales ($)]]-CleanedData[[#This Row],[Total Cost ($)]]</f>
        <v>48579.839999999997</v>
      </c>
      <c r="P1028" s="12">
        <f>CleanedData[[#This Row],[Profit ($)]]/CleanedData[[#This Row],[Total Sales ($)]]</f>
        <v>0.16734459017043987</v>
      </c>
      <c r="Q1028" s="8" t="s">
        <v>31</v>
      </c>
      <c r="R1028" s="8" t="s">
        <v>63</v>
      </c>
      <c r="S1028" s="8" t="b">
        <f>_xlfn.SINGLE(CleanedData[[#This Row],[Delivery Status]])="Late"</f>
        <v>0</v>
      </c>
      <c r="T1028" s="10">
        <v>4</v>
      </c>
      <c r="U1028" s="8" t="s">
        <v>43</v>
      </c>
      <c r="V1028" s="10">
        <v>1286</v>
      </c>
      <c r="W1028" s="10">
        <v>2</v>
      </c>
      <c r="X1028" s="12">
        <v>6.9444444444443998E-3</v>
      </c>
      <c r="Y1028" s="8" t="b">
        <f>CleanedData[[#This Row],[Ship Date]]&lt;CleanedData[[#This Row],[Order Date]]</f>
        <v>1</v>
      </c>
      <c r="Z1028" s="10">
        <f>YEAR(CleanedData[[#This Row],[Order Date]])</f>
        <v>2024</v>
      </c>
      <c r="AA1028" s="8">
        <f>MONTH(CleanedData[[#This Row],[Order Date]])</f>
        <v>5</v>
      </c>
    </row>
    <row r="1029" spans="1:27" x14ac:dyDescent="0.35">
      <c r="A1029" s="8" t="s">
        <v>2921</v>
      </c>
      <c r="B1029" s="9">
        <v>45209</v>
      </c>
      <c r="C1029" s="9">
        <v>45020</v>
      </c>
      <c r="D1029" s="8" t="s">
        <v>2922</v>
      </c>
      <c r="E1029" s="8" t="s">
        <v>26</v>
      </c>
      <c r="F1029" s="8" t="s">
        <v>27</v>
      </c>
      <c r="G1029" s="8" t="s">
        <v>70</v>
      </c>
      <c r="H1029" s="8" t="s">
        <v>384</v>
      </c>
      <c r="I1029" s="8" t="s">
        <v>4971</v>
      </c>
      <c r="J1029" s="10">
        <v>403</v>
      </c>
      <c r="K1029" s="11">
        <v>1147.28</v>
      </c>
      <c r="L1029" s="11">
        <v>1569.53</v>
      </c>
      <c r="M1029" s="11">
        <v>632520.59</v>
      </c>
      <c r="N1029" s="11">
        <v>462353.84</v>
      </c>
      <c r="O1029" s="11">
        <f>CleanedData[[#This Row],[Total Sales ($)]]-CleanedData[[#This Row],[Total Cost ($)]]</f>
        <v>170166.74999999994</v>
      </c>
      <c r="P1029" s="12">
        <f>CleanedData[[#This Row],[Profit ($)]]/CleanedData[[#This Row],[Total Sales ($)]]</f>
        <v>0.2690295821041967</v>
      </c>
      <c r="Q1029" s="8" t="s">
        <v>31</v>
      </c>
      <c r="R1029" s="8" t="s">
        <v>32</v>
      </c>
      <c r="S1029" s="8" t="b">
        <f>_xlfn.SINGLE(CleanedData[[#This Row],[Delivery Status]])="Late"</f>
        <v>1</v>
      </c>
      <c r="T1029" s="10">
        <v>13</v>
      </c>
      <c r="U1029" s="8" t="s">
        <v>158</v>
      </c>
      <c r="V1029" s="10">
        <v>3380</v>
      </c>
      <c r="W1029" s="10">
        <v>1</v>
      </c>
      <c r="X1029" s="12">
        <v>2.4813895781637002E-3</v>
      </c>
      <c r="Y1029" s="8" t="b">
        <f>CleanedData[[#This Row],[Ship Date]]&lt;CleanedData[[#This Row],[Order Date]]</f>
        <v>1</v>
      </c>
      <c r="Z1029" s="10">
        <f>YEAR(CleanedData[[#This Row],[Order Date]])</f>
        <v>2023</v>
      </c>
      <c r="AA1029" s="8">
        <f>MONTH(CleanedData[[#This Row],[Order Date]])</f>
        <v>10</v>
      </c>
    </row>
    <row r="1030" spans="1:27" x14ac:dyDescent="0.35">
      <c r="A1030" s="8" t="s">
        <v>2923</v>
      </c>
      <c r="B1030" s="9">
        <v>45240</v>
      </c>
      <c r="C1030" s="9">
        <v>45160</v>
      </c>
      <c r="D1030" s="8" t="s">
        <v>2924</v>
      </c>
      <c r="E1030" s="8" t="s">
        <v>26</v>
      </c>
      <c r="F1030" s="8" t="s">
        <v>92</v>
      </c>
      <c r="G1030" s="8" t="s">
        <v>60</v>
      </c>
      <c r="H1030" s="8" t="s">
        <v>265</v>
      </c>
      <c r="I1030" s="8" t="s">
        <v>4976</v>
      </c>
      <c r="J1030" s="10">
        <v>91</v>
      </c>
      <c r="K1030" s="11"/>
      <c r="L1030" s="11">
        <v>308.64</v>
      </c>
      <c r="M1030" s="11">
        <v>28086.240000000002</v>
      </c>
      <c r="N1030" s="11"/>
      <c r="O1030" s="11">
        <f>CleanedData[[#This Row],[Total Sales ($)]]-CleanedData[[#This Row],[Total Cost ($)]]</f>
        <v>28086.240000000002</v>
      </c>
      <c r="P1030" s="12">
        <f>CleanedData[[#This Row],[Profit ($)]]/CleanedData[[#This Row],[Total Sales ($)]]</f>
        <v>1</v>
      </c>
      <c r="Q1030" s="8" t="s">
        <v>42</v>
      </c>
      <c r="R1030" s="8" t="s">
        <v>32</v>
      </c>
      <c r="S1030" s="8" t="b">
        <f>_xlfn.SINGLE(CleanedData[[#This Row],[Delivery Status]])="Late"</f>
        <v>1</v>
      </c>
      <c r="T1030" s="10">
        <v>11</v>
      </c>
      <c r="U1030" s="8" t="s">
        <v>53</v>
      </c>
      <c r="V1030" s="10">
        <v>4072</v>
      </c>
      <c r="W1030" s="10">
        <v>0</v>
      </c>
      <c r="X1030" s="12">
        <v>0</v>
      </c>
      <c r="Y1030" s="8" t="b">
        <f>CleanedData[[#This Row],[Ship Date]]&lt;CleanedData[[#This Row],[Order Date]]</f>
        <v>1</v>
      </c>
      <c r="Z1030" s="10">
        <f>YEAR(CleanedData[[#This Row],[Order Date]])</f>
        <v>2023</v>
      </c>
      <c r="AA1030" s="8">
        <f>MONTH(CleanedData[[#This Row],[Order Date]])</f>
        <v>11</v>
      </c>
    </row>
    <row r="1031" spans="1:27" x14ac:dyDescent="0.35">
      <c r="A1031" s="8" t="s">
        <v>2925</v>
      </c>
      <c r="B1031" s="9">
        <v>45063</v>
      </c>
      <c r="C1031" s="9">
        <v>45027</v>
      </c>
      <c r="D1031" s="8" t="s">
        <v>1063</v>
      </c>
      <c r="E1031" s="8" t="s">
        <v>26</v>
      </c>
      <c r="F1031" s="8" t="s">
        <v>38</v>
      </c>
      <c r="G1031" s="8" t="s">
        <v>28</v>
      </c>
      <c r="H1031" s="8" t="s">
        <v>29</v>
      </c>
      <c r="I1031" s="8" t="s">
        <v>4968</v>
      </c>
      <c r="J1031" s="10">
        <v>28</v>
      </c>
      <c r="K1031" s="11">
        <v>1093.7</v>
      </c>
      <c r="L1031" s="11">
        <v>1624.02</v>
      </c>
      <c r="M1031" s="11">
        <v>45472.56</v>
      </c>
      <c r="N1031" s="11">
        <v>30623.599999999999</v>
      </c>
      <c r="O1031" s="11">
        <f>CleanedData[[#This Row],[Total Sales ($)]]-CleanedData[[#This Row],[Total Cost ($)]]</f>
        <v>14848.96</v>
      </c>
      <c r="P1031" s="12">
        <f>CleanedData[[#This Row],[Profit ($)]]/CleanedData[[#This Row],[Total Sales ($)]]</f>
        <v>0.32654770261449984</v>
      </c>
      <c r="Q1031" s="8" t="s">
        <v>42</v>
      </c>
      <c r="R1031" s="8" t="s">
        <v>32</v>
      </c>
      <c r="S1031" s="8" t="b">
        <f>_xlfn.SINGLE(CleanedData[[#This Row],[Delivery Status]])="Late"</f>
        <v>1</v>
      </c>
      <c r="T1031" s="10">
        <v>10</v>
      </c>
      <c r="U1031" s="8" t="s">
        <v>43</v>
      </c>
      <c r="V1031" s="10">
        <v>2616</v>
      </c>
      <c r="W1031" s="10">
        <v>1</v>
      </c>
      <c r="X1031" s="12">
        <v>3.5714285714285698E-2</v>
      </c>
      <c r="Y1031" s="8" t="b">
        <f>CleanedData[[#This Row],[Ship Date]]&lt;CleanedData[[#This Row],[Order Date]]</f>
        <v>1</v>
      </c>
      <c r="Z1031" s="10">
        <f>YEAR(CleanedData[[#This Row],[Order Date]])</f>
        <v>2023</v>
      </c>
      <c r="AA1031" s="8">
        <f>MONTH(CleanedData[[#This Row],[Order Date]])</f>
        <v>5</v>
      </c>
    </row>
    <row r="1032" spans="1:27" x14ac:dyDescent="0.35">
      <c r="A1032" s="8" t="s">
        <v>2926</v>
      </c>
      <c r="B1032" s="9">
        <v>45078</v>
      </c>
      <c r="C1032" s="9">
        <v>45252</v>
      </c>
      <c r="D1032" s="8" t="s">
        <v>2928</v>
      </c>
      <c r="E1032" s="8" t="s">
        <v>26</v>
      </c>
      <c r="F1032" s="8" t="s">
        <v>228</v>
      </c>
      <c r="G1032" s="8" t="s">
        <v>60</v>
      </c>
      <c r="H1032" s="8" t="s">
        <v>539</v>
      </c>
      <c r="I1032" s="8" t="s">
        <v>4977</v>
      </c>
      <c r="J1032" s="10">
        <v>106</v>
      </c>
      <c r="K1032" s="11">
        <v>1071.94</v>
      </c>
      <c r="L1032" s="11">
        <v>1550.56</v>
      </c>
      <c r="M1032" s="11">
        <v>164359.35999999999</v>
      </c>
      <c r="N1032" s="11">
        <v>113625.64</v>
      </c>
      <c r="O1032" s="11">
        <f>CleanedData[[#This Row],[Total Sales ($)]]-CleanedData[[#This Row],[Total Cost ($)]]</f>
        <v>50733.719999999987</v>
      </c>
      <c r="P1032" s="12">
        <f>CleanedData[[#This Row],[Profit ($)]]/CleanedData[[#This Row],[Total Sales ($)]]</f>
        <v>0.30867557527602923</v>
      </c>
      <c r="Q1032" s="8" t="s">
        <v>95</v>
      </c>
      <c r="R1032" s="8" t="s">
        <v>32</v>
      </c>
      <c r="S1032" s="8" t="b">
        <f>_xlfn.SINGLE(CleanedData[[#This Row],[Delivery Status]])="Late"</f>
        <v>1</v>
      </c>
      <c r="T1032" s="10">
        <v>8</v>
      </c>
      <c r="U1032" s="8" t="s">
        <v>86</v>
      </c>
      <c r="V1032" s="10">
        <v>4000</v>
      </c>
      <c r="W1032" s="10">
        <v>3</v>
      </c>
      <c r="X1032" s="12">
        <v>2.83018867924528E-2</v>
      </c>
      <c r="Y1032" s="8" t="b">
        <f>CleanedData[[#This Row],[Ship Date]]&lt;CleanedData[[#This Row],[Order Date]]</f>
        <v>0</v>
      </c>
      <c r="Z1032" s="10">
        <f>YEAR(CleanedData[[#This Row],[Order Date]])</f>
        <v>2023</v>
      </c>
      <c r="AA1032" s="8">
        <f>MONTH(CleanedData[[#This Row],[Order Date]])</f>
        <v>6</v>
      </c>
    </row>
    <row r="1033" spans="1:27" x14ac:dyDescent="0.35">
      <c r="A1033" s="8" t="s">
        <v>2929</v>
      </c>
      <c r="B1033" s="9">
        <v>45012</v>
      </c>
      <c r="C1033" s="9">
        <v>45231</v>
      </c>
      <c r="D1033" s="8" t="s">
        <v>2930</v>
      </c>
      <c r="E1033" s="8" t="s">
        <v>58</v>
      </c>
      <c r="F1033" s="8" t="s">
        <v>59</v>
      </c>
      <c r="G1033" s="8" t="s">
        <v>28</v>
      </c>
      <c r="H1033" s="8" t="s">
        <v>29</v>
      </c>
      <c r="I1033" s="8" t="s">
        <v>4979</v>
      </c>
      <c r="J1033" s="10">
        <v>544</v>
      </c>
      <c r="K1033" s="11">
        <v>115.06</v>
      </c>
      <c r="L1033" s="11">
        <v>183.73</v>
      </c>
      <c r="M1033" s="11">
        <v>99949.119999999995</v>
      </c>
      <c r="N1033" s="11">
        <v>62592.639999999999</v>
      </c>
      <c r="O1033" s="11">
        <f>CleanedData[[#This Row],[Total Sales ($)]]-CleanedData[[#This Row],[Total Cost ($)]]</f>
        <v>37356.479999999996</v>
      </c>
      <c r="P1033" s="12">
        <f>CleanedData[[#This Row],[Profit ($)]]/CleanedData[[#This Row],[Total Sales ($)]]</f>
        <v>0.37375496652696888</v>
      </c>
      <c r="Q1033" s="8" t="s">
        <v>95</v>
      </c>
      <c r="R1033" s="8" t="s">
        <v>32</v>
      </c>
      <c r="S1033" s="8" t="b">
        <f>_xlfn.SINGLE(CleanedData[[#This Row],[Delivery Status]])="Late"</f>
        <v>1</v>
      </c>
      <c r="T1033" s="10">
        <v>6</v>
      </c>
      <c r="U1033" s="8" t="s">
        <v>86</v>
      </c>
      <c r="V1033" s="10">
        <v>484</v>
      </c>
      <c r="W1033" s="10">
        <v>22</v>
      </c>
      <c r="X1033" s="12">
        <v>4.0441176470588203E-2</v>
      </c>
      <c r="Y1033" s="8" t="b">
        <f>CleanedData[[#This Row],[Ship Date]]&lt;CleanedData[[#This Row],[Order Date]]</f>
        <v>0</v>
      </c>
      <c r="Z1033" s="10">
        <f>YEAR(CleanedData[[#This Row],[Order Date]])</f>
        <v>2023</v>
      </c>
      <c r="AA1033" s="8">
        <f>MONTH(CleanedData[[#This Row],[Order Date]])</f>
        <v>3</v>
      </c>
    </row>
    <row r="1034" spans="1:27" x14ac:dyDescent="0.35">
      <c r="A1034" s="8" t="s">
        <v>2931</v>
      </c>
      <c r="B1034" s="9">
        <v>44941</v>
      </c>
      <c r="C1034" s="9">
        <v>45200</v>
      </c>
      <c r="D1034" s="8" t="s">
        <v>2933</v>
      </c>
      <c r="E1034" s="8" t="s">
        <v>58</v>
      </c>
      <c r="F1034" s="8" t="s">
        <v>59</v>
      </c>
      <c r="G1034" s="8" t="s">
        <v>129</v>
      </c>
      <c r="H1034" s="8" t="s">
        <v>704</v>
      </c>
      <c r="I1034" s="8" t="s">
        <v>4974</v>
      </c>
      <c r="J1034" s="10">
        <v>326</v>
      </c>
      <c r="K1034" s="11">
        <v>886.33</v>
      </c>
      <c r="L1034" s="11">
        <v>1379.96</v>
      </c>
      <c r="M1034" s="11">
        <v>449866.96</v>
      </c>
      <c r="N1034" s="11">
        <v>288943.58</v>
      </c>
      <c r="O1034" s="11">
        <f>CleanedData[[#This Row],[Total Sales ($)]]-CleanedData[[#This Row],[Total Cost ($)]]</f>
        <v>160923.38</v>
      </c>
      <c r="P1034" s="12">
        <f>CleanedData[[#This Row],[Profit ($)]]/CleanedData[[#This Row],[Total Sales ($)]]</f>
        <v>0.35771326705121886</v>
      </c>
      <c r="Q1034" s="8" t="s">
        <v>52</v>
      </c>
      <c r="R1034" s="8" t="s">
        <v>32</v>
      </c>
      <c r="S1034" s="8" t="b">
        <f>_xlfn.SINGLE(CleanedData[[#This Row],[Delivery Status]])="Late"</f>
        <v>1</v>
      </c>
      <c r="T1034" s="10">
        <v>8</v>
      </c>
      <c r="U1034" s="8" t="s">
        <v>43</v>
      </c>
      <c r="V1034" s="10">
        <v>754</v>
      </c>
      <c r="W1034" s="10">
        <v>16</v>
      </c>
      <c r="X1034" s="12">
        <v>4.9079754601226898E-2</v>
      </c>
      <c r="Y1034" s="8" t="b">
        <f>CleanedData[[#This Row],[Ship Date]]&lt;CleanedData[[#This Row],[Order Date]]</f>
        <v>0</v>
      </c>
      <c r="Z1034" s="10">
        <f>YEAR(CleanedData[[#This Row],[Order Date]])</f>
        <v>2023</v>
      </c>
      <c r="AA1034" s="8">
        <f>MONTH(CleanedData[[#This Row],[Order Date]])</f>
        <v>1</v>
      </c>
    </row>
    <row r="1035" spans="1:27" x14ac:dyDescent="0.35">
      <c r="A1035" s="8" t="s">
        <v>2934</v>
      </c>
      <c r="B1035" s="9">
        <v>45485</v>
      </c>
      <c r="C1035" s="9">
        <v>45471</v>
      </c>
      <c r="D1035" s="8" t="s">
        <v>2935</v>
      </c>
      <c r="E1035" s="8" t="s">
        <v>68</v>
      </c>
      <c r="F1035" s="8" t="s">
        <v>163</v>
      </c>
      <c r="G1035" s="8" t="s">
        <v>129</v>
      </c>
      <c r="H1035" s="8" t="s">
        <v>316</v>
      </c>
      <c r="I1035" s="8" t="s">
        <v>4976</v>
      </c>
      <c r="J1035" s="10">
        <v>616</v>
      </c>
      <c r="K1035" s="11">
        <v>987.15</v>
      </c>
      <c r="L1035" s="11">
        <v>1535.81</v>
      </c>
      <c r="M1035" s="11">
        <v>946058.96</v>
      </c>
      <c r="N1035" s="11">
        <v>608084.4</v>
      </c>
      <c r="O1035" s="11">
        <f>CleanedData[[#This Row],[Total Sales ($)]]-CleanedData[[#This Row],[Total Cost ($)]]</f>
        <v>337974.55999999994</v>
      </c>
      <c r="P1035" s="12">
        <f>CleanedData[[#This Row],[Profit ($)]]/CleanedData[[#This Row],[Total Sales ($)]]</f>
        <v>0.3572447112598563</v>
      </c>
      <c r="Q1035" s="8" t="s">
        <v>52</v>
      </c>
      <c r="R1035" s="8" t="s">
        <v>32</v>
      </c>
      <c r="S1035" s="8" t="b">
        <f>_xlfn.SINGLE(CleanedData[[#This Row],[Delivery Status]])="Late"</f>
        <v>1</v>
      </c>
      <c r="T1035" s="10">
        <v>12</v>
      </c>
      <c r="U1035" s="8" t="s">
        <v>53</v>
      </c>
      <c r="V1035" s="10">
        <v>2687</v>
      </c>
      <c r="W1035" s="10">
        <v>5</v>
      </c>
      <c r="X1035" s="12">
        <v>8.1168831168831005E-3</v>
      </c>
      <c r="Y1035" s="8" t="b">
        <f>CleanedData[[#This Row],[Ship Date]]&lt;CleanedData[[#This Row],[Order Date]]</f>
        <v>1</v>
      </c>
      <c r="Z1035" s="10">
        <f>YEAR(CleanedData[[#This Row],[Order Date]])</f>
        <v>2024</v>
      </c>
      <c r="AA1035" s="8">
        <f>MONTH(CleanedData[[#This Row],[Order Date]])</f>
        <v>7</v>
      </c>
    </row>
    <row r="1036" spans="1:27" x14ac:dyDescent="0.35">
      <c r="A1036" s="8" t="s">
        <v>2936</v>
      </c>
      <c r="B1036" s="9">
        <v>45035</v>
      </c>
      <c r="C1036" s="9">
        <v>45278</v>
      </c>
      <c r="D1036" s="8" t="s">
        <v>2937</v>
      </c>
      <c r="E1036" s="8" t="s">
        <v>26</v>
      </c>
      <c r="F1036" s="8" t="s">
        <v>92</v>
      </c>
      <c r="G1036" s="8" t="s">
        <v>28</v>
      </c>
      <c r="H1036" s="8" t="s">
        <v>674</v>
      </c>
      <c r="I1036" s="8" t="s">
        <v>4976</v>
      </c>
      <c r="J1036" s="10">
        <v>796</v>
      </c>
      <c r="K1036" s="11">
        <v>970.26</v>
      </c>
      <c r="L1036" s="11">
        <v>1265.97</v>
      </c>
      <c r="M1036" s="11">
        <v>1007712.12</v>
      </c>
      <c r="N1036" s="11">
        <v>772326.96</v>
      </c>
      <c r="O1036" s="11">
        <f>CleanedData[[#This Row],[Total Sales ($)]]-CleanedData[[#This Row],[Total Cost ($)]]</f>
        <v>235385.16000000003</v>
      </c>
      <c r="P1036" s="12">
        <f>CleanedData[[#This Row],[Profit ($)]]/CleanedData[[#This Row],[Total Sales ($)]]</f>
        <v>0.23358373421171122</v>
      </c>
      <c r="Q1036" s="8" t="s">
        <v>31</v>
      </c>
      <c r="R1036" s="8" t="s">
        <v>32</v>
      </c>
      <c r="S1036" s="8" t="b">
        <f>_xlfn.SINGLE(CleanedData[[#This Row],[Delivery Status]])="Late"</f>
        <v>1</v>
      </c>
      <c r="T1036" s="10">
        <v>12</v>
      </c>
      <c r="U1036" s="8" t="s">
        <v>86</v>
      </c>
      <c r="V1036" s="10">
        <v>4515</v>
      </c>
      <c r="W1036" s="10">
        <v>8</v>
      </c>
      <c r="X1036" s="12">
        <v>1.00502512562814E-2</v>
      </c>
      <c r="Y1036" s="8" t="b">
        <f>CleanedData[[#This Row],[Ship Date]]&lt;CleanedData[[#This Row],[Order Date]]</f>
        <v>0</v>
      </c>
      <c r="Z1036" s="10">
        <f>YEAR(CleanedData[[#This Row],[Order Date]])</f>
        <v>2023</v>
      </c>
      <c r="AA1036" s="8">
        <f>MONTH(CleanedData[[#This Row],[Order Date]])</f>
        <v>4</v>
      </c>
    </row>
    <row r="1037" spans="1:27" x14ac:dyDescent="0.35">
      <c r="A1037" s="8" t="s">
        <v>2938</v>
      </c>
      <c r="B1037" s="9">
        <v>45036</v>
      </c>
      <c r="C1037" s="9">
        <v>45148</v>
      </c>
      <c r="D1037" s="8" t="s">
        <v>2940</v>
      </c>
      <c r="E1037" s="8" t="s">
        <v>26</v>
      </c>
      <c r="F1037" s="8" t="s">
        <v>92</v>
      </c>
      <c r="G1037" s="8" t="s">
        <v>28</v>
      </c>
      <c r="H1037" s="8" t="s">
        <v>111</v>
      </c>
      <c r="I1037" s="8" t="s">
        <v>4968</v>
      </c>
      <c r="J1037" s="10">
        <v>347</v>
      </c>
      <c r="K1037" s="11">
        <v>1106.49</v>
      </c>
      <c r="L1037" s="11">
        <v>1674.47</v>
      </c>
      <c r="M1037" s="11">
        <v>581041.09</v>
      </c>
      <c r="N1037" s="11">
        <v>383952.03</v>
      </c>
      <c r="O1037" s="11">
        <f>CleanedData[[#This Row],[Total Sales ($)]]-CleanedData[[#This Row],[Total Cost ($)]]</f>
        <v>197089.05999999994</v>
      </c>
      <c r="P1037" s="12">
        <f>CleanedData[[#This Row],[Profit ($)]]/CleanedData[[#This Row],[Total Sales ($)]]</f>
        <v>0.33919986622632825</v>
      </c>
      <c r="Q1037" s="8" t="s">
        <v>42</v>
      </c>
      <c r="R1037" s="8" t="s">
        <v>63</v>
      </c>
      <c r="S1037" s="8" t="b">
        <f>_xlfn.SINGLE(CleanedData[[#This Row],[Delivery Status]])="Late"</f>
        <v>0</v>
      </c>
      <c r="T1037" s="10">
        <v>14</v>
      </c>
      <c r="U1037" s="8" t="s">
        <v>158</v>
      </c>
      <c r="V1037" s="10">
        <v>414</v>
      </c>
      <c r="W1037" s="10">
        <v>4</v>
      </c>
      <c r="X1037" s="12">
        <v>1.1527377521613799E-2</v>
      </c>
      <c r="Y1037" s="8" t="b">
        <f>CleanedData[[#This Row],[Ship Date]]&lt;CleanedData[[#This Row],[Order Date]]</f>
        <v>0</v>
      </c>
      <c r="Z1037" s="10">
        <f>YEAR(CleanedData[[#This Row],[Order Date]])</f>
        <v>2023</v>
      </c>
      <c r="AA1037" s="8">
        <f>MONTH(CleanedData[[#This Row],[Order Date]])</f>
        <v>4</v>
      </c>
    </row>
    <row r="1038" spans="1:27" x14ac:dyDescent="0.35">
      <c r="A1038" s="8" t="s">
        <v>2941</v>
      </c>
      <c r="B1038" s="9">
        <v>45117</v>
      </c>
      <c r="C1038" s="9">
        <v>45163</v>
      </c>
      <c r="D1038" s="8" t="s">
        <v>2942</v>
      </c>
      <c r="E1038" s="8" t="s">
        <v>68</v>
      </c>
      <c r="F1038" s="8" t="s">
        <v>2943</v>
      </c>
      <c r="G1038" s="8" t="s">
        <v>189</v>
      </c>
      <c r="H1038" s="8" t="s">
        <v>311</v>
      </c>
      <c r="I1038" s="8" t="s">
        <v>4974</v>
      </c>
      <c r="J1038" s="10">
        <v>675</v>
      </c>
      <c r="K1038" s="11">
        <v>273.58</v>
      </c>
      <c r="L1038" s="11">
        <v>410.8</v>
      </c>
      <c r="M1038" s="11">
        <v>277290</v>
      </c>
      <c r="N1038" s="11">
        <v>184666.5</v>
      </c>
      <c r="O1038" s="11">
        <f>CleanedData[[#This Row],[Total Sales ($)]]-CleanedData[[#This Row],[Total Cost ($)]]</f>
        <v>92623.5</v>
      </c>
      <c r="P1038" s="12">
        <f>CleanedData[[#This Row],[Profit ($)]]/CleanedData[[#This Row],[Total Sales ($)]]</f>
        <v>0.33403115871470301</v>
      </c>
      <c r="Q1038" s="8" t="s">
        <v>95</v>
      </c>
      <c r="R1038" s="8" t="s">
        <v>32</v>
      </c>
      <c r="S1038" s="8" t="b">
        <f>_xlfn.SINGLE(CleanedData[[#This Row],[Delivery Status]])="Late"</f>
        <v>1</v>
      </c>
      <c r="T1038" s="10">
        <v>14</v>
      </c>
      <c r="U1038" s="8" t="s">
        <v>53</v>
      </c>
      <c r="V1038" s="10">
        <v>2571</v>
      </c>
      <c r="W1038" s="10">
        <v>13</v>
      </c>
      <c r="X1038" s="12">
        <v>1.9259259259259202E-2</v>
      </c>
      <c r="Y1038" s="8" t="b">
        <f>CleanedData[[#This Row],[Ship Date]]&lt;CleanedData[[#This Row],[Order Date]]</f>
        <v>0</v>
      </c>
      <c r="Z1038" s="10">
        <f>YEAR(CleanedData[[#This Row],[Order Date]])</f>
        <v>2023</v>
      </c>
      <c r="AA1038" s="8">
        <f>MONTH(CleanedData[[#This Row],[Order Date]])</f>
        <v>7</v>
      </c>
    </row>
    <row r="1039" spans="1:27" x14ac:dyDescent="0.35">
      <c r="A1039" s="8" t="s">
        <v>2025</v>
      </c>
      <c r="B1039" s="9">
        <v>45602</v>
      </c>
      <c r="C1039" s="9">
        <v>45621</v>
      </c>
      <c r="D1039" s="8" t="s">
        <v>2027</v>
      </c>
      <c r="E1039" s="8" t="s">
        <v>4972</v>
      </c>
      <c r="F1039" s="8" t="s">
        <v>538</v>
      </c>
      <c r="G1039" s="8" t="s">
        <v>28</v>
      </c>
      <c r="H1039" s="8" t="s">
        <v>674</v>
      </c>
      <c r="I1039" s="8" t="s">
        <v>4974</v>
      </c>
      <c r="J1039" s="10">
        <v>363</v>
      </c>
      <c r="K1039" s="11">
        <v>600.92999999999995</v>
      </c>
      <c r="L1039" s="11">
        <v>693.01</v>
      </c>
      <c r="M1039" s="11">
        <v>251562.63</v>
      </c>
      <c r="N1039" s="11">
        <v>218137.59</v>
      </c>
      <c r="O1039" s="11">
        <f>CleanedData[[#This Row],[Total Sales ($)]]-CleanedData[[#This Row],[Total Cost ($)]]</f>
        <v>33425.040000000008</v>
      </c>
      <c r="P1039" s="12">
        <f>CleanedData[[#This Row],[Profit ($)]]/CleanedData[[#This Row],[Total Sales ($)]]</f>
        <v>0.13286965556052585</v>
      </c>
      <c r="Q1039" s="8" t="s">
        <v>52</v>
      </c>
      <c r="R1039" s="8" t="s">
        <v>32</v>
      </c>
      <c r="S1039" s="8" t="b">
        <f>_xlfn.SINGLE(CleanedData[[#This Row],[Delivery Status]])="Late"</f>
        <v>1</v>
      </c>
      <c r="T1039" s="10">
        <v>13</v>
      </c>
      <c r="U1039" s="8" t="s">
        <v>112</v>
      </c>
      <c r="V1039" s="10">
        <v>1493</v>
      </c>
      <c r="W1039" s="10">
        <v>5</v>
      </c>
      <c r="X1039" s="12">
        <v>1.3774104683195501E-2</v>
      </c>
      <c r="Y1039" s="8" t="b">
        <f>CleanedData[[#This Row],[Ship Date]]&lt;CleanedData[[#This Row],[Order Date]]</f>
        <v>0</v>
      </c>
      <c r="Z1039" s="10">
        <f>YEAR(CleanedData[[#This Row],[Order Date]])</f>
        <v>2024</v>
      </c>
      <c r="AA1039" s="8">
        <f>MONTH(CleanedData[[#This Row],[Order Date]])</f>
        <v>11</v>
      </c>
    </row>
    <row r="1040" spans="1:27" x14ac:dyDescent="0.35">
      <c r="A1040" s="8" t="s">
        <v>2944</v>
      </c>
      <c r="B1040" s="9">
        <v>44932</v>
      </c>
      <c r="C1040" s="9">
        <v>44965</v>
      </c>
      <c r="D1040" s="8" t="s">
        <v>2945</v>
      </c>
      <c r="E1040" s="8" t="s">
        <v>26</v>
      </c>
      <c r="F1040" s="8" t="s">
        <v>27</v>
      </c>
      <c r="G1040" s="8" t="s">
        <v>50</v>
      </c>
      <c r="H1040" s="8" t="s">
        <v>117</v>
      </c>
      <c r="I1040" s="8" t="s">
        <v>4971</v>
      </c>
      <c r="J1040" s="10">
        <v>756</v>
      </c>
      <c r="K1040" s="11">
        <v>246.65</v>
      </c>
      <c r="L1040" s="11">
        <v>294.83999999999997</v>
      </c>
      <c r="M1040" s="11">
        <v>222899.04</v>
      </c>
      <c r="N1040" s="11">
        <v>186467.4</v>
      </c>
      <c r="O1040" s="11">
        <f>CleanedData[[#This Row],[Total Sales ($)]]-CleanedData[[#This Row],[Total Cost ($)]]</f>
        <v>36431.640000000014</v>
      </c>
      <c r="P1040" s="12">
        <f>CleanedData[[#This Row],[Profit ($)]]/CleanedData[[#This Row],[Total Sales ($)]]</f>
        <v>0.16344458011124682</v>
      </c>
      <c r="Q1040" s="8" t="s">
        <v>95</v>
      </c>
      <c r="R1040" s="8" t="s">
        <v>32</v>
      </c>
      <c r="S1040" s="8" t="b">
        <f>_xlfn.SINGLE(CleanedData[[#This Row],[Delivery Status]])="Late"</f>
        <v>1</v>
      </c>
      <c r="T1040" s="10">
        <v>15</v>
      </c>
      <c r="U1040" s="8" t="s">
        <v>53</v>
      </c>
      <c r="V1040" s="10">
        <v>4152</v>
      </c>
      <c r="W1040" s="10">
        <v>8</v>
      </c>
      <c r="X1040" s="12">
        <v>1.05820105820105E-2</v>
      </c>
      <c r="Y1040" s="8" t="b">
        <f>CleanedData[[#This Row],[Ship Date]]&lt;CleanedData[[#This Row],[Order Date]]</f>
        <v>0</v>
      </c>
      <c r="Z1040" s="10">
        <f>YEAR(CleanedData[[#This Row],[Order Date]])</f>
        <v>2023</v>
      </c>
      <c r="AA1040" s="8">
        <f>MONTH(CleanedData[[#This Row],[Order Date]])</f>
        <v>1</v>
      </c>
    </row>
    <row r="1041" spans="1:27" x14ac:dyDescent="0.35">
      <c r="A1041" s="8" t="s">
        <v>2946</v>
      </c>
      <c r="B1041" s="9">
        <v>45319</v>
      </c>
      <c r="C1041" s="9">
        <v>45327</v>
      </c>
      <c r="D1041" s="8" t="s">
        <v>2948</v>
      </c>
      <c r="E1041" s="8" t="s">
        <v>100</v>
      </c>
      <c r="F1041" s="8" t="s">
        <v>106</v>
      </c>
      <c r="G1041" s="8" t="s">
        <v>28</v>
      </c>
      <c r="H1041" s="8" t="s">
        <v>579</v>
      </c>
      <c r="I1041" s="8" t="s">
        <v>4974</v>
      </c>
      <c r="J1041" s="10">
        <v>763</v>
      </c>
      <c r="K1041" s="11">
        <v>495.89</v>
      </c>
      <c r="L1041" s="11">
        <v>625.07000000000005</v>
      </c>
      <c r="M1041" s="11">
        <v>476928.41</v>
      </c>
      <c r="N1041" s="11">
        <v>378364.07</v>
      </c>
      <c r="O1041" s="11">
        <f>CleanedData[[#This Row],[Total Sales ($)]]-CleanedData[[#This Row],[Total Cost ($)]]</f>
        <v>98564.339999999967</v>
      </c>
      <c r="P1041" s="12">
        <f>CleanedData[[#This Row],[Profit ($)]]/CleanedData[[#This Row],[Total Sales ($)]]</f>
        <v>0.20666485353640388</v>
      </c>
      <c r="Q1041" s="8" t="s">
        <v>95</v>
      </c>
      <c r="R1041" s="8" t="s">
        <v>32</v>
      </c>
      <c r="S1041" s="8" t="b">
        <f>_xlfn.SINGLE(CleanedData[[#This Row],[Delivery Status]])="Late"</f>
        <v>1</v>
      </c>
      <c r="T1041" s="10">
        <v>7</v>
      </c>
      <c r="U1041" s="8" t="s">
        <v>112</v>
      </c>
      <c r="V1041" s="10">
        <v>2222</v>
      </c>
      <c r="W1041" s="10">
        <v>5</v>
      </c>
      <c r="X1041" s="12">
        <v>6.5530799475753002E-3</v>
      </c>
      <c r="Y1041" s="8" t="b">
        <f>CleanedData[[#This Row],[Ship Date]]&lt;CleanedData[[#This Row],[Order Date]]</f>
        <v>0</v>
      </c>
      <c r="Z1041" s="10">
        <f>YEAR(CleanedData[[#This Row],[Order Date]])</f>
        <v>2024</v>
      </c>
      <c r="AA1041" s="8">
        <f>MONTH(CleanedData[[#This Row],[Order Date]])</f>
        <v>1</v>
      </c>
    </row>
    <row r="1042" spans="1:27" x14ac:dyDescent="0.35">
      <c r="A1042" s="8" t="s">
        <v>2949</v>
      </c>
      <c r="B1042" s="9">
        <v>45425</v>
      </c>
      <c r="C1042" s="9">
        <v>45308</v>
      </c>
      <c r="D1042" s="8" t="s">
        <v>2951</v>
      </c>
      <c r="E1042" s="8" t="s">
        <v>100</v>
      </c>
      <c r="F1042" s="8" t="s">
        <v>330</v>
      </c>
      <c r="G1042" s="8" t="s">
        <v>28</v>
      </c>
      <c r="H1042" s="8" t="s">
        <v>111</v>
      </c>
      <c r="I1042" s="8" t="s">
        <v>4976</v>
      </c>
      <c r="J1042" s="10">
        <v>433</v>
      </c>
      <c r="K1042" s="11">
        <v>1130.3499999999999</v>
      </c>
      <c r="L1042" s="11">
        <v>1562.43</v>
      </c>
      <c r="M1042" s="11">
        <v>676532.19</v>
      </c>
      <c r="N1042" s="11">
        <v>489441.55</v>
      </c>
      <c r="O1042" s="11">
        <f>CleanedData[[#This Row],[Total Sales ($)]]-CleanedData[[#This Row],[Total Cost ($)]]</f>
        <v>187090.63999999996</v>
      </c>
      <c r="P1042" s="12">
        <f>CleanedData[[#This Row],[Profit ($)]]/CleanedData[[#This Row],[Total Sales ($)]]</f>
        <v>0.27654358915279398</v>
      </c>
      <c r="Q1042" s="8" t="s">
        <v>95</v>
      </c>
      <c r="R1042" s="8" t="s">
        <v>32</v>
      </c>
      <c r="S1042" s="8" t="b">
        <f>_xlfn.SINGLE(CleanedData[[#This Row],[Delivery Status]])="Late"</f>
        <v>1</v>
      </c>
      <c r="T1042" s="10">
        <v>15</v>
      </c>
      <c r="U1042" s="8" t="s">
        <v>53</v>
      </c>
      <c r="V1042" s="10">
        <v>2875</v>
      </c>
      <c r="W1042" s="10">
        <v>12</v>
      </c>
      <c r="X1042" s="12">
        <v>2.7713625866050799E-2</v>
      </c>
      <c r="Y1042" s="8" t="b">
        <f>CleanedData[[#This Row],[Ship Date]]&lt;CleanedData[[#This Row],[Order Date]]</f>
        <v>1</v>
      </c>
      <c r="Z1042" s="10">
        <f>YEAR(CleanedData[[#This Row],[Order Date]])</f>
        <v>2024</v>
      </c>
      <c r="AA1042" s="8">
        <f>MONTH(CleanedData[[#This Row],[Order Date]])</f>
        <v>5</v>
      </c>
    </row>
    <row r="1043" spans="1:27" x14ac:dyDescent="0.35">
      <c r="A1043" s="8" t="s">
        <v>2952</v>
      </c>
      <c r="B1043" s="9">
        <v>45204</v>
      </c>
      <c r="C1043" s="9">
        <v>44927</v>
      </c>
      <c r="D1043" s="8" t="s">
        <v>2953</v>
      </c>
      <c r="E1043" s="8" t="s">
        <v>68</v>
      </c>
      <c r="F1043" s="8" t="s">
        <v>69</v>
      </c>
      <c r="G1043" s="8" t="s">
        <v>28</v>
      </c>
      <c r="H1043" s="8" t="s">
        <v>254</v>
      </c>
      <c r="I1043" s="8" t="s">
        <v>4978</v>
      </c>
      <c r="J1043" s="10">
        <v>340</v>
      </c>
      <c r="K1043" s="11">
        <v>983.01</v>
      </c>
      <c r="L1043" s="11">
        <v>1460.58</v>
      </c>
      <c r="M1043" s="11">
        <v>496597.2</v>
      </c>
      <c r="N1043" s="11">
        <v>334223.40000000002</v>
      </c>
      <c r="O1043" s="11">
        <f>CleanedData[[#This Row],[Total Sales ($)]]-CleanedData[[#This Row],[Total Cost ($)]]</f>
        <v>162373.79999999999</v>
      </c>
      <c r="P1043" s="12">
        <f>CleanedData[[#This Row],[Profit ($)]]/CleanedData[[#This Row],[Total Sales ($)]]</f>
        <v>0.32697284640348351</v>
      </c>
      <c r="Q1043" s="8" t="s">
        <v>31</v>
      </c>
      <c r="R1043" s="8" t="s">
        <v>63</v>
      </c>
      <c r="S1043" s="8" t="b">
        <f>_xlfn.SINGLE(CleanedData[[#This Row],[Delivery Status]])="Late"</f>
        <v>0</v>
      </c>
      <c r="T1043" s="10">
        <v>1</v>
      </c>
      <c r="U1043" s="8" t="s">
        <v>112</v>
      </c>
      <c r="V1043" s="10">
        <v>4814</v>
      </c>
      <c r="W1043" s="10">
        <v>4</v>
      </c>
      <c r="X1043" s="12">
        <v>1.1764705882352899E-2</v>
      </c>
      <c r="Y1043" s="8" t="b">
        <f>CleanedData[[#This Row],[Ship Date]]&lt;CleanedData[[#This Row],[Order Date]]</f>
        <v>1</v>
      </c>
      <c r="Z1043" s="10">
        <f>YEAR(CleanedData[[#This Row],[Order Date]])</f>
        <v>2023</v>
      </c>
      <c r="AA1043" s="8">
        <f>MONTH(CleanedData[[#This Row],[Order Date]])</f>
        <v>10</v>
      </c>
    </row>
    <row r="1044" spans="1:27" x14ac:dyDescent="0.35">
      <c r="A1044" s="8" t="s">
        <v>2954</v>
      </c>
      <c r="B1044" s="9">
        <v>44939</v>
      </c>
      <c r="C1044" s="9">
        <v>45231</v>
      </c>
      <c r="D1044" s="8" t="s">
        <v>2955</v>
      </c>
      <c r="E1044" s="8" t="s">
        <v>100</v>
      </c>
      <c r="F1044" s="8" t="s">
        <v>238</v>
      </c>
      <c r="G1044" s="8" t="s">
        <v>60</v>
      </c>
      <c r="H1044" s="8" t="s">
        <v>265</v>
      </c>
      <c r="I1044" s="8" t="s">
        <v>4977</v>
      </c>
      <c r="J1044" s="10">
        <v>385</v>
      </c>
      <c r="K1044" s="11">
        <v>134.85</v>
      </c>
      <c r="L1044" s="11">
        <v>217.46</v>
      </c>
      <c r="M1044" s="11">
        <v>83722.100000000006</v>
      </c>
      <c r="N1044" s="11">
        <v>51917.25</v>
      </c>
      <c r="O1044" s="11">
        <f>CleanedData[[#This Row],[Total Sales ($)]]-CleanedData[[#This Row],[Total Cost ($)]]</f>
        <v>31804.850000000006</v>
      </c>
      <c r="P1044" s="12">
        <f>CleanedData[[#This Row],[Profit ($)]]/CleanedData[[#This Row],[Total Sales ($)]]</f>
        <v>0.37988595603789205</v>
      </c>
      <c r="Q1044" s="8" t="s">
        <v>42</v>
      </c>
      <c r="R1044" s="8" t="s">
        <v>32</v>
      </c>
      <c r="S1044" s="8" t="b">
        <f>_xlfn.SINGLE(CleanedData[[#This Row],[Delivery Status]])="Late"</f>
        <v>1</v>
      </c>
      <c r="T1044" s="10">
        <v>7</v>
      </c>
      <c r="U1044" s="8" t="s">
        <v>43</v>
      </c>
      <c r="V1044" s="10">
        <v>3225</v>
      </c>
      <c r="W1044" s="10">
        <v>15</v>
      </c>
      <c r="X1044" s="12">
        <v>3.8961038961038898E-2</v>
      </c>
      <c r="Y1044" s="8" t="b">
        <f>CleanedData[[#This Row],[Ship Date]]&lt;CleanedData[[#This Row],[Order Date]]</f>
        <v>0</v>
      </c>
      <c r="Z1044" s="10">
        <f>YEAR(CleanedData[[#This Row],[Order Date]])</f>
        <v>2023</v>
      </c>
      <c r="AA1044" s="8">
        <f>MONTH(CleanedData[[#This Row],[Order Date]])</f>
        <v>1</v>
      </c>
    </row>
    <row r="1045" spans="1:27" x14ac:dyDescent="0.35">
      <c r="A1045" s="8" t="s">
        <v>2956</v>
      </c>
      <c r="B1045" s="9">
        <v>45248</v>
      </c>
      <c r="C1045" s="9">
        <v>45103</v>
      </c>
      <c r="D1045" s="8" t="s">
        <v>2957</v>
      </c>
      <c r="E1045" s="8" t="s">
        <v>68</v>
      </c>
      <c r="F1045" s="8" t="s">
        <v>146</v>
      </c>
      <c r="G1045" s="8" t="s">
        <v>189</v>
      </c>
      <c r="H1045" s="8" t="s">
        <v>561</v>
      </c>
      <c r="I1045" s="8" t="s">
        <v>4970</v>
      </c>
      <c r="J1045" s="10">
        <v>6</v>
      </c>
      <c r="K1045" s="11">
        <v>699.12</v>
      </c>
      <c r="L1045" s="11">
        <v>1012.87</v>
      </c>
      <c r="M1045" s="11">
        <v>6077.22</v>
      </c>
      <c r="N1045" s="11">
        <v>4194.72</v>
      </c>
      <c r="O1045" s="11">
        <f>CleanedData[[#This Row],[Total Sales ($)]]-CleanedData[[#This Row],[Total Cost ($)]]</f>
        <v>1882.5</v>
      </c>
      <c r="P1045" s="12">
        <f>CleanedData[[#This Row],[Profit ($)]]/CleanedData[[#This Row],[Total Sales ($)]]</f>
        <v>0.30976334574032205</v>
      </c>
      <c r="Q1045" s="8" t="s">
        <v>42</v>
      </c>
      <c r="R1045" s="8" t="s">
        <v>63</v>
      </c>
      <c r="S1045" s="8" t="b">
        <f>_xlfn.SINGLE(CleanedData[[#This Row],[Delivery Status]])="Late"</f>
        <v>0</v>
      </c>
      <c r="T1045" s="10">
        <v>3</v>
      </c>
      <c r="U1045" s="8" t="s">
        <v>112</v>
      </c>
      <c r="V1045" s="10">
        <v>3778</v>
      </c>
      <c r="W1045" s="10">
        <v>1</v>
      </c>
      <c r="X1045" s="12">
        <v>0.16666666666666699</v>
      </c>
      <c r="Y1045" s="8" t="b">
        <f>CleanedData[[#This Row],[Ship Date]]&lt;CleanedData[[#This Row],[Order Date]]</f>
        <v>1</v>
      </c>
      <c r="Z1045" s="10">
        <f>YEAR(CleanedData[[#This Row],[Order Date]])</f>
        <v>2023</v>
      </c>
      <c r="AA1045" s="8">
        <f>MONTH(CleanedData[[#This Row],[Order Date]])</f>
        <v>11</v>
      </c>
    </row>
    <row r="1046" spans="1:27" x14ac:dyDescent="0.35">
      <c r="A1046" s="8" t="s">
        <v>2958</v>
      </c>
      <c r="B1046" s="9">
        <v>45622</v>
      </c>
      <c r="C1046" s="9">
        <v>45348</v>
      </c>
      <c r="D1046" s="8" t="s">
        <v>280</v>
      </c>
      <c r="E1046" s="8" t="s">
        <v>68</v>
      </c>
      <c r="F1046" s="8" t="s">
        <v>163</v>
      </c>
      <c r="G1046" s="8" t="s">
        <v>217</v>
      </c>
      <c r="H1046" s="8" t="s">
        <v>218</v>
      </c>
      <c r="I1046" s="8" t="s">
        <v>4973</v>
      </c>
      <c r="J1046" s="10">
        <v>319</v>
      </c>
      <c r="K1046" s="11">
        <v>217.95</v>
      </c>
      <c r="L1046" s="11">
        <v>256.94</v>
      </c>
      <c r="M1046" s="11">
        <v>81963.86</v>
      </c>
      <c r="N1046" s="11">
        <v>69526.05</v>
      </c>
      <c r="O1046" s="11">
        <f>CleanedData[[#This Row],[Total Sales ($)]]-CleanedData[[#This Row],[Total Cost ($)]]</f>
        <v>12437.809999999998</v>
      </c>
      <c r="P1046" s="12">
        <f>CleanedData[[#This Row],[Profit ($)]]/CleanedData[[#This Row],[Total Sales ($)]]</f>
        <v>0.15174748968630805</v>
      </c>
      <c r="Q1046" s="8" t="s">
        <v>31</v>
      </c>
      <c r="R1046" s="8" t="s">
        <v>32</v>
      </c>
      <c r="S1046" s="8" t="b">
        <f>_xlfn.SINGLE(CleanedData[[#This Row],[Delivery Status]])="Late"</f>
        <v>1</v>
      </c>
      <c r="T1046" s="10">
        <v>11</v>
      </c>
      <c r="U1046" s="8" t="s">
        <v>112</v>
      </c>
      <c r="V1046" s="10">
        <v>102</v>
      </c>
      <c r="W1046" s="10">
        <v>7</v>
      </c>
      <c r="X1046" s="12">
        <v>2.1943573667711599E-2</v>
      </c>
      <c r="Y1046" s="8" t="b">
        <f>CleanedData[[#This Row],[Ship Date]]&lt;CleanedData[[#This Row],[Order Date]]</f>
        <v>1</v>
      </c>
      <c r="Z1046" s="10">
        <f>YEAR(CleanedData[[#This Row],[Order Date]])</f>
        <v>2024</v>
      </c>
      <c r="AA1046" s="8">
        <f>MONTH(CleanedData[[#This Row],[Order Date]])</f>
        <v>11</v>
      </c>
    </row>
    <row r="1047" spans="1:27" x14ac:dyDescent="0.35">
      <c r="A1047" s="8" t="s">
        <v>2960</v>
      </c>
      <c r="B1047" s="9">
        <v>45080</v>
      </c>
      <c r="C1047" s="9">
        <v>45002</v>
      </c>
      <c r="D1047" s="8" t="s">
        <v>2806</v>
      </c>
      <c r="E1047" s="8" t="s">
        <v>68</v>
      </c>
      <c r="F1047" s="8" t="s">
        <v>249</v>
      </c>
      <c r="G1047" s="8" t="s">
        <v>93</v>
      </c>
      <c r="H1047" s="8" t="s">
        <v>485</v>
      </c>
      <c r="I1047" s="8" t="s">
        <v>4968</v>
      </c>
      <c r="J1047" s="10">
        <v>413</v>
      </c>
      <c r="K1047" s="11">
        <v>781.05</v>
      </c>
      <c r="L1047" s="11">
        <v>983.95</v>
      </c>
      <c r="M1047" s="11">
        <v>406371.35</v>
      </c>
      <c r="N1047" s="11">
        <v>322573.65000000002</v>
      </c>
      <c r="O1047" s="11">
        <f>CleanedData[[#This Row],[Total Sales ($)]]-CleanedData[[#This Row],[Total Cost ($)]]</f>
        <v>83797.699999999953</v>
      </c>
      <c r="P1047" s="12">
        <f>CleanedData[[#This Row],[Profit ($)]]/CleanedData[[#This Row],[Total Sales ($)]]</f>
        <v>0.20620966512526032</v>
      </c>
      <c r="Q1047" s="8" t="s">
        <v>31</v>
      </c>
      <c r="R1047" s="8" t="s">
        <v>32</v>
      </c>
      <c r="S1047" s="8" t="b">
        <f>_xlfn.SINGLE(CleanedData[[#This Row],[Delivery Status]])="Late"</f>
        <v>1</v>
      </c>
      <c r="T1047" s="10">
        <v>13</v>
      </c>
      <c r="U1047" s="8" t="s">
        <v>158</v>
      </c>
      <c r="V1047" s="10">
        <v>3300</v>
      </c>
      <c r="W1047" s="10">
        <v>16</v>
      </c>
      <c r="X1047" s="12">
        <v>3.8740920096852302E-2</v>
      </c>
      <c r="Y1047" s="8" t="b">
        <f>CleanedData[[#This Row],[Ship Date]]&lt;CleanedData[[#This Row],[Order Date]]</f>
        <v>1</v>
      </c>
      <c r="Z1047" s="10">
        <f>YEAR(CleanedData[[#This Row],[Order Date]])</f>
        <v>2023</v>
      </c>
      <c r="AA1047" s="8">
        <f>MONTH(CleanedData[[#This Row],[Order Date]])</f>
        <v>6</v>
      </c>
    </row>
    <row r="1048" spans="1:27" x14ac:dyDescent="0.35">
      <c r="A1048" s="8" t="s">
        <v>2961</v>
      </c>
      <c r="B1048" s="9">
        <v>45253</v>
      </c>
      <c r="C1048" s="9">
        <v>45197</v>
      </c>
      <c r="D1048" s="8" t="s">
        <v>2963</v>
      </c>
      <c r="E1048" s="8" t="s">
        <v>100</v>
      </c>
      <c r="F1048" s="8" t="s">
        <v>238</v>
      </c>
      <c r="G1048" s="8" t="s">
        <v>129</v>
      </c>
      <c r="H1048" s="8" t="s">
        <v>704</v>
      </c>
      <c r="I1048" s="8" t="s">
        <v>4978</v>
      </c>
      <c r="J1048" s="10">
        <v>68</v>
      </c>
      <c r="K1048" s="11">
        <v>166.92</v>
      </c>
      <c r="L1048" s="11">
        <v>241.06</v>
      </c>
      <c r="M1048" s="11">
        <v>16392.080000000002</v>
      </c>
      <c r="N1048" s="11">
        <v>11350.56</v>
      </c>
      <c r="O1048" s="11">
        <f>CleanedData[[#This Row],[Total Sales ($)]]-CleanedData[[#This Row],[Total Cost ($)]]</f>
        <v>5041.5200000000023</v>
      </c>
      <c r="P1048" s="12">
        <f>CleanedData[[#This Row],[Profit ($)]]/CleanedData[[#This Row],[Total Sales ($)]]</f>
        <v>0.30755828424458653</v>
      </c>
      <c r="Q1048" s="8" t="s">
        <v>31</v>
      </c>
      <c r="R1048" s="8" t="s">
        <v>32</v>
      </c>
      <c r="S1048" s="8" t="b">
        <f>_xlfn.SINGLE(CleanedData[[#This Row],[Delivery Status]])="Late"</f>
        <v>1</v>
      </c>
      <c r="T1048" s="10">
        <v>13</v>
      </c>
      <c r="U1048" s="8" t="s">
        <v>33</v>
      </c>
      <c r="V1048" s="10">
        <v>3033</v>
      </c>
      <c r="W1048" s="10">
        <v>2</v>
      </c>
      <c r="X1048" s="12">
        <v>2.94117647058823E-2</v>
      </c>
      <c r="Y1048" s="8" t="b">
        <f>CleanedData[[#This Row],[Ship Date]]&lt;CleanedData[[#This Row],[Order Date]]</f>
        <v>1</v>
      </c>
      <c r="Z1048" s="10">
        <f>YEAR(CleanedData[[#This Row],[Order Date]])</f>
        <v>2023</v>
      </c>
      <c r="AA1048" s="8">
        <f>MONTH(CleanedData[[#This Row],[Order Date]])</f>
        <v>11</v>
      </c>
    </row>
    <row r="1049" spans="1:27" x14ac:dyDescent="0.35">
      <c r="A1049" s="8" t="s">
        <v>2964</v>
      </c>
      <c r="B1049" s="9">
        <v>45080</v>
      </c>
      <c r="C1049" s="9">
        <v>45252</v>
      </c>
      <c r="D1049" s="8" t="s">
        <v>2965</v>
      </c>
      <c r="E1049" s="8" t="s">
        <v>48</v>
      </c>
      <c r="F1049" s="8" t="s">
        <v>183</v>
      </c>
      <c r="G1049" s="8" t="s">
        <v>50</v>
      </c>
      <c r="H1049" s="8" t="s">
        <v>260</v>
      </c>
      <c r="I1049" s="8" t="s">
        <v>4973</v>
      </c>
      <c r="J1049" s="10">
        <v>760</v>
      </c>
      <c r="K1049" s="11">
        <v>569.97</v>
      </c>
      <c r="L1049" s="11">
        <v>742.32</v>
      </c>
      <c r="M1049" s="11">
        <v>564163.19999999995</v>
      </c>
      <c r="N1049" s="11">
        <v>433177.2</v>
      </c>
      <c r="O1049" s="11">
        <f>CleanedData[[#This Row],[Total Sales ($)]]-CleanedData[[#This Row],[Total Cost ($)]]</f>
        <v>130985.99999999994</v>
      </c>
      <c r="P1049" s="12">
        <f>CleanedData[[#This Row],[Profit ($)]]/CleanedData[[#This Row],[Total Sales ($)]]</f>
        <v>0.23217749757516964</v>
      </c>
      <c r="Q1049" s="8" t="s">
        <v>31</v>
      </c>
      <c r="R1049" s="8" t="s">
        <v>32</v>
      </c>
      <c r="S1049" s="8" t="b">
        <f>_xlfn.SINGLE(CleanedData[[#This Row],[Delivery Status]])="Late"</f>
        <v>1</v>
      </c>
      <c r="T1049" s="10">
        <v>13</v>
      </c>
      <c r="U1049" s="8" t="s">
        <v>158</v>
      </c>
      <c r="V1049" s="10">
        <v>1431</v>
      </c>
      <c r="W1049" s="10">
        <v>24</v>
      </c>
      <c r="X1049" s="12">
        <v>3.1578947368420998E-2</v>
      </c>
      <c r="Y1049" s="8" t="b">
        <f>CleanedData[[#This Row],[Ship Date]]&lt;CleanedData[[#This Row],[Order Date]]</f>
        <v>0</v>
      </c>
      <c r="Z1049" s="10">
        <f>YEAR(CleanedData[[#This Row],[Order Date]])</f>
        <v>2023</v>
      </c>
      <c r="AA1049" s="8">
        <f>MONTH(CleanedData[[#This Row],[Order Date]])</f>
        <v>6</v>
      </c>
    </row>
    <row r="1050" spans="1:27" x14ac:dyDescent="0.35">
      <c r="A1050" s="8" t="s">
        <v>2966</v>
      </c>
      <c r="B1050" s="9">
        <v>45021</v>
      </c>
      <c r="C1050" s="9">
        <v>45191</v>
      </c>
      <c r="D1050" s="8" t="s">
        <v>2967</v>
      </c>
      <c r="E1050" s="8" t="s">
        <v>68</v>
      </c>
      <c r="F1050" s="8" t="s">
        <v>163</v>
      </c>
      <c r="G1050" s="8" t="s">
        <v>50</v>
      </c>
      <c r="H1050" s="8" t="s">
        <v>173</v>
      </c>
      <c r="I1050" s="8" t="s">
        <v>4974</v>
      </c>
      <c r="J1050" s="10">
        <v>319</v>
      </c>
      <c r="K1050" s="11">
        <v>794.02</v>
      </c>
      <c r="L1050" s="11">
        <v>1269.42</v>
      </c>
      <c r="M1050" s="11">
        <v>404944.98</v>
      </c>
      <c r="N1050" s="11">
        <v>253292.38</v>
      </c>
      <c r="O1050" s="11">
        <f>CleanedData[[#This Row],[Total Sales ($)]]-CleanedData[[#This Row],[Total Cost ($)]]</f>
        <v>151652.59999999998</v>
      </c>
      <c r="P1050" s="12">
        <f>CleanedData[[#This Row],[Profit ($)]]/CleanedData[[#This Row],[Total Sales ($)]]</f>
        <v>0.37450174095256095</v>
      </c>
      <c r="Q1050" s="8" t="s">
        <v>42</v>
      </c>
      <c r="R1050" s="8" t="s">
        <v>63</v>
      </c>
      <c r="S1050" s="8" t="b">
        <f>_xlfn.SINGLE(CleanedData[[#This Row],[Delivery Status]])="Late"</f>
        <v>0</v>
      </c>
      <c r="T1050" s="10">
        <v>1</v>
      </c>
      <c r="U1050" s="8" t="s">
        <v>33</v>
      </c>
      <c r="V1050" s="10">
        <v>1315</v>
      </c>
      <c r="W1050" s="10">
        <v>11</v>
      </c>
      <c r="X1050" s="12">
        <v>3.4482758620689599E-2</v>
      </c>
      <c r="Y1050" s="8" t="b">
        <f>CleanedData[[#This Row],[Ship Date]]&lt;CleanedData[[#This Row],[Order Date]]</f>
        <v>0</v>
      </c>
      <c r="Z1050" s="10">
        <f>YEAR(CleanedData[[#This Row],[Order Date]])</f>
        <v>2023</v>
      </c>
      <c r="AA1050" s="8">
        <f>MONTH(CleanedData[[#This Row],[Order Date]])</f>
        <v>4</v>
      </c>
    </row>
    <row r="1051" spans="1:27" x14ac:dyDescent="0.35">
      <c r="A1051" s="8" t="s">
        <v>2968</v>
      </c>
      <c r="B1051" s="9">
        <v>45189</v>
      </c>
      <c r="C1051" s="9">
        <v>44954</v>
      </c>
      <c r="D1051" s="8" t="s">
        <v>2969</v>
      </c>
      <c r="E1051" s="8" t="s">
        <v>68</v>
      </c>
      <c r="F1051" s="8" t="s">
        <v>69</v>
      </c>
      <c r="G1051" s="8" t="s">
        <v>217</v>
      </c>
      <c r="H1051" s="8" t="s">
        <v>292</v>
      </c>
      <c r="I1051" s="8" t="s">
        <v>4970</v>
      </c>
      <c r="J1051" s="10">
        <v>512</v>
      </c>
      <c r="K1051" s="11">
        <v>153.22</v>
      </c>
      <c r="L1051" s="11">
        <v>245.73</v>
      </c>
      <c r="M1051" s="11">
        <v>125813.75999999999</v>
      </c>
      <c r="N1051" s="11">
        <v>78448.639999999999</v>
      </c>
      <c r="O1051" s="11">
        <f>CleanedData[[#This Row],[Total Sales ($)]]-CleanedData[[#This Row],[Total Cost ($)]]</f>
        <v>47365.119999999995</v>
      </c>
      <c r="P1051" s="12">
        <f>CleanedData[[#This Row],[Profit ($)]]/CleanedData[[#This Row],[Total Sales ($)]]</f>
        <v>0.37647010946974319</v>
      </c>
      <c r="Q1051" s="8" t="s">
        <v>95</v>
      </c>
      <c r="R1051" s="8" t="s">
        <v>32</v>
      </c>
      <c r="S1051" s="8" t="b">
        <f>_xlfn.SINGLE(CleanedData[[#This Row],[Delivery Status]])="Late"</f>
        <v>1</v>
      </c>
      <c r="T1051" s="10">
        <v>11</v>
      </c>
      <c r="U1051" s="8" t="s">
        <v>43</v>
      </c>
      <c r="V1051" s="10">
        <v>1898</v>
      </c>
      <c r="W1051" s="10">
        <v>11</v>
      </c>
      <c r="X1051" s="12">
        <v>2.1484375E-2</v>
      </c>
      <c r="Y1051" s="8" t="b">
        <f>CleanedData[[#This Row],[Ship Date]]&lt;CleanedData[[#This Row],[Order Date]]</f>
        <v>1</v>
      </c>
      <c r="Z1051" s="10">
        <f>YEAR(CleanedData[[#This Row],[Order Date]])</f>
        <v>2023</v>
      </c>
      <c r="AA1051" s="8">
        <f>MONTH(CleanedData[[#This Row],[Order Date]])</f>
        <v>9</v>
      </c>
    </row>
    <row r="1052" spans="1:27" x14ac:dyDescent="0.35">
      <c r="A1052" s="8" t="s">
        <v>2970</v>
      </c>
      <c r="B1052" s="9">
        <v>45144</v>
      </c>
      <c r="C1052" s="9">
        <v>45144</v>
      </c>
      <c r="D1052" s="8" t="s">
        <v>2971</v>
      </c>
      <c r="E1052" s="8" t="s">
        <v>68</v>
      </c>
      <c r="F1052" s="8" t="s">
        <v>69</v>
      </c>
      <c r="G1052" s="8" t="s">
        <v>60</v>
      </c>
      <c r="H1052" s="8" t="s">
        <v>229</v>
      </c>
      <c r="I1052" s="8" t="s">
        <v>4971</v>
      </c>
      <c r="J1052" s="10">
        <v>250</v>
      </c>
      <c r="K1052" s="11">
        <v>1142.51</v>
      </c>
      <c r="L1052" s="11">
        <v>1532.77</v>
      </c>
      <c r="M1052" s="11">
        <v>383192.5</v>
      </c>
      <c r="N1052" s="11">
        <v>285627.5</v>
      </c>
      <c r="O1052" s="11">
        <f>CleanedData[[#This Row],[Total Sales ($)]]-CleanedData[[#This Row],[Total Cost ($)]]</f>
        <v>97565</v>
      </c>
      <c r="P1052" s="12">
        <f>CleanedData[[#This Row],[Profit ($)]]/CleanedData[[#This Row],[Total Sales ($)]]</f>
        <v>0.25461093314717798</v>
      </c>
      <c r="Q1052" s="8" t="s">
        <v>42</v>
      </c>
      <c r="R1052" s="8" t="s">
        <v>63</v>
      </c>
      <c r="S1052" s="8" t="b">
        <f>_xlfn.SINGLE(CleanedData[[#This Row],[Delivery Status]])="Late"</f>
        <v>0</v>
      </c>
      <c r="T1052" s="10">
        <v>2</v>
      </c>
      <c r="U1052" s="8" t="s">
        <v>86</v>
      </c>
      <c r="V1052" s="10">
        <v>2525</v>
      </c>
      <c r="W1052" s="10">
        <v>2</v>
      </c>
      <c r="X1052" s="12">
        <v>8.0000000000000002E-3</v>
      </c>
      <c r="Y1052" s="8" t="b">
        <f>CleanedData[[#This Row],[Ship Date]]&lt;CleanedData[[#This Row],[Order Date]]</f>
        <v>0</v>
      </c>
      <c r="Z1052" s="10">
        <f>YEAR(CleanedData[[#This Row],[Order Date]])</f>
        <v>2023</v>
      </c>
      <c r="AA1052" s="8">
        <f>MONTH(CleanedData[[#This Row],[Order Date]])</f>
        <v>8</v>
      </c>
    </row>
    <row r="1053" spans="1:27" x14ac:dyDescent="0.35">
      <c r="A1053" s="8" t="s">
        <v>2972</v>
      </c>
      <c r="B1053" s="9">
        <v>45122</v>
      </c>
      <c r="C1053" s="9">
        <v>45190</v>
      </c>
      <c r="D1053" s="8" t="s">
        <v>2973</v>
      </c>
      <c r="E1053" s="8" t="s">
        <v>48</v>
      </c>
      <c r="F1053" s="8" t="s">
        <v>501</v>
      </c>
      <c r="G1053" s="8" t="s">
        <v>50</v>
      </c>
      <c r="H1053" s="8" t="s">
        <v>117</v>
      </c>
      <c r="I1053" s="8" t="s">
        <v>4975</v>
      </c>
      <c r="J1053" s="10">
        <v>460</v>
      </c>
      <c r="K1053" s="11">
        <v>282.52</v>
      </c>
      <c r="L1053" s="11">
        <v>455.82</v>
      </c>
      <c r="M1053" s="11">
        <v>209677.2</v>
      </c>
      <c r="N1053" s="11">
        <v>129959.2</v>
      </c>
      <c r="O1053" s="11">
        <f>CleanedData[[#This Row],[Total Sales ($)]]-CleanedData[[#This Row],[Total Cost ($)]]</f>
        <v>79718.000000000015</v>
      </c>
      <c r="P1053" s="12">
        <f>CleanedData[[#This Row],[Profit ($)]]/CleanedData[[#This Row],[Total Sales ($)]]</f>
        <v>0.38019393620288716</v>
      </c>
      <c r="Q1053" s="8" t="s">
        <v>42</v>
      </c>
      <c r="R1053" s="8" t="s">
        <v>32</v>
      </c>
      <c r="S1053" s="8" t="b">
        <f>_xlfn.SINGLE(CleanedData[[#This Row],[Delivery Status]])="Late"</f>
        <v>1</v>
      </c>
      <c r="T1053" s="10">
        <v>8</v>
      </c>
      <c r="U1053" s="8" t="s">
        <v>112</v>
      </c>
      <c r="V1053" s="10">
        <v>2316</v>
      </c>
      <c r="W1053" s="10">
        <v>1</v>
      </c>
      <c r="X1053" s="12">
        <v>2.1739130434782002E-3</v>
      </c>
      <c r="Y1053" s="8" t="b">
        <f>CleanedData[[#This Row],[Ship Date]]&lt;CleanedData[[#This Row],[Order Date]]</f>
        <v>0</v>
      </c>
      <c r="Z1053" s="10">
        <f>YEAR(CleanedData[[#This Row],[Order Date]])</f>
        <v>2023</v>
      </c>
      <c r="AA1053" s="8">
        <f>MONTH(CleanedData[[#This Row],[Order Date]])</f>
        <v>7</v>
      </c>
    </row>
    <row r="1054" spans="1:27" x14ac:dyDescent="0.35">
      <c r="A1054" s="8" t="s">
        <v>2974</v>
      </c>
      <c r="B1054" s="9">
        <v>45105</v>
      </c>
      <c r="C1054" s="9">
        <v>45157</v>
      </c>
      <c r="D1054" s="8" t="s">
        <v>2975</v>
      </c>
      <c r="E1054" s="8" t="s">
        <v>58</v>
      </c>
      <c r="F1054" s="8" t="s">
        <v>122</v>
      </c>
      <c r="G1054" s="8" t="s">
        <v>129</v>
      </c>
      <c r="H1054" s="8" t="s">
        <v>168</v>
      </c>
      <c r="I1054" s="8" t="s">
        <v>4974</v>
      </c>
      <c r="J1054" s="10">
        <v>263</v>
      </c>
      <c r="K1054" s="11">
        <v>660.05</v>
      </c>
      <c r="L1054" s="11">
        <v>971.36</v>
      </c>
      <c r="M1054" s="11">
        <v>255467.68</v>
      </c>
      <c r="N1054" s="11">
        <v>173593.15</v>
      </c>
      <c r="O1054" s="11">
        <f>CleanedData[[#This Row],[Total Sales ($)]]-CleanedData[[#This Row],[Total Cost ($)]]</f>
        <v>81874.53</v>
      </c>
      <c r="P1054" s="12">
        <f>CleanedData[[#This Row],[Profit ($)]]/CleanedData[[#This Row],[Total Sales ($)]]</f>
        <v>0.32048879920935597</v>
      </c>
      <c r="Q1054" s="8" t="s">
        <v>95</v>
      </c>
      <c r="R1054" s="8" t="s">
        <v>32</v>
      </c>
      <c r="S1054" s="8" t="b">
        <f>_xlfn.SINGLE(CleanedData[[#This Row],[Delivery Status]])="Late"</f>
        <v>1</v>
      </c>
      <c r="T1054" s="10">
        <v>10</v>
      </c>
      <c r="U1054" s="8" t="s">
        <v>158</v>
      </c>
      <c r="V1054" s="10">
        <v>1543</v>
      </c>
      <c r="W1054" s="10">
        <v>12</v>
      </c>
      <c r="X1054" s="12">
        <v>4.5627376425855501E-2</v>
      </c>
      <c r="Y1054" s="8" t="b">
        <f>CleanedData[[#This Row],[Ship Date]]&lt;CleanedData[[#This Row],[Order Date]]</f>
        <v>0</v>
      </c>
      <c r="Z1054" s="10">
        <f>YEAR(CleanedData[[#This Row],[Order Date]])</f>
        <v>2023</v>
      </c>
      <c r="AA1054" s="8">
        <f>MONTH(CleanedData[[#This Row],[Order Date]])</f>
        <v>6</v>
      </c>
    </row>
    <row r="1055" spans="1:27" x14ac:dyDescent="0.35">
      <c r="A1055" s="8" t="s">
        <v>2976</v>
      </c>
      <c r="B1055" s="9">
        <v>45396</v>
      </c>
      <c r="C1055" s="9">
        <v>45399</v>
      </c>
      <c r="D1055" s="8" t="s">
        <v>2977</v>
      </c>
      <c r="E1055" s="8" t="s">
        <v>58</v>
      </c>
      <c r="F1055" s="8" t="s">
        <v>122</v>
      </c>
      <c r="G1055" s="8" t="s">
        <v>70</v>
      </c>
      <c r="H1055" s="8" t="s">
        <v>1019</v>
      </c>
      <c r="I1055" s="8" t="s">
        <v>4968</v>
      </c>
      <c r="J1055" s="10">
        <v>15</v>
      </c>
      <c r="K1055" s="11">
        <v>940.84</v>
      </c>
      <c r="L1055" s="11">
        <v>1524.09</v>
      </c>
      <c r="M1055" s="11">
        <v>22861.35</v>
      </c>
      <c r="N1055" s="11">
        <v>14112.6</v>
      </c>
      <c r="O1055" s="11">
        <f>CleanedData[[#This Row],[Total Sales ($)]]-CleanedData[[#This Row],[Total Cost ($)]]</f>
        <v>8748.7499999999982</v>
      </c>
      <c r="P1055" s="12">
        <f>CleanedData[[#This Row],[Profit ($)]]/CleanedData[[#This Row],[Total Sales ($)]]</f>
        <v>0.3826873741052037</v>
      </c>
      <c r="Q1055" s="8" t="s">
        <v>31</v>
      </c>
      <c r="R1055" s="8" t="s">
        <v>32</v>
      </c>
      <c r="S1055" s="8" t="b">
        <f>_xlfn.SINGLE(CleanedData[[#This Row],[Delivery Status]])="Late"</f>
        <v>1</v>
      </c>
      <c r="T1055" s="10">
        <v>12</v>
      </c>
      <c r="U1055" s="8" t="s">
        <v>43</v>
      </c>
      <c r="V1055" s="10">
        <v>1784</v>
      </c>
      <c r="W1055" s="10">
        <v>1</v>
      </c>
      <c r="X1055" s="12">
        <v>6.6666666666666596E-2</v>
      </c>
      <c r="Y1055" s="8" t="b">
        <f>CleanedData[[#This Row],[Ship Date]]&lt;CleanedData[[#This Row],[Order Date]]</f>
        <v>0</v>
      </c>
      <c r="Z1055" s="10">
        <f>YEAR(CleanedData[[#This Row],[Order Date]])</f>
        <v>2024</v>
      </c>
      <c r="AA1055" s="8">
        <f>MONTH(CleanedData[[#This Row],[Order Date]])</f>
        <v>4</v>
      </c>
    </row>
    <row r="1056" spans="1:27" x14ac:dyDescent="0.35">
      <c r="A1056" s="8" t="s">
        <v>2978</v>
      </c>
      <c r="B1056" s="9">
        <v>45023</v>
      </c>
      <c r="C1056" s="9">
        <v>45247</v>
      </c>
      <c r="D1056" s="8" t="s">
        <v>2979</v>
      </c>
      <c r="E1056" s="8" t="s">
        <v>100</v>
      </c>
      <c r="F1056" s="8" t="s">
        <v>101</v>
      </c>
      <c r="G1056" s="8" t="s">
        <v>60</v>
      </c>
      <c r="H1056" s="8" t="s">
        <v>834</v>
      </c>
      <c r="I1056" s="8" t="s">
        <v>4971</v>
      </c>
      <c r="J1056" s="10">
        <v>595</v>
      </c>
      <c r="K1056" s="11">
        <v>512.14</v>
      </c>
      <c r="L1056" s="11">
        <v>838.2</v>
      </c>
      <c r="M1056" s="11">
        <v>498729</v>
      </c>
      <c r="N1056" s="11">
        <v>304723.3</v>
      </c>
      <c r="O1056" s="11">
        <f>CleanedData[[#This Row],[Total Sales ($)]]-CleanedData[[#This Row],[Total Cost ($)]]</f>
        <v>194005.7</v>
      </c>
      <c r="P1056" s="12">
        <f>CleanedData[[#This Row],[Profit ($)]]/CleanedData[[#This Row],[Total Sales ($)]]</f>
        <v>0.38900023860653782</v>
      </c>
      <c r="Q1056" s="8" t="s">
        <v>52</v>
      </c>
      <c r="R1056" s="8" t="s">
        <v>63</v>
      </c>
      <c r="S1056" s="8" t="b">
        <f>_xlfn.SINGLE(CleanedData[[#This Row],[Delivery Status]])="Late"</f>
        <v>0</v>
      </c>
      <c r="T1056" s="10">
        <v>4</v>
      </c>
      <c r="U1056" s="8" t="s">
        <v>112</v>
      </c>
      <c r="V1056" s="10">
        <v>1776</v>
      </c>
      <c r="W1056" s="10">
        <v>4</v>
      </c>
      <c r="X1056" s="12">
        <v>6.7226890756301996E-3</v>
      </c>
      <c r="Y1056" s="8" t="b">
        <f>CleanedData[[#This Row],[Ship Date]]&lt;CleanedData[[#This Row],[Order Date]]</f>
        <v>0</v>
      </c>
      <c r="Z1056" s="10">
        <f>YEAR(CleanedData[[#This Row],[Order Date]])</f>
        <v>2023</v>
      </c>
      <c r="AA1056" s="8">
        <f>MONTH(CleanedData[[#This Row],[Order Date]])</f>
        <v>4</v>
      </c>
    </row>
    <row r="1057" spans="1:27" x14ac:dyDescent="0.35">
      <c r="A1057" s="8" t="s">
        <v>2980</v>
      </c>
      <c r="B1057" s="9">
        <v>45164</v>
      </c>
      <c r="C1057" s="9">
        <v>45215</v>
      </c>
      <c r="D1057" s="8" t="s">
        <v>2981</v>
      </c>
      <c r="E1057" s="8" t="s">
        <v>58</v>
      </c>
      <c r="F1057" s="8" t="s">
        <v>116</v>
      </c>
      <c r="G1057" s="8" t="s">
        <v>129</v>
      </c>
      <c r="H1057" s="8" t="s">
        <v>520</v>
      </c>
      <c r="I1057" s="8" t="s">
        <v>4979</v>
      </c>
      <c r="J1057" s="10">
        <v>650</v>
      </c>
      <c r="K1057" s="11">
        <v>305.77</v>
      </c>
      <c r="L1057" s="11">
        <v>366.75</v>
      </c>
      <c r="M1057" s="11">
        <v>238387.5</v>
      </c>
      <c r="N1057" s="11">
        <v>198750.5</v>
      </c>
      <c r="O1057" s="11">
        <f>CleanedData[[#This Row],[Total Sales ($)]]-CleanedData[[#This Row],[Total Cost ($)]]</f>
        <v>39637</v>
      </c>
      <c r="P1057" s="12">
        <f>CleanedData[[#This Row],[Profit ($)]]/CleanedData[[#This Row],[Total Sales ($)]]</f>
        <v>0.16627130197682344</v>
      </c>
      <c r="Q1057" s="8" t="s">
        <v>95</v>
      </c>
      <c r="R1057" s="8" t="s">
        <v>63</v>
      </c>
      <c r="S1057" s="8" t="b">
        <f>_xlfn.SINGLE(CleanedData[[#This Row],[Delivery Status]])="Late"</f>
        <v>0</v>
      </c>
      <c r="T1057" s="10">
        <v>2</v>
      </c>
      <c r="U1057" s="8" t="s">
        <v>112</v>
      </c>
      <c r="V1057" s="10">
        <v>4974</v>
      </c>
      <c r="W1057" s="10">
        <v>22</v>
      </c>
      <c r="X1057" s="12">
        <v>3.3846153846153797E-2</v>
      </c>
      <c r="Y1057" s="8" t="b">
        <f>CleanedData[[#This Row],[Ship Date]]&lt;CleanedData[[#This Row],[Order Date]]</f>
        <v>0</v>
      </c>
      <c r="Z1057" s="10">
        <f>YEAR(CleanedData[[#This Row],[Order Date]])</f>
        <v>2023</v>
      </c>
      <c r="AA1057" s="8">
        <f>MONTH(CleanedData[[#This Row],[Order Date]])</f>
        <v>8</v>
      </c>
    </row>
    <row r="1058" spans="1:27" x14ac:dyDescent="0.35">
      <c r="A1058" s="8" t="s">
        <v>2855</v>
      </c>
      <c r="B1058" s="9">
        <v>45606</v>
      </c>
      <c r="C1058" s="9">
        <v>45495</v>
      </c>
      <c r="D1058" s="8" t="s">
        <v>4972</v>
      </c>
      <c r="E1058" s="8" t="s">
        <v>48</v>
      </c>
      <c r="F1058" s="8" t="s">
        <v>270</v>
      </c>
      <c r="G1058" s="8" t="s">
        <v>28</v>
      </c>
      <c r="H1058" s="8" t="s">
        <v>579</v>
      </c>
      <c r="I1058" s="8" t="s">
        <v>4978</v>
      </c>
      <c r="J1058" s="10">
        <v>619</v>
      </c>
      <c r="K1058" s="11">
        <v>915.23</v>
      </c>
      <c r="L1058" s="11">
        <v>1288.8900000000001</v>
      </c>
      <c r="M1058" s="11">
        <v>797822.91</v>
      </c>
      <c r="N1058" s="11">
        <v>566527.37</v>
      </c>
      <c r="O1058" s="11">
        <f>CleanedData[[#This Row],[Total Sales ($)]]-CleanedData[[#This Row],[Total Cost ($)]]</f>
        <v>231295.54000000004</v>
      </c>
      <c r="P1058" s="12">
        <f>CleanedData[[#This Row],[Profit ($)]]/CleanedData[[#This Row],[Total Sales ($)]]</f>
        <v>0.28990837076864595</v>
      </c>
      <c r="Q1058" s="8" t="s">
        <v>52</v>
      </c>
      <c r="R1058" s="8" t="s">
        <v>32</v>
      </c>
      <c r="S1058" s="8" t="b">
        <f>_xlfn.SINGLE(CleanedData[[#This Row],[Delivery Status]])="Late"</f>
        <v>1</v>
      </c>
      <c r="T1058" s="10">
        <v>14</v>
      </c>
      <c r="U1058" s="8" t="s">
        <v>53</v>
      </c>
      <c r="V1058" s="10">
        <v>1195</v>
      </c>
      <c r="W1058" s="10">
        <v>23</v>
      </c>
      <c r="X1058" s="12">
        <v>3.7156704361873898E-2</v>
      </c>
      <c r="Y1058" s="8" t="b">
        <f>CleanedData[[#This Row],[Ship Date]]&lt;CleanedData[[#This Row],[Order Date]]</f>
        <v>1</v>
      </c>
      <c r="Z1058" s="10">
        <f>YEAR(CleanedData[[#This Row],[Order Date]])</f>
        <v>2024</v>
      </c>
      <c r="AA1058" s="8">
        <f>MONTH(CleanedData[[#This Row],[Order Date]])</f>
        <v>11</v>
      </c>
    </row>
    <row r="1059" spans="1:27" x14ac:dyDescent="0.35">
      <c r="A1059" s="8" t="s">
        <v>2982</v>
      </c>
      <c r="B1059" s="9">
        <v>44987</v>
      </c>
      <c r="C1059" s="9">
        <v>45047</v>
      </c>
      <c r="D1059" s="8" t="s">
        <v>2983</v>
      </c>
      <c r="E1059" s="8" t="s">
        <v>58</v>
      </c>
      <c r="F1059" s="8" t="s">
        <v>116</v>
      </c>
      <c r="G1059" s="8" t="s">
        <v>28</v>
      </c>
      <c r="H1059" s="8" t="s">
        <v>29</v>
      </c>
      <c r="I1059" s="8" t="s">
        <v>4975</v>
      </c>
      <c r="J1059" s="10">
        <v>729</v>
      </c>
      <c r="K1059" s="11">
        <v>666.77</v>
      </c>
      <c r="L1059" s="11">
        <v>747.64</v>
      </c>
      <c r="M1059" s="11">
        <v>545029.56000000006</v>
      </c>
      <c r="N1059" s="11">
        <v>486075.33</v>
      </c>
      <c r="O1059" s="11">
        <f>CleanedData[[#This Row],[Total Sales ($)]]-CleanedData[[#This Row],[Total Cost ($)]]</f>
        <v>58954.23000000004</v>
      </c>
      <c r="P1059" s="12">
        <f>CleanedData[[#This Row],[Profit ($)]]/CleanedData[[#This Row],[Total Sales ($)]]</f>
        <v>0.1081670322615163</v>
      </c>
      <c r="Q1059" s="8" t="s">
        <v>52</v>
      </c>
      <c r="R1059" s="8" t="s">
        <v>32</v>
      </c>
      <c r="S1059" s="8" t="b">
        <f>_xlfn.SINGLE(CleanedData[[#This Row],[Delivery Status]])="Late"</f>
        <v>1</v>
      </c>
      <c r="T1059" s="10">
        <v>6</v>
      </c>
      <c r="U1059" s="8" t="s">
        <v>43</v>
      </c>
      <c r="V1059" s="10">
        <v>1513</v>
      </c>
      <c r="W1059" s="10">
        <v>34</v>
      </c>
      <c r="X1059" s="12">
        <v>4.6639231824417003E-2</v>
      </c>
      <c r="Y1059" s="8" t="b">
        <f>CleanedData[[#This Row],[Ship Date]]&lt;CleanedData[[#This Row],[Order Date]]</f>
        <v>0</v>
      </c>
      <c r="Z1059" s="10">
        <f>YEAR(CleanedData[[#This Row],[Order Date]])</f>
        <v>2023</v>
      </c>
      <c r="AA1059" s="8">
        <f>MONTH(CleanedData[[#This Row],[Order Date]])</f>
        <v>3</v>
      </c>
    </row>
    <row r="1060" spans="1:27" x14ac:dyDescent="0.35">
      <c r="A1060" s="8" t="s">
        <v>2984</v>
      </c>
      <c r="B1060" s="9">
        <v>44973</v>
      </c>
      <c r="C1060" s="9">
        <v>45285</v>
      </c>
      <c r="D1060" s="8" t="s">
        <v>2985</v>
      </c>
      <c r="E1060" s="8" t="s">
        <v>68</v>
      </c>
      <c r="F1060" s="8" t="s">
        <v>69</v>
      </c>
      <c r="G1060" s="8" t="s">
        <v>129</v>
      </c>
      <c r="H1060" s="8" t="s">
        <v>130</v>
      </c>
      <c r="I1060" s="8" t="s">
        <v>4976</v>
      </c>
      <c r="J1060" s="10">
        <v>586</v>
      </c>
      <c r="K1060" s="11">
        <v>622.14</v>
      </c>
      <c r="L1060" s="11">
        <v>819.23</v>
      </c>
      <c r="M1060" s="11">
        <v>480068.78</v>
      </c>
      <c r="N1060" s="11">
        <v>364574.04</v>
      </c>
      <c r="O1060" s="11">
        <f>CleanedData[[#This Row],[Total Sales ($)]]-CleanedData[[#This Row],[Total Cost ($)]]</f>
        <v>115494.74000000005</v>
      </c>
      <c r="P1060" s="12">
        <f>CleanedData[[#This Row],[Profit ($)]]/CleanedData[[#This Row],[Total Sales ($)]]</f>
        <v>0.24057956861931334</v>
      </c>
      <c r="Q1060" s="8" t="s">
        <v>31</v>
      </c>
      <c r="R1060" s="8" t="s">
        <v>32</v>
      </c>
      <c r="S1060" s="8" t="b">
        <f>_xlfn.SINGLE(CleanedData[[#This Row],[Delivery Status]])="Late"</f>
        <v>1</v>
      </c>
      <c r="T1060" s="10">
        <v>13</v>
      </c>
      <c r="U1060" s="8" t="s">
        <v>158</v>
      </c>
      <c r="V1060" s="10">
        <v>1339</v>
      </c>
      <c r="W1060" s="10">
        <v>4</v>
      </c>
      <c r="X1060" s="12">
        <v>6.8259385665529002E-3</v>
      </c>
      <c r="Y1060" s="8" t="b">
        <f>CleanedData[[#This Row],[Ship Date]]&lt;CleanedData[[#This Row],[Order Date]]</f>
        <v>0</v>
      </c>
      <c r="Z1060" s="10">
        <f>YEAR(CleanedData[[#This Row],[Order Date]])</f>
        <v>2023</v>
      </c>
      <c r="AA1060" s="8">
        <f>MONTH(CleanedData[[#This Row],[Order Date]])</f>
        <v>2</v>
      </c>
    </row>
    <row r="1061" spans="1:27" x14ac:dyDescent="0.35">
      <c r="A1061" s="8" t="s">
        <v>2986</v>
      </c>
      <c r="B1061" s="9">
        <v>45142</v>
      </c>
      <c r="C1061" s="9">
        <v>45089</v>
      </c>
      <c r="D1061" s="8" t="s">
        <v>2987</v>
      </c>
      <c r="E1061" s="8" t="s">
        <v>26</v>
      </c>
      <c r="F1061" s="8" t="s">
        <v>92</v>
      </c>
      <c r="G1061" s="8" t="s">
        <v>70</v>
      </c>
      <c r="H1061" s="8" t="s">
        <v>384</v>
      </c>
      <c r="I1061" s="8" t="s">
        <v>4971</v>
      </c>
      <c r="J1061" s="10">
        <v>202</v>
      </c>
      <c r="K1061" s="11">
        <v>895.69</v>
      </c>
      <c r="L1061" s="11">
        <v>1471.32</v>
      </c>
      <c r="M1061" s="11">
        <v>297206.64</v>
      </c>
      <c r="N1061" s="11">
        <v>180929.38</v>
      </c>
      <c r="O1061" s="11">
        <f>CleanedData[[#This Row],[Total Sales ($)]]-CleanedData[[#This Row],[Total Cost ($)]]</f>
        <v>116277.26000000001</v>
      </c>
      <c r="P1061" s="12">
        <f>CleanedData[[#This Row],[Profit ($)]]/CleanedData[[#This Row],[Total Sales ($)]]</f>
        <v>0.39123372209988311</v>
      </c>
      <c r="Q1061" s="8" t="s">
        <v>52</v>
      </c>
      <c r="R1061" s="8" t="s">
        <v>32</v>
      </c>
      <c r="S1061" s="8" t="b">
        <f>_xlfn.SINGLE(CleanedData[[#This Row],[Delivery Status]])="Late"</f>
        <v>1</v>
      </c>
      <c r="T1061" s="10">
        <v>7</v>
      </c>
      <c r="U1061" s="8" t="s">
        <v>33</v>
      </c>
      <c r="V1061" s="10">
        <v>4369</v>
      </c>
      <c r="W1061" s="10">
        <v>0</v>
      </c>
      <c r="X1061" s="12">
        <v>0</v>
      </c>
      <c r="Y1061" s="8" t="b">
        <f>CleanedData[[#This Row],[Ship Date]]&lt;CleanedData[[#This Row],[Order Date]]</f>
        <v>1</v>
      </c>
      <c r="Z1061" s="10">
        <f>YEAR(CleanedData[[#This Row],[Order Date]])</f>
        <v>2023</v>
      </c>
      <c r="AA1061" s="8">
        <f>MONTH(CleanedData[[#This Row],[Order Date]])</f>
        <v>8</v>
      </c>
    </row>
    <row r="1062" spans="1:27" x14ac:dyDescent="0.35">
      <c r="A1062" s="8" t="s">
        <v>2988</v>
      </c>
      <c r="B1062" s="9">
        <v>45258</v>
      </c>
      <c r="C1062" s="9">
        <v>44927</v>
      </c>
      <c r="D1062" s="8" t="s">
        <v>2989</v>
      </c>
      <c r="E1062" s="8" t="s">
        <v>26</v>
      </c>
      <c r="F1062" s="8" t="s">
        <v>27</v>
      </c>
      <c r="G1062" s="8" t="s">
        <v>70</v>
      </c>
      <c r="H1062" s="8" t="s">
        <v>1019</v>
      </c>
      <c r="I1062" s="8" t="s">
        <v>4971</v>
      </c>
      <c r="J1062" s="10">
        <v>685</v>
      </c>
      <c r="K1062" s="11">
        <v>259.17</v>
      </c>
      <c r="L1062" s="11">
        <v>413</v>
      </c>
      <c r="M1062" s="11">
        <v>282905</v>
      </c>
      <c r="N1062" s="11">
        <v>177531.45</v>
      </c>
      <c r="O1062" s="11">
        <f>CleanedData[[#This Row],[Total Sales ($)]]-CleanedData[[#This Row],[Total Cost ($)]]</f>
        <v>105373.54999999999</v>
      </c>
      <c r="P1062" s="12">
        <f>CleanedData[[#This Row],[Profit ($)]]/CleanedData[[#This Row],[Total Sales ($)]]</f>
        <v>0.37246973365617431</v>
      </c>
      <c r="Q1062" s="8" t="s">
        <v>95</v>
      </c>
      <c r="R1062" s="8" t="s">
        <v>32</v>
      </c>
      <c r="S1062" s="8" t="b">
        <f>_xlfn.SINGLE(CleanedData[[#This Row],[Delivery Status]])="Late"</f>
        <v>1</v>
      </c>
      <c r="T1062" s="10">
        <v>7</v>
      </c>
      <c r="U1062" s="8" t="s">
        <v>158</v>
      </c>
      <c r="V1062" s="10">
        <v>983</v>
      </c>
      <c r="W1062" s="10">
        <v>24</v>
      </c>
      <c r="X1062" s="12">
        <v>3.5036496350364897E-2</v>
      </c>
      <c r="Y1062" s="8" t="b">
        <f>CleanedData[[#This Row],[Ship Date]]&lt;CleanedData[[#This Row],[Order Date]]</f>
        <v>1</v>
      </c>
      <c r="Z1062" s="10">
        <f>YEAR(CleanedData[[#This Row],[Order Date]])</f>
        <v>2023</v>
      </c>
      <c r="AA1062" s="8">
        <f>MONTH(CleanedData[[#This Row],[Order Date]])</f>
        <v>11</v>
      </c>
    </row>
    <row r="1063" spans="1:27" x14ac:dyDescent="0.35">
      <c r="A1063" s="8" t="s">
        <v>2990</v>
      </c>
      <c r="B1063" s="9">
        <v>45060</v>
      </c>
      <c r="C1063" s="9">
        <v>44968</v>
      </c>
      <c r="D1063" s="8" t="s">
        <v>2991</v>
      </c>
      <c r="E1063" s="8" t="s">
        <v>26</v>
      </c>
      <c r="F1063" s="8" t="s">
        <v>77</v>
      </c>
      <c r="G1063" s="8" t="s">
        <v>217</v>
      </c>
      <c r="H1063" s="8" t="s">
        <v>494</v>
      </c>
      <c r="I1063" s="8" t="s">
        <v>4976</v>
      </c>
      <c r="J1063" s="10">
        <v>330</v>
      </c>
      <c r="K1063" s="11">
        <v>631.22</v>
      </c>
      <c r="L1063" s="11">
        <v>745.97</v>
      </c>
      <c r="M1063" s="11">
        <v>246170.1</v>
      </c>
      <c r="N1063" s="11">
        <v>208302.6</v>
      </c>
      <c r="O1063" s="11">
        <f>CleanedData[[#This Row],[Total Sales ($)]]-CleanedData[[#This Row],[Total Cost ($)]]</f>
        <v>37867.5</v>
      </c>
      <c r="P1063" s="12">
        <f>CleanedData[[#This Row],[Profit ($)]]/CleanedData[[#This Row],[Total Sales ($)]]</f>
        <v>0.15382656138986822</v>
      </c>
      <c r="Q1063" s="8" t="s">
        <v>95</v>
      </c>
      <c r="R1063" s="8" t="s">
        <v>32</v>
      </c>
      <c r="S1063" s="8" t="b">
        <f>_xlfn.SINGLE(CleanedData[[#This Row],[Delivery Status]])="Late"</f>
        <v>1</v>
      </c>
      <c r="T1063" s="10">
        <v>13</v>
      </c>
      <c r="U1063" s="8" t="s">
        <v>53</v>
      </c>
      <c r="V1063" s="10">
        <v>4716</v>
      </c>
      <c r="W1063" s="10">
        <v>4</v>
      </c>
      <c r="X1063" s="12">
        <v>1.21212121212121E-2</v>
      </c>
      <c r="Y1063" s="8" t="b">
        <f>CleanedData[[#This Row],[Ship Date]]&lt;CleanedData[[#This Row],[Order Date]]</f>
        <v>1</v>
      </c>
      <c r="Z1063" s="10">
        <f>YEAR(CleanedData[[#This Row],[Order Date]])</f>
        <v>2023</v>
      </c>
      <c r="AA1063" s="8">
        <f>MONTH(CleanedData[[#This Row],[Order Date]])</f>
        <v>5</v>
      </c>
    </row>
    <row r="1064" spans="1:27" x14ac:dyDescent="0.35">
      <c r="A1064" s="8" t="s">
        <v>2992</v>
      </c>
      <c r="B1064" s="9">
        <v>45071</v>
      </c>
      <c r="C1064" s="9">
        <v>44987</v>
      </c>
      <c r="D1064" s="8" t="s">
        <v>2559</v>
      </c>
      <c r="E1064" s="8" t="s">
        <v>26</v>
      </c>
      <c r="F1064" s="8" t="s">
        <v>27</v>
      </c>
      <c r="G1064" s="8" t="s">
        <v>70</v>
      </c>
      <c r="H1064" s="8" t="s">
        <v>84</v>
      </c>
      <c r="I1064" s="8" t="s">
        <v>4977</v>
      </c>
      <c r="J1064" s="10">
        <v>50</v>
      </c>
      <c r="K1064" s="11">
        <v>193.51</v>
      </c>
      <c r="L1064" s="11">
        <v>291.64999999999998</v>
      </c>
      <c r="M1064" s="11">
        <v>14582.5</v>
      </c>
      <c r="N1064" s="11">
        <v>9675.5</v>
      </c>
      <c r="O1064" s="11">
        <f>CleanedData[[#This Row],[Total Sales ($)]]-CleanedData[[#This Row],[Total Cost ($)]]</f>
        <v>4907</v>
      </c>
      <c r="P1064" s="12">
        <f>CleanedData[[#This Row],[Profit ($)]]/CleanedData[[#This Row],[Total Sales ($)]]</f>
        <v>0.33649922852734443</v>
      </c>
      <c r="Q1064" s="8" t="s">
        <v>52</v>
      </c>
      <c r="R1064" s="8" t="s">
        <v>32</v>
      </c>
      <c r="S1064" s="8" t="b">
        <f>_xlfn.SINGLE(CleanedData[[#This Row],[Delivery Status]])="Late"</f>
        <v>1</v>
      </c>
      <c r="T1064" s="10">
        <v>7</v>
      </c>
      <c r="U1064" s="8" t="s">
        <v>53</v>
      </c>
      <c r="V1064" s="10">
        <v>3797</v>
      </c>
      <c r="W1064" s="10">
        <v>1</v>
      </c>
      <c r="X1064" s="12">
        <v>0.02</v>
      </c>
      <c r="Y1064" s="8" t="b">
        <f>CleanedData[[#This Row],[Ship Date]]&lt;CleanedData[[#This Row],[Order Date]]</f>
        <v>1</v>
      </c>
      <c r="Z1064" s="10">
        <f>YEAR(CleanedData[[#This Row],[Order Date]])</f>
        <v>2023</v>
      </c>
      <c r="AA1064" s="8">
        <f>MONTH(CleanedData[[#This Row],[Order Date]])</f>
        <v>5</v>
      </c>
    </row>
    <row r="1065" spans="1:27" x14ac:dyDescent="0.35">
      <c r="A1065" s="8" t="s">
        <v>2993</v>
      </c>
      <c r="B1065" s="9">
        <v>44983</v>
      </c>
      <c r="C1065" s="9">
        <v>44937</v>
      </c>
      <c r="D1065" s="8" t="s">
        <v>2994</v>
      </c>
      <c r="E1065" s="8" t="s">
        <v>26</v>
      </c>
      <c r="F1065" s="8" t="s">
        <v>92</v>
      </c>
      <c r="G1065" s="8" t="s">
        <v>50</v>
      </c>
      <c r="H1065" s="8" t="s">
        <v>734</v>
      </c>
      <c r="I1065" s="8" t="s">
        <v>4975</v>
      </c>
      <c r="J1065" s="10">
        <v>613</v>
      </c>
      <c r="K1065" s="11">
        <v>1120.0999999999999</v>
      </c>
      <c r="L1065" s="11">
        <v>1819.95</v>
      </c>
      <c r="M1065" s="11">
        <v>1115629.3500000001</v>
      </c>
      <c r="N1065" s="11">
        <v>686621.3</v>
      </c>
      <c r="O1065" s="11">
        <f>CleanedData[[#This Row],[Total Sales ($)]]-CleanedData[[#This Row],[Total Cost ($)]]</f>
        <v>429008.05000000005</v>
      </c>
      <c r="P1065" s="12">
        <f>CleanedData[[#This Row],[Profit ($)]]/CleanedData[[#This Row],[Total Sales ($)]]</f>
        <v>0.38454353141569825</v>
      </c>
      <c r="Q1065" s="8" t="s">
        <v>95</v>
      </c>
      <c r="R1065" s="8" t="s">
        <v>32</v>
      </c>
      <c r="S1065" s="8" t="b">
        <f>_xlfn.SINGLE(CleanedData[[#This Row],[Delivery Status]])="Late"</f>
        <v>1</v>
      </c>
      <c r="T1065" s="10">
        <v>9</v>
      </c>
      <c r="U1065" s="8" t="s">
        <v>86</v>
      </c>
      <c r="V1065" s="10">
        <v>1665</v>
      </c>
      <c r="W1065" s="10">
        <v>9</v>
      </c>
      <c r="X1065" s="12">
        <v>1.4681892332789499E-2</v>
      </c>
      <c r="Y1065" s="8" t="b">
        <f>CleanedData[[#This Row],[Ship Date]]&lt;CleanedData[[#This Row],[Order Date]]</f>
        <v>1</v>
      </c>
      <c r="Z1065" s="10">
        <f>YEAR(CleanedData[[#This Row],[Order Date]])</f>
        <v>2023</v>
      </c>
      <c r="AA1065" s="8">
        <f>MONTH(CleanedData[[#This Row],[Order Date]])</f>
        <v>2</v>
      </c>
    </row>
    <row r="1066" spans="1:27" x14ac:dyDescent="0.35">
      <c r="A1066" s="8" t="s">
        <v>2995</v>
      </c>
      <c r="B1066" s="9">
        <v>45556</v>
      </c>
      <c r="C1066" s="9">
        <v>45585</v>
      </c>
      <c r="D1066" s="8" t="s">
        <v>2997</v>
      </c>
      <c r="E1066" s="8" t="s">
        <v>100</v>
      </c>
      <c r="F1066" s="8" t="s">
        <v>238</v>
      </c>
      <c r="G1066" s="8" t="s">
        <v>217</v>
      </c>
      <c r="H1066" s="8" t="s">
        <v>340</v>
      </c>
      <c r="I1066" s="8" t="s">
        <v>4979</v>
      </c>
      <c r="J1066" s="10">
        <v>310</v>
      </c>
      <c r="K1066" s="11">
        <v>829.68</v>
      </c>
      <c r="L1066" s="11">
        <v>1064.4000000000001</v>
      </c>
      <c r="M1066" s="11">
        <v>329964</v>
      </c>
      <c r="N1066" s="11">
        <v>257200.8</v>
      </c>
      <c r="O1066" s="11">
        <f>CleanedData[[#This Row],[Total Sales ($)]]-CleanedData[[#This Row],[Total Cost ($)]]</f>
        <v>72763.200000000012</v>
      </c>
      <c r="P1066" s="12">
        <f>CleanedData[[#This Row],[Profit ($)]]/CleanedData[[#This Row],[Total Sales ($)]]</f>
        <v>0.22051860202931231</v>
      </c>
      <c r="Q1066" s="8" t="s">
        <v>31</v>
      </c>
      <c r="R1066" s="8" t="s">
        <v>32</v>
      </c>
      <c r="S1066" s="8" t="b">
        <f>_xlfn.SINGLE(CleanedData[[#This Row],[Delivery Status]])="Late"</f>
        <v>1</v>
      </c>
      <c r="T1066" s="10">
        <v>14</v>
      </c>
      <c r="U1066" s="8" t="s">
        <v>86</v>
      </c>
      <c r="V1066" s="10">
        <v>4339</v>
      </c>
      <c r="W1066" s="10">
        <v>11</v>
      </c>
      <c r="X1066" s="12">
        <v>3.5483870967741901E-2</v>
      </c>
      <c r="Y1066" s="8" t="b">
        <f>CleanedData[[#This Row],[Ship Date]]&lt;CleanedData[[#This Row],[Order Date]]</f>
        <v>0</v>
      </c>
      <c r="Z1066" s="10">
        <f>YEAR(CleanedData[[#This Row],[Order Date]])</f>
        <v>2024</v>
      </c>
      <c r="AA1066" s="8">
        <f>MONTH(CleanedData[[#This Row],[Order Date]])</f>
        <v>9</v>
      </c>
    </row>
    <row r="1067" spans="1:27" x14ac:dyDescent="0.35">
      <c r="A1067" s="8" t="s">
        <v>2998</v>
      </c>
      <c r="B1067" s="9">
        <v>45139</v>
      </c>
      <c r="C1067" s="9">
        <v>44938</v>
      </c>
      <c r="D1067" s="8" t="s">
        <v>1422</v>
      </c>
      <c r="E1067" s="8" t="s">
        <v>26</v>
      </c>
      <c r="F1067" s="8" t="s">
        <v>77</v>
      </c>
      <c r="G1067" s="8" t="s">
        <v>50</v>
      </c>
      <c r="H1067" s="8" t="s">
        <v>173</v>
      </c>
      <c r="I1067" s="8" t="s">
        <v>4971</v>
      </c>
      <c r="J1067" s="10">
        <v>94</v>
      </c>
      <c r="K1067" s="11">
        <v>168.17</v>
      </c>
      <c r="L1067" s="11">
        <v>261.81</v>
      </c>
      <c r="M1067" s="11">
        <v>24610.14</v>
      </c>
      <c r="N1067" s="11">
        <v>15807.98</v>
      </c>
      <c r="O1067" s="11">
        <f>CleanedData[[#This Row],[Total Sales ($)]]-CleanedData[[#This Row],[Total Cost ($)]]</f>
        <v>8802.16</v>
      </c>
      <c r="P1067" s="12">
        <f>CleanedData[[#This Row],[Profit ($)]]/CleanedData[[#This Row],[Total Sales ($)]]</f>
        <v>0.35766395477636453</v>
      </c>
      <c r="Q1067" s="8" t="s">
        <v>42</v>
      </c>
      <c r="R1067" s="8" t="s">
        <v>63</v>
      </c>
      <c r="S1067" s="8" t="b">
        <f>_xlfn.SINGLE(CleanedData[[#This Row],[Delivery Status]])="Late"</f>
        <v>0</v>
      </c>
      <c r="T1067" s="10">
        <v>2</v>
      </c>
      <c r="U1067" s="8" t="s">
        <v>33</v>
      </c>
      <c r="V1067" s="10">
        <v>809</v>
      </c>
      <c r="W1067" s="10">
        <v>4</v>
      </c>
      <c r="X1067" s="12">
        <v>4.2553191489361701E-2</v>
      </c>
      <c r="Y1067" s="8" t="b">
        <f>CleanedData[[#This Row],[Ship Date]]&lt;CleanedData[[#This Row],[Order Date]]</f>
        <v>1</v>
      </c>
      <c r="Z1067" s="10">
        <f>YEAR(CleanedData[[#This Row],[Order Date]])</f>
        <v>2023</v>
      </c>
      <c r="AA1067" s="8">
        <f>MONTH(CleanedData[[#This Row],[Order Date]])</f>
        <v>8</v>
      </c>
    </row>
    <row r="1068" spans="1:27" x14ac:dyDescent="0.35">
      <c r="A1068" s="8" t="s">
        <v>3000</v>
      </c>
      <c r="B1068" s="9">
        <v>45022</v>
      </c>
      <c r="C1068" s="9">
        <v>44958</v>
      </c>
      <c r="D1068" s="8" t="s">
        <v>3001</v>
      </c>
      <c r="E1068" s="8" t="s">
        <v>68</v>
      </c>
      <c r="F1068" s="8" t="s">
        <v>146</v>
      </c>
      <c r="G1068" s="8" t="s">
        <v>60</v>
      </c>
      <c r="H1068" s="8" t="s">
        <v>164</v>
      </c>
      <c r="I1068" s="8" t="s">
        <v>4977</v>
      </c>
      <c r="J1068" s="10">
        <v>648</v>
      </c>
      <c r="K1068" s="11">
        <v>314.06</v>
      </c>
      <c r="L1068" s="11">
        <v>357.91</v>
      </c>
      <c r="M1068" s="11">
        <v>231925.68</v>
      </c>
      <c r="N1068" s="11">
        <v>203510.88</v>
      </c>
      <c r="O1068" s="11">
        <f>CleanedData[[#This Row],[Total Sales ($)]]-CleanedData[[#This Row],[Total Cost ($)]]</f>
        <v>28414.799999999988</v>
      </c>
      <c r="P1068" s="12">
        <f>CleanedData[[#This Row],[Profit ($)]]/CleanedData[[#This Row],[Total Sales ($)]]</f>
        <v>0.12251683384090968</v>
      </c>
      <c r="Q1068" s="8" t="s">
        <v>42</v>
      </c>
      <c r="R1068" s="8" t="s">
        <v>32</v>
      </c>
      <c r="S1068" s="8" t="b">
        <f>_xlfn.SINGLE(CleanedData[[#This Row],[Delivery Status]])="Late"</f>
        <v>1</v>
      </c>
      <c r="T1068" s="10">
        <v>11</v>
      </c>
      <c r="U1068" s="8" t="s">
        <v>43</v>
      </c>
      <c r="V1068" s="10">
        <v>1552</v>
      </c>
      <c r="W1068" s="10">
        <v>9</v>
      </c>
      <c r="X1068" s="12">
        <v>1.38888888888888E-2</v>
      </c>
      <c r="Y1068" s="8" t="b">
        <f>CleanedData[[#This Row],[Ship Date]]&lt;CleanedData[[#This Row],[Order Date]]</f>
        <v>1</v>
      </c>
      <c r="Z1068" s="10">
        <f>YEAR(CleanedData[[#This Row],[Order Date]])</f>
        <v>2023</v>
      </c>
      <c r="AA1068" s="8">
        <f>MONTH(CleanedData[[#This Row],[Order Date]])</f>
        <v>4</v>
      </c>
    </row>
    <row r="1069" spans="1:27" x14ac:dyDescent="0.35">
      <c r="A1069" s="8" t="s">
        <v>3002</v>
      </c>
      <c r="B1069" s="9">
        <v>45150</v>
      </c>
      <c r="C1069" s="9">
        <v>45275</v>
      </c>
      <c r="D1069" s="8" t="s">
        <v>3003</v>
      </c>
      <c r="E1069" s="8" t="s">
        <v>68</v>
      </c>
      <c r="F1069" s="8" t="s">
        <v>146</v>
      </c>
      <c r="G1069" s="8" t="s">
        <v>189</v>
      </c>
      <c r="H1069" s="8" t="s">
        <v>271</v>
      </c>
      <c r="I1069" s="8" t="s">
        <v>4973</v>
      </c>
      <c r="J1069" s="10">
        <v>212</v>
      </c>
      <c r="K1069" s="11">
        <v>664.69</v>
      </c>
      <c r="L1069" s="11">
        <v>917.54</v>
      </c>
      <c r="M1069" s="11">
        <v>194518.48</v>
      </c>
      <c r="N1069" s="11">
        <v>140914.28</v>
      </c>
      <c r="O1069" s="11">
        <f>CleanedData[[#This Row],[Total Sales ($)]]-CleanedData[[#This Row],[Total Cost ($)]]</f>
        <v>53604.200000000012</v>
      </c>
      <c r="P1069" s="12">
        <f>CleanedData[[#This Row],[Profit ($)]]/CleanedData[[#This Row],[Total Sales ($)]]</f>
        <v>0.27557381694531036</v>
      </c>
      <c r="Q1069" s="8" t="s">
        <v>42</v>
      </c>
      <c r="R1069" s="8" t="s">
        <v>32</v>
      </c>
      <c r="S1069" s="8" t="b">
        <f>_xlfn.SINGLE(CleanedData[[#This Row],[Delivery Status]])="Late"</f>
        <v>1</v>
      </c>
      <c r="T1069" s="10">
        <v>13</v>
      </c>
      <c r="U1069" s="8" t="s">
        <v>86</v>
      </c>
      <c r="V1069" s="10">
        <v>3510</v>
      </c>
      <c r="W1069" s="10">
        <v>7</v>
      </c>
      <c r="X1069" s="12">
        <v>3.3018867924528301E-2</v>
      </c>
      <c r="Y1069" s="8" t="b">
        <f>CleanedData[[#This Row],[Ship Date]]&lt;CleanedData[[#This Row],[Order Date]]</f>
        <v>0</v>
      </c>
      <c r="Z1069" s="10">
        <f>YEAR(CleanedData[[#This Row],[Order Date]])</f>
        <v>2023</v>
      </c>
      <c r="AA1069" s="8">
        <f>MONTH(CleanedData[[#This Row],[Order Date]])</f>
        <v>8</v>
      </c>
    </row>
    <row r="1070" spans="1:27" x14ac:dyDescent="0.35">
      <c r="A1070" s="8" t="s">
        <v>3004</v>
      </c>
      <c r="B1070" s="9">
        <v>45262</v>
      </c>
      <c r="C1070" s="9">
        <v>44965</v>
      </c>
      <c r="D1070" s="8" t="s">
        <v>3005</v>
      </c>
      <c r="E1070" s="8" t="s">
        <v>58</v>
      </c>
      <c r="F1070" s="8" t="s">
        <v>116</v>
      </c>
      <c r="G1070" s="8" t="s">
        <v>60</v>
      </c>
      <c r="H1070" s="8" t="s">
        <v>400</v>
      </c>
      <c r="I1070" s="8" t="s">
        <v>4978</v>
      </c>
      <c r="J1070" s="10">
        <v>-12</v>
      </c>
      <c r="K1070" s="11">
        <v>1104.7</v>
      </c>
      <c r="L1070" s="11">
        <v>1778.02</v>
      </c>
      <c r="M1070" s="11">
        <v>1109484.48</v>
      </c>
      <c r="N1070" s="11">
        <v>689332.8</v>
      </c>
      <c r="O1070" s="11">
        <f>CleanedData[[#This Row],[Total Sales ($)]]-CleanedData[[#This Row],[Total Cost ($)]]</f>
        <v>420151.67999999993</v>
      </c>
      <c r="P1070" s="12">
        <f>CleanedData[[#This Row],[Profit ($)]]/CleanedData[[#This Row],[Total Sales ($)]]</f>
        <v>0.37869090336441652</v>
      </c>
      <c r="Q1070" s="8" t="s">
        <v>31</v>
      </c>
      <c r="R1070" s="8" t="s">
        <v>63</v>
      </c>
      <c r="S1070" s="8" t="b">
        <f>_xlfn.SINGLE(CleanedData[[#This Row],[Delivery Status]])="Late"</f>
        <v>0</v>
      </c>
      <c r="T1070" s="10">
        <v>5</v>
      </c>
      <c r="U1070" s="8" t="s">
        <v>33</v>
      </c>
      <c r="V1070" s="10">
        <v>4224</v>
      </c>
      <c r="W1070" s="10"/>
      <c r="X1070" s="12"/>
      <c r="Y1070" s="8" t="b">
        <f>CleanedData[[#This Row],[Ship Date]]&lt;CleanedData[[#This Row],[Order Date]]</f>
        <v>1</v>
      </c>
      <c r="Z1070" s="10">
        <f>YEAR(CleanedData[[#This Row],[Order Date]])</f>
        <v>2023</v>
      </c>
      <c r="AA1070" s="8">
        <f>MONTH(CleanedData[[#This Row],[Order Date]])</f>
        <v>12</v>
      </c>
    </row>
    <row r="1071" spans="1:27" x14ac:dyDescent="0.35">
      <c r="A1071" s="8" t="s">
        <v>3006</v>
      </c>
      <c r="B1071" s="9">
        <v>44954</v>
      </c>
      <c r="C1071" s="9">
        <v>45042</v>
      </c>
      <c r="D1071" s="8" t="s">
        <v>3007</v>
      </c>
      <c r="E1071" s="8" t="s">
        <v>26</v>
      </c>
      <c r="F1071" s="8" t="s">
        <v>92</v>
      </c>
      <c r="G1071" s="8" t="s">
        <v>217</v>
      </c>
      <c r="H1071" s="8" t="s">
        <v>340</v>
      </c>
      <c r="I1071" s="8" t="s">
        <v>4970</v>
      </c>
      <c r="J1071" s="10">
        <v>271</v>
      </c>
      <c r="K1071" s="11">
        <v>1194.25</v>
      </c>
      <c r="L1071" s="11">
        <v>1616.31</v>
      </c>
      <c r="M1071" s="11">
        <v>438020.01</v>
      </c>
      <c r="N1071" s="11">
        <v>323641.75</v>
      </c>
      <c r="O1071" s="11">
        <f>CleanedData[[#This Row],[Total Sales ($)]]-CleanedData[[#This Row],[Total Cost ($)]]</f>
        <v>114378.26000000001</v>
      </c>
      <c r="P1071" s="12">
        <f>CleanedData[[#This Row],[Profit ($)]]/CleanedData[[#This Row],[Total Sales ($)]]</f>
        <v>0.26112565040122254</v>
      </c>
      <c r="Q1071" s="8" t="s">
        <v>31</v>
      </c>
      <c r="R1071" s="8" t="s">
        <v>63</v>
      </c>
      <c r="S1071" s="8" t="b">
        <f>_xlfn.SINGLE(CleanedData[[#This Row],[Delivery Status]])="Late"</f>
        <v>0</v>
      </c>
      <c r="T1071" s="10">
        <v>3</v>
      </c>
      <c r="U1071" s="8" t="s">
        <v>33</v>
      </c>
      <c r="V1071" s="10">
        <v>2386</v>
      </c>
      <c r="W1071" s="10">
        <v>10</v>
      </c>
      <c r="X1071" s="12">
        <v>3.6900369003690002E-2</v>
      </c>
      <c r="Y1071" s="8" t="b">
        <f>CleanedData[[#This Row],[Ship Date]]&lt;CleanedData[[#This Row],[Order Date]]</f>
        <v>0</v>
      </c>
      <c r="Z1071" s="10">
        <f>YEAR(CleanedData[[#This Row],[Order Date]])</f>
        <v>2023</v>
      </c>
      <c r="AA1071" s="8">
        <f>MONTH(CleanedData[[#This Row],[Order Date]])</f>
        <v>1</v>
      </c>
    </row>
    <row r="1072" spans="1:27" x14ac:dyDescent="0.35">
      <c r="A1072" s="8" t="s">
        <v>3008</v>
      </c>
      <c r="B1072" s="9">
        <v>45643</v>
      </c>
      <c r="C1072" s="9">
        <v>45493</v>
      </c>
      <c r="D1072" s="8" t="s">
        <v>3009</v>
      </c>
      <c r="E1072" s="8" t="s">
        <v>48</v>
      </c>
      <c r="F1072" s="8" t="s">
        <v>49</v>
      </c>
      <c r="G1072" s="8" t="s">
        <v>93</v>
      </c>
      <c r="H1072" s="8" t="s">
        <v>1442</v>
      </c>
      <c r="I1072" s="8" t="s">
        <v>4971</v>
      </c>
      <c r="J1072" s="10">
        <v>100</v>
      </c>
      <c r="K1072" s="11">
        <v>578.9</v>
      </c>
      <c r="L1072" s="11">
        <v>804.15</v>
      </c>
      <c r="M1072" s="11">
        <v>80415</v>
      </c>
      <c r="N1072" s="11">
        <v>57890</v>
      </c>
      <c r="O1072" s="11">
        <f>CleanedData[[#This Row],[Total Sales ($)]]-CleanedData[[#This Row],[Total Cost ($)]]</f>
        <v>22525</v>
      </c>
      <c r="P1072" s="12">
        <f>CleanedData[[#This Row],[Profit ($)]]/CleanedData[[#This Row],[Total Sales ($)]]</f>
        <v>0.28010943231984081</v>
      </c>
      <c r="Q1072" s="8" t="s">
        <v>52</v>
      </c>
      <c r="R1072" s="8" t="s">
        <v>63</v>
      </c>
      <c r="S1072" s="8" t="b">
        <f>_xlfn.SINGLE(CleanedData[[#This Row],[Delivery Status]])="Late"</f>
        <v>0</v>
      </c>
      <c r="T1072" s="10">
        <v>3</v>
      </c>
      <c r="U1072" s="8" t="s">
        <v>33</v>
      </c>
      <c r="V1072" s="10">
        <v>45</v>
      </c>
      <c r="W1072" s="10">
        <v>5</v>
      </c>
      <c r="X1072" s="12">
        <v>0.05</v>
      </c>
      <c r="Y1072" s="8" t="b">
        <f>CleanedData[[#This Row],[Ship Date]]&lt;CleanedData[[#This Row],[Order Date]]</f>
        <v>1</v>
      </c>
      <c r="Z1072" s="10">
        <f>YEAR(CleanedData[[#This Row],[Order Date]])</f>
        <v>2024</v>
      </c>
      <c r="AA1072" s="8">
        <f>MONTH(CleanedData[[#This Row],[Order Date]])</f>
        <v>12</v>
      </c>
    </row>
    <row r="1073" spans="1:27" x14ac:dyDescent="0.35">
      <c r="A1073" s="8" t="s">
        <v>3010</v>
      </c>
      <c r="B1073" s="9">
        <v>45155</v>
      </c>
      <c r="C1073" s="9">
        <v>45280</v>
      </c>
      <c r="D1073" s="8" t="s">
        <v>3011</v>
      </c>
      <c r="E1073" s="8" t="s">
        <v>68</v>
      </c>
      <c r="F1073" s="8" t="s">
        <v>276</v>
      </c>
      <c r="G1073" s="8" t="s">
        <v>78</v>
      </c>
      <c r="H1073" s="8" t="s">
        <v>840</v>
      </c>
      <c r="I1073" s="8" t="s">
        <v>4973</v>
      </c>
      <c r="J1073" s="10">
        <v>550</v>
      </c>
      <c r="K1073" s="11">
        <v>657.52</v>
      </c>
      <c r="L1073" s="11">
        <v>1056.8699999999999</v>
      </c>
      <c r="M1073" s="11">
        <v>581278.5</v>
      </c>
      <c r="N1073" s="11">
        <v>361636</v>
      </c>
      <c r="O1073" s="11">
        <f>CleanedData[[#This Row],[Total Sales ($)]]-CleanedData[[#This Row],[Total Cost ($)]]</f>
        <v>219642.5</v>
      </c>
      <c r="P1073" s="12">
        <f>CleanedData[[#This Row],[Profit ($)]]/CleanedData[[#This Row],[Total Sales ($)]]</f>
        <v>0.37786104251232411</v>
      </c>
      <c r="Q1073" s="8" t="s">
        <v>31</v>
      </c>
      <c r="R1073" s="8" t="s">
        <v>32</v>
      </c>
      <c r="S1073" s="8" t="b">
        <f>_xlfn.SINGLE(CleanedData[[#This Row],[Delivery Status]])="Late"</f>
        <v>1</v>
      </c>
      <c r="T1073" s="10">
        <v>15</v>
      </c>
      <c r="U1073" s="8" t="s">
        <v>53</v>
      </c>
      <c r="V1073" s="10">
        <v>4016</v>
      </c>
      <c r="W1073" s="10">
        <v>15</v>
      </c>
      <c r="X1073" s="12">
        <v>2.7272727272727199E-2</v>
      </c>
      <c r="Y1073" s="8" t="b">
        <f>CleanedData[[#This Row],[Ship Date]]&lt;CleanedData[[#This Row],[Order Date]]</f>
        <v>0</v>
      </c>
      <c r="Z1073" s="10">
        <f>YEAR(CleanedData[[#This Row],[Order Date]])</f>
        <v>2023</v>
      </c>
      <c r="AA1073" s="8">
        <f>MONTH(CleanedData[[#This Row],[Order Date]])</f>
        <v>8</v>
      </c>
    </row>
    <row r="1074" spans="1:27" x14ac:dyDescent="0.35">
      <c r="A1074" s="8" t="s">
        <v>3012</v>
      </c>
      <c r="B1074" s="9">
        <v>45277</v>
      </c>
      <c r="C1074" s="9">
        <v>45004</v>
      </c>
      <c r="D1074" s="8" t="s">
        <v>3013</v>
      </c>
      <c r="E1074" s="8" t="s">
        <v>26</v>
      </c>
      <c r="F1074" s="8" t="s">
        <v>77</v>
      </c>
      <c r="G1074" s="8" t="s">
        <v>50</v>
      </c>
      <c r="H1074" s="8" t="s">
        <v>51</v>
      </c>
      <c r="I1074" s="8" t="s">
        <v>4970</v>
      </c>
      <c r="J1074" s="10">
        <v>800</v>
      </c>
      <c r="K1074" s="11">
        <v>1120.06</v>
      </c>
      <c r="L1074" s="11">
        <v>1354.49</v>
      </c>
      <c r="M1074" s="11">
        <v>1083592</v>
      </c>
      <c r="N1074" s="11">
        <v>896048</v>
      </c>
      <c r="O1074" s="11">
        <f>CleanedData[[#This Row],[Total Sales ($)]]-CleanedData[[#This Row],[Total Cost ($)]]</f>
        <v>187544</v>
      </c>
      <c r="P1074" s="12">
        <f>CleanedData[[#This Row],[Profit ($)]]/CleanedData[[#This Row],[Total Sales ($)]]</f>
        <v>0.17307621318725128</v>
      </c>
      <c r="Q1074" s="8" t="s">
        <v>42</v>
      </c>
      <c r="R1074" s="8" t="s">
        <v>63</v>
      </c>
      <c r="S1074" s="8" t="b">
        <f>_xlfn.SINGLE(CleanedData[[#This Row],[Delivery Status]])="Late"</f>
        <v>0</v>
      </c>
      <c r="T1074" s="10">
        <v>2</v>
      </c>
      <c r="U1074" s="8" t="s">
        <v>33</v>
      </c>
      <c r="V1074" s="10">
        <v>1761</v>
      </c>
      <c r="W1074" s="10">
        <v>13</v>
      </c>
      <c r="X1074" s="12">
        <v>1.6250000000000001E-2</v>
      </c>
      <c r="Y1074" s="8" t="b">
        <f>CleanedData[[#This Row],[Ship Date]]&lt;CleanedData[[#This Row],[Order Date]]</f>
        <v>1</v>
      </c>
      <c r="Z1074" s="10">
        <f>YEAR(CleanedData[[#This Row],[Order Date]])</f>
        <v>2023</v>
      </c>
      <c r="AA1074" s="8">
        <f>MONTH(CleanedData[[#This Row],[Order Date]])</f>
        <v>12</v>
      </c>
    </row>
    <row r="1075" spans="1:27" x14ac:dyDescent="0.35">
      <c r="A1075" s="8" t="s">
        <v>3014</v>
      </c>
      <c r="B1075" s="9">
        <v>45048</v>
      </c>
      <c r="C1075" s="9">
        <v>45147</v>
      </c>
      <c r="D1075" s="8" t="s">
        <v>3015</v>
      </c>
      <c r="E1075" s="8" t="s">
        <v>68</v>
      </c>
      <c r="F1075" s="8" t="s">
        <v>276</v>
      </c>
      <c r="G1075" s="8" t="s">
        <v>189</v>
      </c>
      <c r="H1075" s="8" t="s">
        <v>4972</v>
      </c>
      <c r="I1075" s="8" t="s">
        <v>4969</v>
      </c>
      <c r="J1075" s="10">
        <v>550</v>
      </c>
      <c r="K1075" s="11">
        <v>658.7</v>
      </c>
      <c r="L1075" s="11">
        <v>1036.71</v>
      </c>
      <c r="M1075" s="11">
        <v>570190.5</v>
      </c>
      <c r="N1075" s="11">
        <v>362285</v>
      </c>
      <c r="O1075" s="11">
        <f>CleanedData[[#This Row],[Total Sales ($)]]-CleanedData[[#This Row],[Total Cost ($)]]</f>
        <v>207905.5</v>
      </c>
      <c r="P1075" s="12">
        <f>CleanedData[[#This Row],[Profit ($)]]/CleanedData[[#This Row],[Total Sales ($)]]</f>
        <v>0.36462462983862409</v>
      </c>
      <c r="Q1075" s="8" t="s">
        <v>52</v>
      </c>
      <c r="R1075" s="8" t="s">
        <v>32</v>
      </c>
      <c r="S1075" s="8" t="b">
        <f>_xlfn.SINGLE(CleanedData[[#This Row],[Delivery Status]])="Late"</f>
        <v>1</v>
      </c>
      <c r="T1075" s="10">
        <v>7</v>
      </c>
      <c r="U1075" s="8" t="s">
        <v>43</v>
      </c>
      <c r="V1075" s="10">
        <v>1127</v>
      </c>
      <c r="W1075" s="10">
        <v>0</v>
      </c>
      <c r="X1075" s="12">
        <v>0</v>
      </c>
      <c r="Y1075" s="8" t="b">
        <f>CleanedData[[#This Row],[Ship Date]]&lt;CleanedData[[#This Row],[Order Date]]</f>
        <v>0</v>
      </c>
      <c r="Z1075" s="10">
        <f>YEAR(CleanedData[[#This Row],[Order Date]])</f>
        <v>2023</v>
      </c>
      <c r="AA1075" s="8">
        <f>MONTH(CleanedData[[#This Row],[Order Date]])</f>
        <v>5</v>
      </c>
    </row>
    <row r="1076" spans="1:27" x14ac:dyDescent="0.35">
      <c r="A1076" s="8" t="s">
        <v>3016</v>
      </c>
      <c r="B1076" s="9">
        <v>45280</v>
      </c>
      <c r="C1076" s="9">
        <v>45012</v>
      </c>
      <c r="D1076" s="8" t="s">
        <v>3017</v>
      </c>
      <c r="E1076" s="8" t="s">
        <v>58</v>
      </c>
      <c r="F1076" s="8" t="s">
        <v>417</v>
      </c>
      <c r="G1076" s="8" t="s">
        <v>189</v>
      </c>
      <c r="H1076" s="8" t="s">
        <v>365</v>
      </c>
      <c r="I1076" s="8" t="s">
        <v>4967</v>
      </c>
      <c r="J1076" s="10">
        <v>82</v>
      </c>
      <c r="K1076" s="11">
        <v>557.28</v>
      </c>
      <c r="L1076" s="11">
        <v>801.64</v>
      </c>
      <c r="M1076" s="11">
        <v>65734.48</v>
      </c>
      <c r="N1076" s="11">
        <v>45696.959999999999</v>
      </c>
      <c r="O1076" s="11">
        <f>CleanedData[[#This Row],[Total Sales ($)]]-CleanedData[[#This Row],[Total Cost ($)]]</f>
        <v>20037.519999999997</v>
      </c>
      <c r="P1076" s="12">
        <f>CleanedData[[#This Row],[Profit ($)]]/CleanedData[[#This Row],[Total Sales ($)]]</f>
        <v>0.30482510852751854</v>
      </c>
      <c r="Q1076" s="8" t="s">
        <v>31</v>
      </c>
      <c r="R1076" s="8" t="s">
        <v>32</v>
      </c>
      <c r="S1076" s="8" t="b">
        <f>_xlfn.SINGLE(CleanedData[[#This Row],[Delivery Status]])="Late"</f>
        <v>1</v>
      </c>
      <c r="T1076" s="10">
        <v>13</v>
      </c>
      <c r="U1076" s="8" t="s">
        <v>112</v>
      </c>
      <c r="V1076" s="10">
        <v>4516</v>
      </c>
      <c r="W1076" s="10">
        <v>0</v>
      </c>
      <c r="X1076" s="12">
        <v>0</v>
      </c>
      <c r="Y1076" s="8" t="b">
        <f>CleanedData[[#This Row],[Ship Date]]&lt;CleanedData[[#This Row],[Order Date]]</f>
        <v>1</v>
      </c>
      <c r="Z1076" s="10">
        <f>YEAR(CleanedData[[#This Row],[Order Date]])</f>
        <v>2023</v>
      </c>
      <c r="AA1076" s="8">
        <f>MONTH(CleanedData[[#This Row],[Order Date]])</f>
        <v>12</v>
      </c>
    </row>
    <row r="1077" spans="1:27" x14ac:dyDescent="0.35">
      <c r="A1077" s="8" t="s">
        <v>3018</v>
      </c>
      <c r="B1077" s="9">
        <v>45490</v>
      </c>
      <c r="C1077" s="9">
        <v>45333</v>
      </c>
      <c r="D1077" s="8" t="s">
        <v>3020</v>
      </c>
      <c r="E1077" s="8" t="s">
        <v>48</v>
      </c>
      <c r="F1077" s="8" t="s">
        <v>183</v>
      </c>
      <c r="G1077" s="8" t="s">
        <v>217</v>
      </c>
      <c r="H1077" s="8" t="s">
        <v>725</v>
      </c>
      <c r="I1077" s="8" t="s">
        <v>4967</v>
      </c>
      <c r="J1077" s="10">
        <v>566</v>
      </c>
      <c r="K1077" s="11">
        <v>48.95</v>
      </c>
      <c r="L1077" s="11">
        <v>61.51</v>
      </c>
      <c r="M1077" s="11">
        <v>34814.660000000003</v>
      </c>
      <c r="N1077" s="11">
        <v>27705.7</v>
      </c>
      <c r="O1077" s="11">
        <f>CleanedData[[#This Row],[Total Sales ($)]]-CleanedData[[#This Row],[Total Cost ($)]]</f>
        <v>7108.9600000000028</v>
      </c>
      <c r="P1077" s="12">
        <f>CleanedData[[#This Row],[Profit ($)]]/CleanedData[[#This Row],[Total Sales ($)]]</f>
        <v>0.20419443992846698</v>
      </c>
      <c r="Q1077" s="8" t="s">
        <v>52</v>
      </c>
      <c r="R1077" s="8" t="s">
        <v>32</v>
      </c>
      <c r="S1077" s="8" t="b">
        <f>_xlfn.SINGLE(CleanedData[[#This Row],[Delivery Status]])="Late"</f>
        <v>1</v>
      </c>
      <c r="T1077" s="10">
        <v>12</v>
      </c>
      <c r="U1077" s="8" t="s">
        <v>158</v>
      </c>
      <c r="V1077" s="10">
        <v>1976</v>
      </c>
      <c r="W1077" s="10">
        <v>3</v>
      </c>
      <c r="X1077" s="12">
        <v>5.3003533568903999E-3</v>
      </c>
      <c r="Y1077" s="8" t="b">
        <f>CleanedData[[#This Row],[Ship Date]]&lt;CleanedData[[#This Row],[Order Date]]</f>
        <v>1</v>
      </c>
      <c r="Z1077" s="10">
        <f>YEAR(CleanedData[[#This Row],[Order Date]])</f>
        <v>2024</v>
      </c>
      <c r="AA1077" s="8">
        <f>MONTH(CleanedData[[#This Row],[Order Date]])</f>
        <v>7</v>
      </c>
    </row>
    <row r="1078" spans="1:27" x14ac:dyDescent="0.35">
      <c r="A1078" s="8" t="s">
        <v>3021</v>
      </c>
      <c r="B1078" s="9">
        <v>45387</v>
      </c>
      <c r="C1078" s="9">
        <v>45398</v>
      </c>
      <c r="D1078" s="8" t="s">
        <v>3023</v>
      </c>
      <c r="E1078" s="8" t="s">
        <v>58</v>
      </c>
      <c r="F1078" s="8" t="s">
        <v>2017</v>
      </c>
      <c r="G1078" s="8" t="s">
        <v>50</v>
      </c>
      <c r="H1078" s="8" t="s">
        <v>117</v>
      </c>
      <c r="I1078" s="8" t="s">
        <v>4976</v>
      </c>
      <c r="J1078" s="10">
        <v>731</v>
      </c>
      <c r="K1078" s="11">
        <v>1056.83</v>
      </c>
      <c r="L1078" s="11">
        <v>1720.03</v>
      </c>
      <c r="M1078" s="11">
        <v>1257341.93</v>
      </c>
      <c r="N1078" s="11">
        <v>772542.73</v>
      </c>
      <c r="O1078" s="11">
        <f>CleanedData[[#This Row],[Total Sales ($)]]-CleanedData[[#This Row],[Total Cost ($)]]</f>
        <v>484799.19999999995</v>
      </c>
      <c r="P1078" s="12">
        <f>CleanedData[[#This Row],[Profit ($)]]/CleanedData[[#This Row],[Total Sales ($)]]</f>
        <v>0.38557467020924052</v>
      </c>
      <c r="Q1078" s="8" t="s">
        <v>95</v>
      </c>
      <c r="R1078" s="8" t="s">
        <v>32</v>
      </c>
      <c r="S1078" s="8" t="b">
        <f>_xlfn.SINGLE(CleanedData[[#This Row],[Delivery Status]])="Late"</f>
        <v>1</v>
      </c>
      <c r="T1078" s="10">
        <v>13</v>
      </c>
      <c r="U1078" s="8" t="s">
        <v>86</v>
      </c>
      <c r="V1078" s="10">
        <v>217</v>
      </c>
      <c r="W1078" s="10">
        <v>36</v>
      </c>
      <c r="X1078" s="12">
        <v>4.9247606019151798E-2</v>
      </c>
      <c r="Y1078" s="8" t="b">
        <f>CleanedData[[#This Row],[Ship Date]]&lt;CleanedData[[#This Row],[Order Date]]</f>
        <v>0</v>
      </c>
      <c r="Z1078" s="10">
        <f>YEAR(CleanedData[[#This Row],[Order Date]])</f>
        <v>2024</v>
      </c>
      <c r="AA1078" s="8">
        <f>MONTH(CleanedData[[#This Row],[Order Date]])</f>
        <v>4</v>
      </c>
    </row>
    <row r="1079" spans="1:27" x14ac:dyDescent="0.35">
      <c r="A1079" s="8" t="s">
        <v>3024</v>
      </c>
      <c r="B1079" s="9">
        <v>45455</v>
      </c>
      <c r="C1079" s="9">
        <v>45616</v>
      </c>
      <c r="D1079" s="8" t="s">
        <v>3026</v>
      </c>
      <c r="E1079" s="8" t="s">
        <v>68</v>
      </c>
      <c r="F1079" s="8" t="s">
        <v>163</v>
      </c>
      <c r="G1079" s="8" t="s">
        <v>39</v>
      </c>
      <c r="H1079" s="8" t="s">
        <v>40</v>
      </c>
      <c r="I1079" s="8" t="s">
        <v>4975</v>
      </c>
      <c r="J1079" s="10">
        <v>460</v>
      </c>
      <c r="K1079" s="11">
        <v>396.56</v>
      </c>
      <c r="L1079" s="11">
        <v>466.38</v>
      </c>
      <c r="M1079" s="11">
        <v>214534.8</v>
      </c>
      <c r="N1079" s="11">
        <v>182417.6</v>
      </c>
      <c r="O1079" s="11">
        <f>CleanedData[[#This Row],[Total Sales ($)]]-CleanedData[[#This Row],[Total Cost ($)]]</f>
        <v>32117.199999999983</v>
      </c>
      <c r="P1079" s="12">
        <f>CleanedData[[#This Row],[Profit ($)]]/CleanedData[[#This Row],[Total Sales ($)]]</f>
        <v>0.14970624812384745</v>
      </c>
      <c r="Q1079" s="8" t="s">
        <v>52</v>
      </c>
      <c r="R1079" s="8" t="s">
        <v>4972</v>
      </c>
      <c r="S1079" s="8" t="b">
        <f>_xlfn.SINGLE(CleanedData[[#This Row],[Delivery Status]])="Late"</f>
        <v>0</v>
      </c>
      <c r="T1079" s="10">
        <v>13</v>
      </c>
      <c r="U1079" s="8" t="s">
        <v>112</v>
      </c>
      <c r="V1079" s="10">
        <v>3971</v>
      </c>
      <c r="W1079" s="10">
        <v>1</v>
      </c>
      <c r="X1079" s="12">
        <v>2.1739130434782002E-3</v>
      </c>
      <c r="Y1079" s="8" t="b">
        <f>CleanedData[[#This Row],[Ship Date]]&lt;CleanedData[[#This Row],[Order Date]]</f>
        <v>0</v>
      </c>
      <c r="Z1079" s="10">
        <f>YEAR(CleanedData[[#This Row],[Order Date]])</f>
        <v>2024</v>
      </c>
      <c r="AA1079" s="8">
        <f>MONTH(CleanedData[[#This Row],[Order Date]])</f>
        <v>6</v>
      </c>
    </row>
    <row r="1080" spans="1:27" x14ac:dyDescent="0.35">
      <c r="A1080" s="8" t="s">
        <v>3027</v>
      </c>
      <c r="B1080" s="9">
        <v>45265</v>
      </c>
      <c r="C1080" s="9">
        <v>45178</v>
      </c>
      <c r="D1080" s="8" t="s">
        <v>3028</v>
      </c>
      <c r="E1080" s="8" t="s">
        <v>58</v>
      </c>
      <c r="F1080" s="8" t="s">
        <v>122</v>
      </c>
      <c r="G1080" s="8" t="s">
        <v>28</v>
      </c>
      <c r="H1080" s="8" t="s">
        <v>212</v>
      </c>
      <c r="I1080" s="8" t="s">
        <v>4973</v>
      </c>
      <c r="J1080" s="10">
        <v>423</v>
      </c>
      <c r="K1080" s="11">
        <v>926.51</v>
      </c>
      <c r="L1080" s="11">
        <v>1137.07</v>
      </c>
      <c r="M1080" s="11">
        <v>480980.61</v>
      </c>
      <c r="N1080" s="11">
        <v>391913.73</v>
      </c>
      <c r="O1080" s="11">
        <f>CleanedData[[#This Row],[Total Sales ($)]]-CleanedData[[#This Row],[Total Cost ($)]]</f>
        <v>89066.880000000005</v>
      </c>
      <c r="P1080" s="12">
        <f>CleanedData[[#This Row],[Profit ($)]]/CleanedData[[#This Row],[Total Sales ($)]]</f>
        <v>0.18517769354569202</v>
      </c>
      <c r="Q1080" s="8" t="s">
        <v>52</v>
      </c>
      <c r="R1080" s="8" t="s">
        <v>32</v>
      </c>
      <c r="S1080" s="8" t="b">
        <f>_xlfn.SINGLE(CleanedData[[#This Row],[Delivery Status]])="Late"</f>
        <v>1</v>
      </c>
      <c r="T1080" s="10">
        <v>15</v>
      </c>
      <c r="U1080" s="8" t="s">
        <v>112</v>
      </c>
      <c r="V1080" s="10">
        <v>2595</v>
      </c>
      <c r="W1080" s="10">
        <v>0</v>
      </c>
      <c r="X1080" s="12">
        <v>0</v>
      </c>
      <c r="Y1080" s="8" t="b">
        <f>CleanedData[[#This Row],[Ship Date]]&lt;CleanedData[[#This Row],[Order Date]]</f>
        <v>1</v>
      </c>
      <c r="Z1080" s="10">
        <f>YEAR(CleanedData[[#This Row],[Order Date]])</f>
        <v>2023</v>
      </c>
      <c r="AA1080" s="8">
        <f>MONTH(CleanedData[[#This Row],[Order Date]])</f>
        <v>12</v>
      </c>
    </row>
    <row r="1081" spans="1:27" x14ac:dyDescent="0.35">
      <c r="A1081" s="8" t="s">
        <v>2491</v>
      </c>
      <c r="B1081" s="9">
        <v>45413</v>
      </c>
      <c r="C1081" s="9">
        <v>45628</v>
      </c>
      <c r="D1081" s="8" t="s">
        <v>2493</v>
      </c>
      <c r="E1081" s="8" t="s">
        <v>100</v>
      </c>
      <c r="F1081" s="8" t="s">
        <v>101</v>
      </c>
      <c r="G1081" s="8" t="s">
        <v>129</v>
      </c>
      <c r="H1081" s="8" t="s">
        <v>152</v>
      </c>
      <c r="I1081" s="8" t="s">
        <v>4967</v>
      </c>
      <c r="J1081" s="10">
        <v>45</v>
      </c>
      <c r="K1081" s="11">
        <v>1087.43</v>
      </c>
      <c r="L1081" s="11">
        <v>1413.56</v>
      </c>
      <c r="M1081" s="11">
        <v>63610.2</v>
      </c>
      <c r="N1081" s="11">
        <v>48934.35</v>
      </c>
      <c r="O1081" s="11">
        <f>CleanedData[[#This Row],[Total Sales ($)]]-CleanedData[[#This Row],[Total Cost ($)]]</f>
        <v>14675.849999999999</v>
      </c>
      <c r="P1081" s="12">
        <f>CleanedData[[#This Row],[Profit ($)]]/CleanedData[[#This Row],[Total Sales ($)]]</f>
        <v>0.2307153569710518</v>
      </c>
      <c r="Q1081" s="8" t="s">
        <v>42</v>
      </c>
      <c r="R1081" s="8" t="s">
        <v>32</v>
      </c>
      <c r="S1081" s="8" t="b">
        <f>_xlfn.SINGLE(CleanedData[[#This Row],[Delivery Status]])="Late"</f>
        <v>1</v>
      </c>
      <c r="T1081" s="10">
        <v>13</v>
      </c>
      <c r="U1081" s="8" t="s">
        <v>158</v>
      </c>
      <c r="V1081" s="10">
        <v>3728</v>
      </c>
      <c r="W1081" s="10">
        <v>2</v>
      </c>
      <c r="X1081" s="12">
        <v>4.4444444444444398E-2</v>
      </c>
      <c r="Y1081" s="8" t="b">
        <f>CleanedData[[#This Row],[Ship Date]]&lt;CleanedData[[#This Row],[Order Date]]</f>
        <v>0</v>
      </c>
      <c r="Z1081" s="10">
        <f>YEAR(CleanedData[[#This Row],[Order Date]])</f>
        <v>2024</v>
      </c>
      <c r="AA1081" s="8">
        <f>MONTH(CleanedData[[#This Row],[Order Date]])</f>
        <v>5</v>
      </c>
    </row>
    <row r="1082" spans="1:27" x14ac:dyDescent="0.35">
      <c r="A1082" s="8" t="s">
        <v>3029</v>
      </c>
      <c r="B1082" s="9">
        <v>45025</v>
      </c>
      <c r="C1082" s="9">
        <v>45284</v>
      </c>
      <c r="D1082" s="8" t="s">
        <v>3030</v>
      </c>
      <c r="E1082" s="8" t="s">
        <v>26</v>
      </c>
      <c r="F1082" s="8" t="s">
        <v>228</v>
      </c>
      <c r="G1082" s="8" t="s">
        <v>189</v>
      </c>
      <c r="H1082" s="8" t="s">
        <v>365</v>
      </c>
      <c r="I1082" s="8" t="s">
        <v>4979</v>
      </c>
      <c r="J1082" s="10">
        <v>346</v>
      </c>
      <c r="K1082" s="11">
        <v>1114.8900000000001</v>
      </c>
      <c r="L1082" s="11">
        <v>1679.68</v>
      </c>
      <c r="M1082" s="11">
        <v>581169.28</v>
      </c>
      <c r="N1082" s="11">
        <v>385751.94</v>
      </c>
      <c r="O1082" s="11">
        <f>CleanedData[[#This Row],[Total Sales ($)]]-CleanedData[[#This Row],[Total Cost ($)]]</f>
        <v>195417.34000000003</v>
      </c>
      <c r="P1082" s="12">
        <f>CleanedData[[#This Row],[Profit ($)]]/CleanedData[[#This Row],[Total Sales ($)]]</f>
        <v>0.33624857115641077</v>
      </c>
      <c r="Q1082" s="8" t="s">
        <v>31</v>
      </c>
      <c r="R1082" s="8" t="s">
        <v>63</v>
      </c>
      <c r="S1082" s="8" t="b">
        <f>_xlfn.SINGLE(CleanedData[[#This Row],[Delivery Status]])="Late"</f>
        <v>0</v>
      </c>
      <c r="T1082" s="10">
        <v>2</v>
      </c>
      <c r="U1082" s="8" t="s">
        <v>53</v>
      </c>
      <c r="V1082" s="10">
        <v>428</v>
      </c>
      <c r="W1082" s="10">
        <v>5</v>
      </c>
      <c r="X1082" s="12">
        <v>1.44508670520231E-2</v>
      </c>
      <c r="Y1082" s="8" t="b">
        <f>CleanedData[[#This Row],[Ship Date]]&lt;CleanedData[[#This Row],[Order Date]]</f>
        <v>0</v>
      </c>
      <c r="Z1082" s="10">
        <f>YEAR(CleanedData[[#This Row],[Order Date]])</f>
        <v>2023</v>
      </c>
      <c r="AA1082" s="8">
        <f>MONTH(CleanedData[[#This Row],[Order Date]])</f>
        <v>4</v>
      </c>
    </row>
    <row r="1083" spans="1:27" x14ac:dyDescent="0.35">
      <c r="A1083" s="8" t="s">
        <v>3031</v>
      </c>
      <c r="B1083" s="9">
        <v>45148</v>
      </c>
      <c r="C1083" s="9">
        <v>45017</v>
      </c>
      <c r="D1083" s="8" t="s">
        <v>3032</v>
      </c>
      <c r="E1083" s="8" t="s">
        <v>100</v>
      </c>
      <c r="F1083" s="8" t="s">
        <v>538</v>
      </c>
      <c r="G1083" s="8" t="s">
        <v>39</v>
      </c>
      <c r="H1083" s="8" t="s">
        <v>647</v>
      </c>
      <c r="I1083" s="8" t="s">
        <v>4978</v>
      </c>
      <c r="J1083" s="10">
        <v>108</v>
      </c>
      <c r="K1083" s="11">
        <v>188.24</v>
      </c>
      <c r="L1083" s="11">
        <v>227.63</v>
      </c>
      <c r="M1083" s="11">
        <v>24584.04</v>
      </c>
      <c r="N1083" s="11">
        <v>20329.919999999998</v>
      </c>
      <c r="O1083" s="11">
        <f>CleanedData[[#This Row],[Total Sales ($)]]-CleanedData[[#This Row],[Total Cost ($)]]</f>
        <v>4254.1200000000026</v>
      </c>
      <c r="P1083" s="12">
        <f>CleanedData[[#This Row],[Profit ($)]]/CleanedData[[#This Row],[Total Sales ($)]]</f>
        <v>0.17304397487150211</v>
      </c>
      <c r="Q1083" s="8" t="s">
        <v>52</v>
      </c>
      <c r="R1083" s="8" t="s">
        <v>32</v>
      </c>
      <c r="S1083" s="8" t="b">
        <f>_xlfn.SINGLE(CleanedData[[#This Row],[Delivery Status]])="Late"</f>
        <v>1</v>
      </c>
      <c r="T1083" s="10">
        <v>15</v>
      </c>
      <c r="U1083" s="8" t="s">
        <v>43</v>
      </c>
      <c r="V1083" s="10">
        <v>3906</v>
      </c>
      <c r="W1083" s="10">
        <v>0</v>
      </c>
      <c r="X1083" s="12">
        <v>0</v>
      </c>
      <c r="Y1083" s="8" t="b">
        <f>CleanedData[[#This Row],[Ship Date]]&lt;CleanedData[[#This Row],[Order Date]]</f>
        <v>1</v>
      </c>
      <c r="Z1083" s="10">
        <f>YEAR(CleanedData[[#This Row],[Order Date]])</f>
        <v>2023</v>
      </c>
      <c r="AA1083" s="8">
        <f>MONTH(CleanedData[[#This Row],[Order Date]])</f>
        <v>8</v>
      </c>
    </row>
    <row r="1084" spans="1:27" x14ac:dyDescent="0.35">
      <c r="A1084" s="8" t="s">
        <v>3033</v>
      </c>
      <c r="B1084" s="9">
        <v>44987</v>
      </c>
      <c r="C1084" s="9">
        <v>44930</v>
      </c>
      <c r="D1084" s="8" t="s">
        <v>4972</v>
      </c>
      <c r="E1084" s="8" t="s">
        <v>26</v>
      </c>
      <c r="F1084" s="8" t="s">
        <v>228</v>
      </c>
      <c r="G1084" s="8" t="s">
        <v>60</v>
      </c>
      <c r="H1084" s="8" t="s">
        <v>780</v>
      </c>
      <c r="I1084" s="8" t="s">
        <v>4973</v>
      </c>
      <c r="J1084" s="10">
        <v>736</v>
      </c>
      <c r="K1084" s="11">
        <v>1016.32</v>
      </c>
      <c r="L1084" s="11">
        <v>1250.6099999999999</v>
      </c>
      <c r="M1084" s="11">
        <v>920448.96</v>
      </c>
      <c r="N1084" s="11">
        <v>748011.52000000002</v>
      </c>
      <c r="O1084" s="11">
        <f>CleanedData[[#This Row],[Total Sales ($)]]-CleanedData[[#This Row],[Total Cost ($)]]</f>
        <v>172437.43999999994</v>
      </c>
      <c r="P1084" s="12">
        <f>CleanedData[[#This Row],[Profit ($)]]/CleanedData[[#This Row],[Total Sales ($)]]</f>
        <v>0.18734057779803451</v>
      </c>
      <c r="Q1084" s="8" t="s">
        <v>31</v>
      </c>
      <c r="R1084" s="8" t="s">
        <v>32</v>
      </c>
      <c r="S1084" s="8" t="b">
        <f>_xlfn.SINGLE(CleanedData[[#This Row],[Delivery Status]])="Late"</f>
        <v>1</v>
      </c>
      <c r="T1084" s="10">
        <v>10</v>
      </c>
      <c r="U1084" s="8" t="s">
        <v>43</v>
      </c>
      <c r="V1084" s="10">
        <v>685</v>
      </c>
      <c r="W1084" s="10">
        <v>14</v>
      </c>
      <c r="X1084" s="12">
        <v>1.9021739130434701E-2</v>
      </c>
      <c r="Y1084" s="8" t="b">
        <f>CleanedData[[#This Row],[Ship Date]]&lt;CleanedData[[#This Row],[Order Date]]</f>
        <v>1</v>
      </c>
      <c r="Z1084" s="10">
        <f>YEAR(CleanedData[[#This Row],[Order Date]])</f>
        <v>2023</v>
      </c>
      <c r="AA1084" s="8">
        <f>MONTH(CleanedData[[#This Row],[Order Date]])</f>
        <v>3</v>
      </c>
    </row>
    <row r="1085" spans="1:27" x14ac:dyDescent="0.35">
      <c r="A1085" s="8" t="s">
        <v>3034</v>
      </c>
      <c r="B1085" s="9">
        <v>45276</v>
      </c>
      <c r="C1085" s="9">
        <v>45102</v>
      </c>
      <c r="D1085" s="8" t="s">
        <v>3035</v>
      </c>
      <c r="E1085" s="8" t="s">
        <v>26</v>
      </c>
      <c r="F1085" s="8" t="s">
        <v>3037</v>
      </c>
      <c r="G1085" s="8" t="s">
        <v>93</v>
      </c>
      <c r="H1085" s="8" t="s">
        <v>140</v>
      </c>
      <c r="I1085" s="8" t="s">
        <v>4976</v>
      </c>
      <c r="J1085" s="10">
        <v>519</v>
      </c>
      <c r="K1085" s="11">
        <v>1032.8499999999999</v>
      </c>
      <c r="L1085" s="11">
        <v>1382.1</v>
      </c>
      <c r="M1085" s="11">
        <v>717309.9</v>
      </c>
      <c r="N1085" s="11">
        <v>536049.15</v>
      </c>
      <c r="O1085" s="11">
        <f>CleanedData[[#This Row],[Total Sales ($)]]-CleanedData[[#This Row],[Total Cost ($)]]</f>
        <v>181260.75</v>
      </c>
      <c r="P1085" s="12">
        <f>CleanedData[[#This Row],[Profit ($)]]/CleanedData[[#This Row],[Total Sales ($)]]</f>
        <v>0.25269517401056363</v>
      </c>
      <c r="Q1085" s="8" t="s">
        <v>52</v>
      </c>
      <c r="R1085" s="8" t="s">
        <v>32</v>
      </c>
      <c r="S1085" s="8" t="b">
        <f>_xlfn.SINGLE(CleanedData[[#This Row],[Delivery Status]])="Late"</f>
        <v>1</v>
      </c>
      <c r="T1085" s="10">
        <v>15</v>
      </c>
      <c r="U1085" s="8" t="s">
        <v>33</v>
      </c>
      <c r="V1085" s="10">
        <v>4462</v>
      </c>
      <c r="W1085" s="10">
        <v>19</v>
      </c>
      <c r="X1085" s="12">
        <v>3.6608863198458498E-2</v>
      </c>
      <c r="Y1085" s="8" t="b">
        <f>CleanedData[[#This Row],[Ship Date]]&lt;CleanedData[[#This Row],[Order Date]]</f>
        <v>1</v>
      </c>
      <c r="Z1085" s="10">
        <f>YEAR(CleanedData[[#This Row],[Order Date]])</f>
        <v>2023</v>
      </c>
      <c r="AA1085" s="8">
        <f>MONTH(CleanedData[[#This Row],[Order Date]])</f>
        <v>12</v>
      </c>
    </row>
    <row r="1086" spans="1:27" x14ac:dyDescent="0.35">
      <c r="A1086" s="8" t="s">
        <v>3038</v>
      </c>
      <c r="B1086" s="9">
        <v>45056</v>
      </c>
      <c r="C1086" s="9">
        <v>45255</v>
      </c>
      <c r="D1086" s="8" t="s">
        <v>3039</v>
      </c>
      <c r="E1086" s="8" t="s">
        <v>48</v>
      </c>
      <c r="F1086" s="8" t="s">
        <v>270</v>
      </c>
      <c r="G1086" s="8" t="s">
        <v>217</v>
      </c>
      <c r="H1086" s="8" t="s">
        <v>684</v>
      </c>
      <c r="I1086" s="8" t="s">
        <v>4971</v>
      </c>
      <c r="J1086" s="10">
        <v>128</v>
      </c>
      <c r="K1086" s="11">
        <v>1140.3599999999999</v>
      </c>
      <c r="L1086" s="11">
        <v>1758.92</v>
      </c>
      <c r="M1086" s="11">
        <v>225141.76000000001</v>
      </c>
      <c r="N1086" s="11">
        <v>145966.07999999999</v>
      </c>
      <c r="O1086" s="11">
        <f>CleanedData[[#This Row],[Total Sales ($)]]-CleanedData[[#This Row],[Total Cost ($)]]</f>
        <v>79175.680000000022</v>
      </c>
      <c r="P1086" s="12">
        <f>CleanedData[[#This Row],[Profit ($)]]/CleanedData[[#This Row],[Total Sales ($)]]</f>
        <v>0.35167034316512413</v>
      </c>
      <c r="Q1086" s="8" t="s">
        <v>31</v>
      </c>
      <c r="R1086" s="8" t="s">
        <v>32</v>
      </c>
      <c r="S1086" s="8" t="b">
        <f>_xlfn.SINGLE(CleanedData[[#This Row],[Delivery Status]])="Late"</f>
        <v>1</v>
      </c>
      <c r="T1086" s="10">
        <v>15</v>
      </c>
      <c r="U1086" s="8" t="s">
        <v>53</v>
      </c>
      <c r="V1086" s="10">
        <v>3188</v>
      </c>
      <c r="W1086" s="10">
        <v>4</v>
      </c>
      <c r="X1086" s="12">
        <v>3.125E-2</v>
      </c>
      <c r="Y1086" s="8" t="b">
        <f>CleanedData[[#This Row],[Ship Date]]&lt;CleanedData[[#This Row],[Order Date]]</f>
        <v>0</v>
      </c>
      <c r="Z1086" s="10">
        <f>YEAR(CleanedData[[#This Row],[Order Date]])</f>
        <v>2023</v>
      </c>
      <c r="AA1086" s="8">
        <f>MONTH(CleanedData[[#This Row],[Order Date]])</f>
        <v>5</v>
      </c>
    </row>
    <row r="1087" spans="1:27" x14ac:dyDescent="0.35">
      <c r="A1087" s="8" t="s">
        <v>3040</v>
      </c>
      <c r="B1087" s="9">
        <v>45366</v>
      </c>
      <c r="C1087" s="9">
        <v>45012</v>
      </c>
      <c r="D1087" s="8" t="s">
        <v>3042</v>
      </c>
      <c r="E1087" s="8" t="s">
        <v>48</v>
      </c>
      <c r="F1087" s="8" t="s">
        <v>49</v>
      </c>
      <c r="G1087" s="8" t="s">
        <v>50</v>
      </c>
      <c r="H1087" s="8" t="s">
        <v>173</v>
      </c>
      <c r="I1087" s="8" t="s">
        <v>4967</v>
      </c>
      <c r="J1087" s="10">
        <v>12</v>
      </c>
      <c r="K1087" s="11">
        <v>798.71</v>
      </c>
      <c r="L1087" s="11">
        <v>963.5</v>
      </c>
      <c r="M1087" s="11">
        <v>11562</v>
      </c>
      <c r="N1087" s="11">
        <v>9584.52</v>
      </c>
      <c r="O1087" s="11">
        <f>CleanedData[[#This Row],[Total Sales ($)]]-CleanedData[[#This Row],[Total Cost ($)]]</f>
        <v>1977.4799999999996</v>
      </c>
      <c r="P1087" s="12">
        <f>CleanedData[[#This Row],[Profit ($)]]/CleanedData[[#This Row],[Total Sales ($)]]</f>
        <v>0.17103269330565643</v>
      </c>
      <c r="Q1087" s="8" t="s">
        <v>42</v>
      </c>
      <c r="R1087" s="8" t="s">
        <v>63</v>
      </c>
      <c r="S1087" s="8" t="b">
        <f>_xlfn.SINGLE(CleanedData[[#This Row],[Delivery Status]])="Late"</f>
        <v>0</v>
      </c>
      <c r="T1087" s="10">
        <v>4</v>
      </c>
      <c r="U1087" s="8" t="s">
        <v>33</v>
      </c>
      <c r="V1087" s="10">
        <v>4713</v>
      </c>
      <c r="W1087" s="10">
        <v>1</v>
      </c>
      <c r="X1087" s="12">
        <v>8.3333333333333301E-2</v>
      </c>
      <c r="Y1087" s="8" t="b">
        <f>CleanedData[[#This Row],[Ship Date]]&lt;CleanedData[[#This Row],[Order Date]]</f>
        <v>1</v>
      </c>
      <c r="Z1087" s="10">
        <f>YEAR(CleanedData[[#This Row],[Order Date]])</f>
        <v>2024</v>
      </c>
      <c r="AA1087" s="8">
        <f>MONTH(CleanedData[[#This Row],[Order Date]])</f>
        <v>3</v>
      </c>
    </row>
    <row r="1088" spans="1:27" x14ac:dyDescent="0.35">
      <c r="A1088" s="8" t="s">
        <v>3043</v>
      </c>
      <c r="B1088" s="9">
        <v>45141</v>
      </c>
      <c r="C1088" s="9">
        <v>45186</v>
      </c>
      <c r="D1088" s="8" t="s">
        <v>3044</v>
      </c>
      <c r="E1088" s="8" t="s">
        <v>48</v>
      </c>
      <c r="F1088" s="8" t="s">
        <v>49</v>
      </c>
      <c r="G1088" s="8" t="s">
        <v>129</v>
      </c>
      <c r="H1088" s="8" t="s">
        <v>316</v>
      </c>
      <c r="I1088" s="8" t="s">
        <v>4967</v>
      </c>
      <c r="J1088" s="10">
        <v>543</v>
      </c>
      <c r="K1088" s="11">
        <v>931.5</v>
      </c>
      <c r="L1088" s="11">
        <v>1066.28</v>
      </c>
      <c r="M1088" s="11">
        <v>578990.04</v>
      </c>
      <c r="N1088" s="11">
        <v>505804.5</v>
      </c>
      <c r="O1088" s="11">
        <f>CleanedData[[#This Row],[Total Sales ($)]]-CleanedData[[#This Row],[Total Cost ($)]]</f>
        <v>73185.540000000037</v>
      </c>
      <c r="P1088" s="12">
        <f>CleanedData[[#This Row],[Profit ($)]]/CleanedData[[#This Row],[Total Sales ($)]]</f>
        <v>0.12640207075064716</v>
      </c>
      <c r="Q1088" s="8" t="s">
        <v>42</v>
      </c>
      <c r="R1088" s="8" t="s">
        <v>32</v>
      </c>
      <c r="S1088" s="8" t="b">
        <f>_xlfn.SINGLE(CleanedData[[#This Row],[Delivery Status]])="Late"</f>
        <v>1</v>
      </c>
      <c r="T1088" s="10">
        <v>6</v>
      </c>
      <c r="U1088" s="8" t="s">
        <v>33</v>
      </c>
      <c r="V1088" s="10">
        <v>2844</v>
      </c>
      <c r="W1088" s="10">
        <v>0</v>
      </c>
      <c r="X1088" s="12">
        <v>0</v>
      </c>
      <c r="Y1088" s="8" t="b">
        <f>CleanedData[[#This Row],[Ship Date]]&lt;CleanedData[[#This Row],[Order Date]]</f>
        <v>0</v>
      </c>
      <c r="Z1088" s="10">
        <f>YEAR(CleanedData[[#This Row],[Order Date]])</f>
        <v>2023</v>
      </c>
      <c r="AA1088" s="8">
        <f>MONTH(CleanedData[[#This Row],[Order Date]])</f>
        <v>8</v>
      </c>
    </row>
    <row r="1089" spans="1:27" x14ac:dyDescent="0.35">
      <c r="A1089" s="8" t="s">
        <v>3045</v>
      </c>
      <c r="B1089" s="9">
        <v>45092</v>
      </c>
      <c r="C1089" s="9">
        <v>45285</v>
      </c>
      <c r="D1089" s="8" t="s">
        <v>3046</v>
      </c>
      <c r="E1089" s="8" t="s">
        <v>26</v>
      </c>
      <c r="F1089" s="8" t="s">
        <v>38</v>
      </c>
      <c r="G1089" s="8" t="s">
        <v>217</v>
      </c>
      <c r="H1089" s="8" t="s">
        <v>725</v>
      </c>
      <c r="I1089" s="8" t="s">
        <v>4976</v>
      </c>
      <c r="J1089" s="10">
        <v>472</v>
      </c>
      <c r="K1089" s="11">
        <v>337.2</v>
      </c>
      <c r="L1089" s="11">
        <v>434.92</v>
      </c>
      <c r="M1089" s="11">
        <v>205282.24</v>
      </c>
      <c r="N1089" s="11">
        <v>159158.39999999999</v>
      </c>
      <c r="O1089" s="11">
        <f>CleanedData[[#This Row],[Total Sales ($)]]-CleanedData[[#This Row],[Total Cost ($)]]</f>
        <v>46123.839999999997</v>
      </c>
      <c r="P1089" s="12">
        <f>CleanedData[[#This Row],[Profit ($)]]/CleanedData[[#This Row],[Total Sales ($)]]</f>
        <v>0.22468499954014531</v>
      </c>
      <c r="Q1089" s="8" t="s">
        <v>31</v>
      </c>
      <c r="R1089" s="8" t="s">
        <v>32</v>
      </c>
      <c r="S1089" s="8" t="b">
        <f>_xlfn.SINGLE(CleanedData[[#This Row],[Delivery Status]])="Late"</f>
        <v>1</v>
      </c>
      <c r="T1089" s="10">
        <v>14</v>
      </c>
      <c r="U1089" s="8" t="s">
        <v>86</v>
      </c>
      <c r="V1089" s="10">
        <v>626</v>
      </c>
      <c r="W1089" s="10">
        <v>18</v>
      </c>
      <c r="X1089" s="12">
        <v>3.8135593220338902E-2</v>
      </c>
      <c r="Y1089" s="8" t="b">
        <f>CleanedData[[#This Row],[Ship Date]]&lt;CleanedData[[#This Row],[Order Date]]</f>
        <v>0</v>
      </c>
      <c r="Z1089" s="10">
        <f>YEAR(CleanedData[[#This Row],[Order Date]])</f>
        <v>2023</v>
      </c>
      <c r="AA1089" s="8">
        <f>MONTH(CleanedData[[#This Row],[Order Date]])</f>
        <v>6</v>
      </c>
    </row>
    <row r="1090" spans="1:27" x14ac:dyDescent="0.35">
      <c r="A1090" s="8" t="s">
        <v>3047</v>
      </c>
      <c r="B1090" s="9">
        <v>45163</v>
      </c>
      <c r="C1090" s="9">
        <v>45083</v>
      </c>
      <c r="D1090" s="8" t="s">
        <v>3048</v>
      </c>
      <c r="E1090" s="8" t="s">
        <v>68</v>
      </c>
      <c r="F1090" s="8" t="s">
        <v>69</v>
      </c>
      <c r="G1090" s="8" t="s">
        <v>78</v>
      </c>
      <c r="H1090" s="8" t="s">
        <v>178</v>
      </c>
      <c r="I1090" s="8" t="s">
        <v>4978</v>
      </c>
      <c r="J1090" s="10">
        <v>589</v>
      </c>
      <c r="K1090" s="11">
        <v>938.84</v>
      </c>
      <c r="L1090" s="11">
        <v>1102.73</v>
      </c>
      <c r="M1090" s="11">
        <v>649507.97</v>
      </c>
      <c r="N1090" s="11">
        <v>552976.76</v>
      </c>
      <c r="O1090" s="11">
        <f>CleanedData[[#This Row],[Total Sales ($)]]-CleanedData[[#This Row],[Total Cost ($)]]</f>
        <v>96531.209999999963</v>
      </c>
      <c r="P1090" s="12">
        <f>CleanedData[[#This Row],[Profit ($)]]/CleanedData[[#This Row],[Total Sales ($)]]</f>
        <v>0.14862205616968791</v>
      </c>
      <c r="Q1090" s="8" t="s">
        <v>52</v>
      </c>
      <c r="R1090" s="8" t="s">
        <v>32</v>
      </c>
      <c r="S1090" s="8" t="b">
        <f>_xlfn.SINGLE(CleanedData[[#This Row],[Delivery Status]])="Late"</f>
        <v>1</v>
      </c>
      <c r="T1090" s="10">
        <v>9</v>
      </c>
      <c r="U1090" s="8" t="s">
        <v>112</v>
      </c>
      <c r="V1090" s="10">
        <v>29</v>
      </c>
      <c r="W1090" s="10">
        <v>12</v>
      </c>
      <c r="X1090" s="12">
        <v>2.03735144312393E-2</v>
      </c>
      <c r="Y1090" s="8" t="b">
        <f>CleanedData[[#This Row],[Ship Date]]&lt;CleanedData[[#This Row],[Order Date]]</f>
        <v>1</v>
      </c>
      <c r="Z1090" s="10">
        <f>YEAR(CleanedData[[#This Row],[Order Date]])</f>
        <v>2023</v>
      </c>
      <c r="AA1090" s="8">
        <f>MONTH(CleanedData[[#This Row],[Order Date]])</f>
        <v>8</v>
      </c>
    </row>
    <row r="1091" spans="1:27" x14ac:dyDescent="0.35">
      <c r="A1091" s="8" t="s">
        <v>1624</v>
      </c>
      <c r="B1091" s="9">
        <v>44964</v>
      </c>
      <c r="C1091" s="9">
        <v>45074</v>
      </c>
      <c r="D1091" s="8" t="s">
        <v>1626</v>
      </c>
      <c r="E1091" s="8" t="s">
        <v>100</v>
      </c>
      <c r="F1091" s="8" t="s">
        <v>106</v>
      </c>
      <c r="G1091" s="8" t="s">
        <v>39</v>
      </c>
      <c r="H1091" s="8" t="s">
        <v>354</v>
      </c>
      <c r="I1091" s="8" t="s">
        <v>4974</v>
      </c>
      <c r="J1091" s="10">
        <v>257</v>
      </c>
      <c r="K1091" s="11">
        <v>196.24</v>
      </c>
      <c r="L1091" s="11">
        <v>239.29</v>
      </c>
      <c r="M1091" s="11">
        <v>61497.53</v>
      </c>
      <c r="N1091" s="11">
        <v>50433.68</v>
      </c>
      <c r="O1091" s="11">
        <f>CleanedData[[#This Row],[Total Sales ($)]]-CleanedData[[#This Row],[Total Cost ($)]]</f>
        <v>11063.849999999999</v>
      </c>
      <c r="P1091" s="12">
        <f>CleanedData[[#This Row],[Profit ($)]]/CleanedData[[#This Row],[Total Sales ($)]]</f>
        <v>0.17990722554222907</v>
      </c>
      <c r="Q1091" s="8" t="s">
        <v>95</v>
      </c>
      <c r="R1091" s="8" t="s">
        <v>32</v>
      </c>
      <c r="S1091" s="8" t="b">
        <f>_xlfn.SINGLE(CleanedData[[#This Row],[Delivery Status]])="Late"</f>
        <v>1</v>
      </c>
      <c r="T1091" s="10">
        <v>8</v>
      </c>
      <c r="U1091" s="8" t="s">
        <v>112</v>
      </c>
      <c r="V1091" s="10">
        <v>4438</v>
      </c>
      <c r="W1091" s="10">
        <v>5</v>
      </c>
      <c r="X1091" s="12">
        <v>1.94552529182879E-2</v>
      </c>
      <c r="Y1091" s="8" t="b">
        <f>CleanedData[[#This Row],[Ship Date]]&lt;CleanedData[[#This Row],[Order Date]]</f>
        <v>0</v>
      </c>
      <c r="Z1091" s="10">
        <f>YEAR(CleanedData[[#This Row],[Order Date]])</f>
        <v>2023</v>
      </c>
      <c r="AA1091" s="8">
        <f>MONTH(CleanedData[[#This Row],[Order Date]])</f>
        <v>2</v>
      </c>
    </row>
    <row r="1092" spans="1:27" x14ac:dyDescent="0.35">
      <c r="A1092" s="8" t="s">
        <v>3049</v>
      </c>
      <c r="B1092" s="9">
        <v>45522</v>
      </c>
      <c r="C1092" s="9">
        <v>45576</v>
      </c>
      <c r="D1092" s="8" t="s">
        <v>3051</v>
      </c>
      <c r="E1092" s="8" t="s">
        <v>68</v>
      </c>
      <c r="F1092" s="8" t="s">
        <v>69</v>
      </c>
      <c r="G1092" s="8" t="s">
        <v>217</v>
      </c>
      <c r="H1092" s="8" t="s">
        <v>340</v>
      </c>
      <c r="I1092" s="8" t="s">
        <v>4969</v>
      </c>
      <c r="J1092" s="10">
        <v>300</v>
      </c>
      <c r="K1092" s="11">
        <v>967.55</v>
      </c>
      <c r="L1092" s="11">
        <v>1285.93</v>
      </c>
      <c r="M1092" s="11">
        <v>385779</v>
      </c>
      <c r="N1092" s="11">
        <v>290265</v>
      </c>
      <c r="O1092" s="11">
        <f>CleanedData[[#This Row],[Total Sales ($)]]-CleanedData[[#This Row],[Total Cost ($)]]</f>
        <v>95514</v>
      </c>
      <c r="P1092" s="12">
        <f>CleanedData[[#This Row],[Profit ($)]]/CleanedData[[#This Row],[Total Sales ($)]]</f>
        <v>0.24758734923362857</v>
      </c>
      <c r="Q1092" s="8" t="s">
        <v>42</v>
      </c>
      <c r="R1092" s="8" t="s">
        <v>32</v>
      </c>
      <c r="S1092" s="8" t="b">
        <f>_xlfn.SINGLE(CleanedData[[#This Row],[Delivery Status]])="Late"</f>
        <v>1</v>
      </c>
      <c r="T1092" s="10">
        <v>11</v>
      </c>
      <c r="U1092" s="8" t="s">
        <v>43</v>
      </c>
      <c r="V1092" s="10">
        <v>589</v>
      </c>
      <c r="W1092" s="10">
        <v>8</v>
      </c>
      <c r="X1092" s="12">
        <v>2.6666666666666599E-2</v>
      </c>
      <c r="Y1092" s="8" t="b">
        <f>CleanedData[[#This Row],[Ship Date]]&lt;CleanedData[[#This Row],[Order Date]]</f>
        <v>0</v>
      </c>
      <c r="Z1092" s="10">
        <f>YEAR(CleanedData[[#This Row],[Order Date]])</f>
        <v>2024</v>
      </c>
      <c r="AA1092" s="8">
        <f>MONTH(CleanedData[[#This Row],[Order Date]])</f>
        <v>8</v>
      </c>
    </row>
    <row r="1093" spans="1:27" x14ac:dyDescent="0.35">
      <c r="A1093" s="8" t="s">
        <v>3052</v>
      </c>
      <c r="B1093" s="9">
        <v>45237</v>
      </c>
      <c r="C1093" s="9">
        <v>44937</v>
      </c>
      <c r="D1093" s="8" t="s">
        <v>3053</v>
      </c>
      <c r="E1093" s="8" t="s">
        <v>100</v>
      </c>
      <c r="F1093" s="8" t="s">
        <v>106</v>
      </c>
      <c r="G1093" s="8" t="s">
        <v>70</v>
      </c>
      <c r="H1093" s="8" t="s">
        <v>623</v>
      </c>
      <c r="I1093" s="8" t="s">
        <v>4967</v>
      </c>
      <c r="J1093" s="10">
        <v>495</v>
      </c>
      <c r="K1093" s="11">
        <v>269.56</v>
      </c>
      <c r="L1093" s="11">
        <v>403.76</v>
      </c>
      <c r="M1093" s="11">
        <v>199861.2</v>
      </c>
      <c r="N1093" s="11">
        <v>133432.20000000001</v>
      </c>
      <c r="O1093" s="11">
        <f>CleanedData[[#This Row],[Total Sales ($)]]-CleanedData[[#This Row],[Total Cost ($)]]</f>
        <v>66429</v>
      </c>
      <c r="P1093" s="12">
        <f>CleanedData[[#This Row],[Profit ($)]]/CleanedData[[#This Row],[Total Sales ($)]]</f>
        <v>0.33237566871408758</v>
      </c>
      <c r="Q1093" s="8" t="s">
        <v>52</v>
      </c>
      <c r="R1093" s="8" t="s">
        <v>63</v>
      </c>
      <c r="S1093" s="8" t="b">
        <f>_xlfn.SINGLE(CleanedData[[#This Row],[Delivery Status]])="Late"</f>
        <v>0</v>
      </c>
      <c r="T1093" s="10">
        <v>3</v>
      </c>
      <c r="U1093" s="8" t="s">
        <v>53</v>
      </c>
      <c r="V1093" s="10">
        <v>1249</v>
      </c>
      <c r="W1093" s="10">
        <v>17</v>
      </c>
      <c r="X1093" s="12">
        <v>3.4343434343434301E-2</v>
      </c>
      <c r="Y1093" s="8" t="b">
        <f>CleanedData[[#This Row],[Ship Date]]&lt;CleanedData[[#This Row],[Order Date]]</f>
        <v>1</v>
      </c>
      <c r="Z1093" s="10">
        <f>YEAR(CleanedData[[#This Row],[Order Date]])</f>
        <v>2023</v>
      </c>
      <c r="AA1093" s="8">
        <f>MONTH(CleanedData[[#This Row],[Order Date]])</f>
        <v>11</v>
      </c>
    </row>
    <row r="1094" spans="1:27" x14ac:dyDescent="0.35">
      <c r="A1094" s="8" t="s">
        <v>3054</v>
      </c>
      <c r="B1094" s="9">
        <v>45192</v>
      </c>
      <c r="C1094" s="9">
        <v>45162</v>
      </c>
      <c r="D1094" s="8" t="s">
        <v>3055</v>
      </c>
      <c r="E1094" s="8" t="s">
        <v>68</v>
      </c>
      <c r="F1094" s="8" t="s">
        <v>276</v>
      </c>
      <c r="G1094" s="8" t="s">
        <v>78</v>
      </c>
      <c r="H1094" s="8" t="s">
        <v>572</v>
      </c>
      <c r="I1094" s="8" t="s">
        <v>4971</v>
      </c>
      <c r="J1094" s="10">
        <v>251</v>
      </c>
      <c r="K1094" s="11">
        <v>805.36</v>
      </c>
      <c r="L1094" s="11">
        <v>1014.56</v>
      </c>
      <c r="M1094" s="11">
        <v>254654.56</v>
      </c>
      <c r="N1094" s="11">
        <v>202145.36</v>
      </c>
      <c r="O1094" s="11">
        <f>CleanedData[[#This Row],[Total Sales ($)]]-CleanedData[[#This Row],[Total Cost ($)]]</f>
        <v>52509.200000000012</v>
      </c>
      <c r="P1094" s="12">
        <f>CleanedData[[#This Row],[Profit ($)]]/CleanedData[[#This Row],[Total Sales ($)]]</f>
        <v>0.20619776060558276</v>
      </c>
      <c r="Q1094" s="8" t="s">
        <v>52</v>
      </c>
      <c r="R1094" s="8" t="s">
        <v>32</v>
      </c>
      <c r="S1094" s="8" t="b">
        <f>_xlfn.SINGLE(CleanedData[[#This Row],[Delivery Status]])="Late"</f>
        <v>1</v>
      </c>
      <c r="T1094" s="10">
        <v>11</v>
      </c>
      <c r="U1094" s="8" t="s">
        <v>112</v>
      </c>
      <c r="V1094" s="10">
        <v>3965</v>
      </c>
      <c r="W1094" s="10">
        <v>5</v>
      </c>
      <c r="X1094" s="12">
        <v>1.9920318725099601E-2</v>
      </c>
      <c r="Y1094" s="8" t="b">
        <f>CleanedData[[#This Row],[Ship Date]]&lt;CleanedData[[#This Row],[Order Date]]</f>
        <v>1</v>
      </c>
      <c r="Z1094" s="10">
        <f>YEAR(CleanedData[[#This Row],[Order Date]])</f>
        <v>2023</v>
      </c>
      <c r="AA1094" s="8">
        <f>MONTH(CleanedData[[#This Row],[Order Date]])</f>
        <v>9</v>
      </c>
    </row>
    <row r="1095" spans="1:27" x14ac:dyDescent="0.35">
      <c r="A1095" s="8" t="s">
        <v>3056</v>
      </c>
      <c r="B1095" s="9">
        <v>45407</v>
      </c>
      <c r="C1095" s="9">
        <v>45463</v>
      </c>
      <c r="D1095" s="8" t="s">
        <v>3057</v>
      </c>
      <c r="E1095" s="8" t="s">
        <v>100</v>
      </c>
      <c r="F1095" s="8" t="s">
        <v>330</v>
      </c>
      <c r="G1095" s="8" t="s">
        <v>93</v>
      </c>
      <c r="H1095" s="8" t="s">
        <v>302</v>
      </c>
      <c r="I1095" s="8" t="s">
        <v>4970</v>
      </c>
      <c r="J1095" s="10">
        <v>373</v>
      </c>
      <c r="K1095" s="11">
        <v>769.47</v>
      </c>
      <c r="L1095" s="11">
        <v>913.93</v>
      </c>
      <c r="M1095" s="11">
        <v>340895.89</v>
      </c>
      <c r="N1095" s="11">
        <v>287012.31</v>
      </c>
      <c r="O1095" s="11">
        <f>CleanedData[[#This Row],[Total Sales ($)]]-CleanedData[[#This Row],[Total Cost ($)]]</f>
        <v>53883.580000000016</v>
      </c>
      <c r="P1095" s="12">
        <f>CleanedData[[#This Row],[Profit ($)]]/CleanedData[[#This Row],[Total Sales ($)]]</f>
        <v>0.15806462201700353</v>
      </c>
      <c r="Q1095" s="8" t="s">
        <v>31</v>
      </c>
      <c r="R1095" s="8" t="s">
        <v>32</v>
      </c>
      <c r="S1095" s="8" t="b">
        <f>_xlfn.SINGLE(CleanedData[[#This Row],[Delivery Status]])="Late"</f>
        <v>1</v>
      </c>
      <c r="T1095" s="10">
        <v>11</v>
      </c>
      <c r="U1095" s="8" t="s">
        <v>53</v>
      </c>
      <c r="V1095" s="10">
        <v>4497</v>
      </c>
      <c r="W1095" s="10">
        <v>12</v>
      </c>
      <c r="X1095" s="12">
        <v>3.2171581769436998E-2</v>
      </c>
      <c r="Y1095" s="8" t="b">
        <f>CleanedData[[#This Row],[Ship Date]]&lt;CleanedData[[#This Row],[Order Date]]</f>
        <v>0</v>
      </c>
      <c r="Z1095" s="10">
        <f>YEAR(CleanedData[[#This Row],[Order Date]])</f>
        <v>2024</v>
      </c>
      <c r="AA1095" s="8">
        <f>MONTH(CleanedData[[#This Row],[Order Date]])</f>
        <v>4</v>
      </c>
    </row>
    <row r="1096" spans="1:27" x14ac:dyDescent="0.35">
      <c r="A1096" s="8" t="s">
        <v>3058</v>
      </c>
      <c r="B1096" s="9">
        <v>44948</v>
      </c>
      <c r="C1096" s="9">
        <v>45256</v>
      </c>
      <c r="D1096" s="8" t="s">
        <v>3059</v>
      </c>
      <c r="E1096" s="8" t="s">
        <v>58</v>
      </c>
      <c r="F1096" s="8" t="s">
        <v>122</v>
      </c>
      <c r="G1096" s="8" t="s">
        <v>129</v>
      </c>
      <c r="H1096" s="8" t="s">
        <v>520</v>
      </c>
      <c r="I1096" s="8" t="s">
        <v>4975</v>
      </c>
      <c r="J1096" s="10">
        <v>718</v>
      </c>
      <c r="K1096" s="11">
        <v>602.86</v>
      </c>
      <c r="L1096" s="11">
        <v>829.55</v>
      </c>
      <c r="M1096" s="11">
        <v>595616.9</v>
      </c>
      <c r="N1096" s="11">
        <v>432853.48</v>
      </c>
      <c r="O1096" s="11">
        <f>CleanedData[[#This Row],[Total Sales ($)]]-CleanedData[[#This Row],[Total Cost ($)]]</f>
        <v>162763.42000000004</v>
      </c>
      <c r="P1096" s="12">
        <f>CleanedData[[#This Row],[Profit ($)]]/CleanedData[[#This Row],[Total Sales ($)]]</f>
        <v>0.27326863962389253</v>
      </c>
      <c r="Q1096" s="8" t="s">
        <v>95</v>
      </c>
      <c r="R1096" s="8" t="s">
        <v>63</v>
      </c>
      <c r="S1096" s="8" t="b">
        <f>_xlfn.SINGLE(CleanedData[[#This Row],[Delivery Status]])="Late"</f>
        <v>0</v>
      </c>
      <c r="T1096" s="10">
        <v>4</v>
      </c>
      <c r="U1096" s="8" t="s">
        <v>43</v>
      </c>
      <c r="V1096" s="10">
        <v>3828</v>
      </c>
      <c r="W1096" s="10">
        <v>10</v>
      </c>
      <c r="X1096" s="12">
        <v>1.39275766016713E-2</v>
      </c>
      <c r="Y1096" s="8" t="b">
        <f>CleanedData[[#This Row],[Ship Date]]&lt;CleanedData[[#This Row],[Order Date]]</f>
        <v>0</v>
      </c>
      <c r="Z1096" s="10">
        <f>YEAR(CleanedData[[#This Row],[Order Date]])</f>
        <v>2023</v>
      </c>
      <c r="AA1096" s="8">
        <f>MONTH(CleanedData[[#This Row],[Order Date]])</f>
        <v>1</v>
      </c>
    </row>
    <row r="1097" spans="1:27" x14ac:dyDescent="0.35">
      <c r="A1097" s="8" t="s">
        <v>3061</v>
      </c>
      <c r="B1097" s="9">
        <v>44981</v>
      </c>
      <c r="C1097" s="9">
        <v>45027</v>
      </c>
      <c r="D1097" s="8" t="s">
        <v>3062</v>
      </c>
      <c r="E1097" s="8" t="s">
        <v>68</v>
      </c>
      <c r="F1097" s="8" t="s">
        <v>249</v>
      </c>
      <c r="G1097" s="8" t="s">
        <v>217</v>
      </c>
      <c r="H1097" s="8" t="s">
        <v>218</v>
      </c>
      <c r="I1097" s="8" t="s">
        <v>4976</v>
      </c>
      <c r="J1097" s="10">
        <v>236</v>
      </c>
      <c r="K1097" s="11">
        <v>1167.1199999999999</v>
      </c>
      <c r="L1097" s="11">
        <v>1364.66</v>
      </c>
      <c r="M1097" s="11">
        <v>322059.76</v>
      </c>
      <c r="N1097" s="11">
        <v>275440.32</v>
      </c>
      <c r="O1097" s="11">
        <f>CleanedData[[#This Row],[Total Sales ($)]]-CleanedData[[#This Row],[Total Cost ($)]]</f>
        <v>46619.44</v>
      </c>
      <c r="P1097" s="12">
        <f>CleanedData[[#This Row],[Profit ($)]]/CleanedData[[#This Row],[Total Sales ($)]]</f>
        <v>0.14475400466050151</v>
      </c>
      <c r="Q1097" s="8" t="s">
        <v>95</v>
      </c>
      <c r="R1097" s="8" t="s">
        <v>32</v>
      </c>
      <c r="S1097" s="8" t="b">
        <f>_xlfn.SINGLE(CleanedData[[#This Row],[Delivery Status]])="Late"</f>
        <v>1</v>
      </c>
      <c r="T1097" s="10">
        <v>10</v>
      </c>
      <c r="U1097" s="8" t="s">
        <v>158</v>
      </c>
      <c r="V1097" s="10">
        <v>3003</v>
      </c>
      <c r="W1097" s="10">
        <v>11</v>
      </c>
      <c r="X1097" s="12">
        <v>4.6610169491525397E-2</v>
      </c>
      <c r="Y1097" s="8" t="b">
        <f>CleanedData[[#This Row],[Ship Date]]&lt;CleanedData[[#This Row],[Order Date]]</f>
        <v>0</v>
      </c>
      <c r="Z1097" s="10">
        <f>YEAR(CleanedData[[#This Row],[Order Date]])</f>
        <v>2023</v>
      </c>
      <c r="AA1097" s="8">
        <f>MONTH(CleanedData[[#This Row],[Order Date]])</f>
        <v>2</v>
      </c>
    </row>
    <row r="1098" spans="1:27" x14ac:dyDescent="0.35">
      <c r="A1098" s="8" t="s">
        <v>3063</v>
      </c>
      <c r="B1098" s="9">
        <v>45129</v>
      </c>
      <c r="C1098" s="9">
        <v>45252</v>
      </c>
      <c r="D1098" s="8" t="s">
        <v>3064</v>
      </c>
      <c r="E1098" s="8" t="s">
        <v>48</v>
      </c>
      <c r="F1098" s="8" t="s">
        <v>223</v>
      </c>
      <c r="G1098" s="8" t="s">
        <v>93</v>
      </c>
      <c r="H1098" s="8" t="s">
        <v>321</v>
      </c>
      <c r="I1098" s="8" t="s">
        <v>4975</v>
      </c>
      <c r="J1098" s="10">
        <v>704</v>
      </c>
      <c r="K1098" s="11">
        <v>1075.22</v>
      </c>
      <c r="L1098" s="11">
        <v>1513.15</v>
      </c>
      <c r="M1098" s="11">
        <v>1065257.6000000001</v>
      </c>
      <c r="N1098" s="11">
        <v>756954.88</v>
      </c>
      <c r="O1098" s="11">
        <f>CleanedData[[#This Row],[Total Sales ($)]]-CleanedData[[#This Row],[Total Cost ($)]]</f>
        <v>308302.72000000009</v>
      </c>
      <c r="P1098" s="12">
        <f>CleanedData[[#This Row],[Profit ($)]]/CleanedData[[#This Row],[Total Sales ($)]]</f>
        <v>0.28941611869279321</v>
      </c>
      <c r="Q1098" s="8" t="s">
        <v>52</v>
      </c>
      <c r="R1098" s="8" t="s">
        <v>32</v>
      </c>
      <c r="S1098" s="8" t="b">
        <f>_xlfn.SINGLE(CleanedData[[#This Row],[Delivery Status]])="Late"</f>
        <v>1</v>
      </c>
      <c r="T1098" s="10">
        <v>12</v>
      </c>
      <c r="U1098" s="8" t="s">
        <v>86</v>
      </c>
      <c r="V1098" s="10">
        <v>240</v>
      </c>
      <c r="W1098" s="10">
        <v>7</v>
      </c>
      <c r="X1098" s="12">
        <v>9.9431818181818007E-3</v>
      </c>
      <c r="Y1098" s="8" t="b">
        <f>CleanedData[[#This Row],[Ship Date]]&lt;CleanedData[[#This Row],[Order Date]]</f>
        <v>0</v>
      </c>
      <c r="Z1098" s="10">
        <f>YEAR(CleanedData[[#This Row],[Order Date]])</f>
        <v>2023</v>
      </c>
      <c r="AA1098" s="8">
        <f>MONTH(CleanedData[[#This Row],[Order Date]])</f>
        <v>7</v>
      </c>
    </row>
    <row r="1099" spans="1:27" x14ac:dyDescent="0.35">
      <c r="A1099" s="8" t="s">
        <v>3065</v>
      </c>
      <c r="B1099" s="9">
        <v>45123</v>
      </c>
      <c r="C1099" s="9">
        <v>45120</v>
      </c>
      <c r="D1099" s="8" t="s">
        <v>3066</v>
      </c>
      <c r="E1099" s="8" t="s">
        <v>26</v>
      </c>
      <c r="F1099" s="8" t="s">
        <v>38</v>
      </c>
      <c r="G1099" s="8" t="s">
        <v>50</v>
      </c>
      <c r="H1099" s="8" t="s">
        <v>260</v>
      </c>
      <c r="I1099" s="8" t="s">
        <v>4979</v>
      </c>
      <c r="J1099" s="10"/>
      <c r="K1099" s="11">
        <v>385.31</v>
      </c>
      <c r="L1099" s="11">
        <v>472.62</v>
      </c>
      <c r="M1099" s="11">
        <v>219768.3</v>
      </c>
      <c r="N1099" s="11">
        <v>179169.15</v>
      </c>
      <c r="O1099" s="11">
        <f>CleanedData[[#This Row],[Total Sales ($)]]-CleanedData[[#This Row],[Total Cost ($)]]</f>
        <v>40599.149999999994</v>
      </c>
      <c r="P1099" s="12">
        <f>CleanedData[[#This Row],[Profit ($)]]/CleanedData[[#This Row],[Total Sales ($)]]</f>
        <v>0.18473615166518553</v>
      </c>
      <c r="Q1099" s="8" t="s">
        <v>42</v>
      </c>
      <c r="R1099" s="8" t="s">
        <v>32</v>
      </c>
      <c r="S1099" s="8" t="b">
        <f>_xlfn.SINGLE(CleanedData[[#This Row],[Delivery Status]])="Late"</f>
        <v>1</v>
      </c>
      <c r="T1099" s="10">
        <v>8</v>
      </c>
      <c r="U1099" s="8" t="s">
        <v>33</v>
      </c>
      <c r="V1099" s="10">
        <v>3521</v>
      </c>
      <c r="W1099" s="10">
        <v>2</v>
      </c>
      <c r="X1099" s="12"/>
      <c r="Y1099" s="8" t="b">
        <f>CleanedData[[#This Row],[Ship Date]]&lt;CleanedData[[#This Row],[Order Date]]</f>
        <v>1</v>
      </c>
      <c r="Z1099" s="10">
        <f>YEAR(CleanedData[[#This Row],[Order Date]])</f>
        <v>2023</v>
      </c>
      <c r="AA1099" s="8">
        <f>MONTH(CleanedData[[#This Row],[Order Date]])</f>
        <v>7</v>
      </c>
    </row>
    <row r="1100" spans="1:27" x14ac:dyDescent="0.35">
      <c r="A1100" s="8" t="s">
        <v>3067</v>
      </c>
      <c r="B1100" s="9">
        <v>45250</v>
      </c>
      <c r="C1100" s="9">
        <v>45213</v>
      </c>
      <c r="D1100" s="8" t="s">
        <v>3068</v>
      </c>
      <c r="E1100" s="8" t="s">
        <v>68</v>
      </c>
      <c r="F1100" s="8" t="s">
        <v>249</v>
      </c>
      <c r="G1100" s="8" t="s">
        <v>217</v>
      </c>
      <c r="H1100" s="8" t="s">
        <v>292</v>
      </c>
      <c r="I1100" s="8" t="s">
        <v>4974</v>
      </c>
      <c r="J1100" s="10">
        <v>533</v>
      </c>
      <c r="K1100" s="11">
        <v>922.54</v>
      </c>
      <c r="L1100" s="11">
        <v>1206.75</v>
      </c>
      <c r="M1100" s="11">
        <v>643197.75</v>
      </c>
      <c r="N1100" s="11">
        <v>491713.82</v>
      </c>
      <c r="O1100" s="11">
        <f>CleanedData[[#This Row],[Total Sales ($)]]-CleanedData[[#This Row],[Total Cost ($)]]</f>
        <v>151483.93</v>
      </c>
      <c r="P1100" s="12">
        <f>CleanedData[[#This Row],[Profit ($)]]/CleanedData[[#This Row],[Total Sales ($)]]</f>
        <v>0.23551688419308059</v>
      </c>
      <c r="Q1100" s="8" t="s">
        <v>52</v>
      </c>
      <c r="R1100" s="8" t="s">
        <v>32</v>
      </c>
      <c r="S1100" s="8" t="b">
        <f>_xlfn.SINGLE(CleanedData[[#This Row],[Delivery Status]])="Late"</f>
        <v>1</v>
      </c>
      <c r="T1100" s="10">
        <v>11</v>
      </c>
      <c r="U1100" s="8" t="s">
        <v>158</v>
      </c>
      <c r="V1100" s="10">
        <v>658</v>
      </c>
      <c r="W1100" s="10">
        <v>22</v>
      </c>
      <c r="X1100" s="12">
        <v>4.1275797373358299E-2</v>
      </c>
      <c r="Y1100" s="8" t="b">
        <f>CleanedData[[#This Row],[Ship Date]]&lt;CleanedData[[#This Row],[Order Date]]</f>
        <v>1</v>
      </c>
      <c r="Z1100" s="10">
        <f>YEAR(CleanedData[[#This Row],[Order Date]])</f>
        <v>2023</v>
      </c>
      <c r="AA1100" s="8">
        <f>MONTH(CleanedData[[#This Row],[Order Date]])</f>
        <v>11</v>
      </c>
    </row>
    <row r="1101" spans="1:27" x14ac:dyDescent="0.35">
      <c r="A1101" s="8" t="s">
        <v>3069</v>
      </c>
      <c r="B1101" s="9">
        <v>45264</v>
      </c>
      <c r="C1101" s="9">
        <v>45058</v>
      </c>
      <c r="D1101" s="8" t="s">
        <v>3070</v>
      </c>
      <c r="E1101" s="8" t="s">
        <v>100</v>
      </c>
      <c r="F1101" s="8" t="s">
        <v>106</v>
      </c>
      <c r="G1101" s="8" t="s">
        <v>28</v>
      </c>
      <c r="H1101" s="8" t="s">
        <v>212</v>
      </c>
      <c r="I1101" s="8" t="s">
        <v>4970</v>
      </c>
      <c r="J1101" s="10">
        <v>247</v>
      </c>
      <c r="K1101" s="11">
        <v>464.05</v>
      </c>
      <c r="L1101" s="11">
        <v>708.66</v>
      </c>
      <c r="M1101" s="11">
        <v>175039.02</v>
      </c>
      <c r="N1101" s="11">
        <v>114620.35</v>
      </c>
      <c r="O1101" s="11">
        <f>CleanedData[[#This Row],[Total Sales ($)]]-CleanedData[[#This Row],[Total Cost ($)]]</f>
        <v>60418.669999999984</v>
      </c>
      <c r="P1101" s="12">
        <f>CleanedData[[#This Row],[Profit ($)]]/CleanedData[[#This Row],[Total Sales ($)]]</f>
        <v>0.34517257923404726</v>
      </c>
      <c r="Q1101" s="8" t="s">
        <v>95</v>
      </c>
      <c r="R1101" s="8" t="s">
        <v>32</v>
      </c>
      <c r="S1101" s="8" t="b">
        <f>_xlfn.SINGLE(CleanedData[[#This Row],[Delivery Status]])="Late"</f>
        <v>1</v>
      </c>
      <c r="T1101" s="10">
        <v>11</v>
      </c>
      <c r="U1101" s="8" t="s">
        <v>158</v>
      </c>
      <c r="V1101" s="10">
        <v>4977</v>
      </c>
      <c r="W1101" s="10">
        <v>11</v>
      </c>
      <c r="X1101" s="12">
        <v>4.4534412955465501E-2</v>
      </c>
      <c r="Y1101" s="8" t="b">
        <f>CleanedData[[#This Row],[Ship Date]]&lt;CleanedData[[#This Row],[Order Date]]</f>
        <v>1</v>
      </c>
      <c r="Z1101" s="10">
        <f>YEAR(CleanedData[[#This Row],[Order Date]])</f>
        <v>2023</v>
      </c>
      <c r="AA1101" s="8">
        <f>MONTH(CleanedData[[#This Row],[Order Date]])</f>
        <v>12</v>
      </c>
    </row>
    <row r="1102" spans="1:27" x14ac:dyDescent="0.35">
      <c r="A1102" s="8" t="s">
        <v>3071</v>
      </c>
      <c r="B1102" s="9">
        <v>45254</v>
      </c>
      <c r="C1102" s="9">
        <v>45183</v>
      </c>
      <c r="D1102" s="8" t="s">
        <v>3072</v>
      </c>
      <c r="E1102" s="8" t="s">
        <v>48</v>
      </c>
      <c r="F1102" s="8" t="s">
        <v>270</v>
      </c>
      <c r="G1102" s="8" t="s">
        <v>129</v>
      </c>
      <c r="H1102" s="8" t="s">
        <v>168</v>
      </c>
      <c r="I1102" s="8" t="s">
        <v>4975</v>
      </c>
      <c r="J1102" s="10">
        <v>696</v>
      </c>
      <c r="K1102" s="11">
        <v>939.8</v>
      </c>
      <c r="L1102" s="11">
        <v>1185.8599999999999</v>
      </c>
      <c r="M1102" s="11">
        <v>825358.56</v>
      </c>
      <c r="N1102" s="11">
        <v>654100.80000000005</v>
      </c>
      <c r="O1102" s="11">
        <f>CleanedData[[#This Row],[Total Sales ($)]]-CleanedData[[#This Row],[Total Cost ($)]]</f>
        <v>171257.76</v>
      </c>
      <c r="P1102" s="12">
        <f>CleanedData[[#This Row],[Profit ($)]]/CleanedData[[#This Row],[Total Sales ($)]]</f>
        <v>0.20749498254431384</v>
      </c>
      <c r="Q1102" s="8" t="s">
        <v>95</v>
      </c>
      <c r="R1102" s="8" t="s">
        <v>32</v>
      </c>
      <c r="S1102" s="8" t="b">
        <f>_xlfn.SINGLE(CleanedData[[#This Row],[Delivery Status]])="Late"</f>
        <v>1</v>
      </c>
      <c r="T1102" s="10">
        <v>11</v>
      </c>
      <c r="U1102" s="8" t="s">
        <v>53</v>
      </c>
      <c r="V1102" s="10">
        <v>4854</v>
      </c>
      <c r="W1102" s="10">
        <v>0</v>
      </c>
      <c r="X1102" s="12">
        <v>0</v>
      </c>
      <c r="Y1102" s="8" t="b">
        <f>CleanedData[[#This Row],[Ship Date]]&lt;CleanedData[[#This Row],[Order Date]]</f>
        <v>1</v>
      </c>
      <c r="Z1102" s="10">
        <f>YEAR(CleanedData[[#This Row],[Order Date]])</f>
        <v>2023</v>
      </c>
      <c r="AA1102" s="8">
        <f>MONTH(CleanedData[[#This Row],[Order Date]])</f>
        <v>11</v>
      </c>
    </row>
    <row r="1103" spans="1:27" x14ac:dyDescent="0.35">
      <c r="A1103" s="8" t="s">
        <v>3073</v>
      </c>
      <c r="B1103" s="9">
        <v>44935</v>
      </c>
      <c r="C1103" s="9">
        <v>45236</v>
      </c>
      <c r="D1103" s="8" t="s">
        <v>3074</v>
      </c>
      <c r="E1103" s="8" t="s">
        <v>100</v>
      </c>
      <c r="F1103" s="8" t="s">
        <v>106</v>
      </c>
      <c r="G1103" s="8" t="s">
        <v>93</v>
      </c>
      <c r="H1103" s="8" t="s">
        <v>485</v>
      </c>
      <c r="I1103" s="8" t="s">
        <v>4969</v>
      </c>
      <c r="J1103" s="10">
        <v>356</v>
      </c>
      <c r="K1103" s="11">
        <v>792.09</v>
      </c>
      <c r="L1103" s="11">
        <v>1166.5999999999999</v>
      </c>
      <c r="M1103" s="11">
        <v>415309.6</v>
      </c>
      <c r="N1103" s="11">
        <v>281984.03999999998</v>
      </c>
      <c r="O1103" s="11">
        <f>CleanedData[[#This Row],[Total Sales ($)]]-CleanedData[[#This Row],[Total Cost ($)]]</f>
        <v>133325.56</v>
      </c>
      <c r="P1103" s="12">
        <f>CleanedData[[#This Row],[Profit ($)]]/CleanedData[[#This Row],[Total Sales ($)]]</f>
        <v>0.32102691582376136</v>
      </c>
      <c r="Q1103" s="8" t="s">
        <v>42</v>
      </c>
      <c r="R1103" s="8" t="s">
        <v>32</v>
      </c>
      <c r="S1103" s="8" t="b">
        <f>_xlfn.SINGLE(CleanedData[[#This Row],[Delivery Status]])="Late"</f>
        <v>1</v>
      </c>
      <c r="T1103" s="10">
        <v>8</v>
      </c>
      <c r="U1103" s="8" t="s">
        <v>158</v>
      </c>
      <c r="V1103" s="10">
        <v>1646</v>
      </c>
      <c r="W1103" s="10">
        <v>4</v>
      </c>
      <c r="X1103" s="12">
        <v>1.12359550561797E-2</v>
      </c>
      <c r="Y1103" s="8" t="b">
        <f>CleanedData[[#This Row],[Ship Date]]&lt;CleanedData[[#This Row],[Order Date]]</f>
        <v>0</v>
      </c>
      <c r="Z1103" s="10">
        <f>YEAR(CleanedData[[#This Row],[Order Date]])</f>
        <v>2023</v>
      </c>
      <c r="AA1103" s="8">
        <f>MONTH(CleanedData[[#This Row],[Order Date]])</f>
        <v>1</v>
      </c>
    </row>
    <row r="1104" spans="1:27" x14ac:dyDescent="0.35">
      <c r="A1104" s="8" t="s">
        <v>3075</v>
      </c>
      <c r="B1104" s="9">
        <v>45545</v>
      </c>
      <c r="C1104" s="9">
        <v>45331</v>
      </c>
      <c r="D1104" s="8" t="s">
        <v>871</v>
      </c>
      <c r="E1104" s="8" t="s">
        <v>48</v>
      </c>
      <c r="F1104" s="8" t="s">
        <v>281</v>
      </c>
      <c r="G1104" s="8" t="s">
        <v>50</v>
      </c>
      <c r="H1104" s="8" t="s">
        <v>260</v>
      </c>
      <c r="I1104" s="8" t="s">
        <v>4974</v>
      </c>
      <c r="J1104" s="10">
        <v>132</v>
      </c>
      <c r="K1104" s="11">
        <v>553.12</v>
      </c>
      <c r="L1104" s="11">
        <v>872.16</v>
      </c>
      <c r="M1104" s="11">
        <v>115125.12</v>
      </c>
      <c r="N1104" s="11">
        <v>73011.839999999997</v>
      </c>
      <c r="O1104" s="11">
        <f>CleanedData[[#This Row],[Total Sales ($)]]-CleanedData[[#This Row],[Total Cost ($)]]</f>
        <v>42113.279999999999</v>
      </c>
      <c r="P1104" s="12">
        <f>CleanedData[[#This Row],[Profit ($)]]/CleanedData[[#This Row],[Total Sales ($)]]</f>
        <v>0.36580443955237574</v>
      </c>
      <c r="Q1104" s="8" t="s">
        <v>95</v>
      </c>
      <c r="R1104" s="8" t="s">
        <v>32</v>
      </c>
      <c r="S1104" s="8" t="b">
        <f>_xlfn.SINGLE(CleanedData[[#This Row],[Delivery Status]])="Late"</f>
        <v>1</v>
      </c>
      <c r="T1104" s="10">
        <v>6</v>
      </c>
      <c r="U1104" s="8" t="s">
        <v>33</v>
      </c>
      <c r="V1104" s="10">
        <v>705</v>
      </c>
      <c r="W1104" s="10">
        <v>6</v>
      </c>
      <c r="X1104" s="12">
        <v>4.54545454545454E-2</v>
      </c>
      <c r="Y1104" s="8" t="b">
        <f>CleanedData[[#This Row],[Ship Date]]&lt;CleanedData[[#This Row],[Order Date]]</f>
        <v>1</v>
      </c>
      <c r="Z1104" s="10">
        <f>YEAR(CleanedData[[#This Row],[Order Date]])</f>
        <v>2024</v>
      </c>
      <c r="AA1104" s="8">
        <f>MONTH(CleanedData[[#This Row],[Order Date]])</f>
        <v>9</v>
      </c>
    </row>
    <row r="1105" spans="1:27" x14ac:dyDescent="0.35">
      <c r="A1105" s="8" t="s">
        <v>3077</v>
      </c>
      <c r="B1105" s="9">
        <v>45122</v>
      </c>
      <c r="C1105" s="9">
        <v>44965</v>
      </c>
      <c r="D1105" s="8" t="s">
        <v>3078</v>
      </c>
      <c r="E1105" s="8" t="s">
        <v>48</v>
      </c>
      <c r="F1105" s="8" t="s">
        <v>270</v>
      </c>
      <c r="G1105" s="8" t="s">
        <v>28</v>
      </c>
      <c r="H1105" s="8" t="s">
        <v>212</v>
      </c>
      <c r="I1105" s="8" t="s">
        <v>4979</v>
      </c>
      <c r="J1105" s="10">
        <v>737</v>
      </c>
      <c r="K1105" s="11">
        <v>366.76</v>
      </c>
      <c r="L1105" s="11">
        <v>539.16</v>
      </c>
      <c r="M1105" s="11">
        <v>397360.92</v>
      </c>
      <c r="N1105" s="11">
        <v>270302.12</v>
      </c>
      <c r="O1105" s="11">
        <f>CleanedData[[#This Row],[Total Sales ($)]]-CleanedData[[#This Row],[Total Cost ($)]]</f>
        <v>127058.79999999999</v>
      </c>
      <c r="P1105" s="12">
        <f>CleanedData[[#This Row],[Profit ($)]]/CleanedData[[#This Row],[Total Sales ($)]]</f>
        <v>0.31975665850582385</v>
      </c>
      <c r="Q1105" s="8" t="s">
        <v>42</v>
      </c>
      <c r="R1105" s="8" t="s">
        <v>63</v>
      </c>
      <c r="S1105" s="8" t="b">
        <f>_xlfn.SINGLE(CleanedData[[#This Row],[Delivery Status]])="Late"</f>
        <v>0</v>
      </c>
      <c r="T1105" s="10">
        <v>4</v>
      </c>
      <c r="U1105" s="8" t="s">
        <v>33</v>
      </c>
      <c r="V1105" s="10">
        <v>1072</v>
      </c>
      <c r="W1105" s="10">
        <v>6</v>
      </c>
      <c r="X1105" s="12">
        <v>8.1411126187244994E-3</v>
      </c>
      <c r="Y1105" s="8" t="b">
        <f>CleanedData[[#This Row],[Ship Date]]&lt;CleanedData[[#This Row],[Order Date]]</f>
        <v>1</v>
      </c>
      <c r="Z1105" s="10">
        <f>YEAR(CleanedData[[#This Row],[Order Date]])</f>
        <v>2023</v>
      </c>
      <c r="AA1105" s="8">
        <f>MONTH(CleanedData[[#This Row],[Order Date]])</f>
        <v>7</v>
      </c>
    </row>
    <row r="1106" spans="1:27" x14ac:dyDescent="0.35">
      <c r="A1106" s="8" t="s">
        <v>3079</v>
      </c>
      <c r="B1106" s="9">
        <v>45257</v>
      </c>
      <c r="C1106" s="9">
        <v>45020</v>
      </c>
      <c r="D1106" s="8" t="s">
        <v>3080</v>
      </c>
      <c r="E1106" s="8" t="s">
        <v>48</v>
      </c>
      <c r="F1106" s="8" t="s">
        <v>183</v>
      </c>
      <c r="G1106" s="8" t="s">
        <v>93</v>
      </c>
      <c r="H1106" s="8" t="s">
        <v>321</v>
      </c>
      <c r="I1106" s="8" t="s">
        <v>4978</v>
      </c>
      <c r="J1106" s="10">
        <v>723</v>
      </c>
      <c r="K1106" s="11">
        <v>280.88</v>
      </c>
      <c r="L1106" s="11">
        <v>448.75</v>
      </c>
      <c r="M1106" s="11">
        <v>324446.25</v>
      </c>
      <c r="N1106" s="11">
        <v>203076.24</v>
      </c>
      <c r="O1106" s="11">
        <f>CleanedData[[#This Row],[Total Sales ($)]]-CleanedData[[#This Row],[Total Cost ($)]]</f>
        <v>121370.01000000001</v>
      </c>
      <c r="P1106" s="12">
        <f>CleanedData[[#This Row],[Profit ($)]]/CleanedData[[#This Row],[Total Sales ($)]]</f>
        <v>0.37408356545961008</v>
      </c>
      <c r="Q1106" s="8" t="s">
        <v>31</v>
      </c>
      <c r="R1106" s="8" t="s">
        <v>32</v>
      </c>
      <c r="S1106" s="8" t="b">
        <f>_xlfn.SINGLE(CleanedData[[#This Row],[Delivery Status]])="Late"</f>
        <v>1</v>
      </c>
      <c r="T1106" s="10">
        <v>10</v>
      </c>
      <c r="U1106" s="8" t="s">
        <v>112</v>
      </c>
      <c r="V1106" s="10">
        <v>2501.41</v>
      </c>
      <c r="W1106" s="10">
        <v>26</v>
      </c>
      <c r="X1106" s="12">
        <v>3.5961272475795197E-2</v>
      </c>
      <c r="Y1106" s="8" t="b">
        <f>CleanedData[[#This Row],[Ship Date]]&lt;CleanedData[[#This Row],[Order Date]]</f>
        <v>1</v>
      </c>
      <c r="Z1106" s="10">
        <f>YEAR(CleanedData[[#This Row],[Order Date]])</f>
        <v>2023</v>
      </c>
      <c r="AA1106" s="8">
        <f>MONTH(CleanedData[[#This Row],[Order Date]])</f>
        <v>11</v>
      </c>
    </row>
    <row r="1107" spans="1:27" x14ac:dyDescent="0.35">
      <c r="A1107" s="8" t="s">
        <v>3081</v>
      </c>
      <c r="B1107" s="9">
        <v>45602</v>
      </c>
      <c r="C1107" s="9">
        <v>45522</v>
      </c>
      <c r="D1107" s="8" t="s">
        <v>3082</v>
      </c>
      <c r="E1107" s="8" t="s">
        <v>100</v>
      </c>
      <c r="F1107" s="8" t="s">
        <v>106</v>
      </c>
      <c r="G1107" s="8" t="s">
        <v>28</v>
      </c>
      <c r="H1107" s="8" t="s">
        <v>29</v>
      </c>
      <c r="I1107" s="8" t="s">
        <v>4973</v>
      </c>
      <c r="J1107" s="10">
        <v>236</v>
      </c>
      <c r="K1107" s="11">
        <v>113.98</v>
      </c>
      <c r="L1107" s="11">
        <v>183.49</v>
      </c>
      <c r="M1107" s="11">
        <v>43303.64</v>
      </c>
      <c r="N1107" s="11">
        <v>26899.279999999999</v>
      </c>
      <c r="O1107" s="11">
        <f>CleanedData[[#This Row],[Total Sales ($)]]-CleanedData[[#This Row],[Total Cost ($)]]</f>
        <v>16404.36</v>
      </c>
      <c r="P1107" s="12">
        <f>CleanedData[[#This Row],[Profit ($)]]/CleanedData[[#This Row],[Total Sales ($)]]</f>
        <v>0.37882173415444986</v>
      </c>
      <c r="Q1107" s="8" t="s">
        <v>42</v>
      </c>
      <c r="R1107" s="8" t="s">
        <v>32</v>
      </c>
      <c r="S1107" s="8" t="b">
        <f>_xlfn.SINGLE(CleanedData[[#This Row],[Delivery Status]])="Late"</f>
        <v>1</v>
      </c>
      <c r="T1107" s="10">
        <v>10</v>
      </c>
      <c r="U1107" s="8" t="s">
        <v>43</v>
      </c>
      <c r="V1107" s="10">
        <v>2176</v>
      </c>
      <c r="W1107" s="10">
        <v>9</v>
      </c>
      <c r="X1107" s="12">
        <v>3.8135593220338902E-2</v>
      </c>
      <c r="Y1107" s="8" t="b">
        <f>CleanedData[[#This Row],[Ship Date]]&lt;CleanedData[[#This Row],[Order Date]]</f>
        <v>1</v>
      </c>
      <c r="Z1107" s="10">
        <f>YEAR(CleanedData[[#This Row],[Order Date]])</f>
        <v>2024</v>
      </c>
      <c r="AA1107" s="8">
        <f>MONTH(CleanedData[[#This Row],[Order Date]])</f>
        <v>11</v>
      </c>
    </row>
    <row r="1108" spans="1:27" x14ac:dyDescent="0.35">
      <c r="A1108" s="8" t="s">
        <v>3083</v>
      </c>
      <c r="B1108" s="9">
        <v>45356</v>
      </c>
      <c r="C1108" s="9">
        <v>45544</v>
      </c>
      <c r="D1108" s="8" t="s">
        <v>3085</v>
      </c>
      <c r="E1108" s="8" t="s">
        <v>100</v>
      </c>
      <c r="F1108" s="8" t="s">
        <v>330</v>
      </c>
      <c r="G1108" s="8" t="s">
        <v>93</v>
      </c>
      <c r="H1108" s="8" t="s">
        <v>321</v>
      </c>
      <c r="I1108" s="8" t="s">
        <v>4979</v>
      </c>
      <c r="J1108" s="10">
        <v>299</v>
      </c>
      <c r="K1108" s="11"/>
      <c r="L1108" s="11">
        <v>466.17</v>
      </c>
      <c r="M1108" s="11">
        <v>139384.82999999999</v>
      </c>
      <c r="N1108" s="11">
        <v>95201.600000000006</v>
      </c>
      <c r="O1108" s="11">
        <f>CleanedData[[#This Row],[Total Sales ($)]]-CleanedData[[#This Row],[Total Cost ($)]]</f>
        <v>44183.229999999981</v>
      </c>
      <c r="P1108" s="12">
        <f>CleanedData[[#This Row],[Profit ($)]]/CleanedData[[#This Row],[Total Sales ($)]]</f>
        <v>0.31698736512431075</v>
      </c>
      <c r="Q1108" s="8" t="s">
        <v>31</v>
      </c>
      <c r="R1108" s="8" t="s">
        <v>63</v>
      </c>
      <c r="S1108" s="8" t="b">
        <f>_xlfn.SINGLE(CleanedData[[#This Row],[Delivery Status]])="Late"</f>
        <v>0</v>
      </c>
      <c r="T1108" s="10">
        <v>3</v>
      </c>
      <c r="U1108" s="8" t="s">
        <v>43</v>
      </c>
      <c r="V1108" s="10">
        <v>3695</v>
      </c>
      <c r="W1108" s="10">
        <v>12</v>
      </c>
      <c r="X1108" s="12">
        <v>4.0133779264213999E-2</v>
      </c>
      <c r="Y1108" s="8" t="b">
        <f>CleanedData[[#This Row],[Ship Date]]&lt;CleanedData[[#This Row],[Order Date]]</f>
        <v>0</v>
      </c>
      <c r="Z1108" s="10">
        <f>YEAR(CleanedData[[#This Row],[Order Date]])</f>
        <v>2024</v>
      </c>
      <c r="AA1108" s="8">
        <f>MONTH(CleanedData[[#This Row],[Order Date]])</f>
        <v>3</v>
      </c>
    </row>
    <row r="1109" spans="1:27" x14ac:dyDescent="0.35">
      <c r="A1109" s="8" t="s">
        <v>3086</v>
      </c>
      <c r="B1109" s="9">
        <v>45115</v>
      </c>
      <c r="C1109" s="9">
        <v>44959</v>
      </c>
      <c r="D1109" s="8" t="s">
        <v>3087</v>
      </c>
      <c r="E1109" s="8" t="s">
        <v>100</v>
      </c>
      <c r="F1109" s="8" t="s">
        <v>101</v>
      </c>
      <c r="G1109" s="8" t="s">
        <v>28</v>
      </c>
      <c r="H1109" s="8" t="s">
        <v>674</v>
      </c>
      <c r="I1109" s="8" t="s">
        <v>4975</v>
      </c>
      <c r="J1109" s="10">
        <v>346</v>
      </c>
      <c r="K1109" s="11">
        <v>299.97000000000003</v>
      </c>
      <c r="L1109" s="11">
        <v>393.72</v>
      </c>
      <c r="M1109" s="11">
        <v>136227.12</v>
      </c>
      <c r="N1109" s="11">
        <v>103789.62</v>
      </c>
      <c r="O1109" s="11">
        <f>CleanedData[[#This Row],[Total Sales ($)]]-CleanedData[[#This Row],[Total Cost ($)]]</f>
        <v>32437.5</v>
      </c>
      <c r="P1109" s="12">
        <f>CleanedData[[#This Row],[Profit ($)]]/CleanedData[[#This Row],[Total Sales ($)]]</f>
        <v>0.23811338006705274</v>
      </c>
      <c r="Q1109" s="8" t="s">
        <v>42</v>
      </c>
      <c r="R1109" s="8" t="s">
        <v>63</v>
      </c>
      <c r="S1109" s="8" t="b">
        <f>_xlfn.SINGLE(CleanedData[[#This Row],[Delivery Status]])="Late"</f>
        <v>0</v>
      </c>
      <c r="T1109" s="10">
        <v>5</v>
      </c>
      <c r="U1109" s="8" t="s">
        <v>53</v>
      </c>
      <c r="V1109" s="10">
        <v>3842</v>
      </c>
      <c r="W1109" s="10">
        <v>2</v>
      </c>
      <c r="X1109" s="12">
        <v>5.7803468208091997E-3</v>
      </c>
      <c r="Y1109" s="8" t="b">
        <f>CleanedData[[#This Row],[Ship Date]]&lt;CleanedData[[#This Row],[Order Date]]</f>
        <v>1</v>
      </c>
      <c r="Z1109" s="10">
        <f>YEAR(CleanedData[[#This Row],[Order Date]])</f>
        <v>2023</v>
      </c>
      <c r="AA1109" s="8">
        <f>MONTH(CleanedData[[#This Row],[Order Date]])</f>
        <v>7</v>
      </c>
    </row>
    <row r="1110" spans="1:27" x14ac:dyDescent="0.35">
      <c r="A1110" s="8" t="s">
        <v>3088</v>
      </c>
      <c r="B1110" s="9">
        <v>45085</v>
      </c>
      <c r="C1110" s="9">
        <v>44933</v>
      </c>
      <c r="D1110" s="8" t="s">
        <v>3089</v>
      </c>
      <c r="E1110" s="8" t="s">
        <v>100</v>
      </c>
      <c r="F1110" s="8" t="s">
        <v>538</v>
      </c>
      <c r="G1110" s="8" t="s">
        <v>28</v>
      </c>
      <c r="H1110" s="8" t="s">
        <v>507</v>
      </c>
      <c r="I1110" s="8" t="s">
        <v>4969</v>
      </c>
      <c r="J1110" s="10">
        <v>612</v>
      </c>
      <c r="K1110" s="11">
        <v>368.5</v>
      </c>
      <c r="L1110" s="11">
        <v>419.14</v>
      </c>
      <c r="M1110" s="11">
        <v>256513.68</v>
      </c>
      <c r="N1110" s="11">
        <v>225522</v>
      </c>
      <c r="O1110" s="11">
        <f>CleanedData[[#This Row],[Total Sales ($)]]-CleanedData[[#This Row],[Total Cost ($)]]</f>
        <v>30991.679999999993</v>
      </c>
      <c r="P1110" s="12">
        <f>CleanedData[[#This Row],[Profit ($)]]/CleanedData[[#This Row],[Total Sales ($)]]</f>
        <v>0.12081881948752204</v>
      </c>
      <c r="Q1110" s="8" t="s">
        <v>95</v>
      </c>
      <c r="R1110" s="8" t="s">
        <v>32</v>
      </c>
      <c r="S1110" s="8" t="b">
        <f>_xlfn.SINGLE(CleanedData[[#This Row],[Delivery Status]])="Late"</f>
        <v>1</v>
      </c>
      <c r="T1110" s="10">
        <v>6</v>
      </c>
      <c r="U1110" s="8" t="s">
        <v>33</v>
      </c>
      <c r="V1110" s="10">
        <v>448</v>
      </c>
      <c r="W1110" s="10">
        <v>16</v>
      </c>
      <c r="X1110" s="12">
        <v>2.61437908496732E-2</v>
      </c>
      <c r="Y1110" s="8" t="b">
        <f>CleanedData[[#This Row],[Ship Date]]&lt;CleanedData[[#This Row],[Order Date]]</f>
        <v>1</v>
      </c>
      <c r="Z1110" s="10">
        <f>YEAR(CleanedData[[#This Row],[Order Date]])</f>
        <v>2023</v>
      </c>
      <c r="AA1110" s="8">
        <f>MONTH(CleanedData[[#This Row],[Order Date]])</f>
        <v>6</v>
      </c>
    </row>
    <row r="1111" spans="1:27" x14ac:dyDescent="0.35">
      <c r="A1111" s="8" t="s">
        <v>3090</v>
      </c>
      <c r="B1111" s="9">
        <v>45044</v>
      </c>
      <c r="C1111" s="9">
        <v>44944</v>
      </c>
      <c r="D1111" s="8" t="s">
        <v>3091</v>
      </c>
      <c r="E1111" s="8" t="s">
        <v>100</v>
      </c>
      <c r="F1111" s="8" t="s">
        <v>106</v>
      </c>
      <c r="G1111" s="8" t="s">
        <v>39</v>
      </c>
      <c r="H1111" s="8" t="s">
        <v>40</v>
      </c>
      <c r="I1111" s="8" t="s">
        <v>4969</v>
      </c>
      <c r="J1111" s="10">
        <v>160</v>
      </c>
      <c r="K1111" s="11">
        <v>1085.42</v>
      </c>
      <c r="L1111" s="11">
        <v>1754.27</v>
      </c>
      <c r="M1111" s="11">
        <v>280683.2</v>
      </c>
      <c r="N1111" s="11">
        <v>173667.20000000001</v>
      </c>
      <c r="O1111" s="11">
        <f>CleanedData[[#This Row],[Total Sales ($)]]-CleanedData[[#This Row],[Total Cost ($)]]</f>
        <v>107016</v>
      </c>
      <c r="P1111" s="12">
        <f>CleanedData[[#This Row],[Profit ($)]]/CleanedData[[#This Row],[Total Sales ($)]]</f>
        <v>0.38126970192729737</v>
      </c>
      <c r="Q1111" s="8" t="s">
        <v>31</v>
      </c>
      <c r="R1111" s="8" t="s">
        <v>63</v>
      </c>
      <c r="S1111" s="8" t="b">
        <f>_xlfn.SINGLE(CleanedData[[#This Row],[Delivery Status]])="Late"</f>
        <v>0</v>
      </c>
      <c r="T1111" s="10">
        <v>2</v>
      </c>
      <c r="U1111" s="8" t="s">
        <v>43</v>
      </c>
      <c r="V1111" s="10">
        <v>1689</v>
      </c>
      <c r="W1111" s="10">
        <v>2</v>
      </c>
      <c r="X1111" s="12">
        <v>1.2500000000000001E-2</v>
      </c>
      <c r="Y1111" s="8" t="b">
        <f>CleanedData[[#This Row],[Ship Date]]&lt;CleanedData[[#This Row],[Order Date]]</f>
        <v>1</v>
      </c>
      <c r="Z1111" s="10">
        <f>YEAR(CleanedData[[#This Row],[Order Date]])</f>
        <v>2023</v>
      </c>
      <c r="AA1111" s="8">
        <f>MONTH(CleanedData[[#This Row],[Order Date]])</f>
        <v>4</v>
      </c>
    </row>
    <row r="1112" spans="1:27" x14ac:dyDescent="0.35">
      <c r="A1112" s="8" t="s">
        <v>3092</v>
      </c>
      <c r="B1112" s="9">
        <v>45310</v>
      </c>
      <c r="C1112" s="9">
        <v>45389</v>
      </c>
      <c r="D1112" s="8" t="s">
        <v>3093</v>
      </c>
      <c r="E1112" s="8" t="s">
        <v>68</v>
      </c>
      <c r="F1112" s="8" t="s">
        <v>146</v>
      </c>
      <c r="G1112" s="8" t="s">
        <v>93</v>
      </c>
      <c r="H1112" s="8" t="s">
        <v>94</v>
      </c>
      <c r="I1112" s="8" t="s">
        <v>4979</v>
      </c>
      <c r="J1112" s="10">
        <v>491</v>
      </c>
      <c r="K1112" s="11">
        <v>1053.9100000000001</v>
      </c>
      <c r="L1112" s="11">
        <v>1494.97</v>
      </c>
      <c r="M1112" s="11">
        <v>734030.27</v>
      </c>
      <c r="N1112" s="11">
        <v>517469.81</v>
      </c>
      <c r="O1112" s="11">
        <f>CleanedData[[#This Row],[Total Sales ($)]]-CleanedData[[#This Row],[Total Cost ($)]]</f>
        <v>216560.46000000002</v>
      </c>
      <c r="P1112" s="12">
        <f>CleanedData[[#This Row],[Profit ($)]]/CleanedData[[#This Row],[Total Sales ($)]]</f>
        <v>0.2950293316922748</v>
      </c>
      <c r="Q1112" s="8" t="s">
        <v>31</v>
      </c>
      <c r="R1112" s="8" t="s">
        <v>32</v>
      </c>
      <c r="S1112" s="8" t="b">
        <f>_xlfn.SINGLE(CleanedData[[#This Row],[Delivery Status]])="Late"</f>
        <v>1</v>
      </c>
      <c r="T1112" s="10">
        <v>7</v>
      </c>
      <c r="U1112" s="8" t="s">
        <v>43</v>
      </c>
      <c r="V1112" s="10">
        <v>2441</v>
      </c>
      <c r="W1112" s="10">
        <v>5</v>
      </c>
      <c r="X1112" s="12">
        <v>1.0183299389002001E-2</v>
      </c>
      <c r="Y1112" s="8" t="b">
        <f>CleanedData[[#This Row],[Ship Date]]&lt;CleanedData[[#This Row],[Order Date]]</f>
        <v>0</v>
      </c>
      <c r="Z1112" s="10">
        <f>YEAR(CleanedData[[#This Row],[Order Date]])</f>
        <v>2024</v>
      </c>
      <c r="AA1112" s="8">
        <f>MONTH(CleanedData[[#This Row],[Order Date]])</f>
        <v>1</v>
      </c>
    </row>
    <row r="1113" spans="1:27" x14ac:dyDescent="0.35">
      <c r="A1113" s="8" t="s">
        <v>3094</v>
      </c>
      <c r="B1113" s="9">
        <v>45220</v>
      </c>
      <c r="C1113" s="9">
        <v>45067</v>
      </c>
      <c r="D1113" s="8" t="s">
        <v>3095</v>
      </c>
      <c r="E1113" s="8" t="s">
        <v>58</v>
      </c>
      <c r="F1113" s="8" t="s">
        <v>259</v>
      </c>
      <c r="G1113" s="8" t="s">
        <v>70</v>
      </c>
      <c r="H1113" s="8" t="s">
        <v>1019</v>
      </c>
      <c r="I1113" s="8" t="s">
        <v>4973</v>
      </c>
      <c r="J1113" s="10">
        <v>106</v>
      </c>
      <c r="K1113" s="11">
        <v>1014.6</v>
      </c>
      <c r="L1113" s="11">
        <v>1296.4000000000001</v>
      </c>
      <c r="M1113" s="11">
        <v>137418.4</v>
      </c>
      <c r="N1113" s="11">
        <v>107547.6</v>
      </c>
      <c r="O1113" s="11">
        <f>CleanedData[[#This Row],[Total Sales ($)]]-CleanedData[[#This Row],[Total Cost ($)]]</f>
        <v>29870.799999999988</v>
      </c>
      <c r="P1113" s="12">
        <f>CleanedData[[#This Row],[Profit ($)]]/CleanedData[[#This Row],[Total Sales ($)]]</f>
        <v>0.21737118173403264</v>
      </c>
      <c r="Q1113" s="8" t="s">
        <v>31</v>
      </c>
      <c r="R1113" s="8" t="s">
        <v>63</v>
      </c>
      <c r="S1113" s="8" t="b">
        <f>_xlfn.SINGLE(CleanedData[[#This Row],[Delivery Status]])="Late"</f>
        <v>0</v>
      </c>
      <c r="T1113" s="10">
        <v>2</v>
      </c>
      <c r="U1113" s="8" t="s">
        <v>158</v>
      </c>
      <c r="V1113" s="10">
        <v>2841</v>
      </c>
      <c r="W1113" s="10">
        <v>5</v>
      </c>
      <c r="X1113" s="12">
        <v>4.71698113207547E-2</v>
      </c>
      <c r="Y1113" s="8" t="b">
        <f>CleanedData[[#This Row],[Ship Date]]&lt;CleanedData[[#This Row],[Order Date]]</f>
        <v>1</v>
      </c>
      <c r="Z1113" s="10">
        <f>YEAR(CleanedData[[#This Row],[Order Date]])</f>
        <v>2023</v>
      </c>
      <c r="AA1113" s="8">
        <f>MONTH(CleanedData[[#This Row],[Order Date]])</f>
        <v>10</v>
      </c>
    </row>
    <row r="1114" spans="1:27" x14ac:dyDescent="0.35">
      <c r="A1114" s="8" t="s">
        <v>3096</v>
      </c>
      <c r="B1114" s="9">
        <v>45151</v>
      </c>
      <c r="C1114" s="9">
        <v>45151</v>
      </c>
      <c r="D1114" s="8" t="s">
        <v>3097</v>
      </c>
      <c r="E1114" s="8" t="s">
        <v>58</v>
      </c>
      <c r="F1114" s="8" t="s">
        <v>122</v>
      </c>
      <c r="G1114" s="8" t="s">
        <v>189</v>
      </c>
      <c r="H1114" s="8" t="s">
        <v>365</v>
      </c>
      <c r="I1114" s="8" t="s">
        <v>4978</v>
      </c>
      <c r="J1114" s="10">
        <v>408</v>
      </c>
      <c r="K1114" s="11">
        <v>521.6</v>
      </c>
      <c r="L1114" s="11">
        <v>806.79</v>
      </c>
      <c r="M1114" s="11">
        <v>329170.32</v>
      </c>
      <c r="N1114" s="11">
        <v>212812.79999999999</v>
      </c>
      <c r="O1114" s="11">
        <f>CleanedData[[#This Row],[Total Sales ($)]]-CleanedData[[#This Row],[Total Cost ($)]]</f>
        <v>116357.52000000002</v>
      </c>
      <c r="P1114" s="12">
        <f>CleanedData[[#This Row],[Profit ($)]]/CleanedData[[#This Row],[Total Sales ($)]]</f>
        <v>0.35348727673868052</v>
      </c>
      <c r="Q1114" s="8" t="s">
        <v>31</v>
      </c>
      <c r="R1114" s="8" t="s">
        <v>63</v>
      </c>
      <c r="S1114" s="8" t="b">
        <f>_xlfn.SINGLE(CleanedData[[#This Row],[Delivery Status]])="Late"</f>
        <v>0</v>
      </c>
      <c r="T1114" s="10">
        <v>1</v>
      </c>
      <c r="U1114" s="8" t="s">
        <v>33</v>
      </c>
      <c r="V1114" s="10">
        <v>3077</v>
      </c>
      <c r="W1114" s="10">
        <v>17</v>
      </c>
      <c r="X1114" s="12">
        <v>4.1666666666666602E-2</v>
      </c>
      <c r="Y1114" s="8" t="b">
        <f>CleanedData[[#This Row],[Ship Date]]&lt;CleanedData[[#This Row],[Order Date]]</f>
        <v>0</v>
      </c>
      <c r="Z1114" s="10">
        <f>YEAR(CleanedData[[#This Row],[Order Date]])</f>
        <v>2023</v>
      </c>
      <c r="AA1114" s="8">
        <f>MONTH(CleanedData[[#This Row],[Order Date]])</f>
        <v>8</v>
      </c>
    </row>
    <row r="1115" spans="1:27" x14ac:dyDescent="0.35">
      <c r="A1115" s="8" t="s">
        <v>3098</v>
      </c>
      <c r="B1115" s="9">
        <v>44967</v>
      </c>
      <c r="C1115" s="9">
        <v>45270</v>
      </c>
      <c r="D1115" s="8" t="s">
        <v>3099</v>
      </c>
      <c r="E1115" s="8" t="s">
        <v>58</v>
      </c>
      <c r="F1115" s="8" t="s">
        <v>122</v>
      </c>
      <c r="G1115" s="8" t="s">
        <v>189</v>
      </c>
      <c r="H1115" s="8" t="s">
        <v>369</v>
      </c>
      <c r="I1115" s="8" t="s">
        <v>4971</v>
      </c>
      <c r="J1115" s="10">
        <v>437</v>
      </c>
      <c r="K1115" s="11">
        <v>246.31</v>
      </c>
      <c r="L1115" s="11">
        <v>363.9</v>
      </c>
      <c r="M1115" s="11">
        <v>159024.29999999999</v>
      </c>
      <c r="N1115" s="11">
        <v>107637.47</v>
      </c>
      <c r="O1115" s="11">
        <f>CleanedData[[#This Row],[Total Sales ($)]]-CleanedData[[#This Row],[Total Cost ($)]]</f>
        <v>51386.829999999987</v>
      </c>
      <c r="P1115" s="12">
        <f>CleanedData[[#This Row],[Profit ($)]]/CleanedData[[#This Row],[Total Sales ($)]]</f>
        <v>0.32313822478702936</v>
      </c>
      <c r="Q1115" s="8" t="s">
        <v>52</v>
      </c>
      <c r="R1115" s="8" t="s">
        <v>32</v>
      </c>
      <c r="S1115" s="8" t="b">
        <f>_xlfn.SINGLE(CleanedData[[#This Row],[Delivery Status]])="Late"</f>
        <v>1</v>
      </c>
      <c r="T1115" s="10">
        <v>14</v>
      </c>
      <c r="U1115" s="8" t="s">
        <v>86</v>
      </c>
      <c r="V1115" s="10">
        <v>415</v>
      </c>
      <c r="W1115" s="10">
        <v>0</v>
      </c>
      <c r="X1115" s="12">
        <v>0</v>
      </c>
      <c r="Y1115" s="8" t="b">
        <f>CleanedData[[#This Row],[Ship Date]]&lt;CleanedData[[#This Row],[Order Date]]</f>
        <v>0</v>
      </c>
      <c r="Z1115" s="10">
        <f>YEAR(CleanedData[[#This Row],[Order Date]])</f>
        <v>2023</v>
      </c>
      <c r="AA1115" s="8">
        <f>MONTH(CleanedData[[#This Row],[Order Date]])</f>
        <v>2</v>
      </c>
    </row>
    <row r="1116" spans="1:27" x14ac:dyDescent="0.35">
      <c r="A1116" s="8" t="s">
        <v>3100</v>
      </c>
      <c r="B1116" s="9">
        <v>45598</v>
      </c>
      <c r="C1116" s="9">
        <v>45487</v>
      </c>
      <c r="D1116" s="8" t="s">
        <v>3102</v>
      </c>
      <c r="E1116" s="8" t="s">
        <v>68</v>
      </c>
      <c r="F1116" s="8" t="s">
        <v>146</v>
      </c>
      <c r="G1116" s="8" t="s">
        <v>93</v>
      </c>
      <c r="H1116" s="8" t="s">
        <v>643</v>
      </c>
      <c r="I1116" s="8" t="s">
        <v>4973</v>
      </c>
      <c r="J1116" s="10">
        <v>274</v>
      </c>
      <c r="K1116" s="11">
        <v>985.74</v>
      </c>
      <c r="L1116" s="11">
        <v>1269.49</v>
      </c>
      <c r="M1116" s="11">
        <v>347840.26</v>
      </c>
      <c r="N1116" s="11">
        <v>270092.76</v>
      </c>
      <c r="O1116" s="11">
        <f>CleanedData[[#This Row],[Total Sales ($)]]-CleanedData[[#This Row],[Total Cost ($)]]</f>
        <v>77747.5</v>
      </c>
      <c r="P1116" s="12">
        <f>CleanedData[[#This Row],[Profit ($)]]/CleanedData[[#This Row],[Total Sales ($)]]</f>
        <v>0.22351495482437828</v>
      </c>
      <c r="Q1116" s="8" t="s">
        <v>42</v>
      </c>
      <c r="R1116" s="8" t="s">
        <v>32</v>
      </c>
      <c r="S1116" s="8" t="b">
        <f>_xlfn.SINGLE(CleanedData[[#This Row],[Delivery Status]])="Late"</f>
        <v>1</v>
      </c>
      <c r="T1116" s="10">
        <v>10</v>
      </c>
      <c r="U1116" s="8" t="s">
        <v>86</v>
      </c>
      <c r="V1116" s="10">
        <v>2986</v>
      </c>
      <c r="W1116" s="10">
        <v>7</v>
      </c>
      <c r="X1116" s="12">
        <v>2.5547445255474401E-2</v>
      </c>
      <c r="Y1116" s="8" t="b">
        <f>CleanedData[[#This Row],[Ship Date]]&lt;CleanedData[[#This Row],[Order Date]]</f>
        <v>1</v>
      </c>
      <c r="Z1116" s="10">
        <f>YEAR(CleanedData[[#This Row],[Order Date]])</f>
        <v>2024</v>
      </c>
      <c r="AA1116" s="8">
        <f>MONTH(CleanedData[[#This Row],[Order Date]])</f>
        <v>11</v>
      </c>
    </row>
    <row r="1117" spans="1:27" x14ac:dyDescent="0.35">
      <c r="A1117" s="8" t="s">
        <v>3103</v>
      </c>
      <c r="B1117" s="9">
        <v>45600</v>
      </c>
      <c r="C1117" s="9">
        <v>45281</v>
      </c>
      <c r="D1117" s="8" t="s">
        <v>3105</v>
      </c>
      <c r="E1117" s="8" t="s">
        <v>4972</v>
      </c>
      <c r="F1117" s="8" t="s">
        <v>92</v>
      </c>
      <c r="G1117" s="8" t="s">
        <v>189</v>
      </c>
      <c r="H1117" s="8" t="s">
        <v>437</v>
      </c>
      <c r="I1117" s="8" t="s">
        <v>4977</v>
      </c>
      <c r="J1117" s="10">
        <v>291</v>
      </c>
      <c r="K1117" s="11">
        <v>551.42999999999995</v>
      </c>
      <c r="L1117" s="11">
        <v>829.42</v>
      </c>
      <c r="M1117" s="11">
        <v>241361.22</v>
      </c>
      <c r="N1117" s="11">
        <v>160466.13</v>
      </c>
      <c r="O1117" s="11">
        <f>CleanedData[[#This Row],[Total Sales ($)]]-CleanedData[[#This Row],[Total Cost ($)]]</f>
        <v>80895.09</v>
      </c>
      <c r="P1117" s="12">
        <f>CleanedData[[#This Row],[Profit ($)]]/CleanedData[[#This Row],[Total Sales ($)]]</f>
        <v>0.3351619203780955</v>
      </c>
      <c r="Q1117" s="8" t="s">
        <v>31</v>
      </c>
      <c r="R1117" s="8" t="s">
        <v>32</v>
      </c>
      <c r="S1117" s="8" t="b">
        <f>_xlfn.SINGLE(CleanedData[[#This Row],[Delivery Status]])="Late"</f>
        <v>1</v>
      </c>
      <c r="T1117" s="10">
        <v>10</v>
      </c>
      <c r="U1117" s="8" t="s">
        <v>33</v>
      </c>
      <c r="V1117" s="10">
        <v>4979</v>
      </c>
      <c r="W1117" s="10">
        <v>2</v>
      </c>
      <c r="X1117" s="12">
        <v>6.8728522336769004E-3</v>
      </c>
      <c r="Y1117" s="8" t="b">
        <f>CleanedData[[#This Row],[Ship Date]]&lt;CleanedData[[#This Row],[Order Date]]</f>
        <v>1</v>
      </c>
      <c r="Z1117" s="10">
        <f>YEAR(CleanedData[[#This Row],[Order Date]])</f>
        <v>2024</v>
      </c>
      <c r="AA1117" s="8">
        <f>MONTH(CleanedData[[#This Row],[Order Date]])</f>
        <v>11</v>
      </c>
    </row>
    <row r="1118" spans="1:27" x14ac:dyDescent="0.35">
      <c r="A1118" s="8" t="s">
        <v>3107</v>
      </c>
      <c r="B1118" s="9">
        <v>45257</v>
      </c>
      <c r="C1118" s="9">
        <v>44988</v>
      </c>
      <c r="D1118" s="8" t="s">
        <v>3108</v>
      </c>
      <c r="E1118" s="8" t="s">
        <v>100</v>
      </c>
      <c r="F1118" s="8" t="s">
        <v>1529</v>
      </c>
      <c r="G1118" s="8" t="s">
        <v>28</v>
      </c>
      <c r="H1118" s="8" t="s">
        <v>111</v>
      </c>
      <c r="I1118" s="8" t="s">
        <v>4978</v>
      </c>
      <c r="J1118" s="10">
        <v>422</v>
      </c>
      <c r="K1118" s="11">
        <v>608.53</v>
      </c>
      <c r="L1118" s="11">
        <v>836.74</v>
      </c>
      <c r="M1118" s="11">
        <v>353104.28</v>
      </c>
      <c r="N1118" s="11">
        <v>256799.66</v>
      </c>
      <c r="O1118" s="11">
        <f>CleanedData[[#This Row],[Total Sales ($)]]-CleanedData[[#This Row],[Total Cost ($)]]</f>
        <v>96304.620000000024</v>
      </c>
      <c r="P1118" s="12">
        <f>CleanedData[[#This Row],[Profit ($)]]/CleanedData[[#This Row],[Total Sales ($)]]</f>
        <v>0.27273705093577461</v>
      </c>
      <c r="Q1118" s="8" t="s">
        <v>31</v>
      </c>
      <c r="R1118" s="8" t="s">
        <v>63</v>
      </c>
      <c r="S1118" s="8" t="b">
        <f>_xlfn.SINGLE(CleanedData[[#This Row],[Delivery Status]])="Late"</f>
        <v>0</v>
      </c>
      <c r="T1118" s="10">
        <v>1</v>
      </c>
      <c r="U1118" s="8" t="s">
        <v>158</v>
      </c>
      <c r="V1118" s="10">
        <v>4334</v>
      </c>
      <c r="W1118" s="10">
        <v>4</v>
      </c>
      <c r="X1118" s="12">
        <v>9.4786729857818993E-3</v>
      </c>
      <c r="Y1118" s="8" t="b">
        <f>CleanedData[[#This Row],[Ship Date]]&lt;CleanedData[[#This Row],[Order Date]]</f>
        <v>1</v>
      </c>
      <c r="Z1118" s="10">
        <f>YEAR(CleanedData[[#This Row],[Order Date]])</f>
        <v>2023</v>
      </c>
      <c r="AA1118" s="8">
        <f>MONTH(CleanedData[[#This Row],[Order Date]])</f>
        <v>11</v>
      </c>
    </row>
    <row r="1119" spans="1:27" x14ac:dyDescent="0.35">
      <c r="A1119" s="8" t="s">
        <v>3109</v>
      </c>
      <c r="B1119" s="9">
        <v>45117</v>
      </c>
      <c r="C1119" s="9">
        <v>45340</v>
      </c>
      <c r="D1119" s="8" t="s">
        <v>1128</v>
      </c>
      <c r="E1119" s="8" t="s">
        <v>48</v>
      </c>
      <c r="F1119" s="8" t="s">
        <v>270</v>
      </c>
      <c r="G1119" s="8" t="s">
        <v>70</v>
      </c>
      <c r="H1119" s="8" t="s">
        <v>822</v>
      </c>
      <c r="I1119" s="8" t="s">
        <v>4976</v>
      </c>
      <c r="J1119" s="10">
        <v>791</v>
      </c>
      <c r="K1119" s="11">
        <v>614.84</v>
      </c>
      <c r="L1119" s="11">
        <v>948.49</v>
      </c>
      <c r="M1119" s="11">
        <v>750255.59</v>
      </c>
      <c r="N1119" s="11">
        <v>486338.44</v>
      </c>
      <c r="O1119" s="11">
        <f>CleanedData[[#This Row],[Total Sales ($)]]-CleanedData[[#This Row],[Total Cost ($)]]</f>
        <v>263917.14999999997</v>
      </c>
      <c r="P1119" s="12">
        <f>CleanedData[[#This Row],[Profit ($)]]/CleanedData[[#This Row],[Total Sales ($)]]</f>
        <v>0.35176965492519685</v>
      </c>
      <c r="Q1119" s="8" t="s">
        <v>52</v>
      </c>
      <c r="R1119" s="8" t="s">
        <v>63</v>
      </c>
      <c r="S1119" s="8" t="b">
        <f>_xlfn.SINGLE(CleanedData[[#This Row],[Delivery Status]])="Late"</f>
        <v>0</v>
      </c>
      <c r="T1119" s="10">
        <v>5</v>
      </c>
      <c r="U1119" s="8" t="s">
        <v>158</v>
      </c>
      <c r="V1119" s="10">
        <v>4294</v>
      </c>
      <c r="W1119" s="10">
        <v>10</v>
      </c>
      <c r="X1119" s="12">
        <v>1.2642225031605499E-2</v>
      </c>
      <c r="Y1119" s="8" t="b">
        <f>CleanedData[[#This Row],[Ship Date]]&lt;CleanedData[[#This Row],[Order Date]]</f>
        <v>0</v>
      </c>
      <c r="Z1119" s="10">
        <f>YEAR(CleanedData[[#This Row],[Order Date]])</f>
        <v>2023</v>
      </c>
      <c r="AA1119" s="8">
        <f>MONTH(CleanedData[[#This Row],[Order Date]])</f>
        <v>7</v>
      </c>
    </row>
    <row r="1120" spans="1:27" x14ac:dyDescent="0.35">
      <c r="A1120" s="8" t="s">
        <v>3112</v>
      </c>
      <c r="B1120" s="9">
        <v>44951</v>
      </c>
      <c r="C1120" s="9">
        <v>45132</v>
      </c>
      <c r="D1120" s="8" t="s">
        <v>3113</v>
      </c>
      <c r="E1120" s="8" t="s">
        <v>26</v>
      </c>
      <c r="F1120" s="8" t="s">
        <v>92</v>
      </c>
      <c r="G1120" s="8" t="s">
        <v>28</v>
      </c>
      <c r="H1120" s="8" t="s">
        <v>212</v>
      </c>
      <c r="I1120" s="8" t="s">
        <v>4976</v>
      </c>
      <c r="J1120" s="10">
        <v>182</v>
      </c>
      <c r="K1120" s="11">
        <v>260.41000000000003</v>
      </c>
      <c r="L1120" s="11">
        <v>377.57</v>
      </c>
      <c r="M1120" s="11">
        <v>68717.740000000005</v>
      </c>
      <c r="N1120" s="11">
        <v>47394.62</v>
      </c>
      <c r="O1120" s="11">
        <f>CleanedData[[#This Row],[Total Sales ($)]]-CleanedData[[#This Row],[Total Cost ($)]]</f>
        <v>21323.120000000003</v>
      </c>
      <c r="P1120" s="12">
        <f>CleanedData[[#This Row],[Profit ($)]]/CleanedData[[#This Row],[Total Sales ($)]]</f>
        <v>0.31030007680694971</v>
      </c>
      <c r="Q1120" s="8" t="s">
        <v>95</v>
      </c>
      <c r="R1120" s="8" t="s">
        <v>32</v>
      </c>
      <c r="S1120" s="8" t="b">
        <f>_xlfn.SINGLE(CleanedData[[#This Row],[Delivery Status]])="Late"</f>
        <v>1</v>
      </c>
      <c r="T1120" s="10">
        <v>9</v>
      </c>
      <c r="U1120" s="8" t="s">
        <v>86</v>
      </c>
      <c r="V1120" s="10">
        <v>2297</v>
      </c>
      <c r="W1120" s="10">
        <v>0</v>
      </c>
      <c r="X1120" s="12">
        <v>0</v>
      </c>
      <c r="Y1120" s="8" t="b">
        <f>CleanedData[[#This Row],[Ship Date]]&lt;CleanedData[[#This Row],[Order Date]]</f>
        <v>0</v>
      </c>
      <c r="Z1120" s="10">
        <f>YEAR(CleanedData[[#This Row],[Order Date]])</f>
        <v>2023</v>
      </c>
      <c r="AA1120" s="8">
        <f>MONTH(CleanedData[[#This Row],[Order Date]])</f>
        <v>1</v>
      </c>
    </row>
    <row r="1121" spans="1:27" x14ac:dyDescent="0.35">
      <c r="A1121" s="8" t="s">
        <v>3114</v>
      </c>
      <c r="B1121" s="9">
        <v>45090</v>
      </c>
      <c r="C1121" s="9">
        <v>45111</v>
      </c>
      <c r="D1121" s="8" t="s">
        <v>3115</v>
      </c>
      <c r="E1121" s="8" t="s">
        <v>100</v>
      </c>
      <c r="F1121" s="8" t="s">
        <v>538</v>
      </c>
      <c r="G1121" s="8" t="s">
        <v>217</v>
      </c>
      <c r="H1121" s="8" t="s">
        <v>684</v>
      </c>
      <c r="I1121" s="8" t="s">
        <v>4979</v>
      </c>
      <c r="J1121" s="10">
        <v>434</v>
      </c>
      <c r="K1121" s="11"/>
      <c r="L1121" s="11">
        <v>1578.64</v>
      </c>
      <c r="M1121" s="11">
        <v>685129.76</v>
      </c>
      <c r="N1121" s="11">
        <v>438166.4</v>
      </c>
      <c r="O1121" s="11">
        <f>CleanedData[[#This Row],[Total Sales ($)]]-CleanedData[[#This Row],[Total Cost ($)]]</f>
        <v>246963.36</v>
      </c>
      <c r="P1121" s="12">
        <f>CleanedData[[#This Row],[Profit ($)]]/CleanedData[[#This Row],[Total Sales ($)]]</f>
        <v>0.36046216996908731</v>
      </c>
      <c r="Q1121" s="8" t="s">
        <v>42</v>
      </c>
      <c r="R1121" s="8" t="s">
        <v>32</v>
      </c>
      <c r="S1121" s="8" t="b">
        <f>_xlfn.SINGLE(CleanedData[[#This Row],[Delivery Status]])="Late"</f>
        <v>1</v>
      </c>
      <c r="T1121" s="10">
        <v>13</v>
      </c>
      <c r="U1121" s="8" t="s">
        <v>158</v>
      </c>
      <c r="V1121" s="10">
        <v>3643</v>
      </c>
      <c r="W1121" s="10">
        <v>6</v>
      </c>
      <c r="X1121" s="12">
        <v>1.3824884792626699E-2</v>
      </c>
      <c r="Y1121" s="8" t="b">
        <f>CleanedData[[#This Row],[Ship Date]]&lt;CleanedData[[#This Row],[Order Date]]</f>
        <v>0</v>
      </c>
      <c r="Z1121" s="10">
        <f>YEAR(CleanedData[[#This Row],[Order Date]])</f>
        <v>2023</v>
      </c>
      <c r="AA1121" s="8">
        <f>MONTH(CleanedData[[#This Row],[Order Date]])</f>
        <v>6</v>
      </c>
    </row>
    <row r="1122" spans="1:27" x14ac:dyDescent="0.35">
      <c r="A1122" s="8" t="s">
        <v>3116</v>
      </c>
      <c r="B1122" s="9">
        <v>44960</v>
      </c>
      <c r="C1122" s="9">
        <v>45017</v>
      </c>
      <c r="D1122" s="8" t="s">
        <v>3117</v>
      </c>
      <c r="E1122" s="8" t="s">
        <v>58</v>
      </c>
      <c r="F1122" s="8" t="s">
        <v>417</v>
      </c>
      <c r="G1122" s="8" t="s">
        <v>93</v>
      </c>
      <c r="H1122" s="8" t="s">
        <v>184</v>
      </c>
      <c r="I1122" s="8" t="s">
        <v>4978</v>
      </c>
      <c r="J1122" s="10">
        <v>144</v>
      </c>
      <c r="K1122" s="11">
        <v>546.83000000000004</v>
      </c>
      <c r="L1122" s="11">
        <v>823.6</v>
      </c>
      <c r="M1122" s="11">
        <v>118598.39999999999</v>
      </c>
      <c r="N1122" s="11">
        <v>78743.520000000004</v>
      </c>
      <c r="O1122" s="11">
        <f>CleanedData[[#This Row],[Total Sales ($)]]-CleanedData[[#This Row],[Total Cost ($)]]</f>
        <v>39854.87999999999</v>
      </c>
      <c r="P1122" s="12">
        <f>CleanedData[[#This Row],[Profit ($)]]/CleanedData[[#This Row],[Total Sales ($)]]</f>
        <v>0.33604905293831949</v>
      </c>
      <c r="Q1122" s="8" t="s">
        <v>95</v>
      </c>
      <c r="R1122" s="8" t="s">
        <v>63</v>
      </c>
      <c r="S1122" s="8" t="b">
        <f>_xlfn.SINGLE(CleanedData[[#This Row],[Delivery Status]])="Late"</f>
        <v>0</v>
      </c>
      <c r="T1122" s="10">
        <v>5</v>
      </c>
      <c r="U1122" s="8" t="s">
        <v>53</v>
      </c>
      <c r="V1122" s="10">
        <v>697</v>
      </c>
      <c r="W1122" s="10">
        <v>6</v>
      </c>
      <c r="X1122" s="12">
        <v>4.1666666666666602E-2</v>
      </c>
      <c r="Y1122" s="8" t="b">
        <f>CleanedData[[#This Row],[Ship Date]]&lt;CleanedData[[#This Row],[Order Date]]</f>
        <v>0</v>
      </c>
      <c r="Z1122" s="10">
        <f>YEAR(CleanedData[[#This Row],[Order Date]])</f>
        <v>2023</v>
      </c>
      <c r="AA1122" s="8">
        <f>MONTH(CleanedData[[#This Row],[Order Date]])</f>
        <v>2</v>
      </c>
    </row>
    <row r="1123" spans="1:27" x14ac:dyDescent="0.35">
      <c r="A1123" s="8" t="s">
        <v>3119</v>
      </c>
      <c r="B1123" s="9">
        <v>45310</v>
      </c>
      <c r="C1123" s="9">
        <v>45452</v>
      </c>
      <c r="D1123" s="8" t="s">
        <v>145</v>
      </c>
      <c r="E1123" s="8" t="s">
        <v>58</v>
      </c>
      <c r="F1123" s="8" t="s">
        <v>259</v>
      </c>
      <c r="G1123" s="8" t="s">
        <v>60</v>
      </c>
      <c r="H1123" s="8" t="s">
        <v>229</v>
      </c>
      <c r="I1123" s="8" t="s">
        <v>4990</v>
      </c>
      <c r="J1123" s="10">
        <v>336</v>
      </c>
      <c r="K1123" s="11">
        <v>16.41</v>
      </c>
      <c r="L1123" s="11">
        <v>24.24</v>
      </c>
      <c r="M1123" s="11">
        <v>8144.64</v>
      </c>
      <c r="N1123" s="11">
        <v>5513.76</v>
      </c>
      <c r="O1123" s="11">
        <f>CleanedData[[#This Row],[Total Sales ($)]]-CleanedData[[#This Row],[Total Cost ($)]]</f>
        <v>2630.88</v>
      </c>
      <c r="P1123" s="12">
        <f>CleanedData[[#This Row],[Profit ($)]]/CleanedData[[#This Row],[Total Sales ($)]]</f>
        <v>0.32301980198019803</v>
      </c>
      <c r="Q1123" s="8" t="s">
        <v>52</v>
      </c>
      <c r="R1123" s="8" t="s">
        <v>32</v>
      </c>
      <c r="S1123" s="8" t="b">
        <f>_xlfn.SINGLE(CleanedData[[#This Row],[Delivery Status]])="Late"</f>
        <v>1</v>
      </c>
      <c r="T1123" s="10">
        <v>14</v>
      </c>
      <c r="U1123" s="8" t="s">
        <v>158</v>
      </c>
      <c r="V1123" s="10">
        <v>317</v>
      </c>
      <c r="W1123" s="10">
        <v>15</v>
      </c>
      <c r="X1123" s="12">
        <v>4.4642857142857102E-2</v>
      </c>
      <c r="Y1123" s="8" t="b">
        <f>CleanedData[[#This Row],[Ship Date]]&lt;CleanedData[[#This Row],[Order Date]]</f>
        <v>0</v>
      </c>
      <c r="Z1123" s="10">
        <f>YEAR(CleanedData[[#This Row],[Order Date]])</f>
        <v>2024</v>
      </c>
      <c r="AA1123" s="8">
        <f>MONTH(CleanedData[[#This Row],[Order Date]])</f>
        <v>1</v>
      </c>
    </row>
    <row r="1124" spans="1:27" x14ac:dyDescent="0.35">
      <c r="A1124" s="8" t="s">
        <v>3121</v>
      </c>
      <c r="B1124" s="9">
        <v>45232</v>
      </c>
      <c r="C1124" s="9">
        <v>45249</v>
      </c>
      <c r="D1124" s="8" t="s">
        <v>3122</v>
      </c>
      <c r="E1124" s="8" t="s">
        <v>26</v>
      </c>
      <c r="F1124" s="8" t="s">
        <v>77</v>
      </c>
      <c r="G1124" s="8" t="s">
        <v>189</v>
      </c>
      <c r="H1124" s="8" t="s">
        <v>437</v>
      </c>
      <c r="I1124" s="8" t="s">
        <v>4977</v>
      </c>
      <c r="J1124" s="10">
        <v>290</v>
      </c>
      <c r="K1124" s="11">
        <v>875.23</v>
      </c>
      <c r="L1124" s="11">
        <v>1103.25</v>
      </c>
      <c r="M1124" s="11">
        <v>319942.5</v>
      </c>
      <c r="N1124" s="11">
        <v>253816.7</v>
      </c>
      <c r="O1124" s="11">
        <f>CleanedData[[#This Row],[Total Sales ($)]]-CleanedData[[#This Row],[Total Cost ($)]]</f>
        <v>66125.799999999988</v>
      </c>
      <c r="P1124" s="12">
        <f>CleanedData[[#This Row],[Profit ($)]]/CleanedData[[#This Row],[Total Sales ($)]]</f>
        <v>0.20668026285973257</v>
      </c>
      <c r="Q1124" s="8" t="s">
        <v>95</v>
      </c>
      <c r="R1124" s="8" t="s">
        <v>63</v>
      </c>
      <c r="S1124" s="8" t="b">
        <f>_xlfn.SINGLE(CleanedData[[#This Row],[Delivery Status]])="Late"</f>
        <v>0</v>
      </c>
      <c r="T1124" s="10">
        <v>5</v>
      </c>
      <c r="U1124" s="8" t="s">
        <v>158</v>
      </c>
      <c r="V1124" s="10">
        <v>164</v>
      </c>
      <c r="W1124" s="10">
        <v>1</v>
      </c>
      <c r="X1124" s="12">
        <v>3.4482758620689E-3</v>
      </c>
      <c r="Y1124" s="8" t="b">
        <f>CleanedData[[#This Row],[Ship Date]]&lt;CleanedData[[#This Row],[Order Date]]</f>
        <v>0</v>
      </c>
      <c r="Z1124" s="10">
        <f>YEAR(CleanedData[[#This Row],[Order Date]])</f>
        <v>2023</v>
      </c>
      <c r="AA1124" s="8">
        <f>MONTH(CleanedData[[#This Row],[Order Date]])</f>
        <v>11</v>
      </c>
    </row>
    <row r="1125" spans="1:27" x14ac:dyDescent="0.35">
      <c r="A1125" s="8" t="s">
        <v>3123</v>
      </c>
      <c r="B1125" s="9">
        <v>45178</v>
      </c>
      <c r="C1125" s="9">
        <v>45081</v>
      </c>
      <c r="D1125" s="8" t="s">
        <v>3125</v>
      </c>
      <c r="E1125" s="8" t="s">
        <v>58</v>
      </c>
      <c r="F1125" s="8" t="s">
        <v>259</v>
      </c>
      <c r="G1125" s="8" t="s">
        <v>217</v>
      </c>
      <c r="H1125" s="8" t="s">
        <v>218</v>
      </c>
      <c r="I1125" s="8" t="s">
        <v>4974</v>
      </c>
      <c r="J1125" s="10">
        <v>316</v>
      </c>
      <c r="K1125" s="11">
        <v>659.81</v>
      </c>
      <c r="L1125" s="11">
        <v>748.69</v>
      </c>
      <c r="M1125" s="11">
        <v>236586.04</v>
      </c>
      <c r="N1125" s="11">
        <v>208499.96</v>
      </c>
      <c r="O1125" s="11">
        <f>CleanedData[[#This Row],[Total Sales ($)]]-CleanedData[[#This Row],[Total Cost ($)]]</f>
        <v>28086.080000000016</v>
      </c>
      <c r="P1125" s="12">
        <f>CleanedData[[#This Row],[Profit ($)]]/CleanedData[[#This Row],[Total Sales ($)]]</f>
        <v>0.11871402048912107</v>
      </c>
      <c r="Q1125" s="8" t="s">
        <v>95</v>
      </c>
      <c r="R1125" s="8" t="s">
        <v>63</v>
      </c>
      <c r="S1125" s="8" t="b">
        <f>_xlfn.SINGLE(CleanedData[[#This Row],[Delivery Status]])="Late"</f>
        <v>0</v>
      </c>
      <c r="T1125" s="10">
        <v>3</v>
      </c>
      <c r="U1125" s="8" t="s">
        <v>33</v>
      </c>
      <c r="V1125" s="10">
        <v>4842</v>
      </c>
      <c r="W1125" s="10">
        <v>6</v>
      </c>
      <c r="X1125" s="12">
        <v>1.8987341772151899E-2</v>
      </c>
      <c r="Y1125" s="8" t="b">
        <f>CleanedData[[#This Row],[Ship Date]]&lt;CleanedData[[#This Row],[Order Date]]</f>
        <v>1</v>
      </c>
      <c r="Z1125" s="10">
        <f>YEAR(CleanedData[[#This Row],[Order Date]])</f>
        <v>2023</v>
      </c>
      <c r="AA1125" s="8">
        <f>MONTH(CleanedData[[#This Row],[Order Date]])</f>
        <v>9</v>
      </c>
    </row>
    <row r="1126" spans="1:27" x14ac:dyDescent="0.35">
      <c r="A1126" s="8" t="s">
        <v>3126</v>
      </c>
      <c r="B1126" s="9">
        <v>45186</v>
      </c>
      <c r="C1126" s="9">
        <v>44969</v>
      </c>
      <c r="D1126" s="8" t="s">
        <v>3127</v>
      </c>
      <c r="E1126" s="8" t="s">
        <v>48</v>
      </c>
      <c r="F1126" s="8" t="s">
        <v>183</v>
      </c>
      <c r="G1126" s="8" t="s">
        <v>129</v>
      </c>
      <c r="H1126" s="8" t="s">
        <v>316</v>
      </c>
      <c r="I1126" s="8" t="s">
        <v>4974</v>
      </c>
      <c r="J1126" s="10">
        <v>468</v>
      </c>
      <c r="K1126" s="11">
        <v>521.05999999999995</v>
      </c>
      <c r="L1126" s="11">
        <v>619.20000000000005</v>
      </c>
      <c r="M1126" s="11">
        <v>289785.59999999998</v>
      </c>
      <c r="N1126" s="11">
        <v>243856.08</v>
      </c>
      <c r="O1126" s="11">
        <f>CleanedData[[#This Row],[Total Sales ($)]]-CleanedData[[#This Row],[Total Cost ($)]]</f>
        <v>45929.51999999999</v>
      </c>
      <c r="P1126" s="12">
        <f>CleanedData[[#This Row],[Profit ($)]]/CleanedData[[#This Row],[Total Sales ($)]]</f>
        <v>0.15849483204134365</v>
      </c>
      <c r="Q1126" s="8" t="s">
        <v>52</v>
      </c>
      <c r="R1126" s="8" t="s">
        <v>32</v>
      </c>
      <c r="S1126" s="8" t="b">
        <f>_xlfn.SINGLE(CleanedData[[#This Row],[Delivery Status]])="Late"</f>
        <v>1</v>
      </c>
      <c r="T1126" s="10"/>
      <c r="U1126" s="8" t="s">
        <v>43</v>
      </c>
      <c r="V1126" s="10">
        <v>2458</v>
      </c>
      <c r="W1126" s="10">
        <v>20</v>
      </c>
      <c r="X1126" s="12">
        <v>4.2735042735042701E-2</v>
      </c>
      <c r="Y1126" s="8" t="b">
        <f>CleanedData[[#This Row],[Ship Date]]&lt;CleanedData[[#This Row],[Order Date]]</f>
        <v>1</v>
      </c>
      <c r="Z1126" s="10">
        <f>YEAR(CleanedData[[#This Row],[Order Date]])</f>
        <v>2023</v>
      </c>
      <c r="AA1126" s="8">
        <f>MONTH(CleanedData[[#This Row],[Order Date]])</f>
        <v>9</v>
      </c>
    </row>
    <row r="1127" spans="1:27" x14ac:dyDescent="0.35">
      <c r="A1127" s="8" t="s">
        <v>3128</v>
      </c>
      <c r="B1127" s="9">
        <v>45191</v>
      </c>
      <c r="C1127" s="9">
        <v>45221</v>
      </c>
      <c r="D1127" s="8" t="s">
        <v>3129</v>
      </c>
      <c r="E1127" s="8" t="s">
        <v>68</v>
      </c>
      <c r="F1127" s="8" t="s">
        <v>163</v>
      </c>
      <c r="G1127" s="8" t="s">
        <v>78</v>
      </c>
      <c r="H1127" s="8" t="s">
        <v>79</v>
      </c>
      <c r="I1127" s="8" t="s">
        <v>4967</v>
      </c>
      <c r="J1127" s="10">
        <v>556</v>
      </c>
      <c r="K1127" s="11">
        <v>319.14</v>
      </c>
      <c r="L1127" s="11">
        <v>447.37</v>
      </c>
      <c r="M1127" s="11">
        <v>248737.72</v>
      </c>
      <c r="N1127" s="11">
        <v>177441.84</v>
      </c>
      <c r="O1127" s="11">
        <f>CleanedData[[#This Row],[Total Sales ($)]]-CleanedData[[#This Row],[Total Cost ($)]]</f>
        <v>71295.88</v>
      </c>
      <c r="P1127" s="12">
        <f>CleanedData[[#This Row],[Profit ($)]]/CleanedData[[#This Row],[Total Sales ($)]]</f>
        <v>0.28663075306793034</v>
      </c>
      <c r="Q1127" s="8" t="s">
        <v>31</v>
      </c>
      <c r="R1127" s="8" t="s">
        <v>63</v>
      </c>
      <c r="S1127" s="8" t="b">
        <f>_xlfn.SINGLE(CleanedData[[#This Row],[Delivery Status]])="Late"</f>
        <v>0</v>
      </c>
      <c r="T1127" s="10">
        <v>2</v>
      </c>
      <c r="U1127" s="8" t="s">
        <v>33</v>
      </c>
      <c r="V1127" s="10">
        <v>262</v>
      </c>
      <c r="W1127" s="10">
        <v>11</v>
      </c>
      <c r="X1127" s="12">
        <v>1.9784172661870499E-2</v>
      </c>
      <c r="Y1127" s="8" t="b">
        <f>CleanedData[[#This Row],[Ship Date]]&lt;CleanedData[[#This Row],[Order Date]]</f>
        <v>0</v>
      </c>
      <c r="Z1127" s="10">
        <f>YEAR(CleanedData[[#This Row],[Order Date]])</f>
        <v>2023</v>
      </c>
      <c r="AA1127" s="8">
        <f>MONTH(CleanedData[[#This Row],[Order Date]])</f>
        <v>9</v>
      </c>
    </row>
    <row r="1128" spans="1:27" x14ac:dyDescent="0.35">
      <c r="A1128" s="8" t="s">
        <v>3130</v>
      </c>
      <c r="B1128" s="9">
        <v>45035</v>
      </c>
      <c r="C1128" s="9">
        <v>45009</v>
      </c>
      <c r="D1128" s="8" t="s">
        <v>3131</v>
      </c>
      <c r="E1128" s="8" t="s">
        <v>68</v>
      </c>
      <c r="F1128" s="8" t="s">
        <v>276</v>
      </c>
      <c r="G1128" s="8" t="s">
        <v>189</v>
      </c>
      <c r="H1128" s="8" t="s">
        <v>360</v>
      </c>
      <c r="I1128" s="8" t="s">
        <v>4979</v>
      </c>
      <c r="J1128" s="10">
        <v>268</v>
      </c>
      <c r="K1128" s="11">
        <v>1009.55</v>
      </c>
      <c r="L1128" s="11">
        <v>1322.79</v>
      </c>
      <c r="M1128" s="11">
        <v>354507.72</v>
      </c>
      <c r="N1128" s="11">
        <v>270559.40000000002</v>
      </c>
      <c r="O1128" s="11">
        <f>CleanedData[[#This Row],[Total Sales ($)]]-CleanedData[[#This Row],[Total Cost ($)]]</f>
        <v>83948.319999999949</v>
      </c>
      <c r="P1128" s="12">
        <f>CleanedData[[#This Row],[Profit ($)]]/CleanedData[[#This Row],[Total Sales ($)]]</f>
        <v>0.23680251589443513</v>
      </c>
      <c r="Q1128" s="8" t="s">
        <v>31</v>
      </c>
      <c r="R1128" s="8" t="s">
        <v>63</v>
      </c>
      <c r="S1128" s="8" t="b">
        <f>_xlfn.SINGLE(CleanedData[[#This Row],[Delivery Status]])="Late"</f>
        <v>0</v>
      </c>
      <c r="T1128" s="10">
        <v>5</v>
      </c>
      <c r="U1128" s="8" t="s">
        <v>112</v>
      </c>
      <c r="V1128" s="10">
        <v>2683</v>
      </c>
      <c r="W1128" s="10">
        <v>11</v>
      </c>
      <c r="X1128" s="12">
        <v>4.1044776119402902E-2</v>
      </c>
      <c r="Y1128" s="8" t="b">
        <f>CleanedData[[#This Row],[Ship Date]]&lt;CleanedData[[#This Row],[Order Date]]</f>
        <v>1</v>
      </c>
      <c r="Z1128" s="10">
        <f>YEAR(CleanedData[[#This Row],[Order Date]])</f>
        <v>2023</v>
      </c>
      <c r="AA1128" s="8">
        <f>MONTH(CleanedData[[#This Row],[Order Date]])</f>
        <v>4</v>
      </c>
    </row>
    <row r="1129" spans="1:27" x14ac:dyDescent="0.35">
      <c r="A1129" s="8" t="s">
        <v>3132</v>
      </c>
      <c r="B1129" s="9">
        <v>45317</v>
      </c>
      <c r="C1129" s="9">
        <v>45586</v>
      </c>
      <c r="D1129" s="8" t="s">
        <v>3133</v>
      </c>
      <c r="E1129" s="8" t="s">
        <v>68</v>
      </c>
      <c r="F1129" s="8" t="s">
        <v>276</v>
      </c>
      <c r="G1129" s="8" t="s">
        <v>78</v>
      </c>
      <c r="H1129" s="8" t="s">
        <v>79</v>
      </c>
      <c r="I1129" s="8" t="s">
        <v>4968</v>
      </c>
      <c r="J1129" s="10">
        <v>604</v>
      </c>
      <c r="K1129" s="11">
        <v>225.76</v>
      </c>
      <c r="L1129" s="11">
        <v>265.64</v>
      </c>
      <c r="M1129" s="11">
        <v>160446.56</v>
      </c>
      <c r="N1129" s="11">
        <v>136359.04000000001</v>
      </c>
      <c r="O1129" s="11">
        <f>CleanedData[[#This Row],[Total Sales ($)]]-CleanedData[[#This Row],[Total Cost ($)]]</f>
        <v>24087.51999999999</v>
      </c>
      <c r="P1129" s="12">
        <f>CleanedData[[#This Row],[Profit ($)]]/CleanedData[[#This Row],[Total Sales ($)]]</f>
        <v>0.15012799277217281</v>
      </c>
      <c r="Q1129" s="8" t="s">
        <v>42</v>
      </c>
      <c r="R1129" s="8" t="s">
        <v>32</v>
      </c>
      <c r="S1129" s="8" t="b">
        <f>_xlfn.SINGLE(CleanedData[[#This Row],[Delivery Status]])="Late"</f>
        <v>1</v>
      </c>
      <c r="T1129" s="10">
        <v>11</v>
      </c>
      <c r="U1129" s="8" t="s">
        <v>112</v>
      </c>
      <c r="V1129" s="10">
        <v>2887</v>
      </c>
      <c r="W1129" s="10">
        <v>16</v>
      </c>
      <c r="X1129" s="12">
        <v>2.64900662251655E-2</v>
      </c>
      <c r="Y1129" s="8" t="b">
        <f>CleanedData[[#This Row],[Ship Date]]&lt;CleanedData[[#This Row],[Order Date]]</f>
        <v>0</v>
      </c>
      <c r="Z1129" s="10">
        <f>YEAR(CleanedData[[#This Row],[Order Date]])</f>
        <v>2024</v>
      </c>
      <c r="AA1129" s="8">
        <f>MONTH(CleanedData[[#This Row],[Order Date]])</f>
        <v>1</v>
      </c>
    </row>
    <row r="1130" spans="1:27" x14ac:dyDescent="0.35">
      <c r="A1130" s="8" t="s">
        <v>3134</v>
      </c>
      <c r="B1130" s="9">
        <v>45078</v>
      </c>
      <c r="C1130" s="9">
        <v>45062</v>
      </c>
      <c r="D1130" s="8" t="s">
        <v>3135</v>
      </c>
      <c r="E1130" s="8" t="s">
        <v>26</v>
      </c>
      <c r="F1130" s="8" t="s">
        <v>38</v>
      </c>
      <c r="G1130" s="8" t="s">
        <v>129</v>
      </c>
      <c r="H1130" s="8" t="s">
        <v>152</v>
      </c>
      <c r="I1130" s="8" t="s">
        <v>4969</v>
      </c>
      <c r="J1130" s="10">
        <v>385</v>
      </c>
      <c r="K1130" s="11">
        <v>1011.51</v>
      </c>
      <c r="L1130" s="11">
        <v>1289.3399999999999</v>
      </c>
      <c r="M1130" s="11">
        <v>496395.9</v>
      </c>
      <c r="N1130" s="11">
        <v>389431.35</v>
      </c>
      <c r="O1130" s="11">
        <f>CleanedData[[#This Row],[Total Sales ($)]]-CleanedData[[#This Row],[Total Cost ($)]]</f>
        <v>106964.55000000005</v>
      </c>
      <c r="P1130" s="12">
        <f>CleanedData[[#This Row],[Profit ($)]]/CleanedData[[#This Row],[Total Sales ($)]]</f>
        <v>0.21548233980175913</v>
      </c>
      <c r="Q1130" s="8" t="s">
        <v>52</v>
      </c>
      <c r="R1130" s="8" t="s">
        <v>32</v>
      </c>
      <c r="S1130" s="8" t="b">
        <f>_xlfn.SINGLE(CleanedData[[#This Row],[Delivery Status]])="Late"</f>
        <v>1</v>
      </c>
      <c r="T1130" s="10">
        <v>13</v>
      </c>
      <c r="U1130" s="8" t="s">
        <v>112</v>
      </c>
      <c r="V1130" s="10">
        <v>4110</v>
      </c>
      <c r="W1130" s="10">
        <v>15</v>
      </c>
      <c r="X1130" s="12">
        <v>3.8961038961038898E-2</v>
      </c>
      <c r="Y1130" s="8" t="b">
        <f>CleanedData[[#This Row],[Ship Date]]&lt;CleanedData[[#This Row],[Order Date]]</f>
        <v>1</v>
      </c>
      <c r="Z1130" s="10">
        <f>YEAR(CleanedData[[#This Row],[Order Date]])</f>
        <v>2023</v>
      </c>
      <c r="AA1130" s="8">
        <f>MONTH(CleanedData[[#This Row],[Order Date]])</f>
        <v>6</v>
      </c>
    </row>
    <row r="1131" spans="1:27" x14ac:dyDescent="0.35">
      <c r="A1131" s="8" t="s">
        <v>3136</v>
      </c>
      <c r="B1131" s="9">
        <v>45233</v>
      </c>
      <c r="C1131" s="9">
        <v>45142</v>
      </c>
      <c r="D1131" s="8" t="s">
        <v>3137</v>
      </c>
      <c r="E1131" s="8" t="s">
        <v>58</v>
      </c>
      <c r="F1131" s="8" t="s">
        <v>259</v>
      </c>
      <c r="G1131" s="8" t="s">
        <v>60</v>
      </c>
      <c r="H1131" s="8" t="s">
        <v>780</v>
      </c>
      <c r="I1131" s="8" t="s">
        <v>4967</v>
      </c>
      <c r="J1131" s="10">
        <v>628</v>
      </c>
      <c r="K1131" s="11">
        <v>822.58</v>
      </c>
      <c r="L1131" s="11">
        <v>1175.32</v>
      </c>
      <c r="M1131" s="11">
        <v>738100.96</v>
      </c>
      <c r="N1131" s="11">
        <v>516580.24</v>
      </c>
      <c r="O1131" s="11">
        <f>CleanedData[[#This Row],[Total Sales ($)]]-CleanedData[[#This Row],[Total Cost ($)]]</f>
        <v>221520.71999999997</v>
      </c>
      <c r="P1131" s="12">
        <f>CleanedData[[#This Row],[Profit ($)]]/CleanedData[[#This Row],[Total Sales ($)]]</f>
        <v>0.30012251982438826</v>
      </c>
      <c r="Q1131" s="8" t="s">
        <v>42</v>
      </c>
      <c r="R1131" s="8" t="s">
        <v>32</v>
      </c>
      <c r="S1131" s="8" t="b">
        <f>_xlfn.SINGLE(CleanedData[[#This Row],[Delivery Status]])="Late"</f>
        <v>1</v>
      </c>
      <c r="T1131" s="10">
        <v>13</v>
      </c>
      <c r="U1131" s="8" t="s">
        <v>43</v>
      </c>
      <c r="V1131" s="10">
        <v>524</v>
      </c>
      <c r="W1131" s="10">
        <v>18</v>
      </c>
      <c r="X1131" s="12">
        <v>2.8662420382165599E-2</v>
      </c>
      <c r="Y1131" s="8" t="b">
        <f>CleanedData[[#This Row],[Ship Date]]&lt;CleanedData[[#This Row],[Order Date]]</f>
        <v>1</v>
      </c>
      <c r="Z1131" s="10">
        <f>YEAR(CleanedData[[#This Row],[Order Date]])</f>
        <v>2023</v>
      </c>
      <c r="AA1131" s="8">
        <f>MONTH(CleanedData[[#This Row],[Order Date]])</f>
        <v>11</v>
      </c>
    </row>
    <row r="1132" spans="1:27" x14ac:dyDescent="0.35">
      <c r="A1132" s="8" t="s">
        <v>3138</v>
      </c>
      <c r="B1132" s="9">
        <v>45306</v>
      </c>
      <c r="C1132" s="9">
        <v>45467</v>
      </c>
      <c r="D1132" s="8" t="s">
        <v>3140</v>
      </c>
      <c r="E1132" s="8" t="s">
        <v>68</v>
      </c>
      <c r="F1132" s="8" t="s">
        <v>249</v>
      </c>
      <c r="G1132" s="8" t="s">
        <v>39</v>
      </c>
      <c r="H1132" s="8" t="s">
        <v>147</v>
      </c>
      <c r="I1132" s="8" t="s">
        <v>4971</v>
      </c>
      <c r="J1132" s="10">
        <v>147</v>
      </c>
      <c r="K1132" s="11">
        <v>452.9</v>
      </c>
      <c r="L1132" s="11">
        <v>668.87</v>
      </c>
      <c r="M1132" s="11">
        <v>98323.89</v>
      </c>
      <c r="N1132" s="11">
        <v>66576.3</v>
      </c>
      <c r="O1132" s="11">
        <f>CleanedData[[#This Row],[Total Sales ($)]]-CleanedData[[#This Row],[Total Cost ($)]]</f>
        <v>31747.589999999997</v>
      </c>
      <c r="P1132" s="12">
        <f>CleanedData[[#This Row],[Profit ($)]]/CleanedData[[#This Row],[Total Sales ($)]]</f>
        <v>0.3228878556371193</v>
      </c>
      <c r="Q1132" s="8" t="s">
        <v>42</v>
      </c>
      <c r="R1132" s="8" t="s">
        <v>32</v>
      </c>
      <c r="S1132" s="8" t="b">
        <f>_xlfn.SINGLE(CleanedData[[#This Row],[Delivery Status]])="Late"</f>
        <v>1</v>
      </c>
      <c r="T1132" s="10">
        <v>13</v>
      </c>
      <c r="U1132" s="8" t="s">
        <v>53</v>
      </c>
      <c r="V1132" s="10">
        <v>1478</v>
      </c>
      <c r="W1132" s="10">
        <v>4</v>
      </c>
      <c r="X1132" s="12">
        <v>2.7210884353741398E-2</v>
      </c>
      <c r="Y1132" s="8" t="b">
        <f>CleanedData[[#This Row],[Ship Date]]&lt;CleanedData[[#This Row],[Order Date]]</f>
        <v>0</v>
      </c>
      <c r="Z1132" s="10">
        <f>YEAR(CleanedData[[#This Row],[Order Date]])</f>
        <v>2024</v>
      </c>
      <c r="AA1132" s="8">
        <f>MONTH(CleanedData[[#This Row],[Order Date]])</f>
        <v>1</v>
      </c>
    </row>
    <row r="1133" spans="1:27" x14ac:dyDescent="0.35">
      <c r="A1133" s="8" t="s">
        <v>3141</v>
      </c>
      <c r="B1133" s="9">
        <v>45209</v>
      </c>
      <c r="C1133" s="9">
        <v>45280</v>
      </c>
      <c r="D1133" s="8" t="s">
        <v>3142</v>
      </c>
      <c r="E1133" s="8" t="s">
        <v>100</v>
      </c>
      <c r="F1133" s="8" t="s">
        <v>538</v>
      </c>
      <c r="G1133" s="8" t="s">
        <v>28</v>
      </c>
      <c r="H1133" s="8" t="s">
        <v>507</v>
      </c>
      <c r="I1133" s="8" t="s">
        <v>4970</v>
      </c>
      <c r="J1133" s="10">
        <v>519</v>
      </c>
      <c r="K1133" s="11">
        <v>1192.76</v>
      </c>
      <c r="L1133" s="11">
        <v>1807.84</v>
      </c>
      <c r="M1133" s="11">
        <v>938268.96</v>
      </c>
      <c r="N1133" s="11">
        <v>619042.43999999994</v>
      </c>
      <c r="O1133" s="11">
        <f>CleanedData[[#This Row],[Total Sales ($)]]-CleanedData[[#This Row],[Total Cost ($)]]</f>
        <v>319226.52</v>
      </c>
      <c r="P1133" s="12">
        <f>CleanedData[[#This Row],[Profit ($)]]/CleanedData[[#This Row],[Total Sales ($)]]</f>
        <v>0.34022922382511728</v>
      </c>
      <c r="Q1133" s="8" t="s">
        <v>95</v>
      </c>
      <c r="R1133" s="8" t="s">
        <v>63</v>
      </c>
      <c r="S1133" s="8" t="b">
        <f>_xlfn.SINGLE(CleanedData[[#This Row],[Delivery Status]])="Late"</f>
        <v>0</v>
      </c>
      <c r="T1133" s="10">
        <v>2</v>
      </c>
      <c r="U1133" s="8" t="s">
        <v>112</v>
      </c>
      <c r="V1133" s="10">
        <v>2226</v>
      </c>
      <c r="W1133" s="10">
        <v>8</v>
      </c>
      <c r="X1133" s="12">
        <v>1.54142581888246E-2</v>
      </c>
      <c r="Y1133" s="8" t="b">
        <f>CleanedData[[#This Row],[Ship Date]]&lt;CleanedData[[#This Row],[Order Date]]</f>
        <v>0</v>
      </c>
      <c r="Z1133" s="10">
        <f>YEAR(CleanedData[[#This Row],[Order Date]])</f>
        <v>2023</v>
      </c>
      <c r="AA1133" s="8">
        <f>MONTH(CleanedData[[#This Row],[Order Date]])</f>
        <v>10</v>
      </c>
    </row>
    <row r="1134" spans="1:27" x14ac:dyDescent="0.35">
      <c r="A1134" s="8" t="s">
        <v>3143</v>
      </c>
      <c r="B1134" s="9">
        <v>45634</v>
      </c>
      <c r="C1134" s="9">
        <v>45402</v>
      </c>
      <c r="D1134" s="8" t="s">
        <v>3144</v>
      </c>
      <c r="E1134" s="8" t="s">
        <v>26</v>
      </c>
      <c r="F1134" s="8" t="s">
        <v>38</v>
      </c>
      <c r="G1134" s="8" t="s">
        <v>189</v>
      </c>
      <c r="H1134" s="8" t="s">
        <v>561</v>
      </c>
      <c r="I1134" s="8" t="s">
        <v>4974</v>
      </c>
      <c r="J1134" s="10">
        <v>368</v>
      </c>
      <c r="K1134" s="11">
        <v>772.57</v>
      </c>
      <c r="L1134" s="11">
        <v>1139.4000000000001</v>
      </c>
      <c r="M1134" s="11">
        <v>419299.2</v>
      </c>
      <c r="N1134" s="11">
        <v>284305.76</v>
      </c>
      <c r="O1134" s="11">
        <f>CleanedData[[#This Row],[Total Sales ($)]]-CleanedData[[#This Row],[Total Cost ($)]]</f>
        <v>134993.44</v>
      </c>
      <c r="P1134" s="12">
        <f>CleanedData[[#This Row],[Profit ($)]]/CleanedData[[#This Row],[Total Sales ($)]]</f>
        <v>0.32195014920133402</v>
      </c>
      <c r="Q1134" s="8" t="s">
        <v>95</v>
      </c>
      <c r="R1134" s="8" t="s">
        <v>32</v>
      </c>
      <c r="S1134" s="8" t="b">
        <f>_xlfn.SINGLE(CleanedData[[#This Row],[Delivery Status]])="Late"</f>
        <v>1</v>
      </c>
      <c r="T1134" s="10">
        <v>14</v>
      </c>
      <c r="U1134" s="8" t="s">
        <v>86</v>
      </c>
      <c r="V1134" s="10">
        <v>438</v>
      </c>
      <c r="W1134" s="10">
        <v>10</v>
      </c>
      <c r="X1134" s="12">
        <v>2.7173913043478201E-2</v>
      </c>
      <c r="Y1134" s="8" t="b">
        <f>CleanedData[[#This Row],[Ship Date]]&lt;CleanedData[[#This Row],[Order Date]]</f>
        <v>1</v>
      </c>
      <c r="Z1134" s="10">
        <f>YEAR(CleanedData[[#This Row],[Order Date]])</f>
        <v>2024</v>
      </c>
      <c r="AA1134" s="8">
        <f>MONTH(CleanedData[[#This Row],[Order Date]])</f>
        <v>12</v>
      </c>
    </row>
    <row r="1135" spans="1:27" x14ac:dyDescent="0.35">
      <c r="A1135" s="8" t="s">
        <v>3145</v>
      </c>
      <c r="B1135" s="9">
        <v>44977</v>
      </c>
      <c r="C1135" s="9">
        <v>45455</v>
      </c>
      <c r="D1135" s="8" t="s">
        <v>3147</v>
      </c>
      <c r="E1135" s="8" t="s">
        <v>100</v>
      </c>
      <c r="F1135" s="8" t="s">
        <v>101</v>
      </c>
      <c r="G1135" s="8" t="s">
        <v>78</v>
      </c>
      <c r="H1135" s="8" t="s">
        <v>481</v>
      </c>
      <c r="I1135" s="8" t="s">
        <v>4977</v>
      </c>
      <c r="J1135" s="10">
        <v>385</v>
      </c>
      <c r="K1135" s="11">
        <v>1014.16</v>
      </c>
      <c r="L1135" s="11">
        <v>1442.14</v>
      </c>
      <c r="M1135" s="11">
        <v>555223.9</v>
      </c>
      <c r="N1135" s="11">
        <v>390451.6</v>
      </c>
      <c r="O1135" s="11">
        <f>CleanedData[[#This Row],[Total Sales ($)]]-CleanedData[[#This Row],[Total Cost ($)]]</f>
        <v>164772.30000000005</v>
      </c>
      <c r="P1135" s="12">
        <f>CleanedData[[#This Row],[Profit ($)]]/CleanedData[[#This Row],[Total Sales ($)]]</f>
        <v>0.29676730414522867</v>
      </c>
      <c r="Q1135" s="8" t="s">
        <v>31</v>
      </c>
      <c r="R1135" s="8" t="s">
        <v>32</v>
      </c>
      <c r="S1135" s="8" t="b">
        <f>_xlfn.SINGLE(CleanedData[[#This Row],[Delivery Status]])="Late"</f>
        <v>1</v>
      </c>
      <c r="T1135" s="10">
        <v>9</v>
      </c>
      <c r="U1135" s="8" t="s">
        <v>112</v>
      </c>
      <c r="V1135" s="10">
        <v>4953</v>
      </c>
      <c r="W1135" s="10">
        <v>12</v>
      </c>
      <c r="X1135" s="12">
        <v>3.1168831168831099E-2</v>
      </c>
      <c r="Y1135" s="8" t="b">
        <f>CleanedData[[#This Row],[Ship Date]]&lt;CleanedData[[#This Row],[Order Date]]</f>
        <v>0</v>
      </c>
      <c r="Z1135" s="10">
        <f>YEAR(CleanedData[[#This Row],[Order Date]])</f>
        <v>2023</v>
      </c>
      <c r="AA1135" s="8">
        <f>MONTH(CleanedData[[#This Row],[Order Date]])</f>
        <v>2</v>
      </c>
    </row>
    <row r="1136" spans="1:27" x14ac:dyDescent="0.35">
      <c r="A1136" s="8" t="s">
        <v>3148</v>
      </c>
      <c r="B1136" s="9">
        <v>45281</v>
      </c>
      <c r="C1136" s="9">
        <v>45212</v>
      </c>
      <c r="D1136" s="8" t="s">
        <v>3149</v>
      </c>
      <c r="E1136" s="8" t="s">
        <v>58</v>
      </c>
      <c r="F1136" s="8" t="s">
        <v>1719</v>
      </c>
      <c r="G1136" s="8" t="s">
        <v>28</v>
      </c>
      <c r="H1136" s="8" t="s">
        <v>111</v>
      </c>
      <c r="I1136" s="8" t="s">
        <v>4968</v>
      </c>
      <c r="J1136" s="10">
        <v>201</v>
      </c>
      <c r="K1136" s="11">
        <v>226.15</v>
      </c>
      <c r="L1136" s="11">
        <v>281.69</v>
      </c>
      <c r="M1136" s="11">
        <v>56619.69</v>
      </c>
      <c r="N1136" s="11">
        <v>45456.15</v>
      </c>
      <c r="O1136" s="11">
        <f>CleanedData[[#This Row],[Total Sales ($)]]-CleanedData[[#This Row],[Total Cost ($)]]</f>
        <v>11163.54</v>
      </c>
      <c r="P1136" s="12">
        <f>CleanedData[[#This Row],[Profit ($)]]/CleanedData[[#This Row],[Total Sales ($)]]</f>
        <v>0.19716709858354931</v>
      </c>
      <c r="Q1136" s="8" t="s">
        <v>52</v>
      </c>
      <c r="R1136" s="8" t="s">
        <v>32</v>
      </c>
      <c r="S1136" s="8" t="b">
        <f>_xlfn.SINGLE(CleanedData[[#This Row],[Delivery Status]])="Late"</f>
        <v>1</v>
      </c>
      <c r="T1136" s="10">
        <v>14</v>
      </c>
      <c r="U1136" s="8" t="s">
        <v>53</v>
      </c>
      <c r="V1136" s="10">
        <v>1163</v>
      </c>
      <c r="W1136" s="10">
        <v>5</v>
      </c>
      <c r="X1136" s="12">
        <v>2.4875621890547199E-2</v>
      </c>
      <c r="Y1136" s="8" t="b">
        <f>CleanedData[[#This Row],[Ship Date]]&lt;CleanedData[[#This Row],[Order Date]]</f>
        <v>1</v>
      </c>
      <c r="Z1136" s="10">
        <f>YEAR(CleanedData[[#This Row],[Order Date]])</f>
        <v>2023</v>
      </c>
      <c r="AA1136" s="8">
        <f>MONTH(CleanedData[[#This Row],[Order Date]])</f>
        <v>12</v>
      </c>
    </row>
    <row r="1137" spans="1:27" x14ac:dyDescent="0.35">
      <c r="A1137" s="8" t="s">
        <v>3150</v>
      </c>
      <c r="B1137" s="9">
        <v>45120</v>
      </c>
      <c r="C1137" s="9">
        <v>45551</v>
      </c>
      <c r="D1137" s="8" t="s">
        <v>3152</v>
      </c>
      <c r="E1137" s="8" t="s">
        <v>48</v>
      </c>
      <c r="F1137" s="8" t="s">
        <v>281</v>
      </c>
      <c r="G1137" s="8" t="s">
        <v>93</v>
      </c>
      <c r="H1137" s="8" t="s">
        <v>485</v>
      </c>
      <c r="I1137" s="8" t="s">
        <v>4971</v>
      </c>
      <c r="J1137" s="10">
        <v>215</v>
      </c>
      <c r="K1137" s="11">
        <v>209.86</v>
      </c>
      <c r="L1137" s="11">
        <v>333.27</v>
      </c>
      <c r="M1137" s="11">
        <v>71653.05</v>
      </c>
      <c r="N1137" s="11">
        <v>45119.9</v>
      </c>
      <c r="O1137" s="11">
        <f>CleanedData[[#This Row],[Total Sales ($)]]-CleanedData[[#This Row],[Total Cost ($)]]</f>
        <v>26533.15</v>
      </c>
      <c r="P1137" s="12">
        <f>CleanedData[[#This Row],[Profit ($)]]/CleanedData[[#This Row],[Total Sales ($)]]</f>
        <v>0.37030035706784292</v>
      </c>
      <c r="Q1137" s="8" t="s">
        <v>95</v>
      </c>
      <c r="R1137" s="8" t="s">
        <v>32</v>
      </c>
      <c r="S1137" s="8" t="b">
        <f>_xlfn.SINGLE(CleanedData[[#This Row],[Delivery Status]])="Late"</f>
        <v>1</v>
      </c>
      <c r="T1137" s="10">
        <v>15</v>
      </c>
      <c r="U1137" s="8" t="s">
        <v>158</v>
      </c>
      <c r="V1137" s="10">
        <v>2829</v>
      </c>
      <c r="W1137" s="10">
        <v>10</v>
      </c>
      <c r="X1137" s="12">
        <v>4.6511627906976702E-2</v>
      </c>
      <c r="Y1137" s="8" t="b">
        <f>CleanedData[[#This Row],[Ship Date]]&lt;CleanedData[[#This Row],[Order Date]]</f>
        <v>0</v>
      </c>
      <c r="Z1137" s="10">
        <f>YEAR(CleanedData[[#This Row],[Order Date]])</f>
        <v>2023</v>
      </c>
      <c r="AA1137" s="8">
        <f>MONTH(CleanedData[[#This Row],[Order Date]])</f>
        <v>7</v>
      </c>
    </row>
    <row r="1138" spans="1:27" x14ac:dyDescent="0.35">
      <c r="A1138" s="8" t="s">
        <v>3153</v>
      </c>
      <c r="B1138" s="9">
        <v>44974</v>
      </c>
      <c r="C1138" s="9">
        <v>45212</v>
      </c>
      <c r="D1138" s="8" t="s">
        <v>4972</v>
      </c>
      <c r="E1138" s="8" t="s">
        <v>100</v>
      </c>
      <c r="F1138" s="8" t="s">
        <v>538</v>
      </c>
      <c r="G1138" s="8" t="s">
        <v>28</v>
      </c>
      <c r="H1138" s="8" t="s">
        <v>714</v>
      </c>
      <c r="I1138" s="8" t="s">
        <v>4976</v>
      </c>
      <c r="J1138" s="10">
        <v>307</v>
      </c>
      <c r="K1138" s="11">
        <v>990.22</v>
      </c>
      <c r="L1138" s="11">
        <v>1512.52</v>
      </c>
      <c r="M1138" s="11">
        <v>464343.64</v>
      </c>
      <c r="N1138" s="11">
        <v>303997.53999999998</v>
      </c>
      <c r="O1138" s="11">
        <f>CleanedData[[#This Row],[Total Sales ($)]]-CleanedData[[#This Row],[Total Cost ($)]]</f>
        <v>160346.10000000003</v>
      </c>
      <c r="P1138" s="12">
        <f>CleanedData[[#This Row],[Profit ($)]]/CleanedData[[#This Row],[Total Sales ($)]]</f>
        <v>0.3453177478644911</v>
      </c>
      <c r="Q1138" s="8" t="s">
        <v>31</v>
      </c>
      <c r="R1138" s="8" t="s">
        <v>63</v>
      </c>
      <c r="S1138" s="8" t="b">
        <f>_xlfn.SINGLE(CleanedData[[#This Row],[Delivery Status]])="Late"</f>
        <v>0</v>
      </c>
      <c r="T1138" s="10">
        <v>1</v>
      </c>
      <c r="U1138" s="8" t="s">
        <v>112</v>
      </c>
      <c r="V1138" s="10">
        <v>4624</v>
      </c>
      <c r="W1138" s="10">
        <v>10</v>
      </c>
      <c r="X1138" s="12">
        <v>3.2573289902280103E-2</v>
      </c>
      <c r="Y1138" s="8" t="b">
        <f>CleanedData[[#This Row],[Ship Date]]&lt;CleanedData[[#This Row],[Order Date]]</f>
        <v>0</v>
      </c>
      <c r="Z1138" s="10">
        <f>YEAR(CleanedData[[#This Row],[Order Date]])</f>
        <v>2023</v>
      </c>
      <c r="AA1138" s="8">
        <f>MONTH(CleanedData[[#This Row],[Order Date]])</f>
        <v>2</v>
      </c>
    </row>
    <row r="1139" spans="1:27" x14ac:dyDescent="0.35">
      <c r="A1139" s="8" t="s">
        <v>3154</v>
      </c>
      <c r="B1139" s="9">
        <v>45222</v>
      </c>
      <c r="C1139" s="9">
        <v>45278</v>
      </c>
      <c r="D1139" s="8" t="s">
        <v>3155</v>
      </c>
      <c r="E1139" s="8" t="s">
        <v>26</v>
      </c>
      <c r="F1139" s="8" t="s">
        <v>27</v>
      </c>
      <c r="G1139" s="8" t="s">
        <v>39</v>
      </c>
      <c r="H1139" s="8" t="s">
        <v>40</v>
      </c>
      <c r="I1139" s="8" t="s">
        <v>4968</v>
      </c>
      <c r="J1139" s="10">
        <v>789</v>
      </c>
      <c r="K1139" s="11">
        <v>230.96</v>
      </c>
      <c r="L1139" s="11">
        <v>301.92</v>
      </c>
      <c r="M1139" s="11">
        <v>238214.88</v>
      </c>
      <c r="N1139" s="11">
        <v>182227.44</v>
      </c>
      <c r="O1139" s="11">
        <f>CleanedData[[#This Row],[Total Sales ($)]]-CleanedData[[#This Row],[Total Cost ($)]]</f>
        <v>55987.44</v>
      </c>
      <c r="P1139" s="12">
        <f>CleanedData[[#This Row],[Profit ($)]]/CleanedData[[#This Row],[Total Sales ($)]]</f>
        <v>0.23502914679385267</v>
      </c>
      <c r="Q1139" s="8" t="s">
        <v>42</v>
      </c>
      <c r="R1139" s="8" t="s">
        <v>32</v>
      </c>
      <c r="S1139" s="8" t="b">
        <f>_xlfn.SINGLE(CleanedData[[#This Row],[Delivery Status]])="Late"</f>
        <v>1</v>
      </c>
      <c r="T1139" s="10">
        <v>13</v>
      </c>
      <c r="U1139" s="8" t="s">
        <v>112</v>
      </c>
      <c r="V1139" s="10">
        <v>2435</v>
      </c>
      <c r="W1139" s="10">
        <v>19</v>
      </c>
      <c r="X1139" s="12">
        <v>2.4081115335868101E-2</v>
      </c>
      <c r="Y1139" s="8" t="b">
        <f>CleanedData[[#This Row],[Ship Date]]&lt;CleanedData[[#This Row],[Order Date]]</f>
        <v>0</v>
      </c>
      <c r="Z1139" s="10">
        <f>YEAR(CleanedData[[#This Row],[Order Date]])</f>
        <v>2023</v>
      </c>
      <c r="AA1139" s="8">
        <f>MONTH(CleanedData[[#This Row],[Order Date]])</f>
        <v>10</v>
      </c>
    </row>
    <row r="1140" spans="1:27" x14ac:dyDescent="0.35">
      <c r="A1140" s="8" t="s">
        <v>3156</v>
      </c>
      <c r="B1140" s="9">
        <v>45263</v>
      </c>
      <c r="C1140" s="9">
        <v>45241</v>
      </c>
      <c r="D1140" s="8" t="s">
        <v>3157</v>
      </c>
      <c r="E1140" s="8" t="s">
        <v>100</v>
      </c>
      <c r="F1140" s="8" t="s">
        <v>330</v>
      </c>
      <c r="G1140" s="8" t="s">
        <v>217</v>
      </c>
      <c r="H1140" s="8" t="s">
        <v>684</v>
      </c>
      <c r="I1140" s="8" t="s">
        <v>4975</v>
      </c>
      <c r="J1140" s="10">
        <v>338</v>
      </c>
      <c r="K1140" s="11">
        <v>772.07</v>
      </c>
      <c r="L1140" s="11">
        <v>878.15</v>
      </c>
      <c r="M1140" s="11">
        <v>296814.7</v>
      </c>
      <c r="N1140" s="11">
        <v>260959.66</v>
      </c>
      <c r="O1140" s="11">
        <f>CleanedData[[#This Row],[Total Sales ($)]]-CleanedData[[#This Row],[Total Cost ($)]]</f>
        <v>35855.040000000008</v>
      </c>
      <c r="P1140" s="12">
        <f>CleanedData[[#This Row],[Profit ($)]]/CleanedData[[#This Row],[Total Sales ($)]]</f>
        <v>0.12079940784604</v>
      </c>
      <c r="Q1140" s="8" t="s">
        <v>52</v>
      </c>
      <c r="R1140" s="8" t="s">
        <v>32</v>
      </c>
      <c r="S1140" s="8" t="b">
        <f>_xlfn.SINGLE(CleanedData[[#This Row],[Delivery Status]])="Late"</f>
        <v>1</v>
      </c>
      <c r="T1140" s="10">
        <v>10</v>
      </c>
      <c r="U1140" s="8" t="s">
        <v>53</v>
      </c>
      <c r="V1140" s="10">
        <v>2060</v>
      </c>
      <c r="W1140" s="10">
        <v>15</v>
      </c>
      <c r="X1140" s="12">
        <v>4.4378698224851999E-2</v>
      </c>
      <c r="Y1140" s="8" t="b">
        <f>CleanedData[[#This Row],[Ship Date]]&lt;CleanedData[[#This Row],[Order Date]]</f>
        <v>1</v>
      </c>
      <c r="Z1140" s="10">
        <f>YEAR(CleanedData[[#This Row],[Order Date]])</f>
        <v>2023</v>
      </c>
      <c r="AA1140" s="8">
        <f>MONTH(CleanedData[[#This Row],[Order Date]])</f>
        <v>12</v>
      </c>
    </row>
    <row r="1141" spans="1:27" x14ac:dyDescent="0.35">
      <c r="A1141" s="8" t="s">
        <v>490</v>
      </c>
      <c r="B1141" s="9">
        <v>45482</v>
      </c>
      <c r="C1141" s="9">
        <v>45188</v>
      </c>
      <c r="D1141" s="8" t="s">
        <v>4972</v>
      </c>
      <c r="E1141" s="8" t="s">
        <v>68</v>
      </c>
      <c r="F1141" s="8" t="s">
        <v>249</v>
      </c>
      <c r="G1141" s="8" t="s">
        <v>217</v>
      </c>
      <c r="H1141" s="8" t="s">
        <v>494</v>
      </c>
      <c r="I1141" s="8" t="s">
        <v>4975</v>
      </c>
      <c r="J1141" s="10">
        <v>204</v>
      </c>
      <c r="K1141" s="11">
        <v>884.64</v>
      </c>
      <c r="L1141" s="11">
        <v>1411.28</v>
      </c>
      <c r="M1141" s="11">
        <v>287901.12</v>
      </c>
      <c r="N1141" s="11">
        <v>180466.56</v>
      </c>
      <c r="O1141" s="11">
        <f>CleanedData[[#This Row],[Total Sales ($)]]-CleanedData[[#This Row],[Total Cost ($)]]</f>
        <v>107434.56</v>
      </c>
      <c r="P1141" s="12">
        <f>CleanedData[[#This Row],[Profit ($)]]/CleanedData[[#This Row],[Total Sales ($)]]</f>
        <v>0.37316478657672469</v>
      </c>
      <c r="Q1141" s="8" t="s">
        <v>52</v>
      </c>
      <c r="R1141" s="8" t="s">
        <v>32</v>
      </c>
      <c r="S1141" s="8" t="b">
        <f>_xlfn.SINGLE(CleanedData[[#This Row],[Delivery Status]])="Late"</f>
        <v>1</v>
      </c>
      <c r="T1141" s="10">
        <v>12</v>
      </c>
      <c r="U1141" s="8" t="s">
        <v>86</v>
      </c>
      <c r="V1141" s="10">
        <v>2052</v>
      </c>
      <c r="W1141" s="10">
        <v>9</v>
      </c>
      <c r="X1141" s="12">
        <v>4.4117647058823498E-2</v>
      </c>
      <c r="Y1141" s="8" t="b">
        <f>CleanedData[[#This Row],[Ship Date]]&lt;CleanedData[[#This Row],[Order Date]]</f>
        <v>1</v>
      </c>
      <c r="Z1141" s="10">
        <f>YEAR(CleanedData[[#This Row],[Order Date]])</f>
        <v>2024</v>
      </c>
      <c r="AA1141" s="8">
        <f>MONTH(CleanedData[[#This Row],[Order Date]])</f>
        <v>7</v>
      </c>
    </row>
    <row r="1142" spans="1:27" x14ac:dyDescent="0.35">
      <c r="A1142" s="8" t="s">
        <v>3159</v>
      </c>
      <c r="B1142" s="9">
        <v>45313</v>
      </c>
      <c r="C1142" s="9">
        <v>45637</v>
      </c>
      <c r="D1142" s="8" t="s">
        <v>3160</v>
      </c>
      <c r="E1142" s="8" t="s">
        <v>58</v>
      </c>
      <c r="F1142" s="8" t="s">
        <v>259</v>
      </c>
      <c r="G1142" s="8" t="s">
        <v>78</v>
      </c>
      <c r="H1142" s="8" t="s">
        <v>123</v>
      </c>
      <c r="I1142" s="8" t="s">
        <v>4967</v>
      </c>
      <c r="J1142" s="10">
        <v>480</v>
      </c>
      <c r="K1142" s="11">
        <v>1132.99</v>
      </c>
      <c r="L1142" s="11">
        <v>1721.5</v>
      </c>
      <c r="M1142" s="11">
        <v>826320</v>
      </c>
      <c r="N1142" s="11">
        <v>543835.19999999995</v>
      </c>
      <c r="O1142" s="11">
        <f>CleanedData[[#This Row],[Total Sales ($)]]-CleanedData[[#This Row],[Total Cost ($)]]</f>
        <v>282484.80000000005</v>
      </c>
      <c r="P1142" s="12">
        <f>CleanedData[[#This Row],[Profit ($)]]/CleanedData[[#This Row],[Total Sales ($)]]</f>
        <v>0.34185884403136807</v>
      </c>
      <c r="Q1142" s="8" t="s">
        <v>42</v>
      </c>
      <c r="R1142" s="8" t="s">
        <v>32</v>
      </c>
      <c r="S1142" s="8" t="b">
        <f>_xlfn.SINGLE(CleanedData[[#This Row],[Delivery Status]])="Late"</f>
        <v>1</v>
      </c>
      <c r="T1142" s="10">
        <v>9</v>
      </c>
      <c r="U1142" s="8" t="s">
        <v>86</v>
      </c>
      <c r="V1142" s="10">
        <v>1540</v>
      </c>
      <c r="W1142" s="10">
        <v>4</v>
      </c>
      <c r="X1142" s="12">
        <v>8.3333333333333003E-3</v>
      </c>
      <c r="Y1142" s="8" t="b">
        <f>CleanedData[[#This Row],[Ship Date]]&lt;CleanedData[[#This Row],[Order Date]]</f>
        <v>0</v>
      </c>
      <c r="Z1142" s="10">
        <f>YEAR(CleanedData[[#This Row],[Order Date]])</f>
        <v>2024</v>
      </c>
      <c r="AA1142" s="8">
        <f>MONTH(CleanedData[[#This Row],[Order Date]])</f>
        <v>1</v>
      </c>
    </row>
    <row r="1143" spans="1:27" x14ac:dyDescent="0.35">
      <c r="A1143" s="8" t="s">
        <v>3161</v>
      </c>
      <c r="B1143" s="9">
        <v>45160</v>
      </c>
      <c r="C1143" s="9">
        <v>44985</v>
      </c>
      <c r="D1143" s="8" t="s">
        <v>3162</v>
      </c>
      <c r="E1143" s="8" t="s">
        <v>68</v>
      </c>
      <c r="F1143" s="8" t="s">
        <v>249</v>
      </c>
      <c r="G1143" s="8" t="s">
        <v>50</v>
      </c>
      <c r="H1143" s="8" t="s">
        <v>734</v>
      </c>
      <c r="I1143" s="8" t="s">
        <v>4979</v>
      </c>
      <c r="J1143" s="10">
        <v>371</v>
      </c>
      <c r="K1143" s="11">
        <v>1164.97</v>
      </c>
      <c r="L1143" s="11">
        <v>1331.15</v>
      </c>
      <c r="M1143" s="11">
        <v>493856.65</v>
      </c>
      <c r="N1143" s="11">
        <v>432203.87</v>
      </c>
      <c r="O1143" s="11">
        <f>CleanedData[[#This Row],[Total Sales ($)]]-CleanedData[[#This Row],[Total Cost ($)]]</f>
        <v>61652.780000000028</v>
      </c>
      <c r="P1143" s="12">
        <f>CleanedData[[#This Row],[Profit ($)]]/CleanedData[[#This Row],[Total Sales ($)]]</f>
        <v>0.12483942455771331</v>
      </c>
      <c r="Q1143" s="8" t="s">
        <v>52</v>
      </c>
      <c r="R1143" s="8" t="s">
        <v>32</v>
      </c>
      <c r="S1143" s="8" t="b">
        <f>_xlfn.SINGLE(CleanedData[[#This Row],[Delivery Status]])="Late"</f>
        <v>1</v>
      </c>
      <c r="T1143" s="10">
        <v>8</v>
      </c>
      <c r="U1143" s="8" t="s">
        <v>112</v>
      </c>
      <c r="V1143" s="10">
        <v>613</v>
      </c>
      <c r="W1143" s="10">
        <v>4</v>
      </c>
      <c r="X1143" s="12">
        <v>1.07816711590296E-2</v>
      </c>
      <c r="Y1143" s="8" t="b">
        <f>CleanedData[[#This Row],[Ship Date]]&lt;CleanedData[[#This Row],[Order Date]]</f>
        <v>1</v>
      </c>
      <c r="Z1143" s="10">
        <f>YEAR(CleanedData[[#This Row],[Order Date]])</f>
        <v>2023</v>
      </c>
      <c r="AA1143" s="8">
        <f>MONTH(CleanedData[[#This Row],[Order Date]])</f>
        <v>8</v>
      </c>
    </row>
    <row r="1144" spans="1:27" x14ac:dyDescent="0.35">
      <c r="A1144" s="8" t="s">
        <v>3163</v>
      </c>
      <c r="B1144" s="9">
        <v>45206</v>
      </c>
      <c r="C1144" s="9">
        <v>45130</v>
      </c>
      <c r="D1144" s="8" t="s">
        <v>3165</v>
      </c>
      <c r="E1144" s="8" t="s">
        <v>100</v>
      </c>
      <c r="F1144" s="8" t="s">
        <v>238</v>
      </c>
      <c r="G1144" s="8" t="s">
        <v>78</v>
      </c>
      <c r="H1144" s="8" t="s">
        <v>123</v>
      </c>
      <c r="I1144" s="8" t="s">
        <v>4976</v>
      </c>
      <c r="J1144" s="10">
        <v>658</v>
      </c>
      <c r="K1144" s="11">
        <v>874.92</v>
      </c>
      <c r="L1144" s="11">
        <v>999.12</v>
      </c>
      <c r="M1144" s="11">
        <v>657420.96</v>
      </c>
      <c r="N1144" s="11">
        <v>575697.36</v>
      </c>
      <c r="O1144" s="11">
        <f>CleanedData[[#This Row],[Total Sales ($)]]-CleanedData[[#This Row],[Total Cost ($)]]</f>
        <v>81723.599999999977</v>
      </c>
      <c r="P1144" s="12">
        <f>CleanedData[[#This Row],[Profit ($)]]/CleanedData[[#This Row],[Total Sales ($)]]</f>
        <v>0.12430939226519334</v>
      </c>
      <c r="Q1144" s="8" t="s">
        <v>31</v>
      </c>
      <c r="R1144" s="8" t="s">
        <v>32</v>
      </c>
      <c r="S1144" s="8" t="b">
        <f>_xlfn.SINGLE(CleanedData[[#This Row],[Delivery Status]])="Late"</f>
        <v>1</v>
      </c>
      <c r="T1144" s="10">
        <v>11</v>
      </c>
      <c r="U1144" s="8" t="s">
        <v>33</v>
      </c>
      <c r="V1144" s="10">
        <v>2751</v>
      </c>
      <c r="W1144" s="10">
        <v>16</v>
      </c>
      <c r="X1144" s="12">
        <v>2.4316109422492401E-2</v>
      </c>
      <c r="Y1144" s="8" t="b">
        <f>CleanedData[[#This Row],[Ship Date]]&lt;CleanedData[[#This Row],[Order Date]]</f>
        <v>1</v>
      </c>
      <c r="Z1144" s="10">
        <f>YEAR(CleanedData[[#This Row],[Order Date]])</f>
        <v>2023</v>
      </c>
      <c r="AA1144" s="8">
        <f>MONTH(CleanedData[[#This Row],[Order Date]])</f>
        <v>10</v>
      </c>
    </row>
    <row r="1145" spans="1:27" x14ac:dyDescent="0.35">
      <c r="A1145" s="8" t="s">
        <v>3166</v>
      </c>
      <c r="B1145" s="9">
        <v>45032</v>
      </c>
      <c r="C1145" s="9">
        <v>45072</v>
      </c>
      <c r="D1145" s="8" t="s">
        <v>4972</v>
      </c>
      <c r="E1145" s="8" t="s">
        <v>58</v>
      </c>
      <c r="F1145" s="8" t="s">
        <v>59</v>
      </c>
      <c r="G1145" s="8" t="s">
        <v>78</v>
      </c>
      <c r="H1145" s="8" t="s">
        <v>572</v>
      </c>
      <c r="I1145" s="8" t="s">
        <v>4975</v>
      </c>
      <c r="J1145" s="10">
        <v>402</v>
      </c>
      <c r="K1145" s="11">
        <v>636.88</v>
      </c>
      <c r="L1145" s="11">
        <v>965.33</v>
      </c>
      <c r="M1145" s="11">
        <v>388062.66</v>
      </c>
      <c r="N1145" s="11">
        <v>256025.76</v>
      </c>
      <c r="O1145" s="11">
        <f>CleanedData[[#This Row],[Total Sales ($)]]-CleanedData[[#This Row],[Total Cost ($)]]</f>
        <v>132036.89999999997</v>
      </c>
      <c r="P1145" s="12">
        <f>CleanedData[[#This Row],[Profit ($)]]/CleanedData[[#This Row],[Total Sales ($)]]</f>
        <v>0.34024634062962916</v>
      </c>
      <c r="Q1145" s="8" t="s">
        <v>95</v>
      </c>
      <c r="R1145" s="8" t="s">
        <v>32</v>
      </c>
      <c r="S1145" s="8" t="b">
        <f>_xlfn.SINGLE(CleanedData[[#This Row],[Delivery Status]])="Late"</f>
        <v>1</v>
      </c>
      <c r="T1145" s="10">
        <v>1</v>
      </c>
      <c r="U1145" s="8" t="s">
        <v>33</v>
      </c>
      <c r="V1145" s="10">
        <v>4962</v>
      </c>
      <c r="W1145" s="10">
        <v>7</v>
      </c>
      <c r="X1145" s="12">
        <v>1.7412935323382998E-2</v>
      </c>
      <c r="Y1145" s="8" t="b">
        <f>CleanedData[[#This Row],[Ship Date]]&lt;CleanedData[[#This Row],[Order Date]]</f>
        <v>0</v>
      </c>
      <c r="Z1145" s="10">
        <f>YEAR(CleanedData[[#This Row],[Order Date]])</f>
        <v>2023</v>
      </c>
      <c r="AA1145" s="8">
        <f>MONTH(CleanedData[[#This Row],[Order Date]])</f>
        <v>4</v>
      </c>
    </row>
    <row r="1146" spans="1:27" x14ac:dyDescent="0.35">
      <c r="A1146" s="8" t="s">
        <v>3167</v>
      </c>
      <c r="B1146" s="9">
        <v>44962</v>
      </c>
      <c r="C1146" s="9">
        <v>44960</v>
      </c>
      <c r="D1146" s="8" t="s">
        <v>3168</v>
      </c>
      <c r="E1146" s="8" t="s">
        <v>48</v>
      </c>
      <c r="F1146" s="8" t="s">
        <v>49</v>
      </c>
      <c r="G1146" s="8" t="s">
        <v>78</v>
      </c>
      <c r="H1146" s="8" t="s">
        <v>178</v>
      </c>
      <c r="I1146" s="8" t="s">
        <v>4967</v>
      </c>
      <c r="J1146" s="10"/>
      <c r="K1146" s="11">
        <v>652.96</v>
      </c>
      <c r="L1146" s="11">
        <v>853.77</v>
      </c>
      <c r="M1146" s="11">
        <v>239055.6</v>
      </c>
      <c r="N1146" s="11">
        <v>182828.79999999999</v>
      </c>
      <c r="O1146" s="11">
        <f>CleanedData[[#This Row],[Total Sales ($)]]-CleanedData[[#This Row],[Total Cost ($)]]</f>
        <v>56226.800000000017</v>
      </c>
      <c r="P1146" s="12">
        <f>CleanedData[[#This Row],[Profit ($)]]/CleanedData[[#This Row],[Total Sales ($)]]</f>
        <v>0.23520386052449729</v>
      </c>
      <c r="Q1146" s="8" t="s">
        <v>31</v>
      </c>
      <c r="R1146" s="8" t="s">
        <v>63</v>
      </c>
      <c r="S1146" s="8" t="b">
        <f>_xlfn.SINGLE(CleanedData[[#This Row],[Delivery Status]])="Late"</f>
        <v>0</v>
      </c>
      <c r="T1146" s="10">
        <v>1</v>
      </c>
      <c r="U1146" s="8" t="s">
        <v>43</v>
      </c>
      <c r="V1146" s="10">
        <v>3797</v>
      </c>
      <c r="W1146" s="10">
        <v>5</v>
      </c>
      <c r="X1146" s="12"/>
      <c r="Y1146" s="8" t="b">
        <f>CleanedData[[#This Row],[Ship Date]]&lt;CleanedData[[#This Row],[Order Date]]</f>
        <v>1</v>
      </c>
      <c r="Z1146" s="10">
        <f>YEAR(CleanedData[[#This Row],[Order Date]])</f>
        <v>2023</v>
      </c>
      <c r="AA1146" s="8">
        <f>MONTH(CleanedData[[#This Row],[Order Date]])</f>
        <v>2</v>
      </c>
    </row>
    <row r="1147" spans="1:27" x14ac:dyDescent="0.35">
      <c r="A1147" s="8" t="s">
        <v>3169</v>
      </c>
      <c r="B1147" s="9">
        <v>45345</v>
      </c>
      <c r="C1147" s="9">
        <v>45364</v>
      </c>
      <c r="D1147" s="8" t="s">
        <v>3171</v>
      </c>
      <c r="E1147" s="8" t="s">
        <v>58</v>
      </c>
      <c r="F1147" s="8" t="s">
        <v>417</v>
      </c>
      <c r="G1147" s="8" t="s">
        <v>28</v>
      </c>
      <c r="H1147" s="8" t="s">
        <v>579</v>
      </c>
      <c r="I1147" s="8" t="s">
        <v>4975</v>
      </c>
      <c r="J1147" s="10">
        <v>764</v>
      </c>
      <c r="K1147" s="11">
        <v>0</v>
      </c>
      <c r="L1147" s="11">
        <v>773.34</v>
      </c>
      <c r="M1147" s="11">
        <v>590831.76</v>
      </c>
      <c r="N1147" s="11">
        <v>378424.48</v>
      </c>
      <c r="O1147" s="11">
        <f>CleanedData[[#This Row],[Total Sales ($)]]-CleanedData[[#This Row],[Total Cost ($)]]</f>
        <v>212407.28000000003</v>
      </c>
      <c r="P1147" s="12">
        <f>CleanedData[[#This Row],[Profit ($)]]/CleanedData[[#This Row],[Total Sales ($)]]</f>
        <v>0.35950552150412501</v>
      </c>
      <c r="Q1147" s="8" t="s">
        <v>52</v>
      </c>
      <c r="R1147" s="8" t="s">
        <v>63</v>
      </c>
      <c r="S1147" s="8" t="b">
        <f>_xlfn.SINGLE(CleanedData[[#This Row],[Delivery Status]])="Late"</f>
        <v>0</v>
      </c>
      <c r="T1147" s="10">
        <v>5</v>
      </c>
      <c r="U1147" s="8" t="s">
        <v>158</v>
      </c>
      <c r="V1147" s="10">
        <v>357</v>
      </c>
      <c r="W1147" s="10">
        <v>28</v>
      </c>
      <c r="X1147" s="12">
        <v>3.6649214659685798E-2</v>
      </c>
      <c r="Y1147" s="8" t="b">
        <f>CleanedData[[#This Row],[Ship Date]]&lt;CleanedData[[#This Row],[Order Date]]</f>
        <v>0</v>
      </c>
      <c r="Z1147" s="10">
        <f>YEAR(CleanedData[[#This Row],[Order Date]])</f>
        <v>2024</v>
      </c>
      <c r="AA1147" s="8">
        <f>MONTH(CleanedData[[#This Row],[Order Date]])</f>
        <v>2</v>
      </c>
    </row>
    <row r="1148" spans="1:27" x14ac:dyDescent="0.35">
      <c r="A1148" s="8" t="s">
        <v>3172</v>
      </c>
      <c r="B1148" s="9">
        <v>45111</v>
      </c>
      <c r="C1148" s="9">
        <v>45233</v>
      </c>
      <c r="D1148" s="8" t="s">
        <v>3173</v>
      </c>
      <c r="E1148" s="8" t="s">
        <v>26</v>
      </c>
      <c r="F1148" s="8" t="s">
        <v>228</v>
      </c>
      <c r="G1148" s="8" t="s">
        <v>70</v>
      </c>
      <c r="H1148" s="8" t="s">
        <v>84</v>
      </c>
      <c r="I1148" s="8" t="s">
        <v>4970</v>
      </c>
      <c r="J1148" s="10">
        <v>340</v>
      </c>
      <c r="K1148" s="11">
        <v>7.09</v>
      </c>
      <c r="L1148" s="11">
        <v>8.51</v>
      </c>
      <c r="M1148" s="11">
        <v>2893.4</v>
      </c>
      <c r="N1148" s="11">
        <v>2410.6</v>
      </c>
      <c r="O1148" s="11">
        <f>CleanedData[[#This Row],[Total Sales ($)]]-CleanedData[[#This Row],[Total Cost ($)]]</f>
        <v>482.80000000000018</v>
      </c>
      <c r="P1148" s="12">
        <f>CleanedData[[#This Row],[Profit ($)]]/CleanedData[[#This Row],[Total Sales ($)]]</f>
        <v>0.16686251468860169</v>
      </c>
      <c r="Q1148" s="8" t="s">
        <v>52</v>
      </c>
      <c r="R1148" s="8" t="s">
        <v>32</v>
      </c>
      <c r="S1148" s="8" t="b">
        <f>_xlfn.SINGLE(CleanedData[[#This Row],[Delivery Status]])="Late"</f>
        <v>1</v>
      </c>
      <c r="T1148" s="10">
        <v>12</v>
      </c>
      <c r="U1148" s="8" t="s">
        <v>33</v>
      </c>
      <c r="V1148" s="10">
        <v>4970</v>
      </c>
      <c r="W1148" s="10">
        <v>10</v>
      </c>
      <c r="X1148" s="12">
        <v>2.94117647058823E-2</v>
      </c>
      <c r="Y1148" s="8" t="b">
        <f>CleanedData[[#This Row],[Ship Date]]&lt;CleanedData[[#This Row],[Order Date]]</f>
        <v>0</v>
      </c>
      <c r="Z1148" s="10">
        <f>YEAR(CleanedData[[#This Row],[Order Date]])</f>
        <v>2023</v>
      </c>
      <c r="AA1148" s="8">
        <f>MONTH(CleanedData[[#This Row],[Order Date]])</f>
        <v>7</v>
      </c>
    </row>
    <row r="1149" spans="1:27" x14ac:dyDescent="0.35">
      <c r="A1149" s="8" t="s">
        <v>3174</v>
      </c>
      <c r="B1149" s="9">
        <v>45577</v>
      </c>
      <c r="C1149" s="9">
        <v>45423</v>
      </c>
      <c r="D1149" s="8" t="s">
        <v>3176</v>
      </c>
      <c r="E1149" s="8" t="s">
        <v>26</v>
      </c>
      <c r="F1149" s="8" t="s">
        <v>77</v>
      </c>
      <c r="G1149" s="8" t="s">
        <v>93</v>
      </c>
      <c r="H1149" s="8" t="s">
        <v>184</v>
      </c>
      <c r="I1149" s="8" t="s">
        <v>4967</v>
      </c>
      <c r="J1149" s="10">
        <v>662</v>
      </c>
      <c r="K1149" s="11">
        <v>316.45999999999998</v>
      </c>
      <c r="L1149" s="11">
        <v>497.04</v>
      </c>
      <c r="M1149" s="11">
        <v>329040.48</v>
      </c>
      <c r="N1149" s="11">
        <v>209496.52</v>
      </c>
      <c r="O1149" s="11">
        <f>CleanedData[[#This Row],[Total Sales ($)]]-CleanedData[[#This Row],[Total Cost ($)]]</f>
        <v>119543.95999999999</v>
      </c>
      <c r="P1149" s="12">
        <f>CleanedData[[#This Row],[Profit ($)]]/CleanedData[[#This Row],[Total Sales ($)]]</f>
        <v>0.36331079993561888</v>
      </c>
      <c r="Q1149" s="8" t="s">
        <v>31</v>
      </c>
      <c r="R1149" s="8" t="s">
        <v>4972</v>
      </c>
      <c r="S1149" s="8" t="b">
        <f>_xlfn.SINGLE(CleanedData[[#This Row],[Delivery Status]])="Late"</f>
        <v>0</v>
      </c>
      <c r="T1149" s="10">
        <v>10</v>
      </c>
      <c r="U1149" s="8" t="s">
        <v>53</v>
      </c>
      <c r="V1149" s="10">
        <v>4208</v>
      </c>
      <c r="W1149" s="10">
        <v>10</v>
      </c>
      <c r="X1149" s="12">
        <v>1.51057401812688E-2</v>
      </c>
      <c r="Y1149" s="8" t="b">
        <f>CleanedData[[#This Row],[Ship Date]]&lt;CleanedData[[#This Row],[Order Date]]</f>
        <v>1</v>
      </c>
      <c r="Z1149" s="10">
        <f>YEAR(CleanedData[[#This Row],[Order Date]])</f>
        <v>2024</v>
      </c>
      <c r="AA1149" s="8">
        <f>MONTH(CleanedData[[#This Row],[Order Date]])</f>
        <v>10</v>
      </c>
    </row>
    <row r="1150" spans="1:27" x14ac:dyDescent="0.35">
      <c r="A1150" s="8" t="s">
        <v>3177</v>
      </c>
      <c r="B1150" s="9">
        <v>45267</v>
      </c>
      <c r="C1150" s="9">
        <v>44945</v>
      </c>
      <c r="D1150" s="8" t="s">
        <v>3178</v>
      </c>
      <c r="E1150" s="8" t="s">
        <v>26</v>
      </c>
      <c r="F1150" s="8" t="s">
        <v>27</v>
      </c>
      <c r="G1150" s="8" t="s">
        <v>50</v>
      </c>
      <c r="H1150" s="8" t="s">
        <v>107</v>
      </c>
      <c r="I1150" s="8" t="s">
        <v>4978</v>
      </c>
      <c r="J1150" s="10">
        <v>795</v>
      </c>
      <c r="K1150" s="11">
        <v>799.82</v>
      </c>
      <c r="L1150" s="11">
        <v>1317.9</v>
      </c>
      <c r="M1150" s="11">
        <v>1047730.5</v>
      </c>
      <c r="N1150" s="11">
        <v>635856.9</v>
      </c>
      <c r="O1150" s="11">
        <f>CleanedData[[#This Row],[Total Sales ($)]]-CleanedData[[#This Row],[Total Cost ($)]]</f>
        <v>411873.6</v>
      </c>
      <c r="P1150" s="12">
        <f>CleanedData[[#This Row],[Profit ($)]]/CleanedData[[#This Row],[Total Sales ($)]]</f>
        <v>0.39311025115714393</v>
      </c>
      <c r="Q1150" s="8" t="s">
        <v>52</v>
      </c>
      <c r="R1150" s="8" t="s">
        <v>32</v>
      </c>
      <c r="S1150" s="8" t="b">
        <f>_xlfn.SINGLE(CleanedData[[#This Row],[Delivery Status]])="Late"</f>
        <v>1</v>
      </c>
      <c r="T1150" s="10">
        <v>8</v>
      </c>
      <c r="U1150" s="8" t="s">
        <v>158</v>
      </c>
      <c r="V1150" s="10">
        <v>717</v>
      </c>
      <c r="W1150" s="10">
        <v>31</v>
      </c>
      <c r="X1150" s="12">
        <v>3.8993710691823898E-2</v>
      </c>
      <c r="Y1150" s="8" t="b">
        <f>CleanedData[[#This Row],[Ship Date]]&lt;CleanedData[[#This Row],[Order Date]]</f>
        <v>1</v>
      </c>
      <c r="Z1150" s="10">
        <f>YEAR(CleanedData[[#This Row],[Order Date]])</f>
        <v>2023</v>
      </c>
      <c r="AA1150" s="8">
        <f>MONTH(CleanedData[[#This Row],[Order Date]])</f>
        <v>12</v>
      </c>
    </row>
    <row r="1151" spans="1:27" x14ac:dyDescent="0.35">
      <c r="A1151" s="8" t="s">
        <v>3179</v>
      </c>
      <c r="B1151" s="9">
        <v>45252</v>
      </c>
      <c r="C1151" s="9">
        <v>45079</v>
      </c>
      <c r="D1151" s="8" t="s">
        <v>3180</v>
      </c>
      <c r="E1151" s="8" t="s">
        <v>100</v>
      </c>
      <c r="F1151" s="8" t="s">
        <v>106</v>
      </c>
      <c r="G1151" s="8" t="s">
        <v>78</v>
      </c>
      <c r="H1151" s="8" t="s">
        <v>178</v>
      </c>
      <c r="I1151" s="8" t="s">
        <v>4973</v>
      </c>
      <c r="J1151" s="10">
        <v>139</v>
      </c>
      <c r="K1151" s="11">
        <v>793.87</v>
      </c>
      <c r="L1151" s="11">
        <v>1253.33</v>
      </c>
      <c r="M1151" s="11">
        <v>174212.87</v>
      </c>
      <c r="N1151" s="11">
        <v>110347.93</v>
      </c>
      <c r="O1151" s="11">
        <f>CleanedData[[#This Row],[Total Sales ($)]]-CleanedData[[#This Row],[Total Cost ($)]]</f>
        <v>63864.94</v>
      </c>
      <c r="P1151" s="12">
        <f>CleanedData[[#This Row],[Profit ($)]]/CleanedData[[#This Row],[Total Sales ($)]]</f>
        <v>0.36659140050904393</v>
      </c>
      <c r="Q1151" s="8" t="s">
        <v>95</v>
      </c>
      <c r="R1151" s="8" t="s">
        <v>32</v>
      </c>
      <c r="S1151" s="8" t="b">
        <f>_xlfn.SINGLE(CleanedData[[#This Row],[Delivery Status]])="Late"</f>
        <v>1</v>
      </c>
      <c r="T1151" s="10">
        <v>6</v>
      </c>
      <c r="U1151" s="8" t="s">
        <v>43</v>
      </c>
      <c r="V1151" s="10">
        <v>4988</v>
      </c>
      <c r="W1151" s="10">
        <v>4</v>
      </c>
      <c r="X1151" s="12">
        <v>2.8776978417266098E-2</v>
      </c>
      <c r="Y1151" s="8" t="b">
        <f>CleanedData[[#This Row],[Ship Date]]&lt;CleanedData[[#This Row],[Order Date]]</f>
        <v>1</v>
      </c>
      <c r="Z1151" s="10">
        <f>YEAR(CleanedData[[#This Row],[Order Date]])</f>
        <v>2023</v>
      </c>
      <c r="AA1151" s="8">
        <f>MONTH(CleanedData[[#This Row],[Order Date]])</f>
        <v>11</v>
      </c>
    </row>
    <row r="1152" spans="1:27" x14ac:dyDescent="0.35">
      <c r="A1152" s="8" t="s">
        <v>3181</v>
      </c>
      <c r="B1152" s="9">
        <v>45225</v>
      </c>
      <c r="C1152" s="9">
        <v>45050</v>
      </c>
      <c r="D1152" s="8" t="s">
        <v>3182</v>
      </c>
      <c r="E1152" s="8" t="s">
        <v>100</v>
      </c>
      <c r="F1152" s="8" t="s">
        <v>538</v>
      </c>
      <c r="G1152" s="8" t="s">
        <v>60</v>
      </c>
      <c r="H1152" s="8" t="s">
        <v>539</v>
      </c>
      <c r="I1152" s="8" t="s">
        <v>4970</v>
      </c>
      <c r="J1152" s="10">
        <v>335</v>
      </c>
      <c r="K1152" s="11">
        <v>493.55</v>
      </c>
      <c r="L1152" s="11">
        <v>647.78</v>
      </c>
      <c r="M1152" s="11">
        <v>217006.3</v>
      </c>
      <c r="N1152" s="11">
        <v>165339.25</v>
      </c>
      <c r="O1152" s="11">
        <f>CleanedData[[#This Row],[Total Sales ($)]]-CleanedData[[#This Row],[Total Cost ($)]]</f>
        <v>51667.049999999988</v>
      </c>
      <c r="P1152" s="12">
        <f>CleanedData[[#This Row],[Profit ($)]]/CleanedData[[#This Row],[Total Sales ($)]]</f>
        <v>0.23809009231529218</v>
      </c>
      <c r="Q1152" s="8" t="s">
        <v>52</v>
      </c>
      <c r="R1152" s="8" t="s">
        <v>32</v>
      </c>
      <c r="S1152" s="8" t="b">
        <f>_xlfn.SINGLE(CleanedData[[#This Row],[Delivery Status]])="Late"</f>
        <v>1</v>
      </c>
      <c r="T1152" s="10">
        <v>8</v>
      </c>
      <c r="U1152" s="8" t="s">
        <v>53</v>
      </c>
      <c r="V1152" s="10">
        <v>3320</v>
      </c>
      <c r="W1152" s="10">
        <v>11</v>
      </c>
      <c r="X1152" s="12">
        <v>3.2835820895522297E-2</v>
      </c>
      <c r="Y1152" s="8" t="b">
        <f>CleanedData[[#This Row],[Ship Date]]&lt;CleanedData[[#This Row],[Order Date]]</f>
        <v>1</v>
      </c>
      <c r="Z1152" s="10">
        <f>YEAR(CleanedData[[#This Row],[Order Date]])</f>
        <v>2023</v>
      </c>
      <c r="AA1152" s="8">
        <f>MONTH(CleanedData[[#This Row],[Order Date]])</f>
        <v>10</v>
      </c>
    </row>
    <row r="1153" spans="1:27" x14ac:dyDescent="0.35">
      <c r="A1153" s="8" t="s">
        <v>3183</v>
      </c>
      <c r="B1153" s="9">
        <v>45240</v>
      </c>
      <c r="C1153" s="9">
        <v>45210</v>
      </c>
      <c r="D1153" s="8" t="s">
        <v>3184</v>
      </c>
      <c r="E1153" s="8" t="s">
        <v>68</v>
      </c>
      <c r="F1153" s="8" t="s">
        <v>146</v>
      </c>
      <c r="G1153" s="8" t="s">
        <v>93</v>
      </c>
      <c r="H1153" s="8" t="s">
        <v>321</v>
      </c>
      <c r="I1153" s="8" t="s">
        <v>4975</v>
      </c>
      <c r="J1153" s="10">
        <v>490</v>
      </c>
      <c r="K1153" s="11">
        <v>272.64</v>
      </c>
      <c r="L1153" s="11">
        <v>428.33</v>
      </c>
      <c r="M1153" s="11">
        <v>209881.7</v>
      </c>
      <c r="N1153" s="11">
        <v>133593.60000000001</v>
      </c>
      <c r="O1153" s="11">
        <f>CleanedData[[#This Row],[Total Sales ($)]]-CleanedData[[#This Row],[Total Cost ($)]]</f>
        <v>76288.100000000006</v>
      </c>
      <c r="P1153" s="12">
        <f>CleanedData[[#This Row],[Profit ($)]]/CleanedData[[#This Row],[Total Sales ($)]]</f>
        <v>0.36348142787103405</v>
      </c>
      <c r="Q1153" s="8" t="s">
        <v>52</v>
      </c>
      <c r="R1153" s="8" t="s">
        <v>63</v>
      </c>
      <c r="S1153" s="8" t="b">
        <f>_xlfn.SINGLE(CleanedData[[#This Row],[Delivery Status]])="Late"</f>
        <v>0</v>
      </c>
      <c r="T1153" s="10">
        <v>2</v>
      </c>
      <c r="U1153" s="8" t="s">
        <v>43</v>
      </c>
      <c r="V1153" s="10">
        <v>250</v>
      </c>
      <c r="W1153" s="10">
        <v>22</v>
      </c>
      <c r="X1153" s="12">
        <v>4.4897959183673397E-2</v>
      </c>
      <c r="Y1153" s="8" t="b">
        <f>CleanedData[[#This Row],[Ship Date]]&lt;CleanedData[[#This Row],[Order Date]]</f>
        <v>1</v>
      </c>
      <c r="Z1153" s="10">
        <f>YEAR(CleanedData[[#This Row],[Order Date]])</f>
        <v>2023</v>
      </c>
      <c r="AA1153" s="8">
        <f>MONTH(CleanedData[[#This Row],[Order Date]])</f>
        <v>11</v>
      </c>
    </row>
    <row r="1154" spans="1:27" x14ac:dyDescent="0.35">
      <c r="A1154" s="8" t="s">
        <v>3186</v>
      </c>
      <c r="B1154" s="9">
        <v>45400</v>
      </c>
      <c r="C1154" s="9">
        <v>45422</v>
      </c>
      <c r="D1154" s="8" t="s">
        <v>3188</v>
      </c>
      <c r="E1154" s="8" t="s">
        <v>26</v>
      </c>
      <c r="F1154" s="8" t="s">
        <v>228</v>
      </c>
      <c r="G1154" s="8" t="s">
        <v>60</v>
      </c>
      <c r="H1154" s="8" t="s">
        <v>229</v>
      </c>
      <c r="I1154" s="8" t="s">
        <v>4967</v>
      </c>
      <c r="J1154" s="10">
        <v>409</v>
      </c>
      <c r="K1154" s="11">
        <v>570.71</v>
      </c>
      <c r="L1154" s="11">
        <v>879.04</v>
      </c>
      <c r="M1154" s="11">
        <v>359527.36</v>
      </c>
      <c r="N1154" s="11">
        <v>233420.39</v>
      </c>
      <c r="O1154" s="11">
        <f>CleanedData[[#This Row],[Total Sales ($)]]-CleanedData[[#This Row],[Total Cost ($)]]</f>
        <v>126106.96999999997</v>
      </c>
      <c r="P1154" s="12">
        <f>CleanedData[[#This Row],[Profit ($)]]/CleanedData[[#This Row],[Total Sales ($)]]</f>
        <v>0.35075764470331267</v>
      </c>
      <c r="Q1154" s="8" t="s">
        <v>95</v>
      </c>
      <c r="R1154" s="8" t="s">
        <v>32</v>
      </c>
      <c r="S1154" s="8" t="b">
        <f>_xlfn.SINGLE(CleanedData[[#This Row],[Delivery Status]])="Late"</f>
        <v>1</v>
      </c>
      <c r="T1154" s="10">
        <v>14</v>
      </c>
      <c r="U1154" s="8" t="s">
        <v>43</v>
      </c>
      <c r="V1154" s="10">
        <v>4250</v>
      </c>
      <c r="W1154" s="10">
        <v>19</v>
      </c>
      <c r="X1154" s="12">
        <v>4.6454767726161299E-2</v>
      </c>
      <c r="Y1154" s="8" t="b">
        <f>CleanedData[[#This Row],[Ship Date]]&lt;CleanedData[[#This Row],[Order Date]]</f>
        <v>0</v>
      </c>
      <c r="Z1154" s="10">
        <f>YEAR(CleanedData[[#This Row],[Order Date]])</f>
        <v>2024</v>
      </c>
      <c r="AA1154" s="8">
        <f>MONTH(CleanedData[[#This Row],[Order Date]])</f>
        <v>4</v>
      </c>
    </row>
    <row r="1155" spans="1:27" x14ac:dyDescent="0.35">
      <c r="A1155" s="8" t="s">
        <v>3189</v>
      </c>
      <c r="B1155" s="9">
        <v>45466</v>
      </c>
      <c r="C1155" s="9">
        <v>45360</v>
      </c>
      <c r="D1155" s="8" t="s">
        <v>3190</v>
      </c>
      <c r="E1155" s="8" t="s">
        <v>26</v>
      </c>
      <c r="F1155" s="8" t="s">
        <v>228</v>
      </c>
      <c r="G1155" s="8" t="s">
        <v>93</v>
      </c>
      <c r="H1155" s="8" t="s">
        <v>643</v>
      </c>
      <c r="I1155" s="8" t="s">
        <v>4975</v>
      </c>
      <c r="J1155" s="10">
        <v>153</v>
      </c>
      <c r="K1155" s="11">
        <v>741.24</v>
      </c>
      <c r="L1155" s="11">
        <v>1216.53</v>
      </c>
      <c r="M1155" s="11">
        <v>186129.09</v>
      </c>
      <c r="N1155" s="11">
        <v>113409.72</v>
      </c>
      <c r="O1155" s="11">
        <f>CleanedData[[#This Row],[Total Sales ($)]]-CleanedData[[#This Row],[Total Cost ($)]]</f>
        <v>72719.37</v>
      </c>
      <c r="P1155" s="12">
        <f>CleanedData[[#This Row],[Profit ($)]]/CleanedData[[#This Row],[Total Sales ($)]]</f>
        <v>0.39069320115410222</v>
      </c>
      <c r="Q1155" s="8" t="s">
        <v>95</v>
      </c>
      <c r="R1155" s="8" t="s">
        <v>63</v>
      </c>
      <c r="S1155" s="8" t="b">
        <f>_xlfn.SINGLE(CleanedData[[#This Row],[Delivery Status]])="Late"</f>
        <v>0</v>
      </c>
      <c r="T1155" s="10">
        <v>5</v>
      </c>
      <c r="U1155" s="8" t="s">
        <v>112</v>
      </c>
      <c r="V1155" s="10">
        <v>4900</v>
      </c>
      <c r="W1155" s="10"/>
      <c r="X1155" s="12"/>
      <c r="Y1155" s="8" t="b">
        <f>CleanedData[[#This Row],[Ship Date]]&lt;CleanedData[[#This Row],[Order Date]]</f>
        <v>1</v>
      </c>
      <c r="Z1155" s="10">
        <f>YEAR(CleanedData[[#This Row],[Order Date]])</f>
        <v>2024</v>
      </c>
      <c r="AA1155" s="8">
        <f>MONTH(CleanedData[[#This Row],[Order Date]])</f>
        <v>6</v>
      </c>
    </row>
    <row r="1156" spans="1:27" x14ac:dyDescent="0.35">
      <c r="A1156" s="8" t="s">
        <v>3191</v>
      </c>
      <c r="B1156" s="9">
        <v>45255</v>
      </c>
      <c r="C1156" s="9">
        <v>45062</v>
      </c>
      <c r="D1156" s="8" t="s">
        <v>2222</v>
      </c>
      <c r="E1156" s="8" t="s">
        <v>68</v>
      </c>
      <c r="F1156" s="8" t="s">
        <v>249</v>
      </c>
      <c r="G1156" s="8" t="s">
        <v>78</v>
      </c>
      <c r="H1156" s="8" t="s">
        <v>481</v>
      </c>
      <c r="I1156" s="8" t="s">
        <v>4967</v>
      </c>
      <c r="J1156" s="10">
        <v>522</v>
      </c>
      <c r="K1156" s="11">
        <v>969.12</v>
      </c>
      <c r="L1156" s="11">
        <v>1188.79</v>
      </c>
      <c r="M1156" s="11">
        <v>620548.38</v>
      </c>
      <c r="N1156" s="11">
        <v>505880.64</v>
      </c>
      <c r="O1156" s="11">
        <f>CleanedData[[#This Row],[Total Sales ($)]]-CleanedData[[#This Row],[Total Cost ($)]]</f>
        <v>114667.73999999999</v>
      </c>
      <c r="P1156" s="12">
        <f>CleanedData[[#This Row],[Profit ($)]]/CleanedData[[#This Row],[Total Sales ($)]]</f>
        <v>0.18478452880660165</v>
      </c>
      <c r="Q1156" s="8" t="s">
        <v>42</v>
      </c>
      <c r="R1156" s="8" t="s">
        <v>32</v>
      </c>
      <c r="S1156" s="8" t="b">
        <f>_xlfn.SINGLE(CleanedData[[#This Row],[Delivery Status]])="Late"</f>
        <v>1</v>
      </c>
      <c r="T1156" s="10">
        <v>11</v>
      </c>
      <c r="U1156" s="8" t="s">
        <v>33</v>
      </c>
      <c r="V1156" s="10">
        <v>856</v>
      </c>
      <c r="W1156" s="10"/>
      <c r="X1156" s="12"/>
      <c r="Y1156" s="8" t="b">
        <f>CleanedData[[#This Row],[Ship Date]]&lt;CleanedData[[#This Row],[Order Date]]</f>
        <v>1</v>
      </c>
      <c r="Z1156" s="10">
        <f>YEAR(CleanedData[[#This Row],[Order Date]])</f>
        <v>2023</v>
      </c>
      <c r="AA1156" s="8">
        <f>MONTH(CleanedData[[#This Row],[Order Date]])</f>
        <v>11</v>
      </c>
    </row>
    <row r="1157" spans="1:27" x14ac:dyDescent="0.35">
      <c r="A1157" s="8" t="s">
        <v>3192</v>
      </c>
      <c r="B1157" s="9">
        <v>45245</v>
      </c>
      <c r="C1157" s="9">
        <v>44995</v>
      </c>
      <c r="D1157" s="8" t="s">
        <v>3193</v>
      </c>
      <c r="E1157" s="8" t="s">
        <v>100</v>
      </c>
      <c r="F1157" s="8" t="s">
        <v>238</v>
      </c>
      <c r="G1157" s="8" t="s">
        <v>189</v>
      </c>
      <c r="H1157" s="8" t="s">
        <v>190</v>
      </c>
      <c r="I1157" s="8" t="s">
        <v>4973</v>
      </c>
      <c r="J1157" s="10">
        <v>485</v>
      </c>
      <c r="K1157" s="11">
        <v>868.97</v>
      </c>
      <c r="L1157" s="11">
        <v>1396.27</v>
      </c>
      <c r="M1157" s="11">
        <v>677190.95</v>
      </c>
      <c r="N1157" s="11">
        <v>421450.45</v>
      </c>
      <c r="O1157" s="11">
        <f>CleanedData[[#This Row],[Total Sales ($)]]-CleanedData[[#This Row],[Total Cost ($)]]</f>
        <v>255740.49999999994</v>
      </c>
      <c r="P1157" s="12">
        <f>CleanedData[[#This Row],[Profit ($)]]/CleanedData[[#This Row],[Total Sales ($)]]</f>
        <v>0.37764902203728501</v>
      </c>
      <c r="Q1157" s="8" t="s">
        <v>42</v>
      </c>
      <c r="R1157" s="8" t="s">
        <v>63</v>
      </c>
      <c r="S1157" s="8" t="b">
        <f>_xlfn.SINGLE(CleanedData[[#This Row],[Delivery Status]])="Late"</f>
        <v>0</v>
      </c>
      <c r="T1157" s="10">
        <v>3</v>
      </c>
      <c r="U1157" s="8" t="s">
        <v>158</v>
      </c>
      <c r="V1157" s="10">
        <v>2161</v>
      </c>
      <c r="W1157" s="10">
        <v>15</v>
      </c>
      <c r="X1157" s="12">
        <v>3.0927835051546299E-2</v>
      </c>
      <c r="Y1157" s="8" t="b">
        <f>CleanedData[[#This Row],[Ship Date]]&lt;CleanedData[[#This Row],[Order Date]]</f>
        <v>1</v>
      </c>
      <c r="Z1157" s="10">
        <f>YEAR(CleanedData[[#This Row],[Order Date]])</f>
        <v>2023</v>
      </c>
      <c r="AA1157" s="8">
        <f>MONTH(CleanedData[[#This Row],[Order Date]])</f>
        <v>11</v>
      </c>
    </row>
    <row r="1158" spans="1:27" x14ac:dyDescent="0.35">
      <c r="A1158" s="8" t="s">
        <v>3194</v>
      </c>
      <c r="B1158" s="9">
        <v>44947</v>
      </c>
      <c r="C1158" s="9">
        <v>44942</v>
      </c>
      <c r="D1158" s="8" t="s">
        <v>3195</v>
      </c>
      <c r="E1158" s="8" t="s">
        <v>48</v>
      </c>
      <c r="F1158" s="8" t="s">
        <v>183</v>
      </c>
      <c r="G1158" s="8" t="s">
        <v>39</v>
      </c>
      <c r="H1158" s="8" t="s">
        <v>527</v>
      </c>
      <c r="I1158" s="8" t="s">
        <v>4990</v>
      </c>
      <c r="J1158" s="10">
        <v>270</v>
      </c>
      <c r="K1158" s="11">
        <v>1131.92</v>
      </c>
      <c r="L1158" s="11">
        <v>1605.15</v>
      </c>
      <c r="M1158" s="11">
        <v>433390.5</v>
      </c>
      <c r="N1158" s="11">
        <v>305618.40000000002</v>
      </c>
      <c r="O1158" s="11">
        <f>CleanedData[[#This Row],[Total Sales ($)]]-CleanedData[[#This Row],[Total Cost ($)]]</f>
        <v>127772.09999999998</v>
      </c>
      <c r="P1158" s="12">
        <f>CleanedData[[#This Row],[Profit ($)]]/CleanedData[[#This Row],[Total Sales ($)]]</f>
        <v>0.29481979877270031</v>
      </c>
      <c r="Q1158" s="8" t="s">
        <v>31</v>
      </c>
      <c r="R1158" s="8" t="s">
        <v>32</v>
      </c>
      <c r="S1158" s="8" t="b">
        <f>_xlfn.SINGLE(CleanedData[[#This Row],[Delivery Status]])="Late"</f>
        <v>1</v>
      </c>
      <c r="T1158" s="10">
        <v>12</v>
      </c>
      <c r="U1158" s="8" t="s">
        <v>112</v>
      </c>
      <c r="V1158" s="10">
        <v>2400</v>
      </c>
      <c r="W1158" s="10">
        <v>7</v>
      </c>
      <c r="X1158" s="12">
        <v>2.5925925925925901E-2</v>
      </c>
      <c r="Y1158" s="8" t="b">
        <f>CleanedData[[#This Row],[Ship Date]]&lt;CleanedData[[#This Row],[Order Date]]</f>
        <v>1</v>
      </c>
      <c r="Z1158" s="10">
        <f>YEAR(CleanedData[[#This Row],[Order Date]])</f>
        <v>2023</v>
      </c>
      <c r="AA1158" s="8">
        <f>MONTH(CleanedData[[#This Row],[Order Date]])</f>
        <v>1</v>
      </c>
    </row>
    <row r="1159" spans="1:27" x14ac:dyDescent="0.35">
      <c r="A1159" s="8" t="s">
        <v>3196</v>
      </c>
      <c r="B1159" s="9">
        <v>45202</v>
      </c>
      <c r="C1159" s="9">
        <v>45044</v>
      </c>
      <c r="D1159" s="8" t="s">
        <v>3197</v>
      </c>
      <c r="E1159" s="8" t="s">
        <v>48</v>
      </c>
      <c r="F1159" s="8" t="s">
        <v>183</v>
      </c>
      <c r="G1159" s="8" t="s">
        <v>189</v>
      </c>
      <c r="H1159" s="8" t="s">
        <v>437</v>
      </c>
      <c r="I1159" s="8" t="s">
        <v>4969</v>
      </c>
      <c r="J1159" s="10">
        <v>529</v>
      </c>
      <c r="K1159" s="11">
        <v>463.1</v>
      </c>
      <c r="L1159" s="11">
        <v>630.94000000000005</v>
      </c>
      <c r="M1159" s="11">
        <v>333767.26</v>
      </c>
      <c r="N1159" s="11">
        <v>244979.9</v>
      </c>
      <c r="O1159" s="11">
        <f>CleanedData[[#This Row],[Total Sales ($)]]-CleanedData[[#This Row],[Total Cost ($)]]</f>
        <v>88787.360000000015</v>
      </c>
      <c r="P1159" s="12">
        <f>CleanedData[[#This Row],[Profit ($)]]/CleanedData[[#This Row],[Total Sales ($)]]</f>
        <v>0.26601578597013981</v>
      </c>
      <c r="Q1159" s="8" t="s">
        <v>31</v>
      </c>
      <c r="R1159" s="8" t="s">
        <v>32</v>
      </c>
      <c r="S1159" s="8" t="b">
        <f>_xlfn.SINGLE(CleanedData[[#This Row],[Delivery Status]])="Late"</f>
        <v>1</v>
      </c>
      <c r="T1159" s="10">
        <v>11</v>
      </c>
      <c r="U1159" s="8" t="s">
        <v>86</v>
      </c>
      <c r="V1159" s="10">
        <v>1576</v>
      </c>
      <c r="W1159" s="10">
        <v>23</v>
      </c>
      <c r="X1159" s="12">
        <v>4.3478260869565202E-2</v>
      </c>
      <c r="Y1159" s="8" t="b">
        <f>CleanedData[[#This Row],[Ship Date]]&lt;CleanedData[[#This Row],[Order Date]]</f>
        <v>1</v>
      </c>
      <c r="Z1159" s="10">
        <f>YEAR(CleanedData[[#This Row],[Order Date]])</f>
        <v>2023</v>
      </c>
      <c r="AA1159" s="8">
        <f>MONTH(CleanedData[[#This Row],[Order Date]])</f>
        <v>10</v>
      </c>
    </row>
    <row r="1160" spans="1:27" x14ac:dyDescent="0.35">
      <c r="A1160" s="8" t="s">
        <v>3198</v>
      </c>
      <c r="B1160" s="9">
        <v>45274</v>
      </c>
      <c r="C1160" s="9">
        <v>44997</v>
      </c>
      <c r="D1160" s="8" t="s">
        <v>3162</v>
      </c>
      <c r="E1160" s="8" t="s">
        <v>100</v>
      </c>
      <c r="F1160" s="8" t="s">
        <v>101</v>
      </c>
      <c r="G1160" s="8" t="s">
        <v>70</v>
      </c>
      <c r="H1160" s="8" t="s">
        <v>84</v>
      </c>
      <c r="I1160" s="8" t="s">
        <v>4970</v>
      </c>
      <c r="J1160" s="10">
        <v>574</v>
      </c>
      <c r="K1160" s="11">
        <v>1034.93</v>
      </c>
      <c r="L1160" s="11">
        <v>1188.4100000000001</v>
      </c>
      <c r="M1160" s="11">
        <v>682147.34</v>
      </c>
      <c r="N1160" s="11">
        <v>594049.81999999995</v>
      </c>
      <c r="O1160" s="11">
        <f>CleanedData[[#This Row],[Total Sales ($)]]-CleanedData[[#This Row],[Total Cost ($)]]</f>
        <v>88097.520000000019</v>
      </c>
      <c r="P1160" s="12">
        <f>CleanedData[[#This Row],[Profit ($)]]/CleanedData[[#This Row],[Total Sales ($)]]</f>
        <v>0.12914734813742734</v>
      </c>
      <c r="Q1160" s="8" t="s">
        <v>95</v>
      </c>
      <c r="R1160" s="8" t="s">
        <v>63</v>
      </c>
      <c r="S1160" s="8" t="b">
        <f>_xlfn.SINGLE(CleanedData[[#This Row],[Delivery Status]])="Late"</f>
        <v>0</v>
      </c>
      <c r="T1160" s="10">
        <v>5</v>
      </c>
      <c r="U1160" s="8" t="s">
        <v>53</v>
      </c>
      <c r="V1160" s="10">
        <v>934</v>
      </c>
      <c r="W1160" s="10">
        <v>1</v>
      </c>
      <c r="X1160" s="12">
        <v>1.7421602787455999E-3</v>
      </c>
      <c r="Y1160" s="8" t="b">
        <f>CleanedData[[#This Row],[Ship Date]]&lt;CleanedData[[#This Row],[Order Date]]</f>
        <v>1</v>
      </c>
      <c r="Z1160" s="10">
        <f>YEAR(CleanedData[[#This Row],[Order Date]])</f>
        <v>2023</v>
      </c>
      <c r="AA1160" s="8">
        <f>MONTH(CleanedData[[#This Row],[Order Date]])</f>
        <v>12</v>
      </c>
    </row>
    <row r="1161" spans="1:27" x14ac:dyDescent="0.35">
      <c r="A1161" s="8" t="s">
        <v>3199</v>
      </c>
      <c r="B1161" s="9">
        <v>45103</v>
      </c>
      <c r="C1161" s="9">
        <v>44975</v>
      </c>
      <c r="D1161" s="8" t="s">
        <v>3200</v>
      </c>
      <c r="E1161" s="8" t="s">
        <v>68</v>
      </c>
      <c r="F1161" s="8" t="s">
        <v>69</v>
      </c>
      <c r="G1161" s="8" t="s">
        <v>50</v>
      </c>
      <c r="H1161" s="8" t="s">
        <v>734</v>
      </c>
      <c r="I1161" s="8" t="s">
        <v>4976</v>
      </c>
      <c r="J1161" s="10">
        <v>241</v>
      </c>
      <c r="K1161" s="11">
        <v>1076.73</v>
      </c>
      <c r="L1161" s="11">
        <v>1442.58</v>
      </c>
      <c r="M1161" s="11">
        <v>347661.78</v>
      </c>
      <c r="N1161" s="11">
        <v>259491.93</v>
      </c>
      <c r="O1161" s="11">
        <f>CleanedData[[#This Row],[Total Sales ($)]]-CleanedData[[#This Row],[Total Cost ($)]]</f>
        <v>88169.850000000035</v>
      </c>
      <c r="P1161" s="12">
        <f>CleanedData[[#This Row],[Profit ($)]]/CleanedData[[#This Row],[Total Sales ($)]]</f>
        <v>0.25360811878717304</v>
      </c>
      <c r="Q1161" s="8" t="s">
        <v>42</v>
      </c>
      <c r="R1161" s="8" t="s">
        <v>32</v>
      </c>
      <c r="S1161" s="8" t="b">
        <f>_xlfn.SINGLE(CleanedData[[#This Row],[Delivery Status]])="Late"</f>
        <v>1</v>
      </c>
      <c r="T1161" s="10">
        <v>11</v>
      </c>
      <c r="U1161" s="8" t="s">
        <v>112</v>
      </c>
      <c r="V1161" s="10">
        <v>4493</v>
      </c>
      <c r="W1161" s="10">
        <v>5</v>
      </c>
      <c r="X1161" s="12">
        <v>2.0746887966804899E-2</v>
      </c>
      <c r="Y1161" s="8" t="b">
        <f>CleanedData[[#This Row],[Ship Date]]&lt;CleanedData[[#This Row],[Order Date]]</f>
        <v>1</v>
      </c>
      <c r="Z1161" s="10">
        <f>YEAR(CleanedData[[#This Row],[Order Date]])</f>
        <v>2023</v>
      </c>
      <c r="AA1161" s="8">
        <f>MONTH(CleanedData[[#This Row],[Order Date]])</f>
        <v>6</v>
      </c>
    </row>
    <row r="1162" spans="1:27" x14ac:dyDescent="0.35">
      <c r="A1162" s="8" t="s">
        <v>2730</v>
      </c>
      <c r="B1162" s="9">
        <v>45049</v>
      </c>
      <c r="C1162" s="9">
        <v>45268</v>
      </c>
      <c r="D1162" s="8" t="s">
        <v>2731</v>
      </c>
      <c r="E1162" s="8" t="s">
        <v>100</v>
      </c>
      <c r="F1162" s="8" t="s">
        <v>106</v>
      </c>
      <c r="G1162" s="8" t="s">
        <v>78</v>
      </c>
      <c r="H1162" s="8" t="s">
        <v>79</v>
      </c>
      <c r="I1162" s="8" t="s">
        <v>4968</v>
      </c>
      <c r="J1162" s="10">
        <v>285</v>
      </c>
      <c r="K1162" s="11">
        <v>450.93</v>
      </c>
      <c r="L1162" s="11">
        <v>514.49</v>
      </c>
      <c r="M1162" s="11">
        <v>146629.65</v>
      </c>
      <c r="N1162" s="11">
        <v>128515.05</v>
      </c>
      <c r="O1162" s="11">
        <f>CleanedData[[#This Row],[Total Sales ($)]]-CleanedData[[#This Row],[Total Cost ($)]]</f>
        <v>18114.599999999991</v>
      </c>
      <c r="P1162" s="12">
        <f>CleanedData[[#This Row],[Profit ($)]]/CleanedData[[#This Row],[Total Sales ($)]]</f>
        <v>0.12353981612859331</v>
      </c>
      <c r="Q1162" s="8" t="s">
        <v>95</v>
      </c>
      <c r="R1162" s="8" t="s">
        <v>32</v>
      </c>
      <c r="S1162" s="8" t="b">
        <f>_xlfn.SINGLE(CleanedData[[#This Row],[Delivery Status]])="Late"</f>
        <v>1</v>
      </c>
      <c r="T1162" s="10">
        <v>10</v>
      </c>
      <c r="U1162" s="8" t="s">
        <v>86</v>
      </c>
      <c r="V1162" s="10">
        <v>451</v>
      </c>
      <c r="W1162" s="10">
        <v>2</v>
      </c>
      <c r="X1162" s="12">
        <v>7.0175438596491004E-3</v>
      </c>
      <c r="Y1162" s="8" t="b">
        <f>CleanedData[[#This Row],[Ship Date]]&lt;CleanedData[[#This Row],[Order Date]]</f>
        <v>0</v>
      </c>
      <c r="Z1162" s="10">
        <f>YEAR(CleanedData[[#This Row],[Order Date]])</f>
        <v>2023</v>
      </c>
      <c r="AA1162" s="8">
        <f>MONTH(CleanedData[[#This Row],[Order Date]])</f>
        <v>5</v>
      </c>
    </row>
    <row r="1163" spans="1:27" x14ac:dyDescent="0.35">
      <c r="A1163" s="8" t="s">
        <v>3201</v>
      </c>
      <c r="B1163" s="9">
        <v>45200</v>
      </c>
      <c r="C1163" s="9">
        <v>44930</v>
      </c>
      <c r="D1163" s="8" t="s">
        <v>3203</v>
      </c>
      <c r="E1163" s="8" t="s">
        <v>26</v>
      </c>
      <c r="F1163" s="8" t="s">
        <v>77</v>
      </c>
      <c r="G1163" s="8" t="s">
        <v>189</v>
      </c>
      <c r="H1163" s="8" t="s">
        <v>561</v>
      </c>
      <c r="I1163" s="8" t="s">
        <v>4969</v>
      </c>
      <c r="J1163" s="10">
        <v>495</v>
      </c>
      <c r="K1163" s="11">
        <v>688.64</v>
      </c>
      <c r="L1163" s="11">
        <v>999.7</v>
      </c>
      <c r="M1163" s="11">
        <v>494851.5</v>
      </c>
      <c r="N1163" s="11">
        <v>340876.79999999999</v>
      </c>
      <c r="O1163" s="11">
        <f>CleanedData[[#This Row],[Total Sales ($)]]-CleanedData[[#This Row],[Total Cost ($)]]</f>
        <v>153974.70000000001</v>
      </c>
      <c r="P1163" s="12">
        <f>CleanedData[[#This Row],[Profit ($)]]/CleanedData[[#This Row],[Total Sales ($)]]</f>
        <v>0.31115334600380118</v>
      </c>
      <c r="Q1163" s="8" t="s">
        <v>52</v>
      </c>
      <c r="R1163" s="8" t="s">
        <v>32</v>
      </c>
      <c r="S1163" s="8" t="b">
        <f>_xlfn.SINGLE(CleanedData[[#This Row],[Delivery Status]])="Late"</f>
        <v>1</v>
      </c>
      <c r="T1163" s="10">
        <v>11</v>
      </c>
      <c r="U1163" s="8" t="s">
        <v>33</v>
      </c>
      <c r="V1163" s="10">
        <v>612</v>
      </c>
      <c r="W1163" s="10">
        <v>17</v>
      </c>
      <c r="X1163" s="12">
        <v>3.4343434343434301E-2</v>
      </c>
      <c r="Y1163" s="8" t="b">
        <f>CleanedData[[#This Row],[Ship Date]]&lt;CleanedData[[#This Row],[Order Date]]</f>
        <v>1</v>
      </c>
      <c r="Z1163" s="10">
        <f>YEAR(CleanedData[[#This Row],[Order Date]])</f>
        <v>2023</v>
      </c>
      <c r="AA1163" s="8">
        <f>MONTH(CleanedData[[#This Row],[Order Date]])</f>
        <v>10</v>
      </c>
    </row>
    <row r="1164" spans="1:27" x14ac:dyDescent="0.35">
      <c r="A1164" s="8" t="s">
        <v>3204</v>
      </c>
      <c r="B1164" s="9">
        <v>45495</v>
      </c>
      <c r="C1164" s="9">
        <v>45551</v>
      </c>
      <c r="D1164" s="8" t="s">
        <v>3205</v>
      </c>
      <c r="E1164" s="8" t="s">
        <v>48</v>
      </c>
      <c r="F1164" s="8" t="s">
        <v>223</v>
      </c>
      <c r="G1164" s="8" t="s">
        <v>217</v>
      </c>
      <c r="H1164" s="8" t="s">
        <v>524</v>
      </c>
      <c r="I1164" s="8" t="s">
        <v>4979</v>
      </c>
      <c r="J1164" s="10">
        <v>762</v>
      </c>
      <c r="K1164" s="11">
        <v>1065.51</v>
      </c>
      <c r="L1164" s="11">
        <v>1686.25</v>
      </c>
      <c r="M1164" s="11">
        <v>1284922.5</v>
      </c>
      <c r="N1164" s="11">
        <v>811918.62</v>
      </c>
      <c r="O1164" s="11">
        <f>CleanedData[[#This Row],[Total Sales ($)]]-CleanedData[[#This Row],[Total Cost ($)]]</f>
        <v>473003.88</v>
      </c>
      <c r="P1164" s="12">
        <f>CleanedData[[#This Row],[Profit ($)]]/CleanedData[[#This Row],[Total Sales ($)]]</f>
        <v>0.36811860637509264</v>
      </c>
      <c r="Q1164" s="8" t="s">
        <v>31</v>
      </c>
      <c r="R1164" s="8" t="s">
        <v>32</v>
      </c>
      <c r="S1164" s="8" t="b">
        <f>_xlfn.SINGLE(CleanedData[[#This Row],[Delivery Status]])="Late"</f>
        <v>1</v>
      </c>
      <c r="T1164" s="10">
        <v>8</v>
      </c>
      <c r="U1164" s="8" t="s">
        <v>53</v>
      </c>
      <c r="V1164" s="10">
        <v>1475</v>
      </c>
      <c r="W1164" s="10">
        <v>23</v>
      </c>
      <c r="X1164" s="12">
        <v>3.01837270341207E-2</v>
      </c>
      <c r="Y1164" s="8" t="b">
        <f>CleanedData[[#This Row],[Ship Date]]&lt;CleanedData[[#This Row],[Order Date]]</f>
        <v>0</v>
      </c>
      <c r="Z1164" s="10">
        <f>YEAR(CleanedData[[#This Row],[Order Date]])</f>
        <v>2024</v>
      </c>
      <c r="AA1164" s="8">
        <f>MONTH(CleanedData[[#This Row],[Order Date]])</f>
        <v>7</v>
      </c>
    </row>
    <row r="1165" spans="1:27" x14ac:dyDescent="0.35">
      <c r="A1165" s="8" t="s">
        <v>3206</v>
      </c>
      <c r="B1165" s="9">
        <v>45118</v>
      </c>
      <c r="C1165" s="9">
        <v>44990</v>
      </c>
      <c r="D1165" s="8" t="s">
        <v>3207</v>
      </c>
      <c r="E1165" s="8" t="s">
        <v>58</v>
      </c>
      <c r="F1165" s="8" t="s">
        <v>122</v>
      </c>
      <c r="G1165" s="8" t="s">
        <v>50</v>
      </c>
      <c r="H1165" s="8" t="s">
        <v>51</v>
      </c>
      <c r="I1165" s="8" t="s">
        <v>4976</v>
      </c>
      <c r="J1165" s="10">
        <v>611</v>
      </c>
      <c r="K1165" s="11">
        <v>52.91</v>
      </c>
      <c r="L1165" s="11">
        <v>73.69</v>
      </c>
      <c r="M1165" s="11">
        <v>45024.59</v>
      </c>
      <c r="N1165" s="11">
        <v>32328.01</v>
      </c>
      <c r="O1165" s="11">
        <f>CleanedData[[#This Row],[Total Sales ($)]]-CleanedData[[#This Row],[Total Cost ($)]]</f>
        <v>12696.579999999998</v>
      </c>
      <c r="P1165" s="12">
        <f>CleanedData[[#This Row],[Profit ($)]]/CleanedData[[#This Row],[Total Sales ($)]]</f>
        <v>0.28199212918984934</v>
      </c>
      <c r="Q1165" s="8" t="s">
        <v>52</v>
      </c>
      <c r="R1165" s="8" t="s">
        <v>32</v>
      </c>
      <c r="S1165" s="8" t="b">
        <f>_xlfn.SINGLE(CleanedData[[#This Row],[Delivery Status]])="Late"</f>
        <v>1</v>
      </c>
      <c r="T1165" s="10">
        <v>13</v>
      </c>
      <c r="U1165" s="8" t="s">
        <v>33</v>
      </c>
      <c r="V1165" s="10">
        <v>1122</v>
      </c>
      <c r="W1165" s="10">
        <v>4</v>
      </c>
      <c r="X1165" s="12">
        <v>6.5466448445171002E-3</v>
      </c>
      <c r="Y1165" s="8" t="b">
        <f>CleanedData[[#This Row],[Ship Date]]&lt;CleanedData[[#This Row],[Order Date]]</f>
        <v>1</v>
      </c>
      <c r="Z1165" s="10">
        <f>YEAR(CleanedData[[#This Row],[Order Date]])</f>
        <v>2023</v>
      </c>
      <c r="AA1165" s="8">
        <f>MONTH(CleanedData[[#This Row],[Order Date]])</f>
        <v>7</v>
      </c>
    </row>
    <row r="1166" spans="1:27" x14ac:dyDescent="0.35">
      <c r="A1166" s="8" t="s">
        <v>3208</v>
      </c>
      <c r="B1166" s="9">
        <v>45462</v>
      </c>
      <c r="C1166" s="9">
        <v>45558</v>
      </c>
      <c r="D1166" s="8" t="s">
        <v>3209</v>
      </c>
      <c r="E1166" s="8" t="s">
        <v>68</v>
      </c>
      <c r="F1166" s="8" t="s">
        <v>146</v>
      </c>
      <c r="G1166" s="8" t="s">
        <v>60</v>
      </c>
      <c r="H1166" s="8" t="s">
        <v>780</v>
      </c>
      <c r="I1166" s="8" t="s">
        <v>4968</v>
      </c>
      <c r="J1166" s="10">
        <v>760</v>
      </c>
      <c r="K1166" s="11">
        <v>994.99</v>
      </c>
      <c r="L1166" s="11">
        <v>1172.26</v>
      </c>
      <c r="M1166" s="11">
        <v>890917.6</v>
      </c>
      <c r="N1166" s="11">
        <v>756192.4</v>
      </c>
      <c r="O1166" s="11">
        <f>CleanedData[[#This Row],[Total Sales ($)]]-CleanedData[[#This Row],[Total Cost ($)]]</f>
        <v>134725.19999999995</v>
      </c>
      <c r="P1166" s="12">
        <f>CleanedData[[#This Row],[Profit ($)]]/CleanedData[[#This Row],[Total Sales ($)]]</f>
        <v>0.15122071895313322</v>
      </c>
      <c r="Q1166" s="8" t="s">
        <v>31</v>
      </c>
      <c r="R1166" s="8" t="s">
        <v>32</v>
      </c>
      <c r="S1166" s="8" t="b">
        <f>_xlfn.SINGLE(CleanedData[[#This Row],[Delivery Status]])="Late"</f>
        <v>1</v>
      </c>
      <c r="T1166" s="10">
        <v>7</v>
      </c>
      <c r="U1166" s="8" t="s">
        <v>158</v>
      </c>
      <c r="V1166" s="10">
        <v>1514</v>
      </c>
      <c r="W1166" s="10">
        <v>24</v>
      </c>
      <c r="X1166" s="12">
        <v>3.1578947368420998E-2</v>
      </c>
      <c r="Y1166" s="8" t="b">
        <f>CleanedData[[#This Row],[Ship Date]]&lt;CleanedData[[#This Row],[Order Date]]</f>
        <v>0</v>
      </c>
      <c r="Z1166" s="10">
        <f>YEAR(CleanedData[[#This Row],[Order Date]])</f>
        <v>2024</v>
      </c>
      <c r="AA1166" s="8">
        <f>MONTH(CleanedData[[#This Row],[Order Date]])</f>
        <v>6</v>
      </c>
    </row>
    <row r="1167" spans="1:27" x14ac:dyDescent="0.35">
      <c r="A1167" s="8" t="s">
        <v>3210</v>
      </c>
      <c r="B1167" s="9">
        <v>45470</v>
      </c>
      <c r="C1167" s="9">
        <v>45261</v>
      </c>
      <c r="D1167" s="8" t="s">
        <v>2023</v>
      </c>
      <c r="E1167" s="8" t="s">
        <v>68</v>
      </c>
      <c r="F1167" s="8" t="s">
        <v>146</v>
      </c>
      <c r="G1167" s="8" t="s">
        <v>217</v>
      </c>
      <c r="H1167" s="8" t="s">
        <v>684</v>
      </c>
      <c r="I1167" s="8" t="s">
        <v>4971</v>
      </c>
      <c r="J1167" s="10">
        <v>466</v>
      </c>
      <c r="K1167" s="11">
        <v>174.9</v>
      </c>
      <c r="L1167" s="11">
        <v>286.3</v>
      </c>
      <c r="M1167" s="11">
        <v>133415.79999999999</v>
      </c>
      <c r="N1167" s="11">
        <v>81503.399999999994</v>
      </c>
      <c r="O1167" s="11">
        <f>CleanedData[[#This Row],[Total Sales ($)]]-CleanedData[[#This Row],[Total Cost ($)]]</f>
        <v>51912.399999999994</v>
      </c>
      <c r="P1167" s="12">
        <f>CleanedData[[#This Row],[Profit ($)]]/CleanedData[[#This Row],[Total Sales ($)]]</f>
        <v>0.38910234020258472</v>
      </c>
      <c r="Q1167" s="8" t="s">
        <v>95</v>
      </c>
      <c r="R1167" s="8" t="s">
        <v>32</v>
      </c>
      <c r="S1167" s="8" t="b">
        <f>_xlfn.SINGLE(CleanedData[[#This Row],[Delivery Status]])="Late"</f>
        <v>1</v>
      </c>
      <c r="T1167" s="10">
        <v>10</v>
      </c>
      <c r="U1167" s="8" t="s">
        <v>86</v>
      </c>
      <c r="V1167" s="10">
        <v>2183</v>
      </c>
      <c r="W1167" s="10">
        <v>13</v>
      </c>
      <c r="X1167" s="12">
        <v>2.7896995708154501E-2</v>
      </c>
      <c r="Y1167" s="8" t="b">
        <f>CleanedData[[#This Row],[Ship Date]]&lt;CleanedData[[#This Row],[Order Date]]</f>
        <v>1</v>
      </c>
      <c r="Z1167" s="10">
        <f>YEAR(CleanedData[[#This Row],[Order Date]])</f>
        <v>2024</v>
      </c>
      <c r="AA1167" s="8">
        <f>MONTH(CleanedData[[#This Row],[Order Date]])</f>
        <v>6</v>
      </c>
    </row>
    <row r="1168" spans="1:27" x14ac:dyDescent="0.35">
      <c r="A1168" s="8" t="s">
        <v>3212</v>
      </c>
      <c r="B1168" s="9">
        <v>45623</v>
      </c>
      <c r="C1168" s="9">
        <v>45359</v>
      </c>
      <c r="D1168" s="8" t="s">
        <v>3213</v>
      </c>
      <c r="E1168" s="8" t="s">
        <v>100</v>
      </c>
      <c r="F1168" s="8" t="s">
        <v>238</v>
      </c>
      <c r="G1168" s="8" t="s">
        <v>39</v>
      </c>
      <c r="H1168" s="8" t="s">
        <v>40</v>
      </c>
      <c r="I1168" s="8" t="s">
        <v>4969</v>
      </c>
      <c r="J1168" s="10">
        <v>435</v>
      </c>
      <c r="K1168" s="11">
        <v>667.96</v>
      </c>
      <c r="L1168" s="11">
        <v>1049.8499999999999</v>
      </c>
      <c r="M1168" s="11">
        <v>456684.75</v>
      </c>
      <c r="N1168" s="11">
        <v>290562.59999999998</v>
      </c>
      <c r="O1168" s="11">
        <f>CleanedData[[#This Row],[Total Sales ($)]]-CleanedData[[#This Row],[Total Cost ($)]]</f>
        <v>166122.15000000002</v>
      </c>
      <c r="P1168" s="12">
        <f>CleanedData[[#This Row],[Profit ($)]]/CleanedData[[#This Row],[Total Sales ($)]]</f>
        <v>0.36375672715149787</v>
      </c>
      <c r="Q1168" s="8" t="s">
        <v>95</v>
      </c>
      <c r="R1168" s="8" t="s">
        <v>32</v>
      </c>
      <c r="S1168" s="8" t="b">
        <f>_xlfn.SINGLE(CleanedData[[#This Row],[Delivery Status]])="Late"</f>
        <v>1</v>
      </c>
      <c r="T1168" s="10">
        <v>7</v>
      </c>
      <c r="U1168" s="8" t="s">
        <v>33</v>
      </c>
      <c r="V1168" s="10">
        <v>2981</v>
      </c>
      <c r="W1168" s="10">
        <v>12</v>
      </c>
      <c r="X1168" s="12">
        <v>2.7586206896551699E-2</v>
      </c>
      <c r="Y1168" s="8" t="b">
        <f>CleanedData[[#This Row],[Ship Date]]&lt;CleanedData[[#This Row],[Order Date]]</f>
        <v>1</v>
      </c>
      <c r="Z1168" s="10">
        <f>YEAR(CleanedData[[#This Row],[Order Date]])</f>
        <v>2024</v>
      </c>
      <c r="AA1168" s="8">
        <f>MONTH(CleanedData[[#This Row],[Order Date]])</f>
        <v>11</v>
      </c>
    </row>
    <row r="1169" spans="1:27" x14ac:dyDescent="0.35">
      <c r="A1169" s="8" t="s">
        <v>3214</v>
      </c>
      <c r="B1169" s="9">
        <v>45145</v>
      </c>
      <c r="C1169" s="9">
        <v>45083</v>
      </c>
      <c r="D1169" s="8" t="s">
        <v>3215</v>
      </c>
      <c r="E1169" s="8" t="s">
        <v>58</v>
      </c>
      <c r="F1169" s="8" t="s">
        <v>259</v>
      </c>
      <c r="G1169" s="8" t="s">
        <v>39</v>
      </c>
      <c r="H1169" s="8" t="s">
        <v>527</v>
      </c>
      <c r="I1169" s="8" t="s">
        <v>4975</v>
      </c>
      <c r="J1169" s="10">
        <v>41</v>
      </c>
      <c r="K1169" s="11">
        <v>413.46</v>
      </c>
      <c r="L1169" s="11">
        <v>521.35</v>
      </c>
      <c r="M1169" s="11">
        <v>21375.35</v>
      </c>
      <c r="N1169" s="11">
        <v>16951.86</v>
      </c>
      <c r="O1169" s="11">
        <f>CleanedData[[#This Row],[Total Sales ($)]]-CleanedData[[#This Row],[Total Cost ($)]]</f>
        <v>4423.489999999998</v>
      </c>
      <c r="P1169" s="12">
        <f>CleanedData[[#This Row],[Profit ($)]]/CleanedData[[#This Row],[Total Sales ($)]]</f>
        <v>0.20694351203606015</v>
      </c>
      <c r="Q1169" s="8" t="s">
        <v>42</v>
      </c>
      <c r="R1169" s="8" t="s">
        <v>32</v>
      </c>
      <c r="S1169" s="8" t="b">
        <f>_xlfn.SINGLE(CleanedData[[#This Row],[Delivery Status]])="Late"</f>
        <v>1</v>
      </c>
      <c r="T1169" s="10">
        <v>9</v>
      </c>
      <c r="U1169" s="8" t="s">
        <v>86</v>
      </c>
      <c r="V1169" s="10">
        <v>4344</v>
      </c>
      <c r="W1169" s="10">
        <v>2</v>
      </c>
      <c r="X1169" s="12">
        <v>4.8780487804878002E-2</v>
      </c>
      <c r="Y1169" s="8" t="b">
        <f>CleanedData[[#This Row],[Ship Date]]&lt;CleanedData[[#This Row],[Order Date]]</f>
        <v>1</v>
      </c>
      <c r="Z1169" s="10">
        <f>YEAR(CleanedData[[#This Row],[Order Date]])</f>
        <v>2023</v>
      </c>
      <c r="AA1169" s="8">
        <f>MONTH(CleanedData[[#This Row],[Order Date]])</f>
        <v>8</v>
      </c>
    </row>
    <row r="1170" spans="1:27" x14ac:dyDescent="0.35">
      <c r="A1170" s="8" t="s">
        <v>3216</v>
      </c>
      <c r="B1170" s="9">
        <v>45276</v>
      </c>
      <c r="C1170" s="9">
        <v>45277</v>
      </c>
      <c r="D1170" s="8" t="s">
        <v>3217</v>
      </c>
      <c r="E1170" s="8" t="s">
        <v>58</v>
      </c>
      <c r="F1170" s="8" t="s">
        <v>116</v>
      </c>
      <c r="G1170" s="8" t="s">
        <v>50</v>
      </c>
      <c r="H1170" s="8" t="s">
        <v>107</v>
      </c>
      <c r="I1170" s="8" t="s">
        <v>4977</v>
      </c>
      <c r="J1170" s="10">
        <v>37</v>
      </c>
      <c r="K1170" s="11">
        <v>812.15</v>
      </c>
      <c r="L1170" s="11">
        <v>1298.21</v>
      </c>
      <c r="M1170" s="11">
        <v>48033.77</v>
      </c>
      <c r="N1170" s="11">
        <v>30049.55</v>
      </c>
      <c r="O1170" s="11">
        <f>CleanedData[[#This Row],[Total Sales ($)]]-CleanedData[[#This Row],[Total Cost ($)]]</f>
        <v>17984.219999999998</v>
      </c>
      <c r="P1170" s="12">
        <f>CleanedData[[#This Row],[Profit ($)]]/CleanedData[[#This Row],[Total Sales ($)]]</f>
        <v>0.37440783848529896</v>
      </c>
      <c r="Q1170" s="8" t="s">
        <v>42</v>
      </c>
      <c r="R1170" s="8" t="s">
        <v>32</v>
      </c>
      <c r="S1170" s="8" t="b">
        <f>_xlfn.SINGLE(CleanedData[[#This Row],[Delivery Status]])="Late"</f>
        <v>1</v>
      </c>
      <c r="T1170" s="10">
        <v>10</v>
      </c>
      <c r="U1170" s="8" t="s">
        <v>53</v>
      </c>
      <c r="V1170" s="10">
        <v>63</v>
      </c>
      <c r="W1170" s="10">
        <v>0</v>
      </c>
      <c r="X1170" s="12">
        <v>0</v>
      </c>
      <c r="Y1170" s="8" t="b">
        <f>CleanedData[[#This Row],[Ship Date]]&lt;CleanedData[[#This Row],[Order Date]]</f>
        <v>0</v>
      </c>
      <c r="Z1170" s="10">
        <f>YEAR(CleanedData[[#This Row],[Order Date]])</f>
        <v>2023</v>
      </c>
      <c r="AA1170" s="8">
        <f>MONTH(CleanedData[[#This Row],[Order Date]])</f>
        <v>12</v>
      </c>
    </row>
    <row r="1171" spans="1:27" x14ac:dyDescent="0.35">
      <c r="A1171" s="8" t="s">
        <v>3218</v>
      </c>
      <c r="B1171" s="9">
        <v>45160</v>
      </c>
      <c r="C1171" s="9">
        <v>45125</v>
      </c>
      <c r="D1171" s="8" t="s">
        <v>3219</v>
      </c>
      <c r="E1171" s="8" t="s">
        <v>100</v>
      </c>
      <c r="F1171" s="8" t="s">
        <v>538</v>
      </c>
      <c r="G1171" s="8" t="s">
        <v>60</v>
      </c>
      <c r="H1171" s="8" t="s">
        <v>164</v>
      </c>
      <c r="I1171" s="8" t="s">
        <v>4977</v>
      </c>
      <c r="J1171" s="10">
        <v>230</v>
      </c>
      <c r="K1171" s="11">
        <v>841.43</v>
      </c>
      <c r="L1171" s="11">
        <v>1064.72</v>
      </c>
      <c r="M1171" s="11">
        <v>244885.6</v>
      </c>
      <c r="N1171" s="11">
        <v>193528.9</v>
      </c>
      <c r="O1171" s="11">
        <f>CleanedData[[#This Row],[Total Sales ($)]]-CleanedData[[#This Row],[Total Cost ($)]]</f>
        <v>51356.700000000012</v>
      </c>
      <c r="P1171" s="12">
        <f>CleanedData[[#This Row],[Profit ($)]]/CleanedData[[#This Row],[Total Sales ($)]]</f>
        <v>0.20971710872342028</v>
      </c>
      <c r="Q1171" s="8" t="s">
        <v>42</v>
      </c>
      <c r="R1171" s="8" t="s">
        <v>32</v>
      </c>
      <c r="S1171" s="8" t="b">
        <f>_xlfn.SINGLE(CleanedData[[#This Row],[Delivery Status]])="Late"</f>
        <v>1</v>
      </c>
      <c r="T1171" s="10">
        <v>9</v>
      </c>
      <c r="U1171" s="8" t="s">
        <v>33</v>
      </c>
      <c r="V1171" s="10">
        <v>1865</v>
      </c>
      <c r="W1171" s="10">
        <v>6</v>
      </c>
      <c r="X1171" s="12">
        <v>2.6086956521739101E-2</v>
      </c>
      <c r="Y1171" s="8" t="b">
        <f>CleanedData[[#This Row],[Ship Date]]&lt;CleanedData[[#This Row],[Order Date]]</f>
        <v>1</v>
      </c>
      <c r="Z1171" s="10">
        <f>YEAR(CleanedData[[#This Row],[Order Date]])</f>
        <v>2023</v>
      </c>
      <c r="AA1171" s="8">
        <f>MONTH(CleanedData[[#This Row],[Order Date]])</f>
        <v>8</v>
      </c>
    </row>
    <row r="1172" spans="1:27" x14ac:dyDescent="0.35">
      <c r="A1172" s="8" t="s">
        <v>3220</v>
      </c>
      <c r="B1172" s="9">
        <v>45022</v>
      </c>
      <c r="C1172" s="9">
        <v>45231</v>
      </c>
      <c r="D1172" s="8" t="s">
        <v>3221</v>
      </c>
      <c r="E1172" s="8" t="s">
        <v>100</v>
      </c>
      <c r="F1172" s="8" t="s">
        <v>106</v>
      </c>
      <c r="G1172" s="8" t="s">
        <v>50</v>
      </c>
      <c r="H1172" s="8" t="s">
        <v>51</v>
      </c>
      <c r="I1172" s="8" t="s">
        <v>4974</v>
      </c>
      <c r="J1172" s="10">
        <v>68</v>
      </c>
      <c r="K1172" s="11">
        <v>1018.27</v>
      </c>
      <c r="L1172" s="11">
        <v>1678.04</v>
      </c>
      <c r="M1172" s="11">
        <v>114106.72</v>
      </c>
      <c r="N1172" s="11">
        <v>69242.36</v>
      </c>
      <c r="O1172" s="11">
        <f>CleanedData[[#This Row],[Total Sales ($)]]-CleanedData[[#This Row],[Total Cost ($)]]</f>
        <v>44864.36</v>
      </c>
      <c r="P1172" s="12">
        <f>CleanedData[[#This Row],[Profit ($)]]/CleanedData[[#This Row],[Total Sales ($)]]</f>
        <v>0.39317894686658245</v>
      </c>
      <c r="Q1172" s="8" t="s">
        <v>95</v>
      </c>
      <c r="R1172" s="8" t="s">
        <v>63</v>
      </c>
      <c r="S1172" s="8" t="b">
        <f>_xlfn.SINGLE(CleanedData[[#This Row],[Delivery Status]])="Late"</f>
        <v>0</v>
      </c>
      <c r="T1172" s="10">
        <v>3</v>
      </c>
      <c r="U1172" s="8" t="s">
        <v>43</v>
      </c>
      <c r="V1172" s="10">
        <v>1932</v>
      </c>
      <c r="W1172" s="10">
        <v>0</v>
      </c>
      <c r="X1172" s="12">
        <v>0</v>
      </c>
      <c r="Y1172" s="8" t="b">
        <f>CleanedData[[#This Row],[Ship Date]]&lt;CleanedData[[#This Row],[Order Date]]</f>
        <v>0</v>
      </c>
      <c r="Z1172" s="10">
        <f>YEAR(CleanedData[[#This Row],[Order Date]])</f>
        <v>2023</v>
      </c>
      <c r="AA1172" s="8">
        <f>MONTH(CleanedData[[#This Row],[Order Date]])</f>
        <v>4</v>
      </c>
    </row>
    <row r="1173" spans="1:27" x14ac:dyDescent="0.35">
      <c r="A1173" s="8" t="s">
        <v>3222</v>
      </c>
      <c r="B1173" s="9">
        <v>45143</v>
      </c>
      <c r="C1173" s="9">
        <v>44953</v>
      </c>
      <c r="D1173" s="8" t="s">
        <v>3224</v>
      </c>
      <c r="E1173" s="8" t="s">
        <v>58</v>
      </c>
      <c r="F1173" s="8" t="s">
        <v>59</v>
      </c>
      <c r="G1173" s="8" t="s">
        <v>189</v>
      </c>
      <c r="H1173" s="8" t="s">
        <v>190</v>
      </c>
      <c r="I1173" s="8" t="s">
        <v>4974</v>
      </c>
      <c r="J1173" s="10">
        <v>125</v>
      </c>
      <c r="K1173" s="11">
        <v>592.79999999999995</v>
      </c>
      <c r="L1173" s="11">
        <v>857.85</v>
      </c>
      <c r="M1173" s="11">
        <v>107231.25</v>
      </c>
      <c r="N1173" s="11">
        <v>74100</v>
      </c>
      <c r="O1173" s="11">
        <f>CleanedData[[#This Row],[Total Sales ($)]]-CleanedData[[#This Row],[Total Cost ($)]]</f>
        <v>33131.25</v>
      </c>
      <c r="P1173" s="12">
        <f>CleanedData[[#This Row],[Profit ($)]]/CleanedData[[#This Row],[Total Sales ($)]]</f>
        <v>0.30897009966777411</v>
      </c>
      <c r="Q1173" s="8" t="s">
        <v>31</v>
      </c>
      <c r="R1173" s="8" t="s">
        <v>32</v>
      </c>
      <c r="S1173" s="8" t="b">
        <f>_xlfn.SINGLE(CleanedData[[#This Row],[Delivery Status]])="Late"</f>
        <v>1</v>
      </c>
      <c r="T1173" s="10">
        <v>12</v>
      </c>
      <c r="U1173" s="8" t="s">
        <v>112</v>
      </c>
      <c r="V1173" s="10">
        <v>1561</v>
      </c>
      <c r="W1173" s="10">
        <v>0</v>
      </c>
      <c r="X1173" s="12">
        <v>0</v>
      </c>
      <c r="Y1173" s="8" t="b">
        <f>CleanedData[[#This Row],[Ship Date]]&lt;CleanedData[[#This Row],[Order Date]]</f>
        <v>1</v>
      </c>
      <c r="Z1173" s="10">
        <f>YEAR(CleanedData[[#This Row],[Order Date]])</f>
        <v>2023</v>
      </c>
      <c r="AA1173" s="8">
        <f>MONTH(CleanedData[[#This Row],[Order Date]])</f>
        <v>8</v>
      </c>
    </row>
    <row r="1174" spans="1:27" x14ac:dyDescent="0.35">
      <c r="A1174" s="8" t="s">
        <v>3225</v>
      </c>
      <c r="B1174" s="9">
        <v>45158</v>
      </c>
      <c r="C1174" s="9">
        <v>45091</v>
      </c>
      <c r="D1174" s="8" t="s">
        <v>3226</v>
      </c>
      <c r="E1174" s="8" t="s">
        <v>58</v>
      </c>
      <c r="F1174" s="8" t="s">
        <v>116</v>
      </c>
      <c r="G1174" s="8" t="s">
        <v>60</v>
      </c>
      <c r="H1174" s="8" t="s">
        <v>61</v>
      </c>
      <c r="I1174" s="8" t="s">
        <v>4976</v>
      </c>
      <c r="J1174" s="10">
        <v>458</v>
      </c>
      <c r="K1174" s="11">
        <v>597.87</v>
      </c>
      <c r="L1174" s="11">
        <v>913.1</v>
      </c>
      <c r="M1174" s="11">
        <v>418199.8</v>
      </c>
      <c r="N1174" s="11">
        <v>273824.46000000002</v>
      </c>
      <c r="O1174" s="11">
        <f>CleanedData[[#This Row],[Total Sales ($)]]-CleanedData[[#This Row],[Total Cost ($)]]</f>
        <v>144375.33999999997</v>
      </c>
      <c r="P1174" s="12">
        <f>CleanedData[[#This Row],[Profit ($)]]/CleanedData[[#This Row],[Total Sales ($)]]</f>
        <v>0.34523053334793552</v>
      </c>
      <c r="Q1174" s="8" t="s">
        <v>42</v>
      </c>
      <c r="R1174" s="8" t="s">
        <v>63</v>
      </c>
      <c r="S1174" s="8" t="b">
        <f>_xlfn.SINGLE(CleanedData[[#This Row],[Delivery Status]])="Late"</f>
        <v>0</v>
      </c>
      <c r="T1174" s="10">
        <v>3</v>
      </c>
      <c r="U1174" s="8" t="s">
        <v>53</v>
      </c>
      <c r="V1174" s="10">
        <v>1863</v>
      </c>
      <c r="W1174" s="10">
        <v>22</v>
      </c>
      <c r="X1174" s="12">
        <v>4.8034934497816498E-2</v>
      </c>
      <c r="Y1174" s="8" t="b">
        <f>CleanedData[[#This Row],[Ship Date]]&lt;CleanedData[[#This Row],[Order Date]]</f>
        <v>1</v>
      </c>
      <c r="Z1174" s="10">
        <f>YEAR(CleanedData[[#This Row],[Order Date]])</f>
        <v>2023</v>
      </c>
      <c r="AA1174" s="8">
        <f>MONTH(CleanedData[[#This Row],[Order Date]])</f>
        <v>8</v>
      </c>
    </row>
    <row r="1175" spans="1:27" x14ac:dyDescent="0.35">
      <c r="A1175" s="8" t="s">
        <v>3228</v>
      </c>
      <c r="B1175" s="9">
        <v>45376</v>
      </c>
      <c r="C1175" s="9">
        <v>45618</v>
      </c>
      <c r="D1175" s="8" t="s">
        <v>3230</v>
      </c>
      <c r="E1175" s="8" t="s">
        <v>26</v>
      </c>
      <c r="F1175" s="8" t="s">
        <v>38</v>
      </c>
      <c r="G1175" s="8" t="s">
        <v>93</v>
      </c>
      <c r="H1175" s="8" t="s">
        <v>184</v>
      </c>
      <c r="I1175" s="8" t="s">
        <v>4979</v>
      </c>
      <c r="J1175" s="10">
        <v>554</v>
      </c>
      <c r="K1175" s="11">
        <v>846.86</v>
      </c>
      <c r="L1175" s="11">
        <v>1193.24</v>
      </c>
      <c r="M1175" s="11">
        <v>661054.96</v>
      </c>
      <c r="N1175" s="11">
        <v>469160.44</v>
      </c>
      <c r="O1175" s="11">
        <f>CleanedData[[#This Row],[Total Sales ($)]]-CleanedData[[#This Row],[Total Cost ($)]]</f>
        <v>191894.51999999996</v>
      </c>
      <c r="P1175" s="12">
        <f>CleanedData[[#This Row],[Profit ($)]]/CleanedData[[#This Row],[Total Sales ($)]]</f>
        <v>0.29028527370855817</v>
      </c>
      <c r="Q1175" s="8" t="s">
        <v>95</v>
      </c>
      <c r="R1175" s="8" t="s">
        <v>63</v>
      </c>
      <c r="S1175" s="8" t="b">
        <f>_xlfn.SINGLE(CleanedData[[#This Row],[Delivery Status]])="Late"</f>
        <v>0</v>
      </c>
      <c r="T1175" s="10">
        <v>0</v>
      </c>
      <c r="U1175" s="8" t="s">
        <v>53</v>
      </c>
      <c r="V1175" s="10">
        <v>2956</v>
      </c>
      <c r="W1175" s="10">
        <v>6</v>
      </c>
      <c r="X1175" s="12">
        <v>1.08303249097472E-2</v>
      </c>
      <c r="Y1175" s="8" t="b">
        <f>CleanedData[[#This Row],[Ship Date]]&lt;CleanedData[[#This Row],[Order Date]]</f>
        <v>0</v>
      </c>
      <c r="Z1175" s="10">
        <f>YEAR(CleanedData[[#This Row],[Order Date]])</f>
        <v>2024</v>
      </c>
      <c r="AA1175" s="8">
        <f>MONTH(CleanedData[[#This Row],[Order Date]])</f>
        <v>3</v>
      </c>
    </row>
    <row r="1176" spans="1:27" x14ac:dyDescent="0.35">
      <c r="A1176" s="8" t="s">
        <v>3231</v>
      </c>
      <c r="B1176" s="9">
        <v>45303</v>
      </c>
      <c r="C1176" s="9">
        <v>45618</v>
      </c>
      <c r="D1176" s="8" t="s">
        <v>3232</v>
      </c>
      <c r="E1176" s="8" t="s">
        <v>58</v>
      </c>
      <c r="F1176" s="8" t="s">
        <v>259</v>
      </c>
      <c r="G1176" s="8" t="s">
        <v>129</v>
      </c>
      <c r="H1176" s="8" t="s">
        <v>168</v>
      </c>
      <c r="I1176" s="8" t="s">
        <v>4974</v>
      </c>
      <c r="J1176" s="10">
        <v>324</v>
      </c>
      <c r="K1176" s="11">
        <v>162.88999999999999</v>
      </c>
      <c r="L1176" s="11">
        <v>209.63</v>
      </c>
      <c r="M1176" s="11">
        <v>67920.12</v>
      </c>
      <c r="N1176" s="11">
        <v>52776.36</v>
      </c>
      <c r="O1176" s="11">
        <f>CleanedData[[#This Row],[Total Sales ($)]]-CleanedData[[#This Row],[Total Cost ($)]]</f>
        <v>15143.759999999995</v>
      </c>
      <c r="P1176" s="12">
        <f>CleanedData[[#This Row],[Profit ($)]]/CleanedData[[#This Row],[Total Sales ($)]]</f>
        <v>0.22296427038114766</v>
      </c>
      <c r="Q1176" s="8" t="s">
        <v>42</v>
      </c>
      <c r="R1176" s="8" t="s">
        <v>32</v>
      </c>
      <c r="S1176" s="8" t="b">
        <f>_xlfn.SINGLE(CleanedData[[#This Row],[Delivery Status]])="Late"</f>
        <v>1</v>
      </c>
      <c r="T1176" s="10">
        <v>14</v>
      </c>
      <c r="U1176" s="8" t="s">
        <v>53</v>
      </c>
      <c r="V1176" s="10">
        <v>4431</v>
      </c>
      <c r="W1176" s="10">
        <v>4</v>
      </c>
      <c r="X1176" s="12">
        <v>1.23456790123456E-2</v>
      </c>
      <c r="Y1176" s="8" t="b">
        <f>CleanedData[[#This Row],[Ship Date]]&lt;CleanedData[[#This Row],[Order Date]]</f>
        <v>0</v>
      </c>
      <c r="Z1176" s="10">
        <f>YEAR(CleanedData[[#This Row],[Order Date]])</f>
        <v>2024</v>
      </c>
      <c r="AA1176" s="8">
        <f>MONTH(CleanedData[[#This Row],[Order Date]])</f>
        <v>1</v>
      </c>
    </row>
    <row r="1177" spans="1:27" x14ac:dyDescent="0.35">
      <c r="A1177" s="8" t="s">
        <v>1506</v>
      </c>
      <c r="B1177" s="9">
        <v>45251</v>
      </c>
      <c r="C1177" s="9">
        <v>44958</v>
      </c>
      <c r="D1177" s="8" t="s">
        <v>1507</v>
      </c>
      <c r="E1177" s="8" t="s">
        <v>68</v>
      </c>
      <c r="F1177" s="8" t="s">
        <v>146</v>
      </c>
      <c r="G1177" s="8" t="s">
        <v>28</v>
      </c>
      <c r="H1177" s="8" t="s">
        <v>29</v>
      </c>
      <c r="I1177" s="8" t="s">
        <v>4975</v>
      </c>
      <c r="J1177" s="10">
        <v>383</v>
      </c>
      <c r="K1177" s="11">
        <v>438.86</v>
      </c>
      <c r="L1177" s="11">
        <v>628.41999999999996</v>
      </c>
      <c r="M1177" s="11">
        <v>240684.86</v>
      </c>
      <c r="N1177" s="11">
        <v>168083.38</v>
      </c>
      <c r="O1177" s="11">
        <f>CleanedData[[#This Row],[Total Sales ($)]]-CleanedData[[#This Row],[Total Cost ($)]]</f>
        <v>72601.479999999981</v>
      </c>
      <c r="P1177" s="12">
        <f>CleanedData[[#This Row],[Profit ($)]]/CleanedData[[#This Row],[Total Sales ($)]]</f>
        <v>0.30164539639094867</v>
      </c>
      <c r="Q1177" s="8" t="s">
        <v>42</v>
      </c>
      <c r="R1177" s="8" t="s">
        <v>63</v>
      </c>
      <c r="S1177" s="8" t="b">
        <f>_xlfn.SINGLE(CleanedData[[#This Row],[Delivery Status]])="Late"</f>
        <v>0</v>
      </c>
      <c r="T1177" s="10">
        <v>2</v>
      </c>
      <c r="U1177" s="8" t="s">
        <v>112</v>
      </c>
      <c r="V1177" s="10">
        <v>2539</v>
      </c>
      <c r="W1177" s="10">
        <v>15</v>
      </c>
      <c r="X1177" s="12">
        <v>3.91644908616188E-2</v>
      </c>
      <c r="Y1177" s="8" t="b">
        <f>CleanedData[[#This Row],[Ship Date]]&lt;CleanedData[[#This Row],[Order Date]]</f>
        <v>1</v>
      </c>
      <c r="Z1177" s="10">
        <f>YEAR(CleanedData[[#This Row],[Order Date]])</f>
        <v>2023</v>
      </c>
      <c r="AA1177" s="8">
        <f>MONTH(CleanedData[[#This Row],[Order Date]])</f>
        <v>11</v>
      </c>
    </row>
    <row r="1178" spans="1:27" x14ac:dyDescent="0.35">
      <c r="A1178" s="8" t="s">
        <v>3234</v>
      </c>
      <c r="B1178" s="9">
        <v>45253</v>
      </c>
      <c r="C1178" s="9">
        <v>45017</v>
      </c>
      <c r="D1178" s="8" t="s">
        <v>1949</v>
      </c>
      <c r="E1178" s="8" t="s">
        <v>68</v>
      </c>
      <c r="F1178" s="8" t="s">
        <v>146</v>
      </c>
      <c r="G1178" s="8" t="s">
        <v>78</v>
      </c>
      <c r="H1178" s="8" t="s">
        <v>178</v>
      </c>
      <c r="I1178" s="8" t="s">
        <v>4978</v>
      </c>
      <c r="J1178" s="10">
        <v>347</v>
      </c>
      <c r="K1178" s="11">
        <v>239.4</v>
      </c>
      <c r="L1178" s="11">
        <v>377.31</v>
      </c>
      <c r="M1178" s="11">
        <v>130926.57</v>
      </c>
      <c r="N1178" s="11">
        <v>83071.8</v>
      </c>
      <c r="O1178" s="11">
        <f>CleanedData[[#This Row],[Total Sales ($)]]-CleanedData[[#This Row],[Total Cost ($)]]</f>
        <v>47854.770000000004</v>
      </c>
      <c r="P1178" s="12">
        <f>CleanedData[[#This Row],[Profit ($)]]/CleanedData[[#This Row],[Total Sales ($)]]</f>
        <v>0.36550846783811719</v>
      </c>
      <c r="Q1178" s="8" t="s">
        <v>31</v>
      </c>
      <c r="R1178" s="8" t="s">
        <v>32</v>
      </c>
      <c r="S1178" s="8" t="b">
        <f>_xlfn.SINGLE(CleanedData[[#This Row],[Delivery Status]])="Late"</f>
        <v>1</v>
      </c>
      <c r="T1178" s="10">
        <v>13</v>
      </c>
      <c r="U1178" s="8" t="s">
        <v>53</v>
      </c>
      <c r="V1178" s="10">
        <v>941</v>
      </c>
      <c r="W1178" s="10">
        <v>4</v>
      </c>
      <c r="X1178" s="12">
        <v>1.1527377521613799E-2</v>
      </c>
      <c r="Y1178" s="8" t="b">
        <f>CleanedData[[#This Row],[Ship Date]]&lt;CleanedData[[#This Row],[Order Date]]</f>
        <v>1</v>
      </c>
      <c r="Z1178" s="10">
        <f>YEAR(CleanedData[[#This Row],[Order Date]])</f>
        <v>2023</v>
      </c>
      <c r="AA1178" s="8">
        <f>MONTH(CleanedData[[#This Row],[Order Date]])</f>
        <v>11</v>
      </c>
    </row>
    <row r="1179" spans="1:27" x14ac:dyDescent="0.35">
      <c r="A1179" s="8" t="s">
        <v>3236</v>
      </c>
      <c r="B1179" s="9">
        <v>45283</v>
      </c>
      <c r="C1179" s="9">
        <v>45018</v>
      </c>
      <c r="D1179" s="8" t="s">
        <v>3238</v>
      </c>
      <c r="E1179" s="8" t="s">
        <v>68</v>
      </c>
      <c r="F1179" s="8" t="s">
        <v>146</v>
      </c>
      <c r="G1179" s="8" t="s">
        <v>39</v>
      </c>
      <c r="H1179" s="8" t="s">
        <v>477</v>
      </c>
      <c r="I1179" s="8" t="s">
        <v>4970</v>
      </c>
      <c r="J1179" s="10">
        <v>264</v>
      </c>
      <c r="K1179" s="11">
        <v>729.36</v>
      </c>
      <c r="L1179" s="11">
        <v>1014.81</v>
      </c>
      <c r="M1179" s="11">
        <v>267909.84000000003</v>
      </c>
      <c r="N1179" s="11">
        <v>192551.04000000001</v>
      </c>
      <c r="O1179" s="11">
        <f>CleanedData[[#This Row],[Total Sales ($)]]-CleanedData[[#This Row],[Total Cost ($)]]</f>
        <v>75358.800000000017</v>
      </c>
      <c r="P1179" s="12">
        <f>CleanedData[[#This Row],[Profit ($)]]/CleanedData[[#This Row],[Total Sales ($)]]</f>
        <v>0.28128418127531268</v>
      </c>
      <c r="Q1179" s="8" t="s">
        <v>42</v>
      </c>
      <c r="R1179" s="8" t="s">
        <v>32</v>
      </c>
      <c r="S1179" s="8" t="b">
        <f>_xlfn.SINGLE(CleanedData[[#This Row],[Delivery Status]])="Late"</f>
        <v>1</v>
      </c>
      <c r="T1179" s="10">
        <v>8</v>
      </c>
      <c r="U1179" s="8" t="s">
        <v>53</v>
      </c>
      <c r="V1179" s="10">
        <v>4023</v>
      </c>
      <c r="W1179" s="10">
        <v>12</v>
      </c>
      <c r="X1179" s="12">
        <v>4.54545454545454E-2</v>
      </c>
      <c r="Y1179" s="8" t="b">
        <f>CleanedData[[#This Row],[Ship Date]]&lt;CleanedData[[#This Row],[Order Date]]</f>
        <v>1</v>
      </c>
      <c r="Z1179" s="10">
        <f>YEAR(CleanedData[[#This Row],[Order Date]])</f>
        <v>2023</v>
      </c>
      <c r="AA1179" s="8">
        <f>MONTH(CleanedData[[#This Row],[Order Date]])</f>
        <v>12</v>
      </c>
    </row>
    <row r="1180" spans="1:27" x14ac:dyDescent="0.35">
      <c r="A1180" s="8" t="s">
        <v>3239</v>
      </c>
      <c r="B1180" s="9">
        <v>45129</v>
      </c>
      <c r="C1180" s="9">
        <v>45207</v>
      </c>
      <c r="D1180" s="8" t="s">
        <v>3240</v>
      </c>
      <c r="E1180" s="8" t="s">
        <v>68</v>
      </c>
      <c r="F1180" s="8" t="s">
        <v>163</v>
      </c>
      <c r="G1180" s="8" t="s">
        <v>129</v>
      </c>
      <c r="H1180" s="8" t="s">
        <v>130</v>
      </c>
      <c r="I1180" s="8" t="s">
        <v>4971</v>
      </c>
      <c r="J1180" s="10">
        <v>47</v>
      </c>
      <c r="K1180" s="11">
        <v>603.87</v>
      </c>
      <c r="L1180" s="11">
        <v>969.68</v>
      </c>
      <c r="M1180" s="11">
        <v>45574.96</v>
      </c>
      <c r="N1180" s="11">
        <v>28381.89</v>
      </c>
      <c r="O1180" s="11">
        <f>CleanedData[[#This Row],[Total Sales ($)]]-CleanedData[[#This Row],[Total Cost ($)]]</f>
        <v>17193.07</v>
      </c>
      <c r="P1180" s="12">
        <f>CleanedData[[#This Row],[Profit ($)]]/CleanedData[[#This Row],[Total Sales ($)]]</f>
        <v>0.377248164342876</v>
      </c>
      <c r="Q1180" s="8" t="s">
        <v>31</v>
      </c>
      <c r="R1180" s="8" t="s">
        <v>32</v>
      </c>
      <c r="S1180" s="8" t="b">
        <f>_xlfn.SINGLE(CleanedData[[#This Row],[Delivery Status]])="Late"</f>
        <v>1</v>
      </c>
      <c r="T1180" s="10">
        <v>8</v>
      </c>
      <c r="U1180" s="8" t="s">
        <v>33</v>
      </c>
      <c r="V1180" s="10">
        <v>4716</v>
      </c>
      <c r="W1180" s="10">
        <v>0</v>
      </c>
      <c r="X1180" s="12">
        <v>0</v>
      </c>
      <c r="Y1180" s="8" t="b">
        <f>CleanedData[[#This Row],[Ship Date]]&lt;CleanedData[[#This Row],[Order Date]]</f>
        <v>0</v>
      </c>
      <c r="Z1180" s="10">
        <f>YEAR(CleanedData[[#This Row],[Order Date]])</f>
        <v>2023</v>
      </c>
      <c r="AA1180" s="8">
        <f>MONTH(CleanedData[[#This Row],[Order Date]])</f>
        <v>7</v>
      </c>
    </row>
    <row r="1181" spans="1:27" x14ac:dyDescent="0.35">
      <c r="A1181" s="8" t="s">
        <v>3241</v>
      </c>
      <c r="B1181" s="9">
        <v>44962</v>
      </c>
      <c r="C1181" s="9">
        <v>45223</v>
      </c>
      <c r="D1181" s="8" t="s">
        <v>3242</v>
      </c>
      <c r="E1181" s="8" t="s">
        <v>68</v>
      </c>
      <c r="F1181" s="8" t="s">
        <v>146</v>
      </c>
      <c r="G1181" s="8" t="s">
        <v>39</v>
      </c>
      <c r="H1181" s="8" t="s">
        <v>354</v>
      </c>
      <c r="I1181" s="8" t="s">
        <v>4975</v>
      </c>
      <c r="J1181" s="10">
        <v>326</v>
      </c>
      <c r="K1181" s="11">
        <v>994.54</v>
      </c>
      <c r="L1181" s="11">
        <v>1498.2</v>
      </c>
      <c r="M1181" s="11">
        <v>488413.2</v>
      </c>
      <c r="N1181" s="11">
        <v>324220.03999999998</v>
      </c>
      <c r="O1181" s="11">
        <f>CleanedData[[#This Row],[Total Sales ($)]]-CleanedData[[#This Row],[Total Cost ($)]]</f>
        <v>164193.16000000003</v>
      </c>
      <c r="P1181" s="12">
        <f>CleanedData[[#This Row],[Profit ($)]]/CleanedData[[#This Row],[Total Sales ($)]]</f>
        <v>0.33617674542784681</v>
      </c>
      <c r="Q1181" s="8" t="s">
        <v>31</v>
      </c>
      <c r="R1181" s="8" t="s">
        <v>32</v>
      </c>
      <c r="S1181" s="8" t="b">
        <f>_xlfn.SINGLE(CleanedData[[#This Row],[Delivery Status]])="Late"</f>
        <v>1</v>
      </c>
      <c r="T1181" s="10">
        <v>15</v>
      </c>
      <c r="U1181" s="8" t="s">
        <v>158</v>
      </c>
      <c r="V1181" s="10">
        <v>4487</v>
      </c>
      <c r="W1181" s="10">
        <v>13</v>
      </c>
      <c r="X1181" s="12">
        <v>3.9877300613496897E-2</v>
      </c>
      <c r="Y1181" s="8" t="b">
        <f>CleanedData[[#This Row],[Ship Date]]&lt;CleanedData[[#This Row],[Order Date]]</f>
        <v>0</v>
      </c>
      <c r="Z1181" s="10">
        <f>YEAR(CleanedData[[#This Row],[Order Date]])</f>
        <v>2023</v>
      </c>
      <c r="AA1181" s="8">
        <f>MONTH(CleanedData[[#This Row],[Order Date]])</f>
        <v>2</v>
      </c>
    </row>
    <row r="1182" spans="1:27" x14ac:dyDescent="0.35">
      <c r="A1182" s="8" t="s">
        <v>3243</v>
      </c>
      <c r="B1182" s="9">
        <v>45339</v>
      </c>
      <c r="C1182" s="9">
        <v>45332</v>
      </c>
      <c r="D1182" s="8" t="s">
        <v>3244</v>
      </c>
      <c r="E1182" s="8" t="s">
        <v>68</v>
      </c>
      <c r="F1182" s="8" t="s">
        <v>276</v>
      </c>
      <c r="G1182" s="8" t="s">
        <v>28</v>
      </c>
      <c r="H1182" s="8" t="s">
        <v>111</v>
      </c>
      <c r="I1182" s="8" t="s">
        <v>4974</v>
      </c>
      <c r="J1182" s="10">
        <v>432</v>
      </c>
      <c r="K1182" s="11">
        <v>630.39</v>
      </c>
      <c r="L1182" s="11">
        <v>1019.78</v>
      </c>
      <c r="M1182" s="11">
        <v>440544.96</v>
      </c>
      <c r="N1182" s="11">
        <v>272328.48</v>
      </c>
      <c r="O1182" s="11">
        <f>CleanedData[[#This Row],[Total Sales ($)]]-CleanedData[[#This Row],[Total Cost ($)]]</f>
        <v>168216.48000000004</v>
      </c>
      <c r="P1182" s="12">
        <f>CleanedData[[#This Row],[Profit ($)]]/CleanedData[[#This Row],[Total Sales ($)]]</f>
        <v>0.38183725901665072</v>
      </c>
      <c r="Q1182" s="8" t="s">
        <v>95</v>
      </c>
      <c r="R1182" s="8" t="s">
        <v>32</v>
      </c>
      <c r="S1182" s="8" t="b">
        <f>_xlfn.SINGLE(CleanedData[[#This Row],[Delivery Status]])="Late"</f>
        <v>1</v>
      </c>
      <c r="T1182" s="10">
        <v>11</v>
      </c>
      <c r="U1182" s="8" t="s">
        <v>86</v>
      </c>
      <c r="V1182" s="10">
        <v>2525</v>
      </c>
      <c r="W1182" s="10">
        <v>20</v>
      </c>
      <c r="X1182" s="12">
        <v>4.6296296296296197E-2</v>
      </c>
      <c r="Y1182" s="8" t="b">
        <f>CleanedData[[#This Row],[Ship Date]]&lt;CleanedData[[#This Row],[Order Date]]</f>
        <v>1</v>
      </c>
      <c r="Z1182" s="10">
        <f>YEAR(CleanedData[[#This Row],[Order Date]])</f>
        <v>2024</v>
      </c>
      <c r="AA1182" s="8">
        <f>MONTH(CleanedData[[#This Row],[Order Date]])</f>
        <v>2</v>
      </c>
    </row>
    <row r="1183" spans="1:27" x14ac:dyDescent="0.35">
      <c r="A1183" s="8" t="s">
        <v>3245</v>
      </c>
      <c r="B1183" s="9">
        <v>45099</v>
      </c>
      <c r="C1183" s="9">
        <v>44979</v>
      </c>
      <c r="D1183" s="8" t="s">
        <v>3246</v>
      </c>
      <c r="E1183" s="8" t="s">
        <v>48</v>
      </c>
      <c r="F1183" s="8" t="s">
        <v>281</v>
      </c>
      <c r="G1183" s="8" t="s">
        <v>93</v>
      </c>
      <c r="H1183" s="8" t="s">
        <v>485</v>
      </c>
      <c r="I1183" s="8" t="s">
        <v>4975</v>
      </c>
      <c r="J1183" s="10">
        <v>320</v>
      </c>
      <c r="K1183" s="11">
        <v>154.34</v>
      </c>
      <c r="L1183" s="11">
        <v>237.3</v>
      </c>
      <c r="M1183" s="11">
        <v>75936</v>
      </c>
      <c r="N1183" s="11">
        <v>49388.800000000003</v>
      </c>
      <c r="O1183" s="11">
        <f>CleanedData[[#This Row],[Total Sales ($)]]-CleanedData[[#This Row],[Total Cost ($)]]</f>
        <v>26547.199999999997</v>
      </c>
      <c r="P1183" s="12">
        <f>CleanedData[[#This Row],[Profit ($)]]/CleanedData[[#This Row],[Total Sales ($)]]</f>
        <v>0.34959966287399913</v>
      </c>
      <c r="Q1183" s="8" t="s">
        <v>42</v>
      </c>
      <c r="R1183" s="8" t="s">
        <v>32</v>
      </c>
      <c r="S1183" s="8" t="b">
        <f>_xlfn.SINGLE(CleanedData[[#This Row],[Delivery Status]])="Late"</f>
        <v>1</v>
      </c>
      <c r="T1183" s="10">
        <v>7</v>
      </c>
      <c r="U1183" s="8" t="s">
        <v>43</v>
      </c>
      <c r="V1183" s="10">
        <v>1324</v>
      </c>
      <c r="W1183" s="10">
        <v>0</v>
      </c>
      <c r="X1183" s="12">
        <v>0</v>
      </c>
      <c r="Y1183" s="8" t="b">
        <f>CleanedData[[#This Row],[Ship Date]]&lt;CleanedData[[#This Row],[Order Date]]</f>
        <v>1</v>
      </c>
      <c r="Z1183" s="10">
        <f>YEAR(CleanedData[[#This Row],[Order Date]])</f>
        <v>2023</v>
      </c>
      <c r="AA1183" s="8">
        <f>MONTH(CleanedData[[#This Row],[Order Date]])</f>
        <v>6</v>
      </c>
    </row>
    <row r="1184" spans="1:27" x14ac:dyDescent="0.35">
      <c r="A1184" s="8" t="s">
        <v>3247</v>
      </c>
      <c r="B1184" s="9">
        <v>45277</v>
      </c>
      <c r="C1184" s="9">
        <v>45159</v>
      </c>
      <c r="D1184" s="8" t="s">
        <v>3248</v>
      </c>
      <c r="E1184" s="8" t="s">
        <v>48</v>
      </c>
      <c r="F1184" s="8" t="s">
        <v>49</v>
      </c>
      <c r="G1184" s="8" t="s">
        <v>28</v>
      </c>
      <c r="H1184" s="8" t="s">
        <v>111</v>
      </c>
      <c r="I1184" s="8" t="s">
        <v>4977</v>
      </c>
      <c r="J1184" s="10">
        <v>246</v>
      </c>
      <c r="K1184" s="11">
        <v>655.53</v>
      </c>
      <c r="L1184" s="11">
        <v>1038.47</v>
      </c>
      <c r="M1184" s="11">
        <v>255463.62</v>
      </c>
      <c r="N1184" s="11">
        <v>161260.38</v>
      </c>
      <c r="O1184" s="11">
        <f>CleanedData[[#This Row],[Total Sales ($)]]-CleanedData[[#This Row],[Total Cost ($)]]</f>
        <v>94203.239999999991</v>
      </c>
      <c r="P1184" s="12">
        <f>CleanedData[[#This Row],[Profit ($)]]/CleanedData[[#This Row],[Total Sales ($)]]</f>
        <v>0.36875403237455101</v>
      </c>
      <c r="Q1184" s="8" t="s">
        <v>95</v>
      </c>
      <c r="R1184" s="8" t="s">
        <v>32</v>
      </c>
      <c r="S1184" s="8" t="b">
        <f>_xlfn.SINGLE(CleanedData[[#This Row],[Delivery Status]])="Late"</f>
        <v>1</v>
      </c>
      <c r="T1184" s="10">
        <v>15</v>
      </c>
      <c r="U1184" s="8" t="s">
        <v>53</v>
      </c>
      <c r="V1184" s="10">
        <v>3967</v>
      </c>
      <c r="W1184" s="10">
        <v>5</v>
      </c>
      <c r="X1184" s="12">
        <v>2.0325203252032499E-2</v>
      </c>
      <c r="Y1184" s="8" t="b">
        <f>CleanedData[[#This Row],[Ship Date]]&lt;CleanedData[[#This Row],[Order Date]]</f>
        <v>1</v>
      </c>
      <c r="Z1184" s="10">
        <f>YEAR(CleanedData[[#This Row],[Order Date]])</f>
        <v>2023</v>
      </c>
      <c r="AA1184" s="8">
        <f>MONTH(CleanedData[[#This Row],[Order Date]])</f>
        <v>12</v>
      </c>
    </row>
    <row r="1185" spans="1:27" x14ac:dyDescent="0.35">
      <c r="A1185" s="8" t="s">
        <v>3249</v>
      </c>
      <c r="B1185" s="9">
        <v>45048</v>
      </c>
      <c r="C1185" s="9">
        <v>45284</v>
      </c>
      <c r="D1185" s="8" t="s">
        <v>2135</v>
      </c>
      <c r="E1185" s="8" t="s">
        <v>58</v>
      </c>
      <c r="F1185" s="8" t="s">
        <v>59</v>
      </c>
      <c r="G1185" s="8" t="s">
        <v>217</v>
      </c>
      <c r="H1185" s="8" t="s">
        <v>340</v>
      </c>
      <c r="I1185" s="8" t="s">
        <v>4968</v>
      </c>
      <c r="J1185" s="10">
        <v>94</v>
      </c>
      <c r="K1185" s="11">
        <v>57.28</v>
      </c>
      <c r="L1185" s="11">
        <v>76.849999999999994</v>
      </c>
      <c r="M1185" s="11">
        <v>7223.9</v>
      </c>
      <c r="N1185" s="11">
        <v>5384.32</v>
      </c>
      <c r="O1185" s="11">
        <f>CleanedData[[#This Row],[Total Sales ($)]]-CleanedData[[#This Row],[Total Cost ($)]]</f>
        <v>1839.58</v>
      </c>
      <c r="P1185" s="12">
        <f>CleanedData[[#This Row],[Profit ($)]]/CleanedData[[#This Row],[Total Sales ($)]]</f>
        <v>0.25465191932335718</v>
      </c>
      <c r="Q1185" s="8" t="s">
        <v>31</v>
      </c>
      <c r="R1185" s="8" t="s">
        <v>32</v>
      </c>
      <c r="S1185" s="8" t="b">
        <f>_xlfn.SINGLE(CleanedData[[#This Row],[Delivery Status]])="Late"</f>
        <v>1</v>
      </c>
      <c r="T1185" s="10">
        <v>10</v>
      </c>
      <c r="U1185" s="8" t="s">
        <v>158</v>
      </c>
      <c r="V1185" s="10">
        <v>2569</v>
      </c>
      <c r="W1185" s="10">
        <v>1</v>
      </c>
      <c r="X1185" s="12">
        <v>1.0638297872340399E-2</v>
      </c>
      <c r="Y1185" s="8" t="b">
        <f>CleanedData[[#This Row],[Ship Date]]&lt;CleanedData[[#This Row],[Order Date]]</f>
        <v>0</v>
      </c>
      <c r="Z1185" s="10">
        <f>YEAR(CleanedData[[#This Row],[Order Date]])</f>
        <v>2023</v>
      </c>
      <c r="AA1185" s="8">
        <f>MONTH(CleanedData[[#This Row],[Order Date]])</f>
        <v>5</v>
      </c>
    </row>
    <row r="1186" spans="1:27" x14ac:dyDescent="0.35">
      <c r="A1186" s="8" t="s">
        <v>3250</v>
      </c>
      <c r="B1186" s="9">
        <v>44963</v>
      </c>
      <c r="C1186" s="9">
        <v>45200</v>
      </c>
      <c r="D1186" s="8" t="s">
        <v>3251</v>
      </c>
      <c r="E1186" s="8" t="s">
        <v>48</v>
      </c>
      <c r="F1186" s="8" t="s">
        <v>270</v>
      </c>
      <c r="G1186" s="8" t="s">
        <v>70</v>
      </c>
      <c r="H1186" s="8" t="s">
        <v>822</v>
      </c>
      <c r="I1186" s="8" t="s">
        <v>4972</v>
      </c>
      <c r="J1186" s="10">
        <v>424</v>
      </c>
      <c r="K1186" s="11">
        <v>115.65</v>
      </c>
      <c r="L1186" s="11">
        <v>171.87</v>
      </c>
      <c r="M1186" s="11">
        <v>72872.88</v>
      </c>
      <c r="N1186" s="11">
        <v>49035.6</v>
      </c>
      <c r="O1186" s="11">
        <f>CleanedData[[#This Row],[Total Sales ($)]]-CleanedData[[#This Row],[Total Cost ($)]]</f>
        <v>23837.280000000006</v>
      </c>
      <c r="P1186" s="12">
        <f>CleanedData[[#This Row],[Profit ($)]]/CleanedData[[#This Row],[Total Sales ($)]]</f>
        <v>0.32710769767847797</v>
      </c>
      <c r="Q1186" s="8" t="s">
        <v>52</v>
      </c>
      <c r="R1186" s="8" t="s">
        <v>32</v>
      </c>
      <c r="S1186" s="8" t="b">
        <f>_xlfn.SINGLE(CleanedData[[#This Row],[Delivery Status]])="Late"</f>
        <v>1</v>
      </c>
      <c r="T1186" s="10">
        <v>8</v>
      </c>
      <c r="U1186" s="8" t="s">
        <v>33</v>
      </c>
      <c r="V1186" s="10">
        <v>4448</v>
      </c>
      <c r="W1186" s="10">
        <v>6</v>
      </c>
      <c r="X1186" s="12">
        <v>1.41509433962264E-2</v>
      </c>
      <c r="Y1186" s="8" t="b">
        <f>CleanedData[[#This Row],[Ship Date]]&lt;CleanedData[[#This Row],[Order Date]]</f>
        <v>0</v>
      </c>
      <c r="Z1186" s="10">
        <f>YEAR(CleanedData[[#This Row],[Order Date]])</f>
        <v>2023</v>
      </c>
      <c r="AA1186" s="8">
        <f>MONTH(CleanedData[[#This Row],[Order Date]])</f>
        <v>2</v>
      </c>
    </row>
    <row r="1187" spans="1:27" x14ac:dyDescent="0.35">
      <c r="A1187" s="8" t="s">
        <v>3252</v>
      </c>
      <c r="B1187" s="9">
        <v>45057</v>
      </c>
      <c r="C1187" s="9">
        <v>44929</v>
      </c>
      <c r="D1187" s="8" t="s">
        <v>3253</v>
      </c>
      <c r="E1187" s="8" t="s">
        <v>58</v>
      </c>
      <c r="F1187" s="8" t="s">
        <v>122</v>
      </c>
      <c r="G1187" s="8" t="s">
        <v>189</v>
      </c>
      <c r="H1187" s="8" t="s">
        <v>190</v>
      </c>
      <c r="I1187" s="8" t="s">
        <v>4967</v>
      </c>
      <c r="J1187" s="10">
        <v>631</v>
      </c>
      <c r="K1187" s="11">
        <v>566.48</v>
      </c>
      <c r="L1187" s="11">
        <v>722.93</v>
      </c>
      <c r="M1187" s="11">
        <v>456168.83</v>
      </c>
      <c r="N1187" s="11">
        <v>357448.88</v>
      </c>
      <c r="O1187" s="11">
        <f>CleanedData[[#This Row],[Total Sales ($)]]-CleanedData[[#This Row],[Total Cost ($)]]</f>
        <v>98719.950000000012</v>
      </c>
      <c r="P1187" s="12">
        <f>CleanedData[[#This Row],[Profit ($)]]/CleanedData[[#This Row],[Total Sales ($)]]</f>
        <v>0.2164109941488111</v>
      </c>
      <c r="Q1187" s="8" t="s">
        <v>95</v>
      </c>
      <c r="R1187" s="8" t="s">
        <v>32</v>
      </c>
      <c r="S1187" s="8" t="b">
        <f>_xlfn.SINGLE(CleanedData[[#This Row],[Delivery Status]])="Late"</f>
        <v>1</v>
      </c>
      <c r="T1187" s="10">
        <v>9</v>
      </c>
      <c r="U1187" s="8" t="s">
        <v>86</v>
      </c>
      <c r="V1187" s="10">
        <v>2324</v>
      </c>
      <c r="W1187" s="10">
        <v>31</v>
      </c>
      <c r="X1187" s="12">
        <v>4.9128367670364499E-2</v>
      </c>
      <c r="Y1187" s="8" t="b">
        <f>CleanedData[[#This Row],[Ship Date]]&lt;CleanedData[[#This Row],[Order Date]]</f>
        <v>1</v>
      </c>
      <c r="Z1187" s="10">
        <f>YEAR(CleanedData[[#This Row],[Order Date]])</f>
        <v>2023</v>
      </c>
      <c r="AA1187" s="8">
        <f>MONTH(CleanedData[[#This Row],[Order Date]])</f>
        <v>5</v>
      </c>
    </row>
    <row r="1188" spans="1:27" x14ac:dyDescent="0.35">
      <c r="A1188" s="8" t="s">
        <v>3254</v>
      </c>
      <c r="B1188" s="9">
        <v>45231</v>
      </c>
      <c r="C1188" s="9">
        <v>45173</v>
      </c>
      <c r="D1188" s="8" t="s">
        <v>3255</v>
      </c>
      <c r="E1188" s="8" t="s">
        <v>48</v>
      </c>
      <c r="F1188" s="8" t="s">
        <v>183</v>
      </c>
      <c r="G1188" s="8" t="s">
        <v>70</v>
      </c>
      <c r="H1188" s="8" t="s">
        <v>1019</v>
      </c>
      <c r="I1188" s="8" t="s">
        <v>4974</v>
      </c>
      <c r="J1188" s="10">
        <v>787</v>
      </c>
      <c r="K1188" s="11">
        <v>1181.78</v>
      </c>
      <c r="L1188" s="11">
        <v>1724.52</v>
      </c>
      <c r="M1188" s="11">
        <v>1357197.24</v>
      </c>
      <c r="N1188" s="11">
        <v>930060.86</v>
      </c>
      <c r="O1188" s="11">
        <f>CleanedData[[#This Row],[Total Sales ($)]]-CleanedData[[#This Row],[Total Cost ($)]]</f>
        <v>427136.38</v>
      </c>
      <c r="P1188" s="12">
        <f>CleanedData[[#This Row],[Profit ($)]]/CleanedData[[#This Row],[Total Sales ($)]]</f>
        <v>0.31471945816806995</v>
      </c>
      <c r="Q1188" s="8" t="s">
        <v>52</v>
      </c>
      <c r="R1188" s="8" t="s">
        <v>32</v>
      </c>
      <c r="S1188" s="8" t="b">
        <f>_xlfn.SINGLE(CleanedData[[#This Row],[Delivery Status]])="Late"</f>
        <v>1</v>
      </c>
      <c r="T1188" s="10">
        <v>13</v>
      </c>
      <c r="U1188" s="8" t="s">
        <v>112</v>
      </c>
      <c r="V1188" s="10">
        <v>4730</v>
      </c>
      <c r="W1188" s="10">
        <v>33</v>
      </c>
      <c r="X1188" s="12">
        <v>4.1931385006353197E-2</v>
      </c>
      <c r="Y1188" s="8" t="b">
        <f>CleanedData[[#This Row],[Ship Date]]&lt;CleanedData[[#This Row],[Order Date]]</f>
        <v>1</v>
      </c>
      <c r="Z1188" s="10">
        <f>YEAR(CleanedData[[#This Row],[Order Date]])</f>
        <v>2023</v>
      </c>
      <c r="AA1188" s="8">
        <f>MONTH(CleanedData[[#This Row],[Order Date]])</f>
        <v>11</v>
      </c>
    </row>
    <row r="1189" spans="1:27" x14ac:dyDescent="0.35">
      <c r="A1189" s="8" t="s">
        <v>3256</v>
      </c>
      <c r="B1189" s="9">
        <v>45055</v>
      </c>
      <c r="C1189" s="9">
        <v>44932</v>
      </c>
      <c r="D1189" s="8" t="s">
        <v>3257</v>
      </c>
      <c r="E1189" s="8" t="s">
        <v>68</v>
      </c>
      <c r="F1189" s="8" t="s">
        <v>69</v>
      </c>
      <c r="G1189" s="8" t="s">
        <v>28</v>
      </c>
      <c r="H1189" s="8" t="s">
        <v>714</v>
      </c>
      <c r="I1189" s="8" t="s">
        <v>4971</v>
      </c>
      <c r="J1189" s="10">
        <v>796</v>
      </c>
      <c r="K1189" s="11">
        <v>522.99</v>
      </c>
      <c r="L1189" s="11">
        <v>730.67</v>
      </c>
      <c r="M1189" s="11">
        <v>581613.31999999995</v>
      </c>
      <c r="N1189" s="11">
        <v>416300.04</v>
      </c>
      <c r="O1189" s="11">
        <f>CleanedData[[#This Row],[Total Sales ($)]]-CleanedData[[#This Row],[Total Cost ($)]]</f>
        <v>165313.27999999997</v>
      </c>
      <c r="P1189" s="12">
        <f>CleanedData[[#This Row],[Profit ($)]]/CleanedData[[#This Row],[Total Sales ($)]]</f>
        <v>0.28423227996222644</v>
      </c>
      <c r="Q1189" s="8" t="s">
        <v>42</v>
      </c>
      <c r="R1189" s="8" t="s">
        <v>32</v>
      </c>
      <c r="S1189" s="8" t="b">
        <f>_xlfn.SINGLE(CleanedData[[#This Row],[Delivery Status]])="Late"</f>
        <v>1</v>
      </c>
      <c r="T1189" s="10">
        <v>15</v>
      </c>
      <c r="U1189" s="8" t="s">
        <v>86</v>
      </c>
      <c r="V1189" s="10">
        <v>1802</v>
      </c>
      <c r="W1189" s="10">
        <v>25</v>
      </c>
      <c r="X1189" s="12">
        <v>3.1407035175879297E-2</v>
      </c>
      <c r="Y1189" s="8" t="b">
        <f>CleanedData[[#This Row],[Ship Date]]&lt;CleanedData[[#This Row],[Order Date]]</f>
        <v>1</v>
      </c>
      <c r="Z1189" s="10">
        <f>YEAR(CleanedData[[#This Row],[Order Date]])</f>
        <v>2023</v>
      </c>
      <c r="AA1189" s="8">
        <f>MONTH(CleanedData[[#This Row],[Order Date]])</f>
        <v>5</v>
      </c>
    </row>
    <row r="1190" spans="1:27" x14ac:dyDescent="0.35">
      <c r="A1190" s="8" t="s">
        <v>3258</v>
      </c>
      <c r="B1190" s="9">
        <v>45052</v>
      </c>
      <c r="C1190" s="9">
        <v>45202</v>
      </c>
      <c r="D1190" s="8" t="s">
        <v>1234</v>
      </c>
      <c r="E1190" s="8" t="s">
        <v>48</v>
      </c>
      <c r="F1190" s="8" t="s">
        <v>49</v>
      </c>
      <c r="G1190" s="8" t="s">
        <v>129</v>
      </c>
      <c r="H1190" s="8" t="s">
        <v>152</v>
      </c>
      <c r="I1190" s="8" t="s">
        <v>4967</v>
      </c>
      <c r="J1190" s="10">
        <v>433</v>
      </c>
      <c r="K1190" s="11">
        <v>200.86</v>
      </c>
      <c r="L1190" s="11">
        <v>287.87</v>
      </c>
      <c r="M1190" s="11">
        <v>124647.71</v>
      </c>
      <c r="N1190" s="11">
        <v>86972.38</v>
      </c>
      <c r="O1190" s="11">
        <f>CleanedData[[#This Row],[Total Sales ($)]]-CleanedData[[#This Row],[Total Cost ($)]]</f>
        <v>37675.33</v>
      </c>
      <c r="P1190" s="12">
        <f>CleanedData[[#This Row],[Profit ($)]]/CleanedData[[#This Row],[Total Sales ($)]]</f>
        <v>0.30225448987390141</v>
      </c>
      <c r="Q1190" s="8" t="s">
        <v>31</v>
      </c>
      <c r="R1190" s="8" t="s">
        <v>32</v>
      </c>
      <c r="S1190" s="8" t="b">
        <f>_xlfn.SINGLE(CleanedData[[#This Row],[Delivery Status]])="Late"</f>
        <v>1</v>
      </c>
      <c r="T1190" s="10">
        <v>10</v>
      </c>
      <c r="U1190" s="8" t="s">
        <v>112</v>
      </c>
      <c r="V1190" s="10">
        <v>2501.41</v>
      </c>
      <c r="W1190" s="10">
        <v>12</v>
      </c>
      <c r="X1190" s="12">
        <v>2.7713625866050799E-2</v>
      </c>
      <c r="Y1190" s="8" t="b">
        <f>CleanedData[[#This Row],[Ship Date]]&lt;CleanedData[[#This Row],[Order Date]]</f>
        <v>0</v>
      </c>
      <c r="Z1190" s="10">
        <f>YEAR(CleanedData[[#This Row],[Order Date]])</f>
        <v>2023</v>
      </c>
      <c r="AA1190" s="8">
        <f>MONTH(CleanedData[[#This Row],[Order Date]])</f>
        <v>5</v>
      </c>
    </row>
    <row r="1191" spans="1:27" x14ac:dyDescent="0.35">
      <c r="A1191" s="8" t="s">
        <v>3259</v>
      </c>
      <c r="B1191" s="9">
        <v>45579</v>
      </c>
      <c r="C1191" s="9">
        <v>45360</v>
      </c>
      <c r="D1191" s="8" t="s">
        <v>3261</v>
      </c>
      <c r="E1191" s="8" t="s">
        <v>58</v>
      </c>
      <c r="F1191" s="8" t="s">
        <v>59</v>
      </c>
      <c r="G1191" s="8" t="s">
        <v>60</v>
      </c>
      <c r="H1191" s="8" t="s">
        <v>539</v>
      </c>
      <c r="I1191" s="8" t="s">
        <v>4977</v>
      </c>
      <c r="J1191" s="10">
        <v>412</v>
      </c>
      <c r="K1191" s="11">
        <v>221.16</v>
      </c>
      <c r="L1191" s="11">
        <v>311.05</v>
      </c>
      <c r="M1191" s="11">
        <v>128152.6</v>
      </c>
      <c r="N1191" s="11">
        <v>91117.92</v>
      </c>
      <c r="O1191" s="11">
        <f>CleanedData[[#This Row],[Total Sales ($)]]-CleanedData[[#This Row],[Total Cost ($)]]</f>
        <v>37034.680000000008</v>
      </c>
      <c r="P1191" s="12">
        <f>CleanedData[[#This Row],[Profit ($)]]/CleanedData[[#This Row],[Total Sales ($)]]</f>
        <v>0.28898890853560527</v>
      </c>
      <c r="Q1191" s="8" t="s">
        <v>95</v>
      </c>
      <c r="R1191" s="8" t="s">
        <v>32</v>
      </c>
      <c r="S1191" s="8" t="b">
        <f>_xlfn.SINGLE(CleanedData[[#This Row],[Delivery Status]])="Late"</f>
        <v>1</v>
      </c>
      <c r="T1191" s="10">
        <v>14</v>
      </c>
      <c r="U1191" s="8" t="s">
        <v>112</v>
      </c>
      <c r="V1191" s="10">
        <v>2046</v>
      </c>
      <c r="W1191" s="10">
        <v>11</v>
      </c>
      <c r="X1191" s="12">
        <v>2.6699029126213501E-2</v>
      </c>
      <c r="Y1191" s="8" t="b">
        <f>CleanedData[[#This Row],[Ship Date]]&lt;CleanedData[[#This Row],[Order Date]]</f>
        <v>1</v>
      </c>
      <c r="Z1191" s="10">
        <f>YEAR(CleanedData[[#This Row],[Order Date]])</f>
        <v>2024</v>
      </c>
      <c r="AA1191" s="8">
        <f>MONTH(CleanedData[[#This Row],[Order Date]])</f>
        <v>10</v>
      </c>
    </row>
    <row r="1192" spans="1:27" x14ac:dyDescent="0.35">
      <c r="A1192" s="8" t="s">
        <v>3262</v>
      </c>
      <c r="B1192" s="9">
        <v>44973</v>
      </c>
      <c r="C1192" s="9">
        <v>45234</v>
      </c>
      <c r="D1192" s="8" t="s">
        <v>3264</v>
      </c>
      <c r="E1192" s="8" t="s">
        <v>26</v>
      </c>
      <c r="F1192" s="8" t="s">
        <v>77</v>
      </c>
      <c r="G1192" s="8" t="s">
        <v>217</v>
      </c>
      <c r="H1192" s="8" t="s">
        <v>340</v>
      </c>
      <c r="I1192" s="8" t="s">
        <v>4975</v>
      </c>
      <c r="J1192" s="10">
        <v>500</v>
      </c>
      <c r="K1192" s="11">
        <v>352.19</v>
      </c>
      <c r="L1192" s="11">
        <v>398.81</v>
      </c>
      <c r="M1192" s="11">
        <v>199405</v>
      </c>
      <c r="N1192" s="11">
        <v>176095</v>
      </c>
      <c r="O1192" s="11">
        <f>CleanedData[[#This Row],[Total Sales ($)]]-CleanedData[[#This Row],[Total Cost ($)]]</f>
        <v>23310</v>
      </c>
      <c r="P1192" s="12">
        <f>CleanedData[[#This Row],[Profit ($)]]/CleanedData[[#This Row],[Total Sales ($)]]</f>
        <v>0.11689777086833329</v>
      </c>
      <c r="Q1192" s="8" t="s">
        <v>42</v>
      </c>
      <c r="R1192" s="8" t="s">
        <v>32</v>
      </c>
      <c r="S1192" s="8" t="b">
        <f>_xlfn.SINGLE(CleanedData[[#This Row],[Delivery Status]])="Late"</f>
        <v>1</v>
      </c>
      <c r="T1192" s="10">
        <v>11</v>
      </c>
      <c r="U1192" s="8" t="s">
        <v>112</v>
      </c>
      <c r="V1192" s="10">
        <v>1684</v>
      </c>
      <c r="W1192" s="10">
        <v>9</v>
      </c>
      <c r="X1192" s="12">
        <v>1.7999999999999999E-2</v>
      </c>
      <c r="Y1192" s="8" t="b">
        <f>CleanedData[[#This Row],[Ship Date]]&lt;CleanedData[[#This Row],[Order Date]]</f>
        <v>0</v>
      </c>
      <c r="Z1192" s="10">
        <f>YEAR(CleanedData[[#This Row],[Order Date]])</f>
        <v>2023</v>
      </c>
      <c r="AA1192" s="8">
        <f>MONTH(CleanedData[[#This Row],[Order Date]])</f>
        <v>2</v>
      </c>
    </row>
    <row r="1193" spans="1:27" x14ac:dyDescent="0.35">
      <c r="A1193" s="8" t="s">
        <v>3265</v>
      </c>
      <c r="B1193" s="9">
        <v>45193</v>
      </c>
      <c r="C1193" s="9">
        <v>45221</v>
      </c>
      <c r="D1193" s="8" t="s">
        <v>3266</v>
      </c>
      <c r="E1193" s="8" t="s">
        <v>26</v>
      </c>
      <c r="F1193" s="8" t="s">
        <v>38</v>
      </c>
      <c r="G1193" s="8" t="s">
        <v>217</v>
      </c>
      <c r="H1193" s="8" t="s">
        <v>494</v>
      </c>
      <c r="I1193" s="8" t="s">
        <v>4976</v>
      </c>
      <c r="J1193" s="10">
        <v>441</v>
      </c>
      <c r="K1193" s="11">
        <v>213.85</v>
      </c>
      <c r="L1193" s="11">
        <v>258.36</v>
      </c>
      <c r="M1193" s="11">
        <v>113936.76</v>
      </c>
      <c r="N1193" s="11">
        <v>94307.85</v>
      </c>
      <c r="O1193" s="11">
        <f>CleanedData[[#This Row],[Total Sales ($)]]-CleanedData[[#This Row],[Total Cost ($)]]</f>
        <v>19628.909999999989</v>
      </c>
      <c r="P1193" s="12">
        <f>CleanedData[[#This Row],[Profit ($)]]/CleanedData[[#This Row],[Total Sales ($)]]</f>
        <v>0.1722789905558135</v>
      </c>
      <c r="Q1193" s="8" t="s">
        <v>95</v>
      </c>
      <c r="R1193" s="8" t="s">
        <v>32</v>
      </c>
      <c r="S1193" s="8" t="b">
        <f>_xlfn.SINGLE(CleanedData[[#This Row],[Delivery Status]])="Late"</f>
        <v>1</v>
      </c>
      <c r="T1193" s="10">
        <v>7</v>
      </c>
      <c r="U1193" s="8" t="s">
        <v>33</v>
      </c>
      <c r="V1193" s="10">
        <v>4672</v>
      </c>
      <c r="W1193" s="10">
        <v>7</v>
      </c>
      <c r="X1193" s="12">
        <v>1.5873015873015799E-2</v>
      </c>
      <c r="Y1193" s="8" t="b">
        <f>CleanedData[[#This Row],[Ship Date]]&lt;CleanedData[[#This Row],[Order Date]]</f>
        <v>0</v>
      </c>
      <c r="Z1193" s="10">
        <f>YEAR(CleanedData[[#This Row],[Order Date]])</f>
        <v>2023</v>
      </c>
      <c r="AA1193" s="8">
        <f>MONTH(CleanedData[[#This Row],[Order Date]])</f>
        <v>9</v>
      </c>
    </row>
    <row r="1194" spans="1:27" x14ac:dyDescent="0.35">
      <c r="A1194" s="8" t="s">
        <v>3267</v>
      </c>
      <c r="B1194" s="9">
        <v>44929</v>
      </c>
      <c r="C1194" s="9">
        <v>45048</v>
      </c>
      <c r="D1194" s="8" t="s">
        <v>3268</v>
      </c>
      <c r="E1194" s="8" t="s">
        <v>100</v>
      </c>
      <c r="F1194" s="8" t="s">
        <v>106</v>
      </c>
      <c r="G1194" s="8" t="s">
        <v>129</v>
      </c>
      <c r="H1194" s="8" t="s">
        <v>704</v>
      </c>
      <c r="I1194" s="8" t="s">
        <v>4970</v>
      </c>
      <c r="J1194" s="10">
        <v>163</v>
      </c>
      <c r="K1194" s="11">
        <v>947.94</v>
      </c>
      <c r="L1194" s="11">
        <v>1462.89</v>
      </c>
      <c r="M1194" s="11">
        <v>238451.07</v>
      </c>
      <c r="N1194" s="11">
        <v>154514.22</v>
      </c>
      <c r="O1194" s="11">
        <f>CleanedData[[#This Row],[Total Sales ($)]]-CleanedData[[#This Row],[Total Cost ($)]]</f>
        <v>83936.85</v>
      </c>
      <c r="P1194" s="12">
        <f>CleanedData[[#This Row],[Profit ($)]]/CleanedData[[#This Row],[Total Sales ($)]]</f>
        <v>0.35200869511719951</v>
      </c>
      <c r="Q1194" s="8" t="s">
        <v>52</v>
      </c>
      <c r="R1194" s="8" t="s">
        <v>32</v>
      </c>
      <c r="S1194" s="8" t="b">
        <f>_xlfn.SINGLE(CleanedData[[#This Row],[Delivery Status]])="Late"</f>
        <v>1</v>
      </c>
      <c r="T1194" s="10">
        <v>10</v>
      </c>
      <c r="U1194" s="8" t="s">
        <v>33</v>
      </c>
      <c r="V1194" s="10">
        <v>3891</v>
      </c>
      <c r="W1194" s="10">
        <v>5</v>
      </c>
      <c r="X1194" s="12">
        <v>3.0674846625766802E-2</v>
      </c>
      <c r="Y1194" s="8" t="b">
        <f>CleanedData[[#This Row],[Ship Date]]&lt;CleanedData[[#This Row],[Order Date]]</f>
        <v>0</v>
      </c>
      <c r="Z1194" s="10">
        <f>YEAR(CleanedData[[#This Row],[Order Date]])</f>
        <v>2023</v>
      </c>
      <c r="AA1194" s="8">
        <f>MONTH(CleanedData[[#This Row],[Order Date]])</f>
        <v>1</v>
      </c>
    </row>
    <row r="1195" spans="1:27" x14ac:dyDescent="0.35">
      <c r="A1195" s="8" t="s">
        <v>3269</v>
      </c>
      <c r="B1195" s="9">
        <v>44968</v>
      </c>
      <c r="C1195" s="9">
        <v>45007</v>
      </c>
      <c r="D1195" s="8" t="s">
        <v>3270</v>
      </c>
      <c r="E1195" s="8" t="s">
        <v>26</v>
      </c>
      <c r="F1195" s="8" t="s">
        <v>92</v>
      </c>
      <c r="G1195" s="8" t="s">
        <v>93</v>
      </c>
      <c r="H1195" s="8" t="s">
        <v>94</v>
      </c>
      <c r="I1195" s="8" t="s">
        <v>4969</v>
      </c>
      <c r="J1195" s="10">
        <v>161</v>
      </c>
      <c r="K1195" s="11">
        <v>82.41</v>
      </c>
      <c r="L1195" s="11">
        <v>108.71</v>
      </c>
      <c r="M1195" s="11">
        <v>17502.310000000001</v>
      </c>
      <c r="N1195" s="11">
        <v>13268.01</v>
      </c>
      <c r="O1195" s="11">
        <f>CleanedData[[#This Row],[Total Sales ($)]]-CleanedData[[#This Row],[Total Cost ($)]]</f>
        <v>4234.3000000000011</v>
      </c>
      <c r="P1195" s="12">
        <f>CleanedData[[#This Row],[Profit ($)]]/CleanedData[[#This Row],[Total Sales ($)]]</f>
        <v>0.24192806549535464</v>
      </c>
      <c r="Q1195" s="8" t="s">
        <v>52</v>
      </c>
      <c r="R1195" s="8" t="s">
        <v>32</v>
      </c>
      <c r="S1195" s="8" t="b">
        <f>_xlfn.SINGLE(CleanedData[[#This Row],[Delivery Status]])="Late"</f>
        <v>1</v>
      </c>
      <c r="T1195" s="10">
        <v>14</v>
      </c>
      <c r="U1195" s="8" t="s">
        <v>112</v>
      </c>
      <c r="V1195" s="10">
        <v>4300</v>
      </c>
      <c r="W1195" s="10">
        <v>7</v>
      </c>
      <c r="X1195" s="12">
        <v>4.3478260869565202E-2</v>
      </c>
      <c r="Y1195" s="8" t="b">
        <f>CleanedData[[#This Row],[Ship Date]]&lt;CleanedData[[#This Row],[Order Date]]</f>
        <v>0</v>
      </c>
      <c r="Z1195" s="10">
        <f>YEAR(CleanedData[[#This Row],[Order Date]])</f>
        <v>2023</v>
      </c>
      <c r="AA1195" s="8">
        <f>MONTH(CleanedData[[#This Row],[Order Date]])</f>
        <v>2</v>
      </c>
    </row>
    <row r="1196" spans="1:27" x14ac:dyDescent="0.35">
      <c r="A1196" s="8" t="s">
        <v>3271</v>
      </c>
      <c r="B1196" s="9">
        <v>44927</v>
      </c>
      <c r="C1196" s="9">
        <v>45176</v>
      </c>
      <c r="D1196" s="8" t="s">
        <v>2750</v>
      </c>
      <c r="E1196" s="8" t="s">
        <v>26</v>
      </c>
      <c r="F1196" s="8" t="s">
        <v>92</v>
      </c>
      <c r="G1196" s="8" t="s">
        <v>78</v>
      </c>
      <c r="H1196" s="8" t="s">
        <v>572</v>
      </c>
      <c r="I1196" s="8" t="s">
        <v>4974</v>
      </c>
      <c r="J1196" s="10">
        <v>666</v>
      </c>
      <c r="K1196" s="11"/>
      <c r="L1196" s="11">
        <v>668.91</v>
      </c>
      <c r="M1196" s="11">
        <v>445494.06</v>
      </c>
      <c r="N1196" s="11">
        <v>390102.84</v>
      </c>
      <c r="O1196" s="11">
        <f>CleanedData[[#This Row],[Total Sales ($)]]-CleanedData[[#This Row],[Total Cost ($)]]</f>
        <v>55391.219999999972</v>
      </c>
      <c r="P1196" s="12">
        <f>CleanedData[[#This Row],[Profit ($)]]/CleanedData[[#This Row],[Total Sales ($)]]</f>
        <v>0.12433660731638031</v>
      </c>
      <c r="Q1196" s="8" t="s">
        <v>95</v>
      </c>
      <c r="R1196" s="8" t="s">
        <v>63</v>
      </c>
      <c r="S1196" s="8" t="b">
        <f>_xlfn.SINGLE(CleanedData[[#This Row],[Delivery Status]])="Late"</f>
        <v>0</v>
      </c>
      <c r="T1196" s="10">
        <v>4</v>
      </c>
      <c r="U1196" s="8" t="s">
        <v>86</v>
      </c>
      <c r="V1196" s="10">
        <v>3594</v>
      </c>
      <c r="W1196" s="10">
        <v>31</v>
      </c>
      <c r="X1196" s="12">
        <v>4.6546546546546497E-2</v>
      </c>
      <c r="Y1196" s="8" t="b">
        <f>CleanedData[[#This Row],[Ship Date]]&lt;CleanedData[[#This Row],[Order Date]]</f>
        <v>0</v>
      </c>
      <c r="Z1196" s="10">
        <f>YEAR(CleanedData[[#This Row],[Order Date]])</f>
        <v>2023</v>
      </c>
      <c r="AA1196" s="8">
        <f>MONTH(CleanedData[[#This Row],[Order Date]])</f>
        <v>1</v>
      </c>
    </row>
    <row r="1197" spans="1:27" x14ac:dyDescent="0.35">
      <c r="A1197" s="8" t="s">
        <v>3272</v>
      </c>
      <c r="B1197" s="9">
        <v>44985</v>
      </c>
      <c r="C1197" s="9">
        <v>45262</v>
      </c>
      <c r="D1197" s="8" t="s">
        <v>3273</v>
      </c>
      <c r="E1197" s="8" t="s">
        <v>68</v>
      </c>
      <c r="F1197" s="8" t="s">
        <v>69</v>
      </c>
      <c r="G1197" s="8" t="s">
        <v>39</v>
      </c>
      <c r="H1197" s="8" t="s">
        <v>647</v>
      </c>
      <c r="I1197" s="8" t="s">
        <v>4970</v>
      </c>
      <c r="J1197" s="10">
        <v>163</v>
      </c>
      <c r="K1197" s="11">
        <v>192.9</v>
      </c>
      <c r="L1197" s="11">
        <v>284.73</v>
      </c>
      <c r="M1197" s="11">
        <v>46410.99</v>
      </c>
      <c r="N1197" s="11">
        <v>31442.7</v>
      </c>
      <c r="O1197" s="11">
        <f>CleanedData[[#This Row],[Total Sales ($)]]-CleanedData[[#This Row],[Total Cost ($)]]</f>
        <v>14968.289999999997</v>
      </c>
      <c r="P1197" s="12">
        <f>CleanedData[[#This Row],[Profit ($)]]/CleanedData[[#This Row],[Total Sales ($)]]</f>
        <v>0.32251606785375614</v>
      </c>
      <c r="Q1197" s="8" t="s">
        <v>52</v>
      </c>
      <c r="R1197" s="8" t="s">
        <v>32</v>
      </c>
      <c r="S1197" s="8" t="b">
        <f>_xlfn.SINGLE(CleanedData[[#This Row],[Delivery Status]])="Late"</f>
        <v>1</v>
      </c>
      <c r="T1197" s="10">
        <v>15</v>
      </c>
      <c r="U1197" s="8" t="s">
        <v>53</v>
      </c>
      <c r="V1197" s="10">
        <v>4472</v>
      </c>
      <c r="W1197" s="10">
        <v>0</v>
      </c>
      <c r="X1197" s="12">
        <v>0</v>
      </c>
      <c r="Y1197" s="8" t="b">
        <f>CleanedData[[#This Row],[Ship Date]]&lt;CleanedData[[#This Row],[Order Date]]</f>
        <v>0</v>
      </c>
      <c r="Z1197" s="10">
        <f>YEAR(CleanedData[[#This Row],[Order Date]])</f>
        <v>2023</v>
      </c>
      <c r="AA1197" s="8">
        <f>MONTH(CleanedData[[#This Row],[Order Date]])</f>
        <v>2</v>
      </c>
    </row>
    <row r="1198" spans="1:27" x14ac:dyDescent="0.35">
      <c r="A1198" s="8" t="s">
        <v>3274</v>
      </c>
      <c r="B1198" s="9">
        <v>45486</v>
      </c>
      <c r="C1198" s="9">
        <v>45345</v>
      </c>
      <c r="D1198" s="8" t="s">
        <v>3276</v>
      </c>
      <c r="E1198" s="8" t="s">
        <v>48</v>
      </c>
      <c r="F1198" s="8" t="s">
        <v>183</v>
      </c>
      <c r="G1198" s="8" t="s">
        <v>217</v>
      </c>
      <c r="H1198" s="8" t="s">
        <v>725</v>
      </c>
      <c r="I1198" s="8" t="s">
        <v>4977</v>
      </c>
      <c r="J1198" s="10">
        <v>31</v>
      </c>
      <c r="K1198" s="11">
        <v>503.7</v>
      </c>
      <c r="L1198" s="11">
        <v>580.97</v>
      </c>
      <c r="M1198" s="11">
        <v>18010.07</v>
      </c>
      <c r="N1198" s="11">
        <v>15614.7</v>
      </c>
      <c r="O1198" s="11">
        <f>CleanedData[[#This Row],[Total Sales ($)]]-CleanedData[[#This Row],[Total Cost ($)]]</f>
        <v>2395.369999999999</v>
      </c>
      <c r="P1198" s="12">
        <f>CleanedData[[#This Row],[Profit ($)]]/CleanedData[[#This Row],[Total Sales ($)]]</f>
        <v>0.13300170404668049</v>
      </c>
      <c r="Q1198" s="8" t="s">
        <v>42</v>
      </c>
      <c r="R1198" s="8" t="s">
        <v>32</v>
      </c>
      <c r="S1198" s="8" t="b">
        <f>_xlfn.SINGLE(CleanedData[[#This Row],[Delivery Status]])="Late"</f>
        <v>1</v>
      </c>
      <c r="T1198" s="10">
        <v>7</v>
      </c>
      <c r="U1198" s="8" t="s">
        <v>112</v>
      </c>
      <c r="V1198" s="10">
        <v>668</v>
      </c>
      <c r="W1198" s="10">
        <v>0</v>
      </c>
      <c r="X1198" s="12">
        <v>0</v>
      </c>
      <c r="Y1198" s="8" t="b">
        <f>CleanedData[[#This Row],[Ship Date]]&lt;CleanedData[[#This Row],[Order Date]]</f>
        <v>1</v>
      </c>
      <c r="Z1198" s="10">
        <f>YEAR(CleanedData[[#This Row],[Order Date]])</f>
        <v>2024</v>
      </c>
      <c r="AA1198" s="8">
        <f>MONTH(CleanedData[[#This Row],[Order Date]])</f>
        <v>7</v>
      </c>
    </row>
    <row r="1199" spans="1:27" x14ac:dyDescent="0.35">
      <c r="A1199" s="8" t="s">
        <v>3277</v>
      </c>
      <c r="B1199" s="9">
        <v>44969</v>
      </c>
      <c r="C1199" s="9">
        <v>45248</v>
      </c>
      <c r="D1199" s="8" t="s">
        <v>3278</v>
      </c>
      <c r="E1199" s="8" t="s">
        <v>68</v>
      </c>
      <c r="F1199" s="8" t="s">
        <v>69</v>
      </c>
      <c r="G1199" s="8" t="s">
        <v>78</v>
      </c>
      <c r="H1199" s="8" t="s">
        <v>481</v>
      </c>
      <c r="I1199" s="8" t="s">
        <v>4976</v>
      </c>
      <c r="J1199" s="10">
        <v>636</v>
      </c>
      <c r="K1199" s="11">
        <v>805.28</v>
      </c>
      <c r="L1199" s="11">
        <v>1020.35</v>
      </c>
      <c r="M1199" s="11">
        <v>648942.6</v>
      </c>
      <c r="N1199" s="11">
        <v>512158.08</v>
      </c>
      <c r="O1199" s="11">
        <f>CleanedData[[#This Row],[Total Sales ($)]]-CleanedData[[#This Row],[Total Cost ($)]]</f>
        <v>136784.51999999996</v>
      </c>
      <c r="P1199" s="12">
        <f>CleanedData[[#This Row],[Profit ($)]]/CleanedData[[#This Row],[Total Sales ($)]]</f>
        <v>0.21078061449502616</v>
      </c>
      <c r="Q1199" s="8" t="s">
        <v>95</v>
      </c>
      <c r="R1199" s="8" t="s">
        <v>32</v>
      </c>
      <c r="S1199" s="8" t="b">
        <f>_xlfn.SINGLE(CleanedData[[#This Row],[Delivery Status]])="Late"</f>
        <v>1</v>
      </c>
      <c r="T1199" s="10">
        <v>10</v>
      </c>
      <c r="U1199" s="8" t="s">
        <v>158</v>
      </c>
      <c r="V1199" s="10">
        <v>789</v>
      </c>
      <c r="W1199" s="10">
        <v>27</v>
      </c>
      <c r="X1199" s="12">
        <v>4.2452830188679201E-2</v>
      </c>
      <c r="Y1199" s="8" t="b">
        <f>CleanedData[[#This Row],[Ship Date]]&lt;CleanedData[[#This Row],[Order Date]]</f>
        <v>0</v>
      </c>
      <c r="Z1199" s="10">
        <f>YEAR(CleanedData[[#This Row],[Order Date]])</f>
        <v>2023</v>
      </c>
      <c r="AA1199" s="8">
        <f>MONTH(CleanedData[[#This Row],[Order Date]])</f>
        <v>2</v>
      </c>
    </row>
    <row r="1200" spans="1:27" x14ac:dyDescent="0.35">
      <c r="A1200" s="8" t="s">
        <v>3279</v>
      </c>
      <c r="B1200" s="9">
        <v>45150</v>
      </c>
      <c r="C1200" s="9">
        <v>45206</v>
      </c>
      <c r="D1200" s="8" t="s">
        <v>3280</v>
      </c>
      <c r="E1200" s="8" t="s">
        <v>48</v>
      </c>
      <c r="F1200" s="8" t="s">
        <v>49</v>
      </c>
      <c r="G1200" s="8" t="s">
        <v>50</v>
      </c>
      <c r="H1200" s="8" t="s">
        <v>734</v>
      </c>
      <c r="I1200" s="8" t="s">
        <v>4977</v>
      </c>
      <c r="J1200" s="10">
        <v>68</v>
      </c>
      <c r="K1200" s="11">
        <v>271.64999999999998</v>
      </c>
      <c r="L1200" s="11">
        <v>434.82</v>
      </c>
      <c r="M1200" s="11">
        <v>29567.759999999998</v>
      </c>
      <c r="N1200" s="11">
        <v>18472.2</v>
      </c>
      <c r="O1200" s="11">
        <f>CleanedData[[#This Row],[Total Sales ($)]]-CleanedData[[#This Row],[Total Cost ($)]]</f>
        <v>11095.559999999998</v>
      </c>
      <c r="P1200" s="12">
        <f>CleanedData[[#This Row],[Profit ($)]]/CleanedData[[#This Row],[Total Sales ($)]]</f>
        <v>0.37525872774941349</v>
      </c>
      <c r="Q1200" s="8" t="s">
        <v>42</v>
      </c>
      <c r="R1200" s="8" t="s">
        <v>63</v>
      </c>
      <c r="S1200" s="8" t="b">
        <f>_xlfn.SINGLE(CleanedData[[#This Row],[Delivery Status]])="Late"</f>
        <v>0</v>
      </c>
      <c r="T1200" s="10">
        <v>3</v>
      </c>
      <c r="U1200" s="8" t="s">
        <v>158</v>
      </c>
      <c r="V1200" s="10">
        <v>1870</v>
      </c>
      <c r="W1200" s="10">
        <v>3</v>
      </c>
      <c r="X1200" s="12">
        <v>4.4117647058823498E-2</v>
      </c>
      <c r="Y1200" s="8" t="b">
        <f>CleanedData[[#This Row],[Ship Date]]&lt;CleanedData[[#This Row],[Order Date]]</f>
        <v>0</v>
      </c>
      <c r="Z1200" s="10">
        <f>YEAR(CleanedData[[#This Row],[Order Date]])</f>
        <v>2023</v>
      </c>
      <c r="AA1200" s="8">
        <f>MONTH(CleanedData[[#This Row],[Order Date]])</f>
        <v>8</v>
      </c>
    </row>
    <row r="1201" spans="1:27" x14ac:dyDescent="0.35">
      <c r="A1201" s="8" t="s">
        <v>3281</v>
      </c>
      <c r="B1201" s="9">
        <v>45264</v>
      </c>
      <c r="C1201" s="9">
        <v>45222</v>
      </c>
      <c r="D1201" s="8" t="s">
        <v>3282</v>
      </c>
      <c r="E1201" s="8" t="s">
        <v>26</v>
      </c>
      <c r="F1201" s="8" t="s">
        <v>38</v>
      </c>
      <c r="G1201" s="8" t="s">
        <v>189</v>
      </c>
      <c r="H1201" s="8" t="s">
        <v>437</v>
      </c>
      <c r="I1201" s="8" t="s">
        <v>4968</v>
      </c>
      <c r="J1201" s="10">
        <v>264</v>
      </c>
      <c r="K1201" s="11">
        <v>1032.03</v>
      </c>
      <c r="L1201" s="11">
        <v>1659.24</v>
      </c>
      <c r="M1201" s="11">
        <v>438039.36</v>
      </c>
      <c r="N1201" s="11">
        <v>272455.92</v>
      </c>
      <c r="O1201" s="11">
        <f>CleanedData[[#This Row],[Total Sales ($)]]-CleanedData[[#This Row],[Total Cost ($)]]</f>
        <v>165583.44</v>
      </c>
      <c r="P1201" s="12">
        <f>CleanedData[[#This Row],[Profit ($)]]/CleanedData[[#This Row],[Total Sales ($)]]</f>
        <v>0.37801041440659583</v>
      </c>
      <c r="Q1201" s="8" t="s">
        <v>52</v>
      </c>
      <c r="R1201" s="8" t="s">
        <v>32</v>
      </c>
      <c r="S1201" s="8" t="b">
        <f>_xlfn.SINGLE(CleanedData[[#This Row],[Delivery Status]])="Late"</f>
        <v>1</v>
      </c>
      <c r="T1201" s="10">
        <v>14</v>
      </c>
      <c r="U1201" s="8" t="s">
        <v>158</v>
      </c>
      <c r="V1201" s="10">
        <v>1476</v>
      </c>
      <c r="W1201" s="10">
        <v>1</v>
      </c>
      <c r="X1201" s="12">
        <v>3.7878787878786999E-3</v>
      </c>
      <c r="Y1201" s="8" t="b">
        <f>CleanedData[[#This Row],[Ship Date]]&lt;CleanedData[[#This Row],[Order Date]]</f>
        <v>1</v>
      </c>
      <c r="Z1201" s="10">
        <f>YEAR(CleanedData[[#This Row],[Order Date]])</f>
        <v>2023</v>
      </c>
      <c r="AA1201" s="8">
        <f>MONTH(CleanedData[[#This Row],[Order Date]])</f>
        <v>12</v>
      </c>
    </row>
    <row r="1202" spans="1:27" x14ac:dyDescent="0.35">
      <c r="A1202" s="8" t="s">
        <v>3283</v>
      </c>
      <c r="B1202" s="9">
        <v>45134</v>
      </c>
      <c r="C1202" s="9">
        <v>45099</v>
      </c>
      <c r="D1202" s="8" t="s">
        <v>3284</v>
      </c>
      <c r="E1202" s="8" t="s">
        <v>48</v>
      </c>
      <c r="F1202" s="8" t="s">
        <v>270</v>
      </c>
      <c r="G1202" s="8" t="s">
        <v>39</v>
      </c>
      <c r="H1202" s="8" t="s">
        <v>412</v>
      </c>
      <c r="I1202" s="8" t="s">
        <v>4973</v>
      </c>
      <c r="J1202" s="10">
        <v>655</v>
      </c>
      <c r="K1202" s="11">
        <v>347.73</v>
      </c>
      <c r="L1202" s="11">
        <v>430.95</v>
      </c>
      <c r="M1202" s="11">
        <v>282272.25</v>
      </c>
      <c r="N1202" s="11">
        <v>227763.15</v>
      </c>
      <c r="O1202" s="11">
        <f>CleanedData[[#This Row],[Total Sales ($)]]-CleanedData[[#This Row],[Total Cost ($)]]</f>
        <v>54509.100000000006</v>
      </c>
      <c r="P1202" s="12">
        <f>CleanedData[[#This Row],[Profit ($)]]/CleanedData[[#This Row],[Total Sales ($)]]</f>
        <v>0.19310824921684652</v>
      </c>
      <c r="Q1202" s="8" t="s">
        <v>31</v>
      </c>
      <c r="R1202" s="8" t="s">
        <v>32</v>
      </c>
      <c r="S1202" s="8" t="b">
        <f>_xlfn.SINGLE(CleanedData[[#This Row],[Delivery Status]])="Late"</f>
        <v>1</v>
      </c>
      <c r="T1202" s="10">
        <v>9</v>
      </c>
      <c r="U1202" s="8" t="s">
        <v>53</v>
      </c>
      <c r="V1202" s="10">
        <v>1820</v>
      </c>
      <c r="W1202" s="10">
        <v>26</v>
      </c>
      <c r="X1202" s="12">
        <v>3.9694656488549598E-2</v>
      </c>
      <c r="Y1202" s="8" t="b">
        <f>CleanedData[[#This Row],[Ship Date]]&lt;CleanedData[[#This Row],[Order Date]]</f>
        <v>1</v>
      </c>
      <c r="Z1202" s="10">
        <f>YEAR(CleanedData[[#This Row],[Order Date]])</f>
        <v>2023</v>
      </c>
      <c r="AA1202" s="8">
        <f>MONTH(CleanedData[[#This Row],[Order Date]])</f>
        <v>7</v>
      </c>
    </row>
    <row r="1203" spans="1:27" x14ac:dyDescent="0.35">
      <c r="A1203" s="8" t="s">
        <v>3285</v>
      </c>
      <c r="B1203" s="9">
        <v>45040</v>
      </c>
      <c r="C1203" s="9">
        <v>45131</v>
      </c>
      <c r="D1203" s="8" t="s">
        <v>1441</v>
      </c>
      <c r="E1203" s="8" t="s">
        <v>58</v>
      </c>
      <c r="F1203" s="8" t="s">
        <v>122</v>
      </c>
      <c r="G1203" s="8" t="s">
        <v>129</v>
      </c>
      <c r="H1203" s="8" t="s">
        <v>811</v>
      </c>
      <c r="I1203" s="8" t="s">
        <v>4968</v>
      </c>
      <c r="J1203" s="10">
        <v>274</v>
      </c>
      <c r="K1203" s="11">
        <v>1113.6500000000001</v>
      </c>
      <c r="L1203" s="11">
        <v>1330.59</v>
      </c>
      <c r="M1203" s="11">
        <v>364581.66</v>
      </c>
      <c r="N1203" s="11">
        <v>305140.09999999998</v>
      </c>
      <c r="O1203" s="11">
        <f>CleanedData[[#This Row],[Total Sales ($)]]-CleanedData[[#This Row],[Total Cost ($)]]</f>
        <v>59441.56</v>
      </c>
      <c r="P1203" s="12">
        <f>CleanedData[[#This Row],[Profit ($)]]/CleanedData[[#This Row],[Total Sales ($)]]</f>
        <v>0.16304045573768028</v>
      </c>
      <c r="Q1203" s="8" t="s">
        <v>31</v>
      </c>
      <c r="R1203" s="8" t="s">
        <v>32</v>
      </c>
      <c r="S1203" s="8" t="b">
        <f>_xlfn.SINGLE(CleanedData[[#This Row],[Delivery Status]])="Late"</f>
        <v>1</v>
      </c>
      <c r="T1203" s="10">
        <v>15</v>
      </c>
      <c r="U1203" s="8" t="s">
        <v>158</v>
      </c>
      <c r="V1203" s="10">
        <v>4827</v>
      </c>
      <c r="W1203" s="10">
        <v>9</v>
      </c>
      <c r="X1203" s="12">
        <v>3.2846715328467099E-2</v>
      </c>
      <c r="Y1203" s="8" t="b">
        <f>CleanedData[[#This Row],[Ship Date]]&lt;CleanedData[[#This Row],[Order Date]]</f>
        <v>0</v>
      </c>
      <c r="Z1203" s="10">
        <f>YEAR(CleanedData[[#This Row],[Order Date]])</f>
        <v>2023</v>
      </c>
      <c r="AA1203" s="8">
        <f>MONTH(CleanedData[[#This Row],[Order Date]])</f>
        <v>4</v>
      </c>
    </row>
    <row r="1204" spans="1:27" x14ac:dyDescent="0.35">
      <c r="A1204" s="8" t="s">
        <v>3286</v>
      </c>
      <c r="B1204" s="9">
        <v>45092</v>
      </c>
      <c r="C1204" s="9">
        <v>44966</v>
      </c>
      <c r="D1204" s="8" t="s">
        <v>3287</v>
      </c>
      <c r="E1204" s="8" t="s">
        <v>100</v>
      </c>
      <c r="F1204" s="8" t="s">
        <v>106</v>
      </c>
      <c r="G1204" s="8" t="s">
        <v>189</v>
      </c>
      <c r="H1204" s="8" t="s">
        <v>190</v>
      </c>
      <c r="I1204" s="8" t="s">
        <v>4977</v>
      </c>
      <c r="J1204" s="10">
        <v>468</v>
      </c>
      <c r="K1204" s="11">
        <v>172.05</v>
      </c>
      <c r="L1204" s="11">
        <v>239.26</v>
      </c>
      <c r="M1204" s="11">
        <v>111973.68</v>
      </c>
      <c r="N1204" s="11">
        <v>80519.399999999994</v>
      </c>
      <c r="O1204" s="11">
        <f>CleanedData[[#This Row],[Total Sales ($)]]-CleanedData[[#This Row],[Total Cost ($)]]</f>
        <v>31454.28</v>
      </c>
      <c r="P1204" s="12">
        <f>CleanedData[[#This Row],[Profit ($)]]/CleanedData[[#This Row],[Total Sales ($)]]</f>
        <v>0.28090779904706176</v>
      </c>
      <c r="Q1204" s="8" t="s">
        <v>52</v>
      </c>
      <c r="R1204" s="8" t="s">
        <v>32</v>
      </c>
      <c r="S1204" s="8" t="b">
        <f>_xlfn.SINGLE(CleanedData[[#This Row],[Delivery Status]])="Late"</f>
        <v>1</v>
      </c>
      <c r="T1204" s="10">
        <v>11</v>
      </c>
      <c r="U1204" s="8" t="s">
        <v>53</v>
      </c>
      <c r="V1204" s="10">
        <v>928</v>
      </c>
      <c r="W1204" s="10">
        <v>21</v>
      </c>
      <c r="X1204" s="12">
        <v>4.4871794871794803E-2</v>
      </c>
      <c r="Y1204" s="8" t="b">
        <f>CleanedData[[#This Row],[Ship Date]]&lt;CleanedData[[#This Row],[Order Date]]</f>
        <v>1</v>
      </c>
      <c r="Z1204" s="10">
        <f>YEAR(CleanedData[[#This Row],[Order Date]])</f>
        <v>2023</v>
      </c>
      <c r="AA1204" s="8">
        <f>MONTH(CleanedData[[#This Row],[Order Date]])</f>
        <v>6</v>
      </c>
    </row>
    <row r="1205" spans="1:27" x14ac:dyDescent="0.35">
      <c r="A1205" s="8" t="s">
        <v>3288</v>
      </c>
      <c r="B1205" s="9">
        <v>45293</v>
      </c>
      <c r="C1205" s="9">
        <v>45397</v>
      </c>
      <c r="D1205" s="8" t="s">
        <v>3289</v>
      </c>
      <c r="E1205" s="8" t="s">
        <v>100</v>
      </c>
      <c r="F1205" s="8" t="s">
        <v>538</v>
      </c>
      <c r="G1205" s="8" t="s">
        <v>60</v>
      </c>
      <c r="H1205" s="8" t="s">
        <v>539</v>
      </c>
      <c r="I1205" s="8" t="s">
        <v>4979</v>
      </c>
      <c r="J1205" s="10">
        <v>671</v>
      </c>
      <c r="K1205" s="11">
        <v>781.61</v>
      </c>
      <c r="L1205" s="11">
        <v>898.84</v>
      </c>
      <c r="M1205" s="11">
        <v>603121.64</v>
      </c>
      <c r="N1205" s="11">
        <v>524460.31000000006</v>
      </c>
      <c r="O1205" s="11">
        <f>CleanedData[[#This Row],[Total Sales ($)]]-CleanedData[[#This Row],[Total Cost ($)]]</f>
        <v>78661.329999999958</v>
      </c>
      <c r="P1205" s="12">
        <f>CleanedData[[#This Row],[Profit ($)]]/CleanedData[[#This Row],[Total Sales ($)]]</f>
        <v>0.13042365715811483</v>
      </c>
      <c r="Q1205" s="8" t="s">
        <v>52</v>
      </c>
      <c r="R1205" s="8" t="s">
        <v>63</v>
      </c>
      <c r="S1205" s="8" t="b">
        <f>_xlfn.SINGLE(CleanedData[[#This Row],[Delivery Status]])="Late"</f>
        <v>0</v>
      </c>
      <c r="T1205" s="10">
        <v>3</v>
      </c>
      <c r="U1205" s="8" t="s">
        <v>158</v>
      </c>
      <c r="V1205" s="10">
        <v>2412</v>
      </c>
      <c r="W1205" s="10">
        <v>4</v>
      </c>
      <c r="X1205" s="12">
        <v>5.9612518628912002E-3</v>
      </c>
      <c r="Y1205" s="8" t="b">
        <f>CleanedData[[#This Row],[Ship Date]]&lt;CleanedData[[#This Row],[Order Date]]</f>
        <v>0</v>
      </c>
      <c r="Z1205" s="10">
        <f>YEAR(CleanedData[[#This Row],[Order Date]])</f>
        <v>2024</v>
      </c>
      <c r="AA1205" s="8">
        <f>MONTH(CleanedData[[#This Row],[Order Date]])</f>
        <v>1</v>
      </c>
    </row>
    <row r="1206" spans="1:27" x14ac:dyDescent="0.35">
      <c r="A1206" s="8" t="s">
        <v>3290</v>
      </c>
      <c r="B1206" s="9">
        <v>45203</v>
      </c>
      <c r="C1206" s="9">
        <v>45079</v>
      </c>
      <c r="D1206" s="8" t="s">
        <v>3291</v>
      </c>
      <c r="E1206" s="8" t="s">
        <v>48</v>
      </c>
      <c r="F1206" s="8" t="s">
        <v>270</v>
      </c>
      <c r="G1206" s="8" t="s">
        <v>70</v>
      </c>
      <c r="H1206" s="8" t="s">
        <v>822</v>
      </c>
      <c r="I1206" s="8" t="s">
        <v>4979</v>
      </c>
      <c r="J1206" s="10">
        <v>491</v>
      </c>
      <c r="K1206" s="11">
        <v>680.24</v>
      </c>
      <c r="L1206" s="11">
        <v>951.64</v>
      </c>
      <c r="M1206" s="11">
        <v>467255.24</v>
      </c>
      <c r="N1206" s="11">
        <v>333997.84000000003</v>
      </c>
      <c r="O1206" s="11">
        <f>CleanedData[[#This Row],[Total Sales ($)]]-CleanedData[[#This Row],[Total Cost ($)]]</f>
        <v>133257.39999999997</v>
      </c>
      <c r="P1206" s="12">
        <f>CleanedData[[#This Row],[Profit ($)]]/CleanedData[[#This Row],[Total Sales ($)]]</f>
        <v>0.2851918792820814</v>
      </c>
      <c r="Q1206" s="8" t="s">
        <v>42</v>
      </c>
      <c r="R1206" s="8" t="s">
        <v>32</v>
      </c>
      <c r="S1206" s="8" t="b">
        <f>_xlfn.SINGLE(CleanedData[[#This Row],[Delivery Status]])="Late"</f>
        <v>1</v>
      </c>
      <c r="T1206" s="10">
        <v>10</v>
      </c>
      <c r="U1206" s="8" t="s">
        <v>86</v>
      </c>
      <c r="V1206" s="10">
        <v>1850</v>
      </c>
      <c r="W1206" s="10">
        <v>9</v>
      </c>
      <c r="X1206" s="12">
        <v>1.83299389002036E-2</v>
      </c>
      <c r="Y1206" s="8" t="b">
        <f>CleanedData[[#This Row],[Ship Date]]&lt;CleanedData[[#This Row],[Order Date]]</f>
        <v>1</v>
      </c>
      <c r="Z1206" s="10">
        <f>YEAR(CleanedData[[#This Row],[Order Date]])</f>
        <v>2023</v>
      </c>
      <c r="AA1206" s="8">
        <f>MONTH(CleanedData[[#This Row],[Order Date]])</f>
        <v>10</v>
      </c>
    </row>
    <row r="1207" spans="1:27" x14ac:dyDescent="0.35">
      <c r="A1207" s="8" t="s">
        <v>3292</v>
      </c>
      <c r="B1207" s="9">
        <v>45282</v>
      </c>
      <c r="C1207" s="9">
        <v>45352</v>
      </c>
      <c r="D1207" s="8" t="s">
        <v>3294</v>
      </c>
      <c r="E1207" s="8" t="s">
        <v>26</v>
      </c>
      <c r="F1207" s="8" t="s">
        <v>27</v>
      </c>
      <c r="G1207" s="8" t="s">
        <v>70</v>
      </c>
      <c r="H1207" s="8" t="s">
        <v>84</v>
      </c>
      <c r="I1207" s="8" t="s">
        <v>4968</v>
      </c>
      <c r="J1207" s="10">
        <v>360</v>
      </c>
      <c r="K1207" s="11">
        <v>1169.5999999999999</v>
      </c>
      <c r="L1207" s="11">
        <v>1584.58</v>
      </c>
      <c r="M1207" s="11">
        <v>570448.80000000005</v>
      </c>
      <c r="N1207" s="11">
        <v>421056</v>
      </c>
      <c r="O1207" s="11">
        <f>CleanedData[[#This Row],[Total Sales ($)]]-CleanedData[[#This Row],[Total Cost ($)]]</f>
        <v>149392.80000000005</v>
      </c>
      <c r="P1207" s="12">
        <f>CleanedData[[#This Row],[Profit ($)]]/CleanedData[[#This Row],[Total Sales ($)]]</f>
        <v>0.26188643047369026</v>
      </c>
      <c r="Q1207" s="8" t="s">
        <v>31</v>
      </c>
      <c r="R1207" s="8" t="s">
        <v>32</v>
      </c>
      <c r="S1207" s="8" t="b">
        <f>_xlfn.SINGLE(CleanedData[[#This Row],[Delivery Status]])="Late"</f>
        <v>1</v>
      </c>
      <c r="T1207" s="10">
        <v>10</v>
      </c>
      <c r="U1207" s="8" t="s">
        <v>158</v>
      </c>
      <c r="V1207" s="10">
        <v>604</v>
      </c>
      <c r="W1207" s="10">
        <v>13</v>
      </c>
      <c r="X1207" s="12">
        <v>3.6111111111111101E-2</v>
      </c>
      <c r="Y1207" s="8" t="b">
        <f>CleanedData[[#This Row],[Ship Date]]&lt;CleanedData[[#This Row],[Order Date]]</f>
        <v>0</v>
      </c>
      <c r="Z1207" s="10">
        <f>YEAR(CleanedData[[#This Row],[Order Date]])</f>
        <v>2023</v>
      </c>
      <c r="AA1207" s="8">
        <f>MONTH(CleanedData[[#This Row],[Order Date]])</f>
        <v>12</v>
      </c>
    </row>
    <row r="1208" spans="1:27" x14ac:dyDescent="0.35">
      <c r="A1208" s="8" t="s">
        <v>3295</v>
      </c>
      <c r="B1208" s="9">
        <v>45212</v>
      </c>
      <c r="C1208" s="9">
        <v>45587</v>
      </c>
      <c r="D1208" s="8" t="s">
        <v>3297</v>
      </c>
      <c r="E1208" s="8" t="s">
        <v>48</v>
      </c>
      <c r="F1208" s="8" t="s">
        <v>49</v>
      </c>
      <c r="G1208" s="8" t="s">
        <v>189</v>
      </c>
      <c r="H1208" s="8" t="s">
        <v>271</v>
      </c>
      <c r="I1208" s="8" t="s">
        <v>4971</v>
      </c>
      <c r="J1208" s="10">
        <v>423</v>
      </c>
      <c r="K1208" s="11">
        <v>735.62</v>
      </c>
      <c r="L1208" s="11">
        <v>1112.8399999999999</v>
      </c>
      <c r="M1208" s="11">
        <v>470731.32</v>
      </c>
      <c r="N1208" s="11">
        <v>311167.26</v>
      </c>
      <c r="O1208" s="11">
        <f>CleanedData[[#This Row],[Total Sales ($)]]-CleanedData[[#This Row],[Total Cost ($)]]</f>
        <v>159564.06</v>
      </c>
      <c r="P1208" s="12">
        <f>CleanedData[[#This Row],[Profit ($)]]/CleanedData[[#This Row],[Total Sales ($)]]</f>
        <v>0.33897056180583013</v>
      </c>
      <c r="Q1208" s="8" t="s">
        <v>31</v>
      </c>
      <c r="R1208" s="8" t="s">
        <v>32</v>
      </c>
      <c r="S1208" s="8" t="b">
        <f>_xlfn.SINGLE(CleanedData[[#This Row],[Delivery Status]])="Late"</f>
        <v>1</v>
      </c>
      <c r="T1208" s="10">
        <v>9</v>
      </c>
      <c r="U1208" s="8" t="s">
        <v>112</v>
      </c>
      <c r="V1208" s="10">
        <v>4898</v>
      </c>
      <c r="W1208" s="10">
        <v>19</v>
      </c>
      <c r="X1208" s="12">
        <v>4.4917257683215098E-2</v>
      </c>
      <c r="Y1208" s="8" t="b">
        <f>CleanedData[[#This Row],[Ship Date]]&lt;CleanedData[[#This Row],[Order Date]]</f>
        <v>0</v>
      </c>
      <c r="Z1208" s="10">
        <f>YEAR(CleanedData[[#This Row],[Order Date]])</f>
        <v>2023</v>
      </c>
      <c r="AA1208" s="8">
        <f>MONTH(CleanedData[[#This Row],[Order Date]])</f>
        <v>10</v>
      </c>
    </row>
    <row r="1209" spans="1:27" x14ac:dyDescent="0.35">
      <c r="A1209" s="8" t="s">
        <v>3298</v>
      </c>
      <c r="B1209" s="9">
        <v>45249</v>
      </c>
      <c r="C1209" s="9">
        <v>45250</v>
      </c>
      <c r="D1209" s="8" t="s">
        <v>1807</v>
      </c>
      <c r="E1209" s="8" t="s">
        <v>100</v>
      </c>
      <c r="F1209" s="8" t="s">
        <v>238</v>
      </c>
      <c r="G1209" s="8" t="s">
        <v>93</v>
      </c>
      <c r="H1209" s="8" t="s">
        <v>302</v>
      </c>
      <c r="I1209" s="8" t="s">
        <v>4970</v>
      </c>
      <c r="J1209" s="10">
        <v>416</v>
      </c>
      <c r="K1209" s="11">
        <v>851.97</v>
      </c>
      <c r="L1209" s="11">
        <v>1257.3699999999999</v>
      </c>
      <c r="M1209" s="11">
        <v>523065.92</v>
      </c>
      <c r="N1209" s="11">
        <v>354419.52</v>
      </c>
      <c r="O1209" s="11">
        <f>CleanedData[[#This Row],[Total Sales ($)]]-CleanedData[[#This Row],[Total Cost ($)]]</f>
        <v>168646.39999999997</v>
      </c>
      <c r="P1209" s="12">
        <f>CleanedData[[#This Row],[Profit ($)]]/CleanedData[[#This Row],[Total Sales ($)]]</f>
        <v>0.32241901747297924</v>
      </c>
      <c r="Q1209" s="8" t="s">
        <v>31</v>
      </c>
      <c r="R1209" s="8" t="s">
        <v>63</v>
      </c>
      <c r="S1209" s="8" t="b">
        <f>_xlfn.SINGLE(CleanedData[[#This Row],[Delivery Status]])="Late"</f>
        <v>0</v>
      </c>
      <c r="T1209" s="10">
        <v>4</v>
      </c>
      <c r="U1209" s="8" t="s">
        <v>86</v>
      </c>
      <c r="V1209" s="10">
        <v>4828</v>
      </c>
      <c r="W1209" s="10">
        <v>3</v>
      </c>
      <c r="X1209" s="12">
        <v>7.2115384615384004E-3</v>
      </c>
      <c r="Y1209" s="8" t="b">
        <f>CleanedData[[#This Row],[Ship Date]]&lt;CleanedData[[#This Row],[Order Date]]</f>
        <v>0</v>
      </c>
      <c r="Z1209" s="10">
        <f>YEAR(CleanedData[[#This Row],[Order Date]])</f>
        <v>2023</v>
      </c>
      <c r="AA1209" s="8">
        <f>MONTH(CleanedData[[#This Row],[Order Date]])</f>
        <v>11</v>
      </c>
    </row>
    <row r="1210" spans="1:27" x14ac:dyDescent="0.35">
      <c r="A1210" s="8" t="s">
        <v>3299</v>
      </c>
      <c r="B1210" s="9">
        <v>45452</v>
      </c>
      <c r="C1210" s="9">
        <v>45653</v>
      </c>
      <c r="D1210" s="8" t="s">
        <v>1457</v>
      </c>
      <c r="E1210" s="8" t="s">
        <v>48</v>
      </c>
      <c r="F1210" s="8" t="s">
        <v>270</v>
      </c>
      <c r="G1210" s="8" t="s">
        <v>189</v>
      </c>
      <c r="H1210" s="8" t="s">
        <v>561</v>
      </c>
      <c r="I1210" s="8" t="s">
        <v>4973</v>
      </c>
      <c r="J1210" s="10">
        <v>464</v>
      </c>
      <c r="K1210" s="11">
        <v>86.91</v>
      </c>
      <c r="L1210" s="11">
        <v>139.77000000000001</v>
      </c>
      <c r="M1210" s="11">
        <v>64853.279999999999</v>
      </c>
      <c r="N1210" s="11">
        <v>40326.239999999998</v>
      </c>
      <c r="O1210" s="11">
        <f>CleanedData[[#This Row],[Total Sales ($)]]-CleanedData[[#This Row],[Total Cost ($)]]</f>
        <v>24527.040000000001</v>
      </c>
      <c r="P1210" s="12">
        <f>CleanedData[[#This Row],[Profit ($)]]/CleanedData[[#This Row],[Total Sales ($)]]</f>
        <v>0.37819274522429708</v>
      </c>
      <c r="Q1210" s="8" t="s">
        <v>31</v>
      </c>
      <c r="R1210" s="8" t="s">
        <v>32</v>
      </c>
      <c r="S1210" s="8" t="b">
        <f>_xlfn.SINGLE(CleanedData[[#This Row],[Delivery Status]])="Late"</f>
        <v>1</v>
      </c>
      <c r="T1210" s="10">
        <v>7</v>
      </c>
      <c r="U1210" s="8" t="s">
        <v>43</v>
      </c>
      <c r="V1210" s="10">
        <v>1250</v>
      </c>
      <c r="W1210" s="10">
        <v>19</v>
      </c>
      <c r="X1210" s="12">
        <v>4.0948275862068902E-2</v>
      </c>
      <c r="Y1210" s="8" t="b">
        <f>CleanedData[[#This Row],[Ship Date]]&lt;CleanedData[[#This Row],[Order Date]]</f>
        <v>0</v>
      </c>
      <c r="Z1210" s="10">
        <f>YEAR(CleanedData[[#This Row],[Order Date]])</f>
        <v>2024</v>
      </c>
      <c r="AA1210" s="8">
        <f>MONTH(CleanedData[[#This Row],[Order Date]])</f>
        <v>6</v>
      </c>
    </row>
    <row r="1211" spans="1:27" x14ac:dyDescent="0.35">
      <c r="A1211" s="8" t="s">
        <v>3301</v>
      </c>
      <c r="B1211" s="9">
        <v>45133</v>
      </c>
      <c r="C1211" s="9">
        <v>45131</v>
      </c>
      <c r="D1211" s="8" t="s">
        <v>3302</v>
      </c>
      <c r="E1211" s="8" t="s">
        <v>48</v>
      </c>
      <c r="F1211" s="8" t="s">
        <v>270</v>
      </c>
      <c r="G1211" s="8" t="s">
        <v>129</v>
      </c>
      <c r="H1211" s="8" t="s">
        <v>704</v>
      </c>
      <c r="I1211" s="8" t="s">
        <v>4973</v>
      </c>
      <c r="J1211" s="10">
        <v>563</v>
      </c>
      <c r="K1211" s="11">
        <v>783.64</v>
      </c>
      <c r="L1211" s="11">
        <v>1187.05</v>
      </c>
      <c r="M1211" s="11">
        <v>668309.15</v>
      </c>
      <c r="N1211" s="11">
        <v>441189.32</v>
      </c>
      <c r="O1211" s="11">
        <f>CleanedData[[#This Row],[Total Sales ($)]]-CleanedData[[#This Row],[Total Cost ($)]]</f>
        <v>227119.83000000002</v>
      </c>
      <c r="P1211" s="12">
        <f>CleanedData[[#This Row],[Profit ($)]]/CleanedData[[#This Row],[Total Sales ($)]]</f>
        <v>0.33984246661892931</v>
      </c>
      <c r="Q1211" s="8" t="s">
        <v>95</v>
      </c>
      <c r="R1211" s="8" t="s">
        <v>32</v>
      </c>
      <c r="S1211" s="8" t="b">
        <f>_xlfn.SINGLE(CleanedData[[#This Row],[Delivery Status]])="Late"</f>
        <v>1</v>
      </c>
      <c r="T1211" s="10">
        <v>14</v>
      </c>
      <c r="U1211" s="8" t="s">
        <v>53</v>
      </c>
      <c r="V1211" s="10">
        <v>1219</v>
      </c>
      <c r="W1211" s="10">
        <v>11</v>
      </c>
      <c r="X1211" s="12">
        <v>1.9538188277087001E-2</v>
      </c>
      <c r="Y1211" s="8" t="b">
        <f>CleanedData[[#This Row],[Ship Date]]&lt;CleanedData[[#This Row],[Order Date]]</f>
        <v>1</v>
      </c>
      <c r="Z1211" s="10">
        <f>YEAR(CleanedData[[#This Row],[Order Date]])</f>
        <v>2023</v>
      </c>
      <c r="AA1211" s="8">
        <f>MONTH(CleanedData[[#This Row],[Order Date]])</f>
        <v>7</v>
      </c>
    </row>
    <row r="1212" spans="1:27" x14ac:dyDescent="0.35">
      <c r="A1212" s="8" t="s">
        <v>3303</v>
      </c>
      <c r="B1212" s="9">
        <v>45190</v>
      </c>
      <c r="C1212" s="9">
        <v>45122</v>
      </c>
      <c r="D1212" s="8" t="s">
        <v>3304</v>
      </c>
      <c r="E1212" s="8" t="s">
        <v>48</v>
      </c>
      <c r="F1212" s="8" t="s">
        <v>270</v>
      </c>
      <c r="G1212" s="8" t="s">
        <v>60</v>
      </c>
      <c r="H1212" s="8" t="s">
        <v>539</v>
      </c>
      <c r="I1212" s="8" t="s">
        <v>4967</v>
      </c>
      <c r="J1212" s="10">
        <v>555</v>
      </c>
      <c r="K1212" s="11">
        <v>280.43</v>
      </c>
      <c r="L1212" s="11">
        <v>445.94</v>
      </c>
      <c r="M1212" s="11">
        <v>247496.7</v>
      </c>
      <c r="N1212" s="11">
        <v>155638.65</v>
      </c>
      <c r="O1212" s="11">
        <f>CleanedData[[#This Row],[Total Sales ($)]]-CleanedData[[#This Row],[Total Cost ($)]]</f>
        <v>91858.050000000017</v>
      </c>
      <c r="P1212" s="12">
        <f>CleanedData[[#This Row],[Profit ($)]]/CleanedData[[#This Row],[Total Sales ($)]]</f>
        <v>0.37114858501143655</v>
      </c>
      <c r="Q1212" s="8" t="s">
        <v>95</v>
      </c>
      <c r="R1212" s="8" t="s">
        <v>63</v>
      </c>
      <c r="S1212" s="8" t="b">
        <f>_xlfn.SINGLE(CleanedData[[#This Row],[Delivery Status]])="Late"</f>
        <v>0</v>
      </c>
      <c r="T1212" s="10">
        <v>1</v>
      </c>
      <c r="U1212" s="8" t="s">
        <v>33</v>
      </c>
      <c r="V1212" s="10">
        <v>1809</v>
      </c>
      <c r="W1212" s="10">
        <v>4</v>
      </c>
      <c r="X1212" s="12">
        <v>7.2072072072072004E-3</v>
      </c>
      <c r="Y1212" s="8" t="b">
        <f>CleanedData[[#This Row],[Ship Date]]&lt;CleanedData[[#This Row],[Order Date]]</f>
        <v>1</v>
      </c>
      <c r="Z1212" s="10">
        <f>YEAR(CleanedData[[#This Row],[Order Date]])</f>
        <v>2023</v>
      </c>
      <c r="AA1212" s="8">
        <f>MONTH(CleanedData[[#This Row],[Order Date]])</f>
        <v>9</v>
      </c>
    </row>
    <row r="1213" spans="1:27" x14ac:dyDescent="0.35">
      <c r="A1213" s="8" t="s">
        <v>3305</v>
      </c>
      <c r="B1213" s="9">
        <v>45139</v>
      </c>
      <c r="C1213" s="9">
        <v>45610</v>
      </c>
      <c r="D1213" s="8" t="s">
        <v>3307</v>
      </c>
      <c r="E1213" s="8" t="s">
        <v>58</v>
      </c>
      <c r="F1213" s="8" t="s">
        <v>116</v>
      </c>
      <c r="G1213" s="8" t="s">
        <v>189</v>
      </c>
      <c r="H1213" s="8" t="s">
        <v>561</v>
      </c>
      <c r="I1213" s="8" t="s">
        <v>4978</v>
      </c>
      <c r="J1213" s="10">
        <v>122</v>
      </c>
      <c r="K1213" s="11">
        <v>414.17</v>
      </c>
      <c r="L1213" s="11">
        <v>584.37</v>
      </c>
      <c r="M1213" s="11">
        <v>71293.14</v>
      </c>
      <c r="N1213" s="11">
        <v>50528.74</v>
      </c>
      <c r="O1213" s="11">
        <f>CleanedData[[#This Row],[Total Sales ($)]]-CleanedData[[#This Row],[Total Cost ($)]]</f>
        <v>20764.400000000001</v>
      </c>
      <c r="P1213" s="12">
        <f>CleanedData[[#This Row],[Profit ($)]]/CleanedData[[#This Row],[Total Sales ($)]]</f>
        <v>0.29125382890976609</v>
      </c>
      <c r="Q1213" s="8" t="s">
        <v>95</v>
      </c>
      <c r="R1213" s="8" t="s">
        <v>32</v>
      </c>
      <c r="S1213" s="8" t="b">
        <f>_xlfn.SINGLE(CleanedData[[#This Row],[Delivery Status]])="Late"</f>
        <v>1</v>
      </c>
      <c r="T1213" s="10">
        <v>12</v>
      </c>
      <c r="U1213" s="8" t="s">
        <v>53</v>
      </c>
      <c r="V1213" s="10">
        <v>3962</v>
      </c>
      <c r="W1213" s="10">
        <v>2</v>
      </c>
      <c r="X1213" s="12">
        <v>1.63934426229508E-2</v>
      </c>
      <c r="Y1213" s="8" t="b">
        <f>CleanedData[[#This Row],[Ship Date]]&lt;CleanedData[[#This Row],[Order Date]]</f>
        <v>0</v>
      </c>
      <c r="Z1213" s="10">
        <f>YEAR(CleanedData[[#This Row],[Order Date]])</f>
        <v>2023</v>
      </c>
      <c r="AA1213" s="8">
        <f>MONTH(CleanedData[[#This Row],[Order Date]])</f>
        <v>8</v>
      </c>
    </row>
    <row r="1214" spans="1:27" x14ac:dyDescent="0.35">
      <c r="A1214" s="8" t="s">
        <v>3308</v>
      </c>
      <c r="B1214" s="9">
        <v>45156</v>
      </c>
      <c r="C1214" s="9">
        <v>45133</v>
      </c>
      <c r="D1214" s="8" t="s">
        <v>3309</v>
      </c>
      <c r="E1214" s="8" t="s">
        <v>4972</v>
      </c>
      <c r="F1214" s="8" t="s">
        <v>538</v>
      </c>
      <c r="G1214" s="8" t="s">
        <v>93</v>
      </c>
      <c r="H1214" s="8" t="s">
        <v>184</v>
      </c>
      <c r="I1214" s="8" t="s">
        <v>4970</v>
      </c>
      <c r="J1214" s="10">
        <v>110</v>
      </c>
      <c r="K1214" s="11">
        <v>884.97</v>
      </c>
      <c r="L1214" s="11">
        <v>1111.9100000000001</v>
      </c>
      <c r="M1214" s="11">
        <v>122310.1</v>
      </c>
      <c r="N1214" s="11">
        <v>97346.7</v>
      </c>
      <c r="O1214" s="11">
        <f>CleanedData[[#This Row],[Total Sales ($)]]-CleanedData[[#This Row],[Total Cost ($)]]</f>
        <v>24963.400000000009</v>
      </c>
      <c r="P1214" s="12">
        <f>CleanedData[[#This Row],[Profit ($)]]/CleanedData[[#This Row],[Total Sales ($)]]</f>
        <v>0.20409925263735382</v>
      </c>
      <c r="Q1214" s="8" t="s">
        <v>52</v>
      </c>
      <c r="R1214" s="8" t="s">
        <v>63</v>
      </c>
      <c r="S1214" s="8" t="b">
        <f>_xlfn.SINGLE(CleanedData[[#This Row],[Delivery Status]])="Late"</f>
        <v>0</v>
      </c>
      <c r="T1214" s="10">
        <v>3</v>
      </c>
      <c r="U1214" s="8" t="s">
        <v>43</v>
      </c>
      <c r="V1214" s="10">
        <v>1725</v>
      </c>
      <c r="W1214" s="10">
        <v>1</v>
      </c>
      <c r="X1214" s="12">
        <v>9.0909090909090003E-3</v>
      </c>
      <c r="Y1214" s="8" t="b">
        <f>CleanedData[[#This Row],[Ship Date]]&lt;CleanedData[[#This Row],[Order Date]]</f>
        <v>1</v>
      </c>
      <c r="Z1214" s="10">
        <f>YEAR(CleanedData[[#This Row],[Order Date]])</f>
        <v>2023</v>
      </c>
      <c r="AA1214" s="8">
        <f>MONTH(CleanedData[[#This Row],[Order Date]])</f>
        <v>8</v>
      </c>
    </row>
    <row r="1215" spans="1:27" x14ac:dyDescent="0.35">
      <c r="A1215" s="8" t="s">
        <v>3310</v>
      </c>
      <c r="B1215" s="9">
        <v>45147</v>
      </c>
      <c r="C1215" s="9">
        <v>45007</v>
      </c>
      <c r="D1215" s="8" t="s">
        <v>3311</v>
      </c>
      <c r="E1215" s="8" t="s">
        <v>26</v>
      </c>
      <c r="F1215" s="8" t="s">
        <v>77</v>
      </c>
      <c r="G1215" s="8" t="s">
        <v>93</v>
      </c>
      <c r="H1215" s="8" t="s">
        <v>485</v>
      </c>
      <c r="I1215" s="8" t="s">
        <v>4979</v>
      </c>
      <c r="J1215" s="10">
        <v>718</v>
      </c>
      <c r="K1215" s="11">
        <v>99.92</v>
      </c>
      <c r="L1215" s="11">
        <v>146.09</v>
      </c>
      <c r="M1215" s="11">
        <v>104892.62</v>
      </c>
      <c r="N1215" s="11">
        <v>71742.559999999998</v>
      </c>
      <c r="O1215" s="11">
        <f>CleanedData[[#This Row],[Total Sales ($)]]-CleanedData[[#This Row],[Total Cost ($)]]</f>
        <v>33150.06</v>
      </c>
      <c r="P1215" s="12">
        <f>CleanedData[[#This Row],[Profit ($)]]/CleanedData[[#This Row],[Total Sales ($)]]</f>
        <v>0.31603805873091928</v>
      </c>
      <c r="Q1215" s="8" t="s">
        <v>52</v>
      </c>
      <c r="R1215" s="8" t="s">
        <v>32</v>
      </c>
      <c r="S1215" s="8" t="b">
        <f>_xlfn.SINGLE(CleanedData[[#This Row],[Delivery Status]])="Late"</f>
        <v>1</v>
      </c>
      <c r="T1215" s="10">
        <v>15</v>
      </c>
      <c r="U1215" s="8" t="s">
        <v>86</v>
      </c>
      <c r="V1215" s="10">
        <v>3671</v>
      </c>
      <c r="W1215" s="10">
        <v>9</v>
      </c>
      <c r="X1215" s="12">
        <v>1.25348189415041E-2</v>
      </c>
      <c r="Y1215" s="8" t="b">
        <f>CleanedData[[#This Row],[Ship Date]]&lt;CleanedData[[#This Row],[Order Date]]</f>
        <v>1</v>
      </c>
      <c r="Z1215" s="10">
        <f>YEAR(CleanedData[[#This Row],[Order Date]])</f>
        <v>2023</v>
      </c>
      <c r="AA1215" s="8">
        <f>MONTH(CleanedData[[#This Row],[Order Date]])</f>
        <v>8</v>
      </c>
    </row>
    <row r="1216" spans="1:27" x14ac:dyDescent="0.35">
      <c r="A1216" s="8" t="s">
        <v>3312</v>
      </c>
      <c r="B1216" s="9">
        <v>45079</v>
      </c>
      <c r="C1216" s="9">
        <v>45024</v>
      </c>
      <c r="D1216" s="8" t="s">
        <v>3313</v>
      </c>
      <c r="E1216" s="8" t="s">
        <v>68</v>
      </c>
      <c r="F1216" s="8" t="s">
        <v>146</v>
      </c>
      <c r="G1216" s="8" t="s">
        <v>39</v>
      </c>
      <c r="H1216" s="8" t="s">
        <v>647</v>
      </c>
      <c r="I1216" s="8" t="s">
        <v>4968</v>
      </c>
      <c r="J1216" s="10">
        <v>398</v>
      </c>
      <c r="K1216" s="11">
        <v>991.32</v>
      </c>
      <c r="L1216" s="11">
        <v>1197.92</v>
      </c>
      <c r="M1216" s="11">
        <v>476772.16</v>
      </c>
      <c r="N1216" s="11">
        <v>394545.36</v>
      </c>
      <c r="O1216" s="11">
        <f>CleanedData[[#This Row],[Total Sales ($)]]-CleanedData[[#This Row],[Total Cost ($)]]</f>
        <v>82226.799999999988</v>
      </c>
      <c r="P1216" s="12">
        <f>CleanedData[[#This Row],[Profit ($)]]/CleanedData[[#This Row],[Total Sales ($)]]</f>
        <v>0.17246560705222383</v>
      </c>
      <c r="Q1216" s="8" t="s">
        <v>95</v>
      </c>
      <c r="R1216" s="8" t="s">
        <v>32</v>
      </c>
      <c r="S1216" s="8" t="b">
        <f>_xlfn.SINGLE(CleanedData[[#This Row],[Delivery Status]])="Late"</f>
        <v>1</v>
      </c>
      <c r="T1216" s="10">
        <v>8</v>
      </c>
      <c r="U1216" s="8" t="s">
        <v>158</v>
      </c>
      <c r="V1216" s="10">
        <v>3256</v>
      </c>
      <c r="W1216" s="10">
        <v>8</v>
      </c>
      <c r="X1216" s="12">
        <v>2.01005025125628E-2</v>
      </c>
      <c r="Y1216" s="8" t="b">
        <f>CleanedData[[#This Row],[Ship Date]]&lt;CleanedData[[#This Row],[Order Date]]</f>
        <v>1</v>
      </c>
      <c r="Z1216" s="10">
        <f>YEAR(CleanedData[[#This Row],[Order Date]])</f>
        <v>2023</v>
      </c>
      <c r="AA1216" s="8">
        <f>MONTH(CleanedData[[#This Row],[Order Date]])</f>
        <v>6</v>
      </c>
    </row>
    <row r="1217" spans="1:27" x14ac:dyDescent="0.35">
      <c r="A1217" s="8" t="s">
        <v>3314</v>
      </c>
      <c r="B1217" s="9">
        <v>45252</v>
      </c>
      <c r="C1217" s="9">
        <v>45061</v>
      </c>
      <c r="D1217" s="8" t="s">
        <v>3315</v>
      </c>
      <c r="E1217" s="8" t="s">
        <v>68</v>
      </c>
      <c r="F1217" s="8" t="s">
        <v>69</v>
      </c>
      <c r="G1217" s="8" t="s">
        <v>217</v>
      </c>
      <c r="H1217" s="8" t="s">
        <v>684</v>
      </c>
      <c r="I1217" s="8" t="s">
        <v>4979</v>
      </c>
      <c r="J1217" s="10">
        <v>673</v>
      </c>
      <c r="K1217" s="11">
        <v>1069.7</v>
      </c>
      <c r="L1217" s="11">
        <v>1383.18</v>
      </c>
      <c r="M1217" s="11">
        <v>930880.14</v>
      </c>
      <c r="N1217" s="11">
        <v>719908.1</v>
      </c>
      <c r="O1217" s="11">
        <f>CleanedData[[#This Row],[Total Sales ($)]]-CleanedData[[#This Row],[Total Cost ($)]]</f>
        <v>210972.04000000004</v>
      </c>
      <c r="P1217" s="12">
        <f>CleanedData[[#This Row],[Profit ($)]]/CleanedData[[#This Row],[Total Sales ($)]]</f>
        <v>0.22663716942118889</v>
      </c>
      <c r="Q1217" s="8" t="s">
        <v>42</v>
      </c>
      <c r="R1217" s="8" t="s">
        <v>63</v>
      </c>
      <c r="S1217" s="8" t="b">
        <f>_xlfn.SINGLE(CleanedData[[#This Row],[Delivery Status]])="Late"</f>
        <v>0</v>
      </c>
      <c r="T1217" s="10">
        <v>2</v>
      </c>
      <c r="U1217" s="8" t="s">
        <v>53</v>
      </c>
      <c r="V1217" s="10">
        <v>111</v>
      </c>
      <c r="W1217" s="10">
        <v>7</v>
      </c>
      <c r="X1217" s="12">
        <v>1.04011887072808E-2</v>
      </c>
      <c r="Y1217" s="8" t="b">
        <f>CleanedData[[#This Row],[Ship Date]]&lt;CleanedData[[#This Row],[Order Date]]</f>
        <v>1</v>
      </c>
      <c r="Z1217" s="10">
        <f>YEAR(CleanedData[[#This Row],[Order Date]])</f>
        <v>2023</v>
      </c>
      <c r="AA1217" s="8">
        <f>MONTH(CleanedData[[#This Row],[Order Date]])</f>
        <v>11</v>
      </c>
    </row>
    <row r="1218" spans="1:27" x14ac:dyDescent="0.35">
      <c r="A1218" s="8" t="s">
        <v>3316</v>
      </c>
      <c r="B1218" s="9">
        <v>45001</v>
      </c>
      <c r="C1218" s="9">
        <v>45276</v>
      </c>
      <c r="D1218" s="8" t="s">
        <v>2906</v>
      </c>
      <c r="E1218" s="8" t="s">
        <v>100</v>
      </c>
      <c r="F1218" s="8" t="s">
        <v>538</v>
      </c>
      <c r="G1218" s="8" t="s">
        <v>70</v>
      </c>
      <c r="H1218" s="8" t="s">
        <v>84</v>
      </c>
      <c r="I1218" s="8" t="s">
        <v>4970</v>
      </c>
      <c r="J1218" s="10">
        <v>429</v>
      </c>
      <c r="K1218" s="11">
        <v>367.17</v>
      </c>
      <c r="L1218" s="11">
        <v>483.27</v>
      </c>
      <c r="M1218" s="11">
        <v>207322.83</v>
      </c>
      <c r="N1218" s="11">
        <v>157515.93</v>
      </c>
      <c r="O1218" s="11">
        <f>CleanedData[[#This Row],[Total Sales ($)]]-CleanedData[[#This Row],[Total Cost ($)]]</f>
        <v>49806.899999999994</v>
      </c>
      <c r="P1218" s="12">
        <f>CleanedData[[#This Row],[Profit ($)]]/CleanedData[[#This Row],[Total Sales ($)]]</f>
        <v>0.24023837606307033</v>
      </c>
      <c r="Q1218" s="8" t="s">
        <v>42</v>
      </c>
      <c r="R1218" s="8" t="s">
        <v>63</v>
      </c>
      <c r="S1218" s="8" t="b">
        <f>_xlfn.SINGLE(CleanedData[[#This Row],[Delivery Status]])="Late"</f>
        <v>0</v>
      </c>
      <c r="T1218" s="10">
        <v>1</v>
      </c>
      <c r="U1218" s="8" t="s">
        <v>86</v>
      </c>
      <c r="V1218" s="10">
        <v>320</v>
      </c>
      <c r="W1218" s="10">
        <v>9</v>
      </c>
      <c r="X1218" s="12">
        <v>2.09790209790209E-2</v>
      </c>
      <c r="Y1218" s="8" t="b">
        <f>CleanedData[[#This Row],[Ship Date]]&lt;CleanedData[[#This Row],[Order Date]]</f>
        <v>0</v>
      </c>
      <c r="Z1218" s="10">
        <f>YEAR(CleanedData[[#This Row],[Order Date]])</f>
        <v>2023</v>
      </c>
      <c r="AA1218" s="8">
        <f>MONTH(CleanedData[[#This Row],[Order Date]])</f>
        <v>3</v>
      </c>
    </row>
    <row r="1219" spans="1:27" x14ac:dyDescent="0.35">
      <c r="A1219" s="8" t="s">
        <v>3317</v>
      </c>
      <c r="B1219" s="9">
        <v>45135</v>
      </c>
      <c r="C1219" s="9">
        <v>45031</v>
      </c>
      <c r="D1219" s="8" t="s">
        <v>3318</v>
      </c>
      <c r="E1219" s="8" t="s">
        <v>26</v>
      </c>
      <c r="F1219" s="8" t="s">
        <v>38</v>
      </c>
      <c r="G1219" s="8" t="s">
        <v>60</v>
      </c>
      <c r="H1219" s="8" t="s">
        <v>164</v>
      </c>
      <c r="I1219" s="8" t="s">
        <v>4970</v>
      </c>
      <c r="J1219" s="10">
        <v>506</v>
      </c>
      <c r="K1219" s="11">
        <v>463.21</v>
      </c>
      <c r="L1219" s="11">
        <v>553.1</v>
      </c>
      <c r="M1219" s="11">
        <v>279868.59999999998</v>
      </c>
      <c r="N1219" s="11">
        <v>234384.26</v>
      </c>
      <c r="O1219" s="11">
        <f>CleanedData[[#This Row],[Total Sales ($)]]-CleanedData[[#This Row],[Total Cost ($)]]</f>
        <v>45484.339999999967</v>
      </c>
      <c r="P1219" s="12">
        <f>CleanedData[[#This Row],[Profit ($)]]/CleanedData[[#This Row],[Total Sales ($)]]</f>
        <v>0.16252033990236836</v>
      </c>
      <c r="Q1219" s="8" t="s">
        <v>31</v>
      </c>
      <c r="R1219" s="8" t="s">
        <v>63</v>
      </c>
      <c r="S1219" s="8" t="b">
        <f>_xlfn.SINGLE(CleanedData[[#This Row],[Delivery Status]])="Late"</f>
        <v>0</v>
      </c>
      <c r="T1219" s="10">
        <v>4</v>
      </c>
      <c r="U1219" s="8" t="s">
        <v>86</v>
      </c>
      <c r="V1219" s="10">
        <v>4174</v>
      </c>
      <c r="W1219" s="10">
        <v>14</v>
      </c>
      <c r="X1219" s="12">
        <v>2.7667984189723299E-2</v>
      </c>
      <c r="Y1219" s="8" t="b">
        <f>CleanedData[[#This Row],[Ship Date]]&lt;CleanedData[[#This Row],[Order Date]]</f>
        <v>1</v>
      </c>
      <c r="Z1219" s="10">
        <f>YEAR(CleanedData[[#This Row],[Order Date]])</f>
        <v>2023</v>
      </c>
      <c r="AA1219" s="8">
        <f>MONTH(CleanedData[[#This Row],[Order Date]])</f>
        <v>7</v>
      </c>
    </row>
    <row r="1220" spans="1:27" x14ac:dyDescent="0.35">
      <c r="A1220" s="8" t="s">
        <v>3319</v>
      </c>
      <c r="B1220" s="9">
        <v>45039</v>
      </c>
      <c r="C1220" s="9">
        <v>45009</v>
      </c>
      <c r="D1220" s="8" t="s">
        <v>3320</v>
      </c>
      <c r="E1220" s="8" t="s">
        <v>100</v>
      </c>
      <c r="F1220" s="8" t="s">
        <v>330</v>
      </c>
      <c r="G1220" s="8" t="s">
        <v>70</v>
      </c>
      <c r="H1220" s="8" t="s">
        <v>84</v>
      </c>
      <c r="I1220" s="8" t="s">
        <v>4970</v>
      </c>
      <c r="J1220" s="10">
        <v>552</v>
      </c>
      <c r="K1220" s="11">
        <v>99.74</v>
      </c>
      <c r="L1220" s="11">
        <v>139.13</v>
      </c>
      <c r="M1220" s="11">
        <v>76799.759999999995</v>
      </c>
      <c r="N1220" s="11">
        <v>55056.480000000003</v>
      </c>
      <c r="O1220" s="11">
        <f>CleanedData[[#This Row],[Total Sales ($)]]-CleanedData[[#This Row],[Total Cost ($)]]</f>
        <v>21743.279999999992</v>
      </c>
      <c r="P1220" s="12">
        <f>CleanedData[[#This Row],[Profit ($)]]/CleanedData[[#This Row],[Total Sales ($)]]</f>
        <v>0.28311650973909286</v>
      </c>
      <c r="Q1220" s="8" t="s">
        <v>31</v>
      </c>
      <c r="R1220" s="8" t="s">
        <v>32</v>
      </c>
      <c r="S1220" s="8" t="b">
        <f>_xlfn.SINGLE(CleanedData[[#This Row],[Delivery Status]])="Late"</f>
        <v>1</v>
      </c>
      <c r="T1220" s="10">
        <v>10</v>
      </c>
      <c r="U1220" s="8" t="s">
        <v>86</v>
      </c>
      <c r="V1220" s="10">
        <v>420</v>
      </c>
      <c r="W1220" s="10">
        <v>11</v>
      </c>
      <c r="X1220" s="12">
        <v>1.9927536231884001E-2</v>
      </c>
      <c r="Y1220" s="8" t="b">
        <f>CleanedData[[#This Row],[Ship Date]]&lt;CleanedData[[#This Row],[Order Date]]</f>
        <v>1</v>
      </c>
      <c r="Z1220" s="10">
        <f>YEAR(CleanedData[[#This Row],[Order Date]])</f>
        <v>2023</v>
      </c>
      <c r="AA1220" s="8">
        <f>MONTH(CleanedData[[#This Row],[Order Date]])</f>
        <v>4</v>
      </c>
    </row>
    <row r="1221" spans="1:27" x14ac:dyDescent="0.35">
      <c r="A1221" s="8" t="s">
        <v>3321</v>
      </c>
      <c r="B1221" s="9">
        <v>45044</v>
      </c>
      <c r="C1221" s="9">
        <v>45097</v>
      </c>
      <c r="D1221" s="8" t="s">
        <v>3322</v>
      </c>
      <c r="E1221" s="8" t="s">
        <v>58</v>
      </c>
      <c r="F1221" s="8" t="s">
        <v>417</v>
      </c>
      <c r="G1221" s="8" t="s">
        <v>28</v>
      </c>
      <c r="H1221" s="8" t="s">
        <v>254</v>
      </c>
      <c r="I1221" s="8" t="s">
        <v>4975</v>
      </c>
      <c r="J1221" s="10">
        <v>333</v>
      </c>
      <c r="K1221" s="11">
        <v>661.88</v>
      </c>
      <c r="L1221" s="11">
        <v>1044.32</v>
      </c>
      <c r="M1221" s="11">
        <v>347758.56</v>
      </c>
      <c r="N1221" s="11">
        <v>220406.04</v>
      </c>
      <c r="O1221" s="11">
        <f>CleanedData[[#This Row],[Total Sales ($)]]-CleanedData[[#This Row],[Total Cost ($)]]</f>
        <v>127352.51999999999</v>
      </c>
      <c r="P1221" s="12">
        <f>CleanedData[[#This Row],[Profit ($)]]/CleanedData[[#This Row],[Total Sales ($)]]</f>
        <v>0.36620959092998312</v>
      </c>
      <c r="Q1221" s="8" t="s">
        <v>31</v>
      </c>
      <c r="R1221" s="8" t="s">
        <v>63</v>
      </c>
      <c r="S1221" s="8" t="b">
        <f>_xlfn.SINGLE(CleanedData[[#This Row],[Delivery Status]])="Late"</f>
        <v>0</v>
      </c>
      <c r="T1221" s="10">
        <v>4</v>
      </c>
      <c r="U1221" s="8" t="s">
        <v>112</v>
      </c>
      <c r="V1221" s="10">
        <v>745</v>
      </c>
      <c r="W1221" s="10">
        <v>15</v>
      </c>
      <c r="X1221" s="12">
        <v>4.5045045045045001E-2</v>
      </c>
      <c r="Y1221" s="8" t="b">
        <f>CleanedData[[#This Row],[Ship Date]]&lt;CleanedData[[#This Row],[Order Date]]</f>
        <v>0</v>
      </c>
      <c r="Z1221" s="10">
        <f>YEAR(CleanedData[[#This Row],[Order Date]])</f>
        <v>2023</v>
      </c>
      <c r="AA1221" s="8">
        <f>MONTH(CleanedData[[#This Row],[Order Date]])</f>
        <v>4</v>
      </c>
    </row>
    <row r="1222" spans="1:27" x14ac:dyDescent="0.35">
      <c r="A1222" s="8" t="s">
        <v>3323</v>
      </c>
      <c r="B1222" s="9">
        <v>45368</v>
      </c>
      <c r="C1222" s="9">
        <v>45454</v>
      </c>
      <c r="D1222" s="8" t="s">
        <v>3325</v>
      </c>
      <c r="E1222" s="8" t="s">
        <v>100</v>
      </c>
      <c r="F1222" s="8" t="s">
        <v>330</v>
      </c>
      <c r="G1222" s="8" t="s">
        <v>93</v>
      </c>
      <c r="H1222" s="8" t="s">
        <v>184</v>
      </c>
      <c r="I1222" s="8" t="s">
        <v>4967</v>
      </c>
      <c r="J1222" s="10">
        <v>540</v>
      </c>
      <c r="K1222" s="11">
        <v>713.69</v>
      </c>
      <c r="L1222" s="11">
        <v>1079.8</v>
      </c>
      <c r="M1222" s="11">
        <v>583092</v>
      </c>
      <c r="N1222" s="11">
        <v>385392.6</v>
      </c>
      <c r="O1222" s="11">
        <f>CleanedData[[#This Row],[Total Sales ($)]]-CleanedData[[#This Row],[Total Cost ($)]]</f>
        <v>197699.40000000002</v>
      </c>
      <c r="P1222" s="12">
        <f>CleanedData[[#This Row],[Profit ($)]]/CleanedData[[#This Row],[Total Sales ($)]]</f>
        <v>0.33905352843119102</v>
      </c>
      <c r="Q1222" s="8" t="s">
        <v>42</v>
      </c>
      <c r="R1222" s="8" t="s">
        <v>32</v>
      </c>
      <c r="S1222" s="8" t="b">
        <f>_xlfn.SINGLE(CleanedData[[#This Row],[Delivery Status]])="Late"</f>
        <v>1</v>
      </c>
      <c r="T1222" s="10">
        <v>9</v>
      </c>
      <c r="U1222" s="8" t="s">
        <v>112</v>
      </c>
      <c r="V1222" s="10">
        <v>1536</v>
      </c>
      <c r="W1222" s="10">
        <v>2</v>
      </c>
      <c r="X1222" s="12">
        <v>3.7037037037036999E-3</v>
      </c>
      <c r="Y1222" s="8" t="b">
        <f>CleanedData[[#This Row],[Ship Date]]&lt;CleanedData[[#This Row],[Order Date]]</f>
        <v>0</v>
      </c>
      <c r="Z1222" s="10">
        <f>YEAR(CleanedData[[#This Row],[Order Date]])</f>
        <v>2024</v>
      </c>
      <c r="AA1222" s="8">
        <f>MONTH(CleanedData[[#This Row],[Order Date]])</f>
        <v>3</v>
      </c>
    </row>
    <row r="1223" spans="1:27" x14ac:dyDescent="0.35">
      <c r="A1223" s="8" t="s">
        <v>3326</v>
      </c>
      <c r="B1223" s="9">
        <v>45002</v>
      </c>
      <c r="C1223" s="9">
        <v>45286</v>
      </c>
      <c r="D1223" s="8" t="s">
        <v>3327</v>
      </c>
      <c r="E1223" s="8" t="s">
        <v>48</v>
      </c>
      <c r="F1223" s="8" t="s">
        <v>281</v>
      </c>
      <c r="G1223" s="8" t="s">
        <v>93</v>
      </c>
      <c r="H1223" s="8" t="s">
        <v>140</v>
      </c>
      <c r="I1223" s="8" t="s">
        <v>4979</v>
      </c>
      <c r="J1223" s="10">
        <v>92</v>
      </c>
      <c r="K1223" s="11">
        <v>962.26</v>
      </c>
      <c r="L1223" s="11">
        <v>1489.51</v>
      </c>
      <c r="M1223" s="11">
        <v>137034.92000000001</v>
      </c>
      <c r="N1223" s="11">
        <v>88527.92</v>
      </c>
      <c r="O1223" s="11">
        <f>CleanedData[[#This Row],[Total Sales ($)]]-CleanedData[[#This Row],[Total Cost ($)]]</f>
        <v>48507.000000000015</v>
      </c>
      <c r="P1223" s="12">
        <f>CleanedData[[#This Row],[Profit ($)]]/CleanedData[[#This Row],[Total Sales ($)]]</f>
        <v>0.35397546844264227</v>
      </c>
      <c r="Q1223" s="8" t="s">
        <v>52</v>
      </c>
      <c r="R1223" s="8" t="s">
        <v>32</v>
      </c>
      <c r="S1223" s="8" t="b">
        <f>_xlfn.SINGLE(CleanedData[[#This Row],[Delivery Status]])="Late"</f>
        <v>1</v>
      </c>
      <c r="T1223" s="10">
        <v>14</v>
      </c>
      <c r="U1223" s="8" t="s">
        <v>43</v>
      </c>
      <c r="V1223" s="10">
        <v>2678</v>
      </c>
      <c r="W1223" s="10">
        <v>4</v>
      </c>
      <c r="X1223" s="12">
        <v>4.3478260869565202E-2</v>
      </c>
      <c r="Y1223" s="8" t="b">
        <f>CleanedData[[#This Row],[Ship Date]]&lt;CleanedData[[#This Row],[Order Date]]</f>
        <v>0</v>
      </c>
      <c r="Z1223" s="10">
        <f>YEAR(CleanedData[[#This Row],[Order Date]])</f>
        <v>2023</v>
      </c>
      <c r="AA1223" s="8">
        <f>MONTH(CleanedData[[#This Row],[Order Date]])</f>
        <v>3</v>
      </c>
    </row>
    <row r="1224" spans="1:27" x14ac:dyDescent="0.35">
      <c r="A1224" s="8" t="s">
        <v>3328</v>
      </c>
      <c r="B1224" s="9">
        <v>45219</v>
      </c>
      <c r="C1224" s="9">
        <v>45156</v>
      </c>
      <c r="D1224" s="8" t="s">
        <v>3329</v>
      </c>
      <c r="E1224" s="8" t="s">
        <v>26</v>
      </c>
      <c r="F1224" s="8" t="s">
        <v>38</v>
      </c>
      <c r="G1224" s="8" t="s">
        <v>39</v>
      </c>
      <c r="H1224" s="8" t="s">
        <v>477</v>
      </c>
      <c r="I1224" s="8" t="s">
        <v>4977</v>
      </c>
      <c r="J1224" s="10">
        <v>727</v>
      </c>
      <c r="K1224" s="11">
        <v>17.13</v>
      </c>
      <c r="L1224" s="11">
        <v>26.04</v>
      </c>
      <c r="M1224" s="11">
        <v>18931.080000000002</v>
      </c>
      <c r="N1224" s="11">
        <v>12453.51</v>
      </c>
      <c r="O1224" s="11">
        <f>CleanedData[[#This Row],[Total Sales ($)]]-CleanedData[[#This Row],[Total Cost ($)]]</f>
        <v>6477.5700000000015</v>
      </c>
      <c r="P1224" s="12">
        <f>CleanedData[[#This Row],[Profit ($)]]/CleanedData[[#This Row],[Total Sales ($)]]</f>
        <v>0.34216589861751157</v>
      </c>
      <c r="Q1224" s="8" t="s">
        <v>95</v>
      </c>
      <c r="R1224" s="8" t="s">
        <v>63</v>
      </c>
      <c r="S1224" s="8" t="b">
        <f>_xlfn.SINGLE(CleanedData[[#This Row],[Delivery Status]])="Late"</f>
        <v>0</v>
      </c>
      <c r="T1224" s="10">
        <v>2</v>
      </c>
      <c r="U1224" s="8" t="s">
        <v>53</v>
      </c>
      <c r="V1224" s="10">
        <v>2672</v>
      </c>
      <c r="W1224" s="10">
        <v>16</v>
      </c>
      <c r="X1224" s="12">
        <v>2.2008253094910502E-2</v>
      </c>
      <c r="Y1224" s="8" t="b">
        <f>CleanedData[[#This Row],[Ship Date]]&lt;CleanedData[[#This Row],[Order Date]]</f>
        <v>1</v>
      </c>
      <c r="Z1224" s="10">
        <f>YEAR(CleanedData[[#This Row],[Order Date]])</f>
        <v>2023</v>
      </c>
      <c r="AA1224" s="8">
        <f>MONTH(CleanedData[[#This Row],[Order Date]])</f>
        <v>10</v>
      </c>
    </row>
    <row r="1225" spans="1:27" x14ac:dyDescent="0.35">
      <c r="A1225" s="8" t="s">
        <v>3330</v>
      </c>
      <c r="B1225" s="9">
        <v>44947</v>
      </c>
      <c r="C1225" s="9">
        <v>45110</v>
      </c>
      <c r="D1225" s="8" t="s">
        <v>3331</v>
      </c>
      <c r="E1225" s="8" t="s">
        <v>58</v>
      </c>
      <c r="F1225" s="8" t="s">
        <v>417</v>
      </c>
      <c r="G1225" s="8" t="s">
        <v>129</v>
      </c>
      <c r="H1225" s="8" t="s">
        <v>316</v>
      </c>
      <c r="I1225" s="8" t="s">
        <v>4975</v>
      </c>
      <c r="J1225" s="10">
        <v>432</v>
      </c>
      <c r="K1225" s="11">
        <v>659.6</v>
      </c>
      <c r="L1225" s="11">
        <v>914.32</v>
      </c>
      <c r="M1225" s="11">
        <v>394986.23999999999</v>
      </c>
      <c r="N1225" s="11">
        <v>284947.20000000001</v>
      </c>
      <c r="O1225" s="11">
        <f>CleanedData[[#This Row],[Total Sales ($)]]-CleanedData[[#This Row],[Total Cost ($)]]</f>
        <v>110039.03999999998</v>
      </c>
      <c r="P1225" s="12">
        <f>CleanedData[[#This Row],[Profit ($)]]/CleanedData[[#This Row],[Total Sales ($)]]</f>
        <v>0.27858955289176651</v>
      </c>
      <c r="Q1225" s="8" t="s">
        <v>31</v>
      </c>
      <c r="R1225" s="8" t="s">
        <v>63</v>
      </c>
      <c r="S1225" s="8" t="b">
        <f>_xlfn.SINGLE(CleanedData[[#This Row],[Delivery Status]])="Late"</f>
        <v>0</v>
      </c>
      <c r="T1225" s="10">
        <v>1</v>
      </c>
      <c r="U1225" s="8" t="s">
        <v>53</v>
      </c>
      <c r="V1225" s="10">
        <v>4061</v>
      </c>
      <c r="W1225" s="10">
        <v>4</v>
      </c>
      <c r="X1225" s="12">
        <v>9.2592592592591998E-3</v>
      </c>
      <c r="Y1225" s="8" t="b">
        <f>CleanedData[[#This Row],[Ship Date]]&lt;CleanedData[[#This Row],[Order Date]]</f>
        <v>0</v>
      </c>
      <c r="Z1225" s="10">
        <f>YEAR(CleanedData[[#This Row],[Order Date]])</f>
        <v>2023</v>
      </c>
      <c r="AA1225" s="8">
        <f>MONTH(CleanedData[[#This Row],[Order Date]])</f>
        <v>1</v>
      </c>
    </row>
    <row r="1226" spans="1:27" x14ac:dyDescent="0.35">
      <c r="A1226" s="8" t="s">
        <v>3332</v>
      </c>
      <c r="B1226" s="9">
        <v>45123</v>
      </c>
      <c r="C1226" s="9">
        <v>45176</v>
      </c>
      <c r="D1226" s="8" t="s">
        <v>3333</v>
      </c>
      <c r="E1226" s="8" t="s">
        <v>100</v>
      </c>
      <c r="F1226" s="8" t="s">
        <v>238</v>
      </c>
      <c r="G1226" s="8" t="s">
        <v>78</v>
      </c>
      <c r="H1226" s="8" t="s">
        <v>178</v>
      </c>
      <c r="I1226" s="8" t="s">
        <v>4969</v>
      </c>
      <c r="J1226" s="10">
        <v>606</v>
      </c>
      <c r="K1226" s="11">
        <v>589.58000000000004</v>
      </c>
      <c r="L1226" s="11">
        <v>678.4</v>
      </c>
      <c r="M1226" s="11">
        <v>411110.40000000002</v>
      </c>
      <c r="N1226" s="11">
        <v>357285.48</v>
      </c>
      <c r="O1226" s="11">
        <f>CleanedData[[#This Row],[Total Sales ($)]]-CleanedData[[#This Row],[Total Cost ($)]]</f>
        <v>53824.920000000042</v>
      </c>
      <c r="P1226" s="12">
        <f>CleanedData[[#This Row],[Profit ($)]]/CleanedData[[#This Row],[Total Sales ($)]]</f>
        <v>0.1309257075471699</v>
      </c>
      <c r="Q1226" s="8" t="s">
        <v>42</v>
      </c>
      <c r="R1226" s="8" t="s">
        <v>63</v>
      </c>
      <c r="S1226" s="8" t="b">
        <f>_xlfn.SINGLE(CleanedData[[#This Row],[Delivery Status]])="Late"</f>
        <v>0</v>
      </c>
      <c r="T1226" s="10">
        <v>2</v>
      </c>
      <c r="U1226" s="8" t="s">
        <v>43</v>
      </c>
      <c r="V1226" s="10">
        <v>3808</v>
      </c>
      <c r="W1226" s="10">
        <v>15</v>
      </c>
      <c r="X1226" s="12">
        <v>2.4752475247524702E-2</v>
      </c>
      <c r="Y1226" s="8" t="b">
        <f>CleanedData[[#This Row],[Ship Date]]&lt;CleanedData[[#This Row],[Order Date]]</f>
        <v>0</v>
      </c>
      <c r="Z1226" s="10">
        <f>YEAR(CleanedData[[#This Row],[Order Date]])</f>
        <v>2023</v>
      </c>
      <c r="AA1226" s="8">
        <f>MONTH(CleanedData[[#This Row],[Order Date]])</f>
        <v>7</v>
      </c>
    </row>
    <row r="1227" spans="1:27" x14ac:dyDescent="0.35">
      <c r="A1227" s="8" t="s">
        <v>3334</v>
      </c>
      <c r="B1227" s="9">
        <v>44979</v>
      </c>
      <c r="C1227" s="9">
        <v>45114</v>
      </c>
      <c r="D1227" s="8" t="s">
        <v>3335</v>
      </c>
      <c r="E1227" s="8" t="s">
        <v>58</v>
      </c>
      <c r="F1227" s="8" t="s">
        <v>116</v>
      </c>
      <c r="G1227" s="8" t="s">
        <v>129</v>
      </c>
      <c r="H1227" s="8" t="s">
        <v>811</v>
      </c>
      <c r="I1227" s="8" t="s">
        <v>4972</v>
      </c>
      <c r="J1227" s="10">
        <v>355</v>
      </c>
      <c r="K1227" s="11">
        <v>654.19000000000005</v>
      </c>
      <c r="L1227" s="11">
        <v>943.85</v>
      </c>
      <c r="M1227" s="11">
        <v>335066.75</v>
      </c>
      <c r="N1227" s="11">
        <v>232237.45</v>
      </c>
      <c r="O1227" s="11">
        <f>CleanedData[[#This Row],[Total Sales ($)]]-CleanedData[[#This Row],[Total Cost ($)]]</f>
        <v>102829.29999999999</v>
      </c>
      <c r="P1227" s="12">
        <f>CleanedData[[#This Row],[Profit ($)]]/CleanedData[[#This Row],[Total Sales ($)]]</f>
        <v>0.30689198495523651</v>
      </c>
      <c r="Q1227" s="8" t="s">
        <v>95</v>
      </c>
      <c r="R1227" s="8" t="s">
        <v>32</v>
      </c>
      <c r="S1227" s="8" t="b">
        <f>_xlfn.SINGLE(CleanedData[[#This Row],[Delivery Status]])="Late"</f>
        <v>1</v>
      </c>
      <c r="T1227" s="10">
        <v>11</v>
      </c>
      <c r="U1227" s="8" t="s">
        <v>86</v>
      </c>
      <c r="V1227" s="10">
        <v>3612</v>
      </c>
      <c r="W1227" s="10">
        <v>3</v>
      </c>
      <c r="X1227" s="12">
        <v>8.4507042253520997E-3</v>
      </c>
      <c r="Y1227" s="8" t="b">
        <f>CleanedData[[#This Row],[Ship Date]]&lt;CleanedData[[#This Row],[Order Date]]</f>
        <v>0</v>
      </c>
      <c r="Z1227" s="10">
        <f>YEAR(CleanedData[[#This Row],[Order Date]])</f>
        <v>2023</v>
      </c>
      <c r="AA1227" s="8">
        <f>MONTH(CleanedData[[#This Row],[Order Date]])</f>
        <v>2</v>
      </c>
    </row>
    <row r="1228" spans="1:27" x14ac:dyDescent="0.35">
      <c r="A1228" s="8" t="s">
        <v>1135</v>
      </c>
      <c r="B1228" s="9">
        <v>44947</v>
      </c>
      <c r="C1228" s="9">
        <v>45068</v>
      </c>
      <c r="D1228" s="8" t="s">
        <v>1136</v>
      </c>
      <c r="E1228" s="8" t="s">
        <v>58</v>
      </c>
      <c r="F1228" s="8" t="s">
        <v>259</v>
      </c>
      <c r="G1228" s="8" t="s">
        <v>50</v>
      </c>
      <c r="H1228" s="8" t="s">
        <v>51</v>
      </c>
      <c r="I1228" s="8" t="s">
        <v>4981</v>
      </c>
      <c r="J1228" s="10">
        <v>562</v>
      </c>
      <c r="K1228" s="11">
        <v>47.51</v>
      </c>
      <c r="L1228" s="11">
        <v>59.04</v>
      </c>
      <c r="M1228" s="11">
        <v>33180.480000000003</v>
      </c>
      <c r="N1228" s="11">
        <v>26700.62</v>
      </c>
      <c r="O1228" s="11">
        <f>CleanedData[[#This Row],[Total Sales ($)]]-CleanedData[[#This Row],[Total Cost ($)]]</f>
        <v>6479.8600000000042</v>
      </c>
      <c r="P1228" s="12">
        <f>CleanedData[[#This Row],[Profit ($)]]/CleanedData[[#This Row],[Total Sales ($)]]</f>
        <v>0.19529132791327924</v>
      </c>
      <c r="Q1228" s="8" t="s">
        <v>52</v>
      </c>
      <c r="R1228" s="8" t="s">
        <v>32</v>
      </c>
      <c r="S1228" s="8" t="b">
        <f>_xlfn.SINGLE(CleanedData[[#This Row],[Delivery Status]])="Late"</f>
        <v>1</v>
      </c>
      <c r="T1228" s="10">
        <v>12</v>
      </c>
      <c r="U1228" s="8" t="s">
        <v>86</v>
      </c>
      <c r="V1228" s="10">
        <v>816</v>
      </c>
      <c r="W1228" s="10">
        <v>3</v>
      </c>
      <c r="X1228" s="12">
        <v>5.3380782918148999E-3</v>
      </c>
      <c r="Y1228" s="8" t="b">
        <f>CleanedData[[#This Row],[Ship Date]]&lt;CleanedData[[#This Row],[Order Date]]</f>
        <v>0</v>
      </c>
      <c r="Z1228" s="10">
        <f>YEAR(CleanedData[[#This Row],[Order Date]])</f>
        <v>2023</v>
      </c>
      <c r="AA1228" s="8">
        <f>MONTH(CleanedData[[#This Row],[Order Date]])</f>
        <v>1</v>
      </c>
    </row>
    <row r="1229" spans="1:27" x14ac:dyDescent="0.35">
      <c r="A1229" s="8" t="s">
        <v>3336</v>
      </c>
      <c r="B1229" s="9">
        <v>45206</v>
      </c>
      <c r="C1229" s="9">
        <v>45097</v>
      </c>
      <c r="D1229" s="8" t="s">
        <v>3337</v>
      </c>
      <c r="E1229" s="8" t="s">
        <v>100</v>
      </c>
      <c r="F1229" s="8" t="s">
        <v>101</v>
      </c>
      <c r="G1229" s="8" t="s">
        <v>189</v>
      </c>
      <c r="H1229" s="8" t="s">
        <v>271</v>
      </c>
      <c r="I1229" s="8" t="s">
        <v>4978</v>
      </c>
      <c r="J1229" s="10">
        <v>635</v>
      </c>
      <c r="K1229" s="11">
        <v>137.71</v>
      </c>
      <c r="L1229" s="11">
        <v>215.18</v>
      </c>
      <c r="M1229" s="11">
        <v>136639.29999999999</v>
      </c>
      <c r="N1229" s="11">
        <v>87445.85</v>
      </c>
      <c r="O1229" s="11">
        <f>CleanedData[[#This Row],[Total Sales ($)]]-CleanedData[[#This Row],[Total Cost ($)]]</f>
        <v>49193.449999999983</v>
      </c>
      <c r="P1229" s="12">
        <f>CleanedData[[#This Row],[Profit ($)]]/CleanedData[[#This Row],[Total Sales ($)]]</f>
        <v>0.36002416581466667</v>
      </c>
      <c r="Q1229" s="8" t="s">
        <v>42</v>
      </c>
      <c r="R1229" s="8" t="s">
        <v>32</v>
      </c>
      <c r="S1229" s="8" t="b">
        <f>_xlfn.SINGLE(CleanedData[[#This Row],[Delivery Status]])="Late"</f>
        <v>1</v>
      </c>
      <c r="T1229" s="10">
        <v>15</v>
      </c>
      <c r="U1229" s="8" t="s">
        <v>158</v>
      </c>
      <c r="V1229" s="10">
        <v>2799</v>
      </c>
      <c r="W1229" s="10">
        <v>10</v>
      </c>
      <c r="X1229" s="12">
        <v>1.5748031496062902E-2</v>
      </c>
      <c r="Y1229" s="8" t="b">
        <f>CleanedData[[#This Row],[Ship Date]]&lt;CleanedData[[#This Row],[Order Date]]</f>
        <v>1</v>
      </c>
      <c r="Z1229" s="10">
        <f>YEAR(CleanedData[[#This Row],[Order Date]])</f>
        <v>2023</v>
      </c>
      <c r="AA1229" s="8">
        <f>MONTH(CleanedData[[#This Row],[Order Date]])</f>
        <v>10</v>
      </c>
    </row>
    <row r="1230" spans="1:27" x14ac:dyDescent="0.35">
      <c r="A1230" s="8" t="s">
        <v>3338</v>
      </c>
      <c r="B1230" s="9">
        <v>45059</v>
      </c>
      <c r="C1230" s="9">
        <v>44950</v>
      </c>
      <c r="D1230" s="8" t="s">
        <v>3339</v>
      </c>
      <c r="E1230" s="8" t="s">
        <v>68</v>
      </c>
      <c r="F1230" s="8" t="s">
        <v>146</v>
      </c>
      <c r="G1230" s="8" t="s">
        <v>129</v>
      </c>
      <c r="H1230" s="8" t="s">
        <v>704</v>
      </c>
      <c r="I1230" s="8" t="s">
        <v>4970</v>
      </c>
      <c r="J1230" s="10">
        <v>171</v>
      </c>
      <c r="K1230" s="11">
        <v>72.239999999999995</v>
      </c>
      <c r="L1230" s="11">
        <v>113.73</v>
      </c>
      <c r="M1230" s="11">
        <v>19447.830000000002</v>
      </c>
      <c r="N1230" s="11">
        <v>12353.04</v>
      </c>
      <c r="O1230" s="11">
        <f>CleanedData[[#This Row],[Total Sales ($)]]-CleanedData[[#This Row],[Total Cost ($)]]</f>
        <v>7094.7900000000009</v>
      </c>
      <c r="P1230" s="12">
        <f>CleanedData[[#This Row],[Profit ($)]]/CleanedData[[#This Row],[Total Sales ($)]]</f>
        <v>0.36481139541018204</v>
      </c>
      <c r="Q1230" s="8" t="s">
        <v>42</v>
      </c>
      <c r="R1230" s="8" t="s">
        <v>63</v>
      </c>
      <c r="S1230" s="8" t="b">
        <f>_xlfn.SINGLE(CleanedData[[#This Row],[Delivery Status]])="Late"</f>
        <v>0</v>
      </c>
      <c r="T1230" s="10">
        <v>4</v>
      </c>
      <c r="U1230" s="8" t="s">
        <v>112</v>
      </c>
      <c r="V1230" s="10">
        <v>379</v>
      </c>
      <c r="W1230" s="10">
        <v>1</v>
      </c>
      <c r="X1230" s="12">
        <v>5.8479532163742002E-3</v>
      </c>
      <c r="Y1230" s="8" t="b">
        <f>CleanedData[[#This Row],[Ship Date]]&lt;CleanedData[[#This Row],[Order Date]]</f>
        <v>1</v>
      </c>
      <c r="Z1230" s="10">
        <f>YEAR(CleanedData[[#This Row],[Order Date]])</f>
        <v>2023</v>
      </c>
      <c r="AA1230" s="8">
        <f>MONTH(CleanedData[[#This Row],[Order Date]])</f>
        <v>5</v>
      </c>
    </row>
    <row r="1231" spans="1:27" x14ac:dyDescent="0.35">
      <c r="A1231" s="8" t="s">
        <v>3340</v>
      </c>
      <c r="B1231" s="9">
        <v>45186</v>
      </c>
      <c r="C1231" s="9">
        <v>44939</v>
      </c>
      <c r="D1231" s="8" t="s">
        <v>3341</v>
      </c>
      <c r="E1231" s="8" t="s">
        <v>68</v>
      </c>
      <c r="F1231" s="8" t="s">
        <v>69</v>
      </c>
      <c r="G1231" s="8" t="s">
        <v>129</v>
      </c>
      <c r="H1231" s="8" t="s">
        <v>811</v>
      </c>
      <c r="I1231" s="8" t="s">
        <v>4971</v>
      </c>
      <c r="J1231" s="10">
        <v>693</v>
      </c>
      <c r="K1231" s="11">
        <v>205.96</v>
      </c>
      <c r="L1231" s="11">
        <v>306.93</v>
      </c>
      <c r="M1231" s="11">
        <v>212702.49</v>
      </c>
      <c r="N1231" s="11">
        <v>142730.28</v>
      </c>
      <c r="O1231" s="11">
        <f>CleanedData[[#This Row],[Total Sales ($)]]-CleanedData[[#This Row],[Total Cost ($)]]</f>
        <v>69972.209999999992</v>
      </c>
      <c r="P1231" s="12">
        <f>CleanedData[[#This Row],[Profit ($)]]/CleanedData[[#This Row],[Total Sales ($)]]</f>
        <v>0.32896751702342553</v>
      </c>
      <c r="Q1231" s="8" t="s">
        <v>52</v>
      </c>
      <c r="R1231" s="8" t="s">
        <v>63</v>
      </c>
      <c r="S1231" s="8" t="b">
        <f>_xlfn.SINGLE(CleanedData[[#This Row],[Delivery Status]])="Late"</f>
        <v>0</v>
      </c>
      <c r="T1231" s="10">
        <v>3</v>
      </c>
      <c r="U1231" s="8" t="s">
        <v>33</v>
      </c>
      <c r="V1231" s="10">
        <v>490</v>
      </c>
      <c r="W1231" s="10">
        <v>14</v>
      </c>
      <c r="X1231" s="12">
        <v>2.02020202020202E-2</v>
      </c>
      <c r="Y1231" s="8" t="b">
        <f>CleanedData[[#This Row],[Ship Date]]&lt;CleanedData[[#This Row],[Order Date]]</f>
        <v>1</v>
      </c>
      <c r="Z1231" s="10">
        <f>YEAR(CleanedData[[#This Row],[Order Date]])</f>
        <v>2023</v>
      </c>
      <c r="AA1231" s="8">
        <f>MONTH(CleanedData[[#This Row],[Order Date]])</f>
        <v>9</v>
      </c>
    </row>
    <row r="1232" spans="1:27" x14ac:dyDescent="0.35">
      <c r="A1232" s="8" t="s">
        <v>3342</v>
      </c>
      <c r="B1232" s="9">
        <v>45141</v>
      </c>
      <c r="C1232" s="9">
        <v>45171</v>
      </c>
      <c r="D1232" s="8" t="s">
        <v>3343</v>
      </c>
      <c r="E1232" s="8" t="s">
        <v>26</v>
      </c>
      <c r="F1232" s="8" t="s">
        <v>92</v>
      </c>
      <c r="G1232" s="8" t="s">
        <v>28</v>
      </c>
      <c r="H1232" s="8" t="s">
        <v>714</v>
      </c>
      <c r="I1232" s="8" t="s">
        <v>4969</v>
      </c>
      <c r="J1232" s="10">
        <v>340</v>
      </c>
      <c r="K1232" s="11">
        <v>72.8</v>
      </c>
      <c r="L1232" s="11">
        <v>95.24</v>
      </c>
      <c r="M1232" s="11">
        <v>32381.599999999999</v>
      </c>
      <c r="N1232" s="11">
        <v>24752</v>
      </c>
      <c r="O1232" s="11">
        <f>CleanedData[[#This Row],[Total Sales ($)]]-CleanedData[[#This Row],[Total Cost ($)]]</f>
        <v>7629.5999999999985</v>
      </c>
      <c r="P1232" s="12">
        <f>CleanedData[[#This Row],[Profit ($)]]/CleanedData[[#This Row],[Total Sales ($)]]</f>
        <v>0.23561528769424608</v>
      </c>
      <c r="Q1232" s="8" t="s">
        <v>31</v>
      </c>
      <c r="R1232" s="8" t="s">
        <v>32</v>
      </c>
      <c r="S1232" s="8" t="b">
        <f>_xlfn.SINGLE(CleanedData[[#This Row],[Delivery Status]])="Late"</f>
        <v>1</v>
      </c>
      <c r="T1232" s="10">
        <v>15</v>
      </c>
      <c r="U1232" s="8" t="s">
        <v>112</v>
      </c>
      <c r="V1232" s="10">
        <v>2426</v>
      </c>
      <c r="W1232" s="10">
        <v>14</v>
      </c>
      <c r="X1232" s="12">
        <v>4.1176470588235203E-2</v>
      </c>
      <c r="Y1232" s="8" t="b">
        <f>CleanedData[[#This Row],[Ship Date]]&lt;CleanedData[[#This Row],[Order Date]]</f>
        <v>0</v>
      </c>
      <c r="Z1232" s="10">
        <f>YEAR(CleanedData[[#This Row],[Order Date]])</f>
        <v>2023</v>
      </c>
      <c r="AA1232" s="8">
        <f>MONTH(CleanedData[[#This Row],[Order Date]])</f>
        <v>8</v>
      </c>
    </row>
    <row r="1233" spans="1:27" x14ac:dyDescent="0.35">
      <c r="A1233" s="8" t="s">
        <v>3344</v>
      </c>
      <c r="B1233" s="9">
        <v>45222</v>
      </c>
      <c r="C1233" s="9">
        <v>45140</v>
      </c>
      <c r="D1233" s="8" t="s">
        <v>3345</v>
      </c>
      <c r="E1233" s="8" t="s">
        <v>48</v>
      </c>
      <c r="F1233" s="8" t="s">
        <v>270</v>
      </c>
      <c r="G1233" s="8" t="s">
        <v>50</v>
      </c>
      <c r="H1233" s="8" t="s">
        <v>260</v>
      </c>
      <c r="I1233" s="8" t="s">
        <v>4968</v>
      </c>
      <c r="J1233" s="10">
        <v>434</v>
      </c>
      <c r="K1233" s="11">
        <v>617.74</v>
      </c>
      <c r="L1233" s="11">
        <v>852.2</v>
      </c>
      <c r="M1233" s="11">
        <v>369854.8</v>
      </c>
      <c r="N1233" s="11">
        <v>268099.15999999997</v>
      </c>
      <c r="O1233" s="11">
        <f>CleanedData[[#This Row],[Total Sales ($)]]-CleanedData[[#This Row],[Total Cost ($)]]</f>
        <v>101755.64000000001</v>
      </c>
      <c r="P1233" s="12">
        <f>CleanedData[[#This Row],[Profit ($)]]/CleanedData[[#This Row],[Total Sales ($)]]</f>
        <v>0.27512321051396388</v>
      </c>
      <c r="Q1233" s="8" t="s">
        <v>52</v>
      </c>
      <c r="R1233" s="8" t="s">
        <v>32</v>
      </c>
      <c r="S1233" s="8" t="b">
        <f>_xlfn.SINGLE(CleanedData[[#This Row],[Delivery Status]])="Late"</f>
        <v>1</v>
      </c>
      <c r="T1233" s="10">
        <v>12</v>
      </c>
      <c r="U1233" s="8" t="s">
        <v>53</v>
      </c>
      <c r="V1233" s="10">
        <v>2931</v>
      </c>
      <c r="W1233" s="10">
        <v>1</v>
      </c>
      <c r="X1233" s="12">
        <v>2.3041474654377E-3</v>
      </c>
      <c r="Y1233" s="8" t="b">
        <f>CleanedData[[#This Row],[Ship Date]]&lt;CleanedData[[#This Row],[Order Date]]</f>
        <v>1</v>
      </c>
      <c r="Z1233" s="10">
        <f>YEAR(CleanedData[[#This Row],[Order Date]])</f>
        <v>2023</v>
      </c>
      <c r="AA1233" s="8">
        <f>MONTH(CleanedData[[#This Row],[Order Date]])</f>
        <v>10</v>
      </c>
    </row>
    <row r="1234" spans="1:27" x14ac:dyDescent="0.35">
      <c r="A1234" s="8" t="s">
        <v>3346</v>
      </c>
      <c r="B1234" s="9">
        <v>45241</v>
      </c>
      <c r="C1234" s="9">
        <v>45607</v>
      </c>
      <c r="D1234" s="8" t="s">
        <v>3348</v>
      </c>
      <c r="E1234" s="8" t="s">
        <v>100</v>
      </c>
      <c r="F1234" s="8" t="s">
        <v>538</v>
      </c>
      <c r="G1234" s="8" t="s">
        <v>93</v>
      </c>
      <c r="H1234" s="8" t="s">
        <v>140</v>
      </c>
      <c r="I1234" s="8" t="s">
        <v>4967</v>
      </c>
      <c r="J1234" s="10">
        <v>94</v>
      </c>
      <c r="K1234" s="11">
        <v>89.33</v>
      </c>
      <c r="L1234" s="11">
        <v>137.41</v>
      </c>
      <c r="M1234" s="11">
        <v>12916.54</v>
      </c>
      <c r="N1234" s="11">
        <v>8397.02</v>
      </c>
      <c r="O1234" s="11">
        <f>CleanedData[[#This Row],[Total Sales ($)]]-CleanedData[[#This Row],[Total Cost ($)]]</f>
        <v>4519.5200000000004</v>
      </c>
      <c r="P1234" s="12">
        <f>CleanedData[[#This Row],[Profit ($)]]/CleanedData[[#This Row],[Total Sales ($)]]</f>
        <v>0.34990175387526384</v>
      </c>
      <c r="Q1234" s="8" t="s">
        <v>52</v>
      </c>
      <c r="R1234" s="8" t="s">
        <v>63</v>
      </c>
      <c r="S1234" s="8" t="b">
        <f>_xlfn.SINGLE(CleanedData[[#This Row],[Delivery Status]])="Late"</f>
        <v>0</v>
      </c>
      <c r="T1234" s="10">
        <v>3</v>
      </c>
      <c r="U1234" s="8" t="s">
        <v>86</v>
      </c>
      <c r="V1234" s="10">
        <v>4635</v>
      </c>
      <c r="W1234" s="10">
        <v>4</v>
      </c>
      <c r="X1234" s="12">
        <v>4.2553191489361701E-2</v>
      </c>
      <c r="Y1234" s="8" t="b">
        <f>CleanedData[[#This Row],[Ship Date]]&lt;CleanedData[[#This Row],[Order Date]]</f>
        <v>0</v>
      </c>
      <c r="Z1234" s="10">
        <f>YEAR(CleanedData[[#This Row],[Order Date]])</f>
        <v>2023</v>
      </c>
      <c r="AA1234" s="8">
        <f>MONTH(CleanedData[[#This Row],[Order Date]])</f>
        <v>11</v>
      </c>
    </row>
    <row r="1235" spans="1:27" x14ac:dyDescent="0.35">
      <c r="A1235" s="8" t="s">
        <v>3349</v>
      </c>
      <c r="B1235" s="9">
        <v>45277</v>
      </c>
      <c r="C1235" s="9">
        <v>44967</v>
      </c>
      <c r="D1235" s="8" t="s">
        <v>3350</v>
      </c>
      <c r="E1235" s="8" t="s">
        <v>26</v>
      </c>
      <c r="F1235" s="8" t="s">
        <v>27</v>
      </c>
      <c r="G1235" s="8" t="s">
        <v>217</v>
      </c>
      <c r="H1235" s="8" t="s">
        <v>218</v>
      </c>
      <c r="I1235" s="8" t="s">
        <v>4973</v>
      </c>
      <c r="J1235" s="10">
        <v>499</v>
      </c>
      <c r="K1235" s="11">
        <v>360.54</v>
      </c>
      <c r="L1235" s="11">
        <v>516.29999999999995</v>
      </c>
      <c r="M1235" s="11">
        <v>257633.7</v>
      </c>
      <c r="N1235" s="11">
        <v>179909.46</v>
      </c>
      <c r="O1235" s="11">
        <f>CleanedData[[#This Row],[Total Sales ($)]]-CleanedData[[#This Row],[Total Cost ($)]]</f>
        <v>77724.24000000002</v>
      </c>
      <c r="P1235" s="12">
        <f>CleanedData[[#This Row],[Profit ($)]]/CleanedData[[#This Row],[Total Sales ($)]]</f>
        <v>0.30168506682161539</v>
      </c>
      <c r="Q1235" s="8" t="s">
        <v>42</v>
      </c>
      <c r="R1235" s="8" t="s">
        <v>63</v>
      </c>
      <c r="S1235" s="8" t="b">
        <f>_xlfn.SINGLE(CleanedData[[#This Row],[Delivery Status]])="Late"</f>
        <v>0</v>
      </c>
      <c r="T1235" s="10">
        <v>1</v>
      </c>
      <c r="U1235" s="8" t="s">
        <v>112</v>
      </c>
      <c r="V1235" s="10">
        <v>177</v>
      </c>
      <c r="W1235" s="10">
        <v>8</v>
      </c>
      <c r="X1235" s="12">
        <v>1.6032064128256501E-2</v>
      </c>
      <c r="Y1235" s="8" t="b">
        <f>CleanedData[[#This Row],[Ship Date]]&lt;CleanedData[[#This Row],[Order Date]]</f>
        <v>1</v>
      </c>
      <c r="Z1235" s="10">
        <f>YEAR(CleanedData[[#This Row],[Order Date]])</f>
        <v>2023</v>
      </c>
      <c r="AA1235" s="8">
        <f>MONTH(CleanedData[[#This Row],[Order Date]])</f>
        <v>12</v>
      </c>
    </row>
    <row r="1236" spans="1:27" x14ac:dyDescent="0.35">
      <c r="A1236" s="8" t="s">
        <v>3351</v>
      </c>
      <c r="B1236" s="9">
        <v>45611</v>
      </c>
      <c r="C1236" s="9">
        <v>45440</v>
      </c>
      <c r="D1236" s="8" t="s">
        <v>3352</v>
      </c>
      <c r="E1236" s="8" t="s">
        <v>100</v>
      </c>
      <c r="F1236" s="8" t="s">
        <v>101</v>
      </c>
      <c r="G1236" s="8" t="s">
        <v>217</v>
      </c>
      <c r="H1236" s="8" t="s">
        <v>494</v>
      </c>
      <c r="I1236" s="8" t="s">
        <v>4968</v>
      </c>
      <c r="J1236" s="10">
        <v>102</v>
      </c>
      <c r="K1236" s="11">
        <v>321.62</v>
      </c>
      <c r="L1236" s="11">
        <v>429.89</v>
      </c>
      <c r="M1236" s="11">
        <v>43848.78</v>
      </c>
      <c r="N1236" s="11">
        <v>32805.24</v>
      </c>
      <c r="O1236" s="11">
        <f>CleanedData[[#This Row],[Total Sales ($)]]-CleanedData[[#This Row],[Total Cost ($)]]</f>
        <v>11043.54</v>
      </c>
      <c r="P1236" s="12">
        <f>CleanedData[[#This Row],[Profit ($)]]/CleanedData[[#This Row],[Total Sales ($)]]</f>
        <v>0.25185512572983787</v>
      </c>
      <c r="Q1236" s="8" t="s">
        <v>52</v>
      </c>
      <c r="R1236" s="8" t="s">
        <v>32</v>
      </c>
      <c r="S1236" s="8" t="b">
        <f>_xlfn.SINGLE(CleanedData[[#This Row],[Delivery Status]])="Late"</f>
        <v>1</v>
      </c>
      <c r="T1236" s="10">
        <v>-1</v>
      </c>
      <c r="U1236" s="8" t="s">
        <v>158</v>
      </c>
      <c r="V1236" s="10">
        <v>1277</v>
      </c>
      <c r="W1236" s="10">
        <v>0</v>
      </c>
      <c r="X1236" s="12">
        <v>0</v>
      </c>
      <c r="Y1236" s="8" t="b">
        <f>CleanedData[[#This Row],[Ship Date]]&lt;CleanedData[[#This Row],[Order Date]]</f>
        <v>1</v>
      </c>
      <c r="Z1236" s="10">
        <f>YEAR(CleanedData[[#This Row],[Order Date]])</f>
        <v>2024</v>
      </c>
      <c r="AA1236" s="8">
        <f>MONTH(CleanedData[[#This Row],[Order Date]])</f>
        <v>11</v>
      </c>
    </row>
    <row r="1237" spans="1:27" x14ac:dyDescent="0.35">
      <c r="A1237" s="8" t="s">
        <v>3353</v>
      </c>
      <c r="B1237" s="9">
        <v>44986</v>
      </c>
      <c r="C1237" s="9">
        <v>45225</v>
      </c>
      <c r="D1237" s="8" t="s">
        <v>1655</v>
      </c>
      <c r="E1237" s="8" t="s">
        <v>58</v>
      </c>
      <c r="F1237" s="8" t="s">
        <v>417</v>
      </c>
      <c r="G1237" s="8" t="s">
        <v>70</v>
      </c>
      <c r="H1237" s="8" t="s">
        <v>84</v>
      </c>
      <c r="I1237" s="8" t="s">
        <v>4986</v>
      </c>
      <c r="J1237" s="10">
        <v>611</v>
      </c>
      <c r="K1237" s="11">
        <v>101.63</v>
      </c>
      <c r="L1237" s="11">
        <v>125.9</v>
      </c>
      <c r="M1237" s="11">
        <v>76924.899999999994</v>
      </c>
      <c r="N1237" s="11">
        <v>62095.93</v>
      </c>
      <c r="O1237" s="11">
        <f>CleanedData[[#This Row],[Total Sales ($)]]-CleanedData[[#This Row],[Total Cost ($)]]</f>
        <v>14828.969999999994</v>
      </c>
      <c r="P1237" s="12">
        <f>CleanedData[[#This Row],[Profit ($)]]/CleanedData[[#This Row],[Total Sales ($)]]</f>
        <v>0.19277204130262107</v>
      </c>
      <c r="Q1237" s="8" t="s">
        <v>52</v>
      </c>
      <c r="R1237" s="8" t="s">
        <v>32</v>
      </c>
      <c r="S1237" s="8" t="b">
        <f>_xlfn.SINGLE(CleanedData[[#This Row],[Delivery Status]])="Late"</f>
        <v>1</v>
      </c>
      <c r="T1237" s="10">
        <v>11</v>
      </c>
      <c r="U1237" s="8" t="s">
        <v>112</v>
      </c>
      <c r="V1237" s="10">
        <v>3658</v>
      </c>
      <c r="W1237" s="10">
        <v>29</v>
      </c>
      <c r="X1237" s="12">
        <v>4.7463175122749501E-2</v>
      </c>
      <c r="Y1237" s="8" t="b">
        <f>CleanedData[[#This Row],[Ship Date]]&lt;CleanedData[[#This Row],[Order Date]]</f>
        <v>0</v>
      </c>
      <c r="Z1237" s="10">
        <f>YEAR(CleanedData[[#This Row],[Order Date]])</f>
        <v>2023</v>
      </c>
      <c r="AA1237" s="8">
        <f>MONTH(CleanedData[[#This Row],[Order Date]])</f>
        <v>3</v>
      </c>
    </row>
    <row r="1238" spans="1:27" x14ac:dyDescent="0.35">
      <c r="A1238" s="8" t="s">
        <v>3354</v>
      </c>
      <c r="B1238" s="9">
        <v>45247</v>
      </c>
      <c r="C1238" s="9">
        <v>45035</v>
      </c>
      <c r="D1238" s="8" t="s">
        <v>3356</v>
      </c>
      <c r="E1238" s="8" t="s">
        <v>68</v>
      </c>
      <c r="F1238" s="8" t="s">
        <v>146</v>
      </c>
      <c r="G1238" s="8" t="s">
        <v>189</v>
      </c>
      <c r="H1238" s="8" t="s">
        <v>369</v>
      </c>
      <c r="I1238" s="8" t="s">
        <v>4973</v>
      </c>
      <c r="J1238" s="10">
        <v>579</v>
      </c>
      <c r="K1238" s="11">
        <v>528.59</v>
      </c>
      <c r="L1238" s="11">
        <v>601.39</v>
      </c>
      <c r="M1238" s="11">
        <v>348204.81</v>
      </c>
      <c r="N1238" s="11">
        <v>306053.61</v>
      </c>
      <c r="O1238" s="11">
        <f>CleanedData[[#This Row],[Total Sales ($)]]-CleanedData[[#This Row],[Total Cost ($)]]</f>
        <v>42151.200000000012</v>
      </c>
      <c r="P1238" s="12">
        <f>CleanedData[[#This Row],[Profit ($)]]/CleanedData[[#This Row],[Total Sales ($)]]</f>
        <v>0.12105289412860211</v>
      </c>
      <c r="Q1238" s="8" t="s">
        <v>52</v>
      </c>
      <c r="R1238" s="8" t="s">
        <v>63</v>
      </c>
      <c r="S1238" s="8" t="b">
        <f>_xlfn.SINGLE(CleanedData[[#This Row],[Delivery Status]])="Late"</f>
        <v>0</v>
      </c>
      <c r="T1238" s="10">
        <v>2</v>
      </c>
      <c r="U1238" s="8" t="s">
        <v>53</v>
      </c>
      <c r="V1238" s="10">
        <v>3029</v>
      </c>
      <c r="W1238" s="10">
        <v>11</v>
      </c>
      <c r="X1238" s="12">
        <v>1.8998272884283199E-2</v>
      </c>
      <c r="Y1238" s="8" t="b">
        <f>CleanedData[[#This Row],[Ship Date]]&lt;CleanedData[[#This Row],[Order Date]]</f>
        <v>1</v>
      </c>
      <c r="Z1238" s="10">
        <f>YEAR(CleanedData[[#This Row],[Order Date]])</f>
        <v>2023</v>
      </c>
      <c r="AA1238" s="8">
        <f>MONTH(CleanedData[[#This Row],[Order Date]])</f>
        <v>11</v>
      </c>
    </row>
    <row r="1239" spans="1:27" x14ac:dyDescent="0.35">
      <c r="A1239" s="8" t="s">
        <v>3357</v>
      </c>
      <c r="B1239" s="9">
        <v>45151</v>
      </c>
      <c r="C1239" s="9">
        <v>45093</v>
      </c>
      <c r="D1239" s="8" t="s">
        <v>3358</v>
      </c>
      <c r="E1239" s="8" t="s">
        <v>68</v>
      </c>
      <c r="F1239" s="8" t="s">
        <v>249</v>
      </c>
      <c r="G1239" s="8" t="s">
        <v>28</v>
      </c>
      <c r="H1239" s="8" t="s">
        <v>579</v>
      </c>
      <c r="I1239" s="8" t="s">
        <v>4970</v>
      </c>
      <c r="J1239" s="10">
        <v>789</v>
      </c>
      <c r="K1239" s="11">
        <v>515.47</v>
      </c>
      <c r="L1239" s="11">
        <v>822.83</v>
      </c>
      <c r="M1239" s="11">
        <v>649212.87</v>
      </c>
      <c r="N1239" s="11">
        <v>406705.83</v>
      </c>
      <c r="O1239" s="11">
        <f>CleanedData[[#This Row],[Total Sales ($)]]-CleanedData[[#This Row],[Total Cost ($)]]</f>
        <v>242507.03999999998</v>
      </c>
      <c r="P1239" s="12">
        <f>CleanedData[[#This Row],[Profit ($)]]/CleanedData[[#This Row],[Total Sales ($)]]</f>
        <v>0.37354009941300143</v>
      </c>
      <c r="Q1239" s="8" t="s">
        <v>31</v>
      </c>
      <c r="R1239" s="8" t="s">
        <v>63</v>
      </c>
      <c r="S1239" s="8" t="b">
        <f>_xlfn.SINGLE(CleanedData[[#This Row],[Delivery Status]])="Late"</f>
        <v>0</v>
      </c>
      <c r="T1239" s="10">
        <v>4</v>
      </c>
      <c r="U1239" s="8" t="s">
        <v>86</v>
      </c>
      <c r="V1239" s="10">
        <v>3265</v>
      </c>
      <c r="W1239" s="10">
        <v>14</v>
      </c>
      <c r="X1239" s="12">
        <v>1.7743979721165998E-2</v>
      </c>
      <c r="Y1239" s="8" t="b">
        <f>CleanedData[[#This Row],[Ship Date]]&lt;CleanedData[[#This Row],[Order Date]]</f>
        <v>1</v>
      </c>
      <c r="Z1239" s="10">
        <f>YEAR(CleanedData[[#This Row],[Order Date]])</f>
        <v>2023</v>
      </c>
      <c r="AA1239" s="8">
        <f>MONTH(CleanedData[[#This Row],[Order Date]])</f>
        <v>8</v>
      </c>
    </row>
    <row r="1240" spans="1:27" x14ac:dyDescent="0.35">
      <c r="A1240" s="8" t="s">
        <v>3359</v>
      </c>
      <c r="B1240" s="9">
        <v>45128</v>
      </c>
      <c r="C1240" s="9">
        <v>45085</v>
      </c>
      <c r="D1240" s="8" t="s">
        <v>3360</v>
      </c>
      <c r="E1240" s="8" t="s">
        <v>100</v>
      </c>
      <c r="F1240" s="8" t="s">
        <v>4972</v>
      </c>
      <c r="G1240" s="8" t="s">
        <v>50</v>
      </c>
      <c r="H1240" s="8" t="s">
        <v>282</v>
      </c>
      <c r="I1240" s="8" t="s">
        <v>4971</v>
      </c>
      <c r="J1240" s="10">
        <v>592</v>
      </c>
      <c r="K1240" s="11">
        <v>755.07</v>
      </c>
      <c r="L1240" s="11">
        <v>1040.31</v>
      </c>
      <c r="M1240" s="11">
        <v>615863.52</v>
      </c>
      <c r="N1240" s="11">
        <v>447001.44</v>
      </c>
      <c r="O1240" s="11">
        <f>CleanedData[[#This Row],[Total Sales ($)]]-CleanedData[[#This Row],[Total Cost ($)]]</f>
        <v>168862.08000000002</v>
      </c>
      <c r="P1240" s="12">
        <f>CleanedData[[#This Row],[Profit ($)]]/CleanedData[[#This Row],[Total Sales ($)]]</f>
        <v>0.27418750180234741</v>
      </c>
      <c r="Q1240" s="8" t="s">
        <v>31</v>
      </c>
      <c r="R1240" s="8" t="s">
        <v>63</v>
      </c>
      <c r="S1240" s="8" t="b">
        <f>_xlfn.SINGLE(CleanedData[[#This Row],[Delivery Status]])="Late"</f>
        <v>0</v>
      </c>
      <c r="T1240" s="10">
        <v>5</v>
      </c>
      <c r="U1240" s="8" t="s">
        <v>158</v>
      </c>
      <c r="V1240" s="10">
        <v>4856</v>
      </c>
      <c r="W1240" s="10">
        <v>17</v>
      </c>
      <c r="X1240" s="12">
        <v>2.87162162162162E-2</v>
      </c>
      <c r="Y1240" s="8" t="b">
        <f>CleanedData[[#This Row],[Ship Date]]&lt;CleanedData[[#This Row],[Order Date]]</f>
        <v>1</v>
      </c>
      <c r="Z1240" s="10">
        <f>YEAR(CleanedData[[#This Row],[Order Date]])</f>
        <v>2023</v>
      </c>
      <c r="AA1240" s="8">
        <f>MONTH(CleanedData[[#This Row],[Order Date]])</f>
        <v>7</v>
      </c>
    </row>
    <row r="1241" spans="1:27" x14ac:dyDescent="0.35">
      <c r="A1241" s="8" t="s">
        <v>3361</v>
      </c>
      <c r="B1241" s="9">
        <v>45163</v>
      </c>
      <c r="C1241" s="9">
        <v>45164</v>
      </c>
      <c r="D1241" s="8" t="s">
        <v>3363</v>
      </c>
      <c r="E1241" s="8" t="s">
        <v>26</v>
      </c>
      <c r="F1241" s="8" t="s">
        <v>77</v>
      </c>
      <c r="G1241" s="8" t="s">
        <v>217</v>
      </c>
      <c r="H1241" s="8" t="s">
        <v>340</v>
      </c>
      <c r="I1241" s="8" t="s">
        <v>4977</v>
      </c>
      <c r="J1241" s="10">
        <v>623</v>
      </c>
      <c r="K1241" s="11">
        <v>50.05</v>
      </c>
      <c r="L1241" s="11">
        <v>60.08</v>
      </c>
      <c r="M1241" s="11">
        <v>37429.839999999997</v>
      </c>
      <c r="N1241" s="11">
        <v>31181.15</v>
      </c>
      <c r="O1241" s="11">
        <f>CleanedData[[#This Row],[Total Sales ($)]]-CleanedData[[#This Row],[Total Cost ($)]]</f>
        <v>6248.6899999999951</v>
      </c>
      <c r="P1241" s="12">
        <f>CleanedData[[#This Row],[Profit ($)]]/CleanedData[[#This Row],[Total Sales ($)]]</f>
        <v>0.16694407456724356</v>
      </c>
      <c r="Q1241" s="8" t="s">
        <v>52</v>
      </c>
      <c r="R1241" s="8" t="s">
        <v>63</v>
      </c>
      <c r="S1241" s="8" t="b">
        <f>_xlfn.SINGLE(CleanedData[[#This Row],[Delivery Status]])="Late"</f>
        <v>0</v>
      </c>
      <c r="T1241" s="10">
        <v>4</v>
      </c>
      <c r="U1241" s="8" t="s">
        <v>43</v>
      </c>
      <c r="V1241" s="10">
        <v>642</v>
      </c>
      <c r="W1241" s="10">
        <v>25</v>
      </c>
      <c r="X1241" s="12">
        <v>4.0128410914927699E-2</v>
      </c>
      <c r="Y1241" s="8" t="b">
        <f>CleanedData[[#This Row],[Ship Date]]&lt;CleanedData[[#This Row],[Order Date]]</f>
        <v>0</v>
      </c>
      <c r="Z1241" s="10">
        <f>YEAR(CleanedData[[#This Row],[Order Date]])</f>
        <v>2023</v>
      </c>
      <c r="AA1241" s="8">
        <f>MONTH(CleanedData[[#This Row],[Order Date]])</f>
        <v>8</v>
      </c>
    </row>
    <row r="1242" spans="1:27" x14ac:dyDescent="0.35">
      <c r="A1242" s="8" t="s">
        <v>3364</v>
      </c>
      <c r="B1242" s="9">
        <v>45104</v>
      </c>
      <c r="C1242" s="9">
        <v>45123</v>
      </c>
      <c r="D1242" s="8" t="s">
        <v>3365</v>
      </c>
      <c r="E1242" s="8" t="s">
        <v>58</v>
      </c>
      <c r="F1242" s="8" t="s">
        <v>122</v>
      </c>
      <c r="G1242" s="8" t="s">
        <v>78</v>
      </c>
      <c r="H1242" s="8" t="s">
        <v>840</v>
      </c>
      <c r="I1242" s="8" t="s">
        <v>4973</v>
      </c>
      <c r="J1242" s="10">
        <v>487</v>
      </c>
      <c r="K1242" s="11">
        <v>502.45</v>
      </c>
      <c r="L1242" s="11">
        <v>763.5</v>
      </c>
      <c r="M1242" s="11">
        <v>371824.5</v>
      </c>
      <c r="N1242" s="11">
        <v>244693.15</v>
      </c>
      <c r="O1242" s="11">
        <f>CleanedData[[#This Row],[Total Sales ($)]]-CleanedData[[#This Row],[Total Cost ($)]]</f>
        <v>127131.35</v>
      </c>
      <c r="P1242" s="12">
        <f>CleanedData[[#This Row],[Profit ($)]]/CleanedData[[#This Row],[Total Sales ($)]]</f>
        <v>0.34191224623444666</v>
      </c>
      <c r="Q1242" s="8" t="s">
        <v>31</v>
      </c>
      <c r="R1242" s="8" t="s">
        <v>32</v>
      </c>
      <c r="S1242" s="8" t="b">
        <f>_xlfn.SINGLE(CleanedData[[#This Row],[Delivery Status]])="Late"</f>
        <v>1</v>
      </c>
      <c r="T1242" s="10">
        <v>7</v>
      </c>
      <c r="U1242" s="8" t="s">
        <v>53</v>
      </c>
      <c r="V1242" s="10">
        <v>3830</v>
      </c>
      <c r="W1242" s="10">
        <v>15</v>
      </c>
      <c r="X1242" s="12">
        <v>3.08008213552361E-2</v>
      </c>
      <c r="Y1242" s="8" t="b">
        <f>CleanedData[[#This Row],[Ship Date]]&lt;CleanedData[[#This Row],[Order Date]]</f>
        <v>0</v>
      </c>
      <c r="Z1242" s="10">
        <f>YEAR(CleanedData[[#This Row],[Order Date]])</f>
        <v>2023</v>
      </c>
      <c r="AA1242" s="8">
        <f>MONTH(CleanedData[[#This Row],[Order Date]])</f>
        <v>6</v>
      </c>
    </row>
    <row r="1243" spans="1:27" x14ac:dyDescent="0.35">
      <c r="A1243" s="8" t="s">
        <v>3366</v>
      </c>
      <c r="B1243" s="9">
        <v>45586</v>
      </c>
      <c r="C1243" s="9">
        <v>45457</v>
      </c>
      <c r="D1243" s="8" t="s">
        <v>3368</v>
      </c>
      <c r="E1243" s="8" t="s">
        <v>68</v>
      </c>
      <c r="F1243" s="8" t="s">
        <v>249</v>
      </c>
      <c r="G1243" s="8" t="s">
        <v>93</v>
      </c>
      <c r="H1243" s="8" t="s">
        <v>94</v>
      </c>
      <c r="I1243" s="8" t="s">
        <v>4976</v>
      </c>
      <c r="J1243" s="10">
        <v>724</v>
      </c>
      <c r="K1243" s="11">
        <v>226.79</v>
      </c>
      <c r="L1243" s="11">
        <v>346.46</v>
      </c>
      <c r="M1243" s="11">
        <v>250837.04</v>
      </c>
      <c r="N1243" s="11">
        <v>164195.96</v>
      </c>
      <c r="O1243" s="11">
        <f>CleanedData[[#This Row],[Total Sales ($)]]-CleanedData[[#This Row],[Total Cost ($)]]</f>
        <v>86641.080000000016</v>
      </c>
      <c r="P1243" s="12">
        <f>CleanedData[[#This Row],[Profit ($)]]/CleanedData[[#This Row],[Total Sales ($)]]</f>
        <v>0.34540783928880686</v>
      </c>
      <c r="Q1243" s="8" t="s">
        <v>42</v>
      </c>
      <c r="R1243" s="8" t="s">
        <v>32</v>
      </c>
      <c r="S1243" s="8" t="b">
        <f>_xlfn.SINGLE(CleanedData[[#This Row],[Delivery Status]])="Late"</f>
        <v>1</v>
      </c>
      <c r="T1243" s="10">
        <v>11</v>
      </c>
      <c r="U1243" s="8" t="s">
        <v>43</v>
      </c>
      <c r="V1243" s="10">
        <v>4010</v>
      </c>
      <c r="W1243" s="10">
        <v>7</v>
      </c>
      <c r="X1243" s="12">
        <v>9.6685082872927999E-3</v>
      </c>
      <c r="Y1243" s="8" t="b">
        <f>CleanedData[[#This Row],[Ship Date]]&lt;CleanedData[[#This Row],[Order Date]]</f>
        <v>1</v>
      </c>
      <c r="Z1243" s="10">
        <f>YEAR(CleanedData[[#This Row],[Order Date]])</f>
        <v>2024</v>
      </c>
      <c r="AA1243" s="8">
        <f>MONTH(CleanedData[[#This Row],[Order Date]])</f>
        <v>10</v>
      </c>
    </row>
    <row r="1244" spans="1:27" x14ac:dyDescent="0.35">
      <c r="A1244" s="8" t="s">
        <v>3369</v>
      </c>
      <c r="B1244" s="9">
        <v>45103</v>
      </c>
      <c r="C1244" s="9">
        <v>45273</v>
      </c>
      <c r="D1244" s="8" t="s">
        <v>3370</v>
      </c>
      <c r="E1244" s="8" t="s">
        <v>26</v>
      </c>
      <c r="F1244" s="8" t="s">
        <v>228</v>
      </c>
      <c r="G1244" s="8" t="s">
        <v>39</v>
      </c>
      <c r="H1244" s="8" t="s">
        <v>527</v>
      </c>
      <c r="I1244" s="8" t="s">
        <v>4973</v>
      </c>
      <c r="J1244" s="10">
        <v>493</v>
      </c>
      <c r="K1244" s="11">
        <v>299.7</v>
      </c>
      <c r="L1244" s="11">
        <v>359.28</v>
      </c>
      <c r="M1244" s="11">
        <v>177125.04</v>
      </c>
      <c r="N1244" s="11">
        <v>147752.1</v>
      </c>
      <c r="O1244" s="11">
        <f>CleanedData[[#This Row],[Total Sales ($)]]-CleanedData[[#This Row],[Total Cost ($)]]</f>
        <v>29372.940000000002</v>
      </c>
      <c r="P1244" s="12">
        <f>CleanedData[[#This Row],[Profit ($)]]/CleanedData[[#This Row],[Total Sales ($)]]</f>
        <v>0.16583166332665331</v>
      </c>
      <c r="Q1244" s="8" t="s">
        <v>52</v>
      </c>
      <c r="R1244" s="8" t="s">
        <v>63</v>
      </c>
      <c r="S1244" s="8" t="b">
        <f>_xlfn.SINGLE(CleanedData[[#This Row],[Delivery Status]])="Late"</f>
        <v>0</v>
      </c>
      <c r="T1244" s="10">
        <v>1</v>
      </c>
      <c r="U1244" s="8" t="s">
        <v>43</v>
      </c>
      <c r="V1244" s="10">
        <v>440</v>
      </c>
      <c r="W1244" s="10">
        <v>22</v>
      </c>
      <c r="X1244" s="12">
        <v>4.4624746450304197E-2</v>
      </c>
      <c r="Y1244" s="8" t="b">
        <f>CleanedData[[#This Row],[Ship Date]]&lt;CleanedData[[#This Row],[Order Date]]</f>
        <v>0</v>
      </c>
      <c r="Z1244" s="10">
        <f>YEAR(CleanedData[[#This Row],[Order Date]])</f>
        <v>2023</v>
      </c>
      <c r="AA1244" s="8">
        <f>MONTH(CleanedData[[#This Row],[Order Date]])</f>
        <v>6</v>
      </c>
    </row>
    <row r="1245" spans="1:27" x14ac:dyDescent="0.35">
      <c r="A1245" s="8" t="s">
        <v>3371</v>
      </c>
      <c r="B1245" s="9">
        <v>45103</v>
      </c>
      <c r="C1245" s="9">
        <v>45192</v>
      </c>
      <c r="D1245" s="8" t="s">
        <v>3372</v>
      </c>
      <c r="E1245" s="8" t="s">
        <v>100</v>
      </c>
      <c r="F1245" s="8" t="s">
        <v>238</v>
      </c>
      <c r="G1245" s="8" t="s">
        <v>78</v>
      </c>
      <c r="H1245" s="8" t="s">
        <v>178</v>
      </c>
      <c r="I1245" s="8" t="s">
        <v>4975</v>
      </c>
      <c r="J1245" s="10">
        <v>696</v>
      </c>
      <c r="K1245" s="11">
        <v>614.52</v>
      </c>
      <c r="L1245" s="11">
        <v>691.56</v>
      </c>
      <c r="M1245" s="11">
        <v>481325.76</v>
      </c>
      <c r="N1245" s="11">
        <v>427705.92</v>
      </c>
      <c r="O1245" s="11">
        <f>CleanedData[[#This Row],[Total Sales ($)]]-CleanedData[[#This Row],[Total Cost ($)]]</f>
        <v>53619.840000000026</v>
      </c>
      <c r="P1245" s="12">
        <f>CleanedData[[#This Row],[Profit ($)]]/CleanedData[[#This Row],[Total Sales ($)]]</f>
        <v>0.11140031233732436</v>
      </c>
      <c r="Q1245" s="8" t="s">
        <v>42</v>
      </c>
      <c r="R1245" s="8" t="s">
        <v>63</v>
      </c>
      <c r="S1245" s="8" t="b">
        <f>_xlfn.SINGLE(CleanedData[[#This Row],[Delivery Status]])="Late"</f>
        <v>0</v>
      </c>
      <c r="T1245" s="10">
        <v>5</v>
      </c>
      <c r="U1245" s="8" t="s">
        <v>53</v>
      </c>
      <c r="V1245" s="10">
        <v>2292</v>
      </c>
      <c r="W1245" s="10">
        <v>5</v>
      </c>
      <c r="X1245" s="12">
        <v>7.1839080459770001E-3</v>
      </c>
      <c r="Y1245" s="8" t="b">
        <f>CleanedData[[#This Row],[Ship Date]]&lt;CleanedData[[#This Row],[Order Date]]</f>
        <v>0</v>
      </c>
      <c r="Z1245" s="10">
        <f>YEAR(CleanedData[[#This Row],[Order Date]])</f>
        <v>2023</v>
      </c>
      <c r="AA1245" s="8">
        <f>MONTH(CleanedData[[#This Row],[Order Date]])</f>
        <v>6</v>
      </c>
    </row>
    <row r="1246" spans="1:27" x14ac:dyDescent="0.35">
      <c r="A1246" s="8" t="s">
        <v>3373</v>
      </c>
      <c r="B1246" s="9">
        <v>45261</v>
      </c>
      <c r="C1246" s="9">
        <v>45024</v>
      </c>
      <c r="D1246" s="8" t="s">
        <v>3374</v>
      </c>
      <c r="E1246" s="8" t="s">
        <v>100</v>
      </c>
      <c r="F1246" s="8" t="s">
        <v>330</v>
      </c>
      <c r="G1246" s="8" t="s">
        <v>217</v>
      </c>
      <c r="H1246" s="8" t="s">
        <v>684</v>
      </c>
      <c r="I1246" s="8" t="s">
        <v>4973</v>
      </c>
      <c r="J1246" s="10">
        <v>442</v>
      </c>
      <c r="K1246" s="11">
        <v>176.55</v>
      </c>
      <c r="L1246" s="11">
        <v>267.27</v>
      </c>
      <c r="M1246" s="11">
        <v>118133.34</v>
      </c>
      <c r="N1246" s="11">
        <v>78035.100000000006</v>
      </c>
      <c r="O1246" s="11">
        <f>CleanedData[[#This Row],[Total Sales ($)]]-CleanedData[[#This Row],[Total Cost ($)]]</f>
        <v>40098.239999999991</v>
      </c>
      <c r="P1246" s="12">
        <f>CleanedData[[#This Row],[Profit ($)]]/CleanedData[[#This Row],[Total Sales ($)]]</f>
        <v>0.33943203502076547</v>
      </c>
      <c r="Q1246" s="8" t="s">
        <v>52</v>
      </c>
      <c r="R1246" s="8" t="s">
        <v>32</v>
      </c>
      <c r="S1246" s="8" t="b">
        <f>_xlfn.SINGLE(CleanedData[[#This Row],[Delivery Status]])="Late"</f>
        <v>1</v>
      </c>
      <c r="T1246" s="10">
        <v>7</v>
      </c>
      <c r="U1246" s="8" t="s">
        <v>158</v>
      </c>
      <c r="V1246" s="10">
        <v>220</v>
      </c>
      <c r="W1246" s="10">
        <v>2</v>
      </c>
      <c r="X1246" s="12">
        <v>4.5248868778280001E-3</v>
      </c>
      <c r="Y1246" s="8" t="b">
        <f>CleanedData[[#This Row],[Ship Date]]&lt;CleanedData[[#This Row],[Order Date]]</f>
        <v>1</v>
      </c>
      <c r="Z1246" s="10">
        <f>YEAR(CleanedData[[#This Row],[Order Date]])</f>
        <v>2023</v>
      </c>
      <c r="AA1246" s="8">
        <f>MONTH(CleanedData[[#This Row],[Order Date]])</f>
        <v>12</v>
      </c>
    </row>
    <row r="1247" spans="1:27" x14ac:dyDescent="0.35">
      <c r="A1247" s="8" t="s">
        <v>2147</v>
      </c>
      <c r="B1247" s="9">
        <v>45294</v>
      </c>
      <c r="C1247" s="9">
        <v>45631</v>
      </c>
      <c r="D1247" s="8" t="s">
        <v>2148</v>
      </c>
      <c r="E1247" s="8" t="s">
        <v>68</v>
      </c>
      <c r="F1247" s="8" t="s">
        <v>276</v>
      </c>
      <c r="G1247" s="8" t="s">
        <v>78</v>
      </c>
      <c r="H1247" s="8" t="s">
        <v>178</v>
      </c>
      <c r="I1247" s="8" t="s">
        <v>4971</v>
      </c>
      <c r="J1247" s="10">
        <v>267</v>
      </c>
      <c r="K1247" s="11">
        <v>796.91</v>
      </c>
      <c r="L1247" s="11">
        <v>1178.76</v>
      </c>
      <c r="M1247" s="11">
        <v>314728.92</v>
      </c>
      <c r="N1247" s="11">
        <v>212774.97</v>
      </c>
      <c r="O1247" s="11">
        <f>CleanedData[[#This Row],[Total Sales ($)]]-CleanedData[[#This Row],[Total Cost ($)]]</f>
        <v>101953.94999999998</v>
      </c>
      <c r="P1247" s="12">
        <f>CleanedData[[#This Row],[Profit ($)]]/CleanedData[[#This Row],[Total Sales ($)]]</f>
        <v>0.32394210865655432</v>
      </c>
      <c r="Q1247" s="8" t="s">
        <v>95</v>
      </c>
      <c r="R1247" s="8" t="s">
        <v>63</v>
      </c>
      <c r="S1247" s="8" t="b">
        <f>_xlfn.SINGLE(CleanedData[[#This Row],[Delivery Status]])="Late"</f>
        <v>0</v>
      </c>
      <c r="T1247" s="10">
        <v>1</v>
      </c>
      <c r="U1247" s="8" t="s">
        <v>158</v>
      </c>
      <c r="V1247" s="10">
        <v>4853</v>
      </c>
      <c r="W1247" s="10">
        <v>6</v>
      </c>
      <c r="X1247" s="12">
        <v>2.2471910112359501E-2</v>
      </c>
      <c r="Y1247" s="8" t="b">
        <f>CleanedData[[#This Row],[Ship Date]]&lt;CleanedData[[#This Row],[Order Date]]</f>
        <v>0</v>
      </c>
      <c r="Z1247" s="10">
        <f>YEAR(CleanedData[[#This Row],[Order Date]])</f>
        <v>2024</v>
      </c>
      <c r="AA1247" s="8">
        <f>MONTH(CleanedData[[#This Row],[Order Date]])</f>
        <v>1</v>
      </c>
    </row>
    <row r="1248" spans="1:27" x14ac:dyDescent="0.35">
      <c r="A1248" s="8" t="s">
        <v>3375</v>
      </c>
      <c r="B1248" s="9">
        <v>45514</v>
      </c>
      <c r="C1248" s="9">
        <v>45585</v>
      </c>
      <c r="D1248" s="8" t="s">
        <v>3377</v>
      </c>
      <c r="E1248" s="8" t="s">
        <v>58</v>
      </c>
      <c r="F1248" s="8" t="s">
        <v>417</v>
      </c>
      <c r="G1248" s="8" t="s">
        <v>70</v>
      </c>
      <c r="H1248" s="8" t="s">
        <v>446</v>
      </c>
      <c r="I1248" s="8" t="s">
        <v>4977</v>
      </c>
      <c r="J1248" s="10">
        <v>393</v>
      </c>
      <c r="K1248" s="11">
        <v>775.22</v>
      </c>
      <c r="L1248" s="11">
        <v>1154.75</v>
      </c>
      <c r="M1248" s="11">
        <v>453816.75</v>
      </c>
      <c r="N1248" s="11">
        <v>304661.46000000002</v>
      </c>
      <c r="O1248" s="11">
        <f>CleanedData[[#This Row],[Total Sales ($)]]-CleanedData[[#This Row],[Total Cost ($)]]</f>
        <v>149155.28999999998</v>
      </c>
      <c r="P1248" s="12">
        <f>CleanedData[[#This Row],[Profit ($)]]/CleanedData[[#This Row],[Total Sales ($)]]</f>
        <v>0.3286685429746698</v>
      </c>
      <c r="Q1248" s="8" t="s">
        <v>95</v>
      </c>
      <c r="R1248" s="8" t="s">
        <v>32</v>
      </c>
      <c r="S1248" s="8" t="b">
        <f>_xlfn.SINGLE(CleanedData[[#This Row],[Delivery Status]])="Late"</f>
        <v>1</v>
      </c>
      <c r="T1248" s="10">
        <v>9</v>
      </c>
      <c r="U1248" s="8" t="s">
        <v>158</v>
      </c>
      <c r="V1248" s="10">
        <v>4918</v>
      </c>
      <c r="W1248" s="10">
        <v>10</v>
      </c>
      <c r="X1248" s="12">
        <v>2.54452926208651E-2</v>
      </c>
      <c r="Y1248" s="8" t="b">
        <f>CleanedData[[#This Row],[Ship Date]]&lt;CleanedData[[#This Row],[Order Date]]</f>
        <v>0</v>
      </c>
      <c r="Z1248" s="10">
        <f>YEAR(CleanedData[[#This Row],[Order Date]])</f>
        <v>2024</v>
      </c>
      <c r="AA1248" s="8">
        <f>MONTH(CleanedData[[#This Row],[Order Date]])</f>
        <v>8</v>
      </c>
    </row>
    <row r="1249" spans="1:27" x14ac:dyDescent="0.35">
      <c r="A1249" s="8" t="s">
        <v>3378</v>
      </c>
      <c r="B1249" s="9">
        <v>45123</v>
      </c>
      <c r="C1249" s="9">
        <v>45204</v>
      </c>
      <c r="D1249" s="8" t="s">
        <v>3379</v>
      </c>
      <c r="E1249" s="8" t="s">
        <v>58</v>
      </c>
      <c r="F1249" s="8" t="s">
        <v>417</v>
      </c>
      <c r="G1249" s="8" t="s">
        <v>217</v>
      </c>
      <c r="H1249" s="8" t="s">
        <v>292</v>
      </c>
      <c r="I1249" s="8" t="s">
        <v>4979</v>
      </c>
      <c r="J1249" s="10">
        <v>664</v>
      </c>
      <c r="K1249" s="11">
        <v>894.09</v>
      </c>
      <c r="L1249" s="11">
        <v>1127.04</v>
      </c>
      <c r="M1249" s="11">
        <v>748354.56000000006</v>
      </c>
      <c r="N1249" s="11">
        <v>593675.76</v>
      </c>
      <c r="O1249" s="11">
        <f>CleanedData[[#This Row],[Total Sales ($)]]-CleanedData[[#This Row],[Total Cost ($)]]</f>
        <v>154678.80000000005</v>
      </c>
      <c r="P1249" s="12">
        <f>CleanedData[[#This Row],[Profit ($)]]/CleanedData[[#This Row],[Total Sales ($)]]</f>
        <v>0.20669186541737652</v>
      </c>
      <c r="Q1249" s="8" t="s">
        <v>95</v>
      </c>
      <c r="R1249" s="8" t="s">
        <v>32</v>
      </c>
      <c r="S1249" s="8" t="b">
        <f>_xlfn.SINGLE(CleanedData[[#This Row],[Delivery Status]])="Late"</f>
        <v>1</v>
      </c>
      <c r="T1249" s="10">
        <v>9</v>
      </c>
      <c r="U1249" s="8" t="s">
        <v>53</v>
      </c>
      <c r="V1249" s="10">
        <v>495</v>
      </c>
      <c r="W1249" s="10">
        <v>18</v>
      </c>
      <c r="X1249" s="12">
        <v>2.7108433734939701E-2</v>
      </c>
      <c r="Y1249" s="8" t="b">
        <f>CleanedData[[#This Row],[Ship Date]]&lt;CleanedData[[#This Row],[Order Date]]</f>
        <v>0</v>
      </c>
      <c r="Z1249" s="10">
        <f>YEAR(CleanedData[[#This Row],[Order Date]])</f>
        <v>2023</v>
      </c>
      <c r="AA1249" s="8">
        <f>MONTH(CleanedData[[#This Row],[Order Date]])</f>
        <v>7</v>
      </c>
    </row>
    <row r="1250" spans="1:27" x14ac:dyDescent="0.35">
      <c r="A1250" s="8" t="s">
        <v>3380</v>
      </c>
      <c r="B1250" s="9">
        <v>45159</v>
      </c>
      <c r="C1250" s="9">
        <v>45179</v>
      </c>
      <c r="D1250" s="8" t="s">
        <v>3381</v>
      </c>
      <c r="E1250" s="8" t="s">
        <v>100</v>
      </c>
      <c r="F1250" s="8" t="s">
        <v>101</v>
      </c>
      <c r="G1250" s="8" t="s">
        <v>50</v>
      </c>
      <c r="H1250" s="8" t="s">
        <v>282</v>
      </c>
      <c r="I1250" s="8" t="s">
        <v>4977</v>
      </c>
      <c r="J1250" s="10">
        <v>739</v>
      </c>
      <c r="K1250" s="11">
        <v>438.58</v>
      </c>
      <c r="L1250" s="11">
        <v>629.04</v>
      </c>
      <c r="M1250" s="11">
        <v>464860.56</v>
      </c>
      <c r="N1250" s="11">
        <v>324110.62</v>
      </c>
      <c r="O1250" s="11">
        <f>CleanedData[[#This Row],[Total Sales ($)]]-CleanedData[[#This Row],[Total Cost ($)]]</f>
        <v>140749.94</v>
      </c>
      <c r="P1250" s="12">
        <f>CleanedData[[#This Row],[Profit ($)]]/CleanedData[[#This Row],[Total Sales ($)]]</f>
        <v>0.3027788375937937</v>
      </c>
      <c r="Q1250" s="8" t="s">
        <v>42</v>
      </c>
      <c r="R1250" s="8" t="s">
        <v>32</v>
      </c>
      <c r="S1250" s="8" t="b">
        <f>_xlfn.SINGLE(CleanedData[[#This Row],[Delivery Status]])="Late"</f>
        <v>1</v>
      </c>
      <c r="T1250" s="10">
        <v>9</v>
      </c>
      <c r="U1250" s="8" t="s">
        <v>86</v>
      </c>
      <c r="V1250" s="10">
        <v>3826</v>
      </c>
      <c r="W1250" s="10">
        <v>18</v>
      </c>
      <c r="X1250" s="12">
        <v>2.4357239512855199E-2</v>
      </c>
      <c r="Y1250" s="8" t="b">
        <f>CleanedData[[#This Row],[Ship Date]]&lt;CleanedData[[#This Row],[Order Date]]</f>
        <v>0</v>
      </c>
      <c r="Z1250" s="10">
        <f>YEAR(CleanedData[[#This Row],[Order Date]])</f>
        <v>2023</v>
      </c>
      <c r="AA1250" s="8">
        <f>MONTH(CleanedData[[#This Row],[Order Date]])</f>
        <v>8</v>
      </c>
    </row>
    <row r="1251" spans="1:27" x14ac:dyDescent="0.35">
      <c r="A1251" s="8" t="s">
        <v>3382</v>
      </c>
      <c r="B1251" s="9">
        <v>45286</v>
      </c>
      <c r="C1251" s="9">
        <v>45079</v>
      </c>
      <c r="D1251" s="8" t="s">
        <v>3383</v>
      </c>
      <c r="E1251" s="8" t="s">
        <v>100</v>
      </c>
      <c r="F1251" s="8" t="s">
        <v>101</v>
      </c>
      <c r="G1251" s="8" t="s">
        <v>217</v>
      </c>
      <c r="H1251" s="8" t="s">
        <v>340</v>
      </c>
      <c r="I1251" s="8" t="s">
        <v>4974</v>
      </c>
      <c r="J1251" s="10">
        <v>-20</v>
      </c>
      <c r="K1251" s="11">
        <v>913.64</v>
      </c>
      <c r="L1251" s="11">
        <v>1366.11</v>
      </c>
      <c r="M1251" s="11">
        <v>244533.69</v>
      </c>
      <c r="N1251" s="11">
        <v>163541.56</v>
      </c>
      <c r="O1251" s="11">
        <f>CleanedData[[#This Row],[Total Sales ($)]]-CleanedData[[#This Row],[Total Cost ($)]]</f>
        <v>80992.13</v>
      </c>
      <c r="P1251" s="12">
        <f>CleanedData[[#This Row],[Profit ($)]]/CleanedData[[#This Row],[Total Sales ($)]]</f>
        <v>0.33121051745467056</v>
      </c>
      <c r="Q1251" s="8" t="s">
        <v>31</v>
      </c>
      <c r="R1251" s="8" t="s">
        <v>32</v>
      </c>
      <c r="S1251" s="8" t="b">
        <f>_xlfn.SINGLE(CleanedData[[#This Row],[Delivery Status]])="Late"</f>
        <v>1</v>
      </c>
      <c r="T1251" s="10">
        <v>6</v>
      </c>
      <c r="U1251" s="8" t="s">
        <v>33</v>
      </c>
      <c r="V1251" s="10">
        <v>1703</v>
      </c>
      <c r="W1251" s="10">
        <v>0</v>
      </c>
      <c r="X1251" s="12"/>
      <c r="Y1251" s="8" t="b">
        <f>CleanedData[[#This Row],[Ship Date]]&lt;CleanedData[[#This Row],[Order Date]]</f>
        <v>1</v>
      </c>
      <c r="Z1251" s="10">
        <f>YEAR(CleanedData[[#This Row],[Order Date]])</f>
        <v>2023</v>
      </c>
      <c r="AA1251" s="8">
        <f>MONTH(CleanedData[[#This Row],[Order Date]])</f>
        <v>12</v>
      </c>
    </row>
    <row r="1252" spans="1:27" x14ac:dyDescent="0.35">
      <c r="A1252" s="8" t="s">
        <v>3384</v>
      </c>
      <c r="B1252" s="9">
        <v>44958</v>
      </c>
      <c r="C1252" s="9">
        <v>45226</v>
      </c>
      <c r="D1252" s="8" t="s">
        <v>2692</v>
      </c>
      <c r="E1252" s="8" t="s">
        <v>58</v>
      </c>
      <c r="F1252" s="8" t="s">
        <v>417</v>
      </c>
      <c r="G1252" s="8" t="s">
        <v>189</v>
      </c>
      <c r="H1252" s="8" t="s">
        <v>311</v>
      </c>
      <c r="I1252" s="8" t="s">
        <v>4976</v>
      </c>
      <c r="J1252" s="10">
        <v>152</v>
      </c>
      <c r="K1252" s="11">
        <v>350.19</v>
      </c>
      <c r="L1252" s="11">
        <v>418.71</v>
      </c>
      <c r="M1252" s="11">
        <v>63643.92</v>
      </c>
      <c r="N1252" s="11">
        <v>53228.88</v>
      </c>
      <c r="O1252" s="11">
        <f>CleanedData[[#This Row],[Total Sales ($)]]-CleanedData[[#This Row],[Total Cost ($)]]</f>
        <v>10415.040000000001</v>
      </c>
      <c r="P1252" s="12">
        <f>CleanedData[[#This Row],[Profit ($)]]/CleanedData[[#This Row],[Total Sales ($)]]</f>
        <v>0.16364548255355738</v>
      </c>
      <c r="Q1252" s="8" t="s">
        <v>52</v>
      </c>
      <c r="R1252" s="8" t="s">
        <v>63</v>
      </c>
      <c r="S1252" s="8" t="b">
        <f>_xlfn.SINGLE(CleanedData[[#This Row],[Delivery Status]])="Late"</f>
        <v>0</v>
      </c>
      <c r="T1252" s="10">
        <v>1</v>
      </c>
      <c r="U1252" s="8" t="s">
        <v>53</v>
      </c>
      <c r="V1252" s="10">
        <v>2361</v>
      </c>
      <c r="W1252" s="10">
        <v>6</v>
      </c>
      <c r="X1252" s="12">
        <v>3.94736842105263E-2</v>
      </c>
      <c r="Y1252" s="8" t="b">
        <f>CleanedData[[#This Row],[Ship Date]]&lt;CleanedData[[#This Row],[Order Date]]</f>
        <v>0</v>
      </c>
      <c r="Z1252" s="10">
        <f>YEAR(CleanedData[[#This Row],[Order Date]])</f>
        <v>2023</v>
      </c>
      <c r="AA1252" s="8">
        <f>MONTH(CleanedData[[#This Row],[Order Date]])</f>
        <v>2</v>
      </c>
    </row>
    <row r="1253" spans="1:27" x14ac:dyDescent="0.35">
      <c r="A1253" s="8" t="s">
        <v>3385</v>
      </c>
      <c r="B1253" s="9">
        <v>45035</v>
      </c>
      <c r="C1253" s="9">
        <v>45074</v>
      </c>
      <c r="D1253" s="8" t="s">
        <v>3386</v>
      </c>
      <c r="E1253" s="8" t="s">
        <v>58</v>
      </c>
      <c r="F1253" s="8" t="s">
        <v>116</v>
      </c>
      <c r="G1253" s="8" t="s">
        <v>50</v>
      </c>
      <c r="H1253" s="8" t="s">
        <v>734</v>
      </c>
      <c r="I1253" s="8" t="s">
        <v>4968</v>
      </c>
      <c r="J1253" s="10">
        <v>56</v>
      </c>
      <c r="K1253" s="11">
        <v>940.71</v>
      </c>
      <c r="L1253" s="11">
        <v>1217.1099999999999</v>
      </c>
      <c r="M1253" s="11">
        <v>68158.16</v>
      </c>
      <c r="N1253" s="11">
        <v>52679.76</v>
      </c>
      <c r="O1253" s="11">
        <f>CleanedData[[#This Row],[Total Sales ($)]]-CleanedData[[#This Row],[Total Cost ($)]]</f>
        <v>15478.400000000001</v>
      </c>
      <c r="P1253" s="12">
        <f>CleanedData[[#This Row],[Profit ($)]]/CleanedData[[#This Row],[Total Sales ($)]]</f>
        <v>0.22709533238573343</v>
      </c>
      <c r="Q1253" s="8" t="s">
        <v>31</v>
      </c>
      <c r="R1253" s="8" t="s">
        <v>63</v>
      </c>
      <c r="S1253" s="8" t="b">
        <f>_xlfn.SINGLE(CleanedData[[#This Row],[Delivery Status]])="Late"</f>
        <v>0</v>
      </c>
      <c r="T1253" s="10">
        <v>1</v>
      </c>
      <c r="U1253" s="8" t="s">
        <v>33</v>
      </c>
      <c r="V1253" s="10">
        <v>3170</v>
      </c>
      <c r="W1253" s="10">
        <v>1</v>
      </c>
      <c r="X1253" s="12">
        <v>1.7857142857142801E-2</v>
      </c>
      <c r="Y1253" s="8" t="b">
        <f>CleanedData[[#This Row],[Ship Date]]&lt;CleanedData[[#This Row],[Order Date]]</f>
        <v>0</v>
      </c>
      <c r="Z1253" s="10">
        <f>YEAR(CleanedData[[#This Row],[Order Date]])</f>
        <v>2023</v>
      </c>
      <c r="AA1253" s="8">
        <f>MONTH(CleanedData[[#This Row],[Order Date]])</f>
        <v>4</v>
      </c>
    </row>
    <row r="1254" spans="1:27" x14ac:dyDescent="0.35">
      <c r="A1254" s="8" t="s">
        <v>3387</v>
      </c>
      <c r="B1254" s="9">
        <v>45385</v>
      </c>
      <c r="C1254" s="9">
        <v>45303</v>
      </c>
      <c r="D1254" s="8" t="s">
        <v>3388</v>
      </c>
      <c r="E1254" s="8" t="s">
        <v>26</v>
      </c>
      <c r="F1254" s="8" t="s">
        <v>92</v>
      </c>
      <c r="G1254" s="8" t="s">
        <v>129</v>
      </c>
      <c r="H1254" s="8" t="s">
        <v>704</v>
      </c>
      <c r="I1254" s="8" t="s">
        <v>4967</v>
      </c>
      <c r="J1254" s="10">
        <v>130</v>
      </c>
      <c r="K1254" s="11">
        <v>71.31</v>
      </c>
      <c r="L1254" s="11">
        <v>110.86</v>
      </c>
      <c r="M1254" s="11">
        <v>14411.8</v>
      </c>
      <c r="N1254" s="11">
        <v>9270.2999999999993</v>
      </c>
      <c r="O1254" s="11">
        <f>CleanedData[[#This Row],[Total Sales ($)]]-CleanedData[[#This Row],[Total Cost ($)]]</f>
        <v>5141.5</v>
      </c>
      <c r="P1254" s="12">
        <f>CleanedData[[#This Row],[Profit ($)]]/CleanedData[[#This Row],[Total Sales ($)]]</f>
        <v>0.35675626916832043</v>
      </c>
      <c r="Q1254" s="8" t="s">
        <v>31</v>
      </c>
      <c r="R1254" s="8" t="s">
        <v>63</v>
      </c>
      <c r="S1254" s="8" t="b">
        <f>_xlfn.SINGLE(CleanedData[[#This Row],[Delivery Status]])="Late"</f>
        <v>0</v>
      </c>
      <c r="T1254" s="10">
        <v>4</v>
      </c>
      <c r="U1254" s="8" t="s">
        <v>53</v>
      </c>
      <c r="V1254" s="10">
        <v>3207</v>
      </c>
      <c r="W1254" s="10">
        <v>5</v>
      </c>
      <c r="X1254" s="12">
        <v>3.8461538461538401E-2</v>
      </c>
      <c r="Y1254" s="8" t="b">
        <f>CleanedData[[#This Row],[Ship Date]]&lt;CleanedData[[#This Row],[Order Date]]</f>
        <v>1</v>
      </c>
      <c r="Z1254" s="10">
        <f>YEAR(CleanedData[[#This Row],[Order Date]])</f>
        <v>2024</v>
      </c>
      <c r="AA1254" s="8">
        <f>MONTH(CleanedData[[#This Row],[Order Date]])</f>
        <v>4</v>
      </c>
    </row>
    <row r="1255" spans="1:27" x14ac:dyDescent="0.35">
      <c r="A1255" s="8" t="s">
        <v>1947</v>
      </c>
      <c r="B1255" s="9">
        <v>45234</v>
      </c>
      <c r="C1255" s="9">
        <v>45009</v>
      </c>
      <c r="D1255" s="8" t="s">
        <v>1949</v>
      </c>
      <c r="E1255" s="8" t="s">
        <v>68</v>
      </c>
      <c r="F1255" s="8" t="s">
        <v>276</v>
      </c>
      <c r="G1255" s="8" t="s">
        <v>70</v>
      </c>
      <c r="H1255" s="8" t="s">
        <v>384</v>
      </c>
      <c r="I1255" s="8" t="s">
        <v>4979</v>
      </c>
      <c r="J1255" s="10">
        <v>632</v>
      </c>
      <c r="K1255" s="11">
        <v>103.35</v>
      </c>
      <c r="L1255" s="11">
        <v>147.43</v>
      </c>
      <c r="M1255" s="11">
        <v>93175.76</v>
      </c>
      <c r="N1255" s="11">
        <v>65317.2</v>
      </c>
      <c r="O1255" s="11">
        <f>CleanedData[[#This Row],[Total Sales ($)]]-CleanedData[[#This Row],[Total Cost ($)]]</f>
        <v>27858.559999999998</v>
      </c>
      <c r="P1255" s="12">
        <f>CleanedData[[#This Row],[Profit ($)]]/CleanedData[[#This Row],[Total Sales ($)]]</f>
        <v>0.29898935087838296</v>
      </c>
      <c r="Q1255" s="8" t="s">
        <v>42</v>
      </c>
      <c r="R1255" s="8" t="s">
        <v>63</v>
      </c>
      <c r="S1255" s="8" t="b">
        <f>_xlfn.SINGLE(CleanedData[[#This Row],[Delivery Status]])="Late"</f>
        <v>0</v>
      </c>
      <c r="T1255" s="10">
        <v>4</v>
      </c>
      <c r="U1255" s="8" t="s">
        <v>43</v>
      </c>
      <c r="V1255" s="10">
        <v>2652</v>
      </c>
      <c r="W1255" s="10"/>
      <c r="X1255" s="12"/>
      <c r="Y1255" s="8" t="b">
        <f>CleanedData[[#This Row],[Ship Date]]&lt;CleanedData[[#This Row],[Order Date]]</f>
        <v>1</v>
      </c>
      <c r="Z1255" s="10">
        <f>YEAR(CleanedData[[#This Row],[Order Date]])</f>
        <v>2023</v>
      </c>
      <c r="AA1255" s="8">
        <f>MONTH(CleanedData[[#This Row],[Order Date]])</f>
        <v>11</v>
      </c>
    </row>
    <row r="1256" spans="1:27" x14ac:dyDescent="0.35">
      <c r="A1256" s="8" t="s">
        <v>3389</v>
      </c>
      <c r="B1256" s="9">
        <v>45191</v>
      </c>
      <c r="C1256" s="9">
        <v>45101</v>
      </c>
      <c r="D1256" s="8" t="s">
        <v>3390</v>
      </c>
      <c r="E1256" s="8" t="s">
        <v>58</v>
      </c>
      <c r="F1256" s="8" t="s">
        <v>116</v>
      </c>
      <c r="G1256" s="8" t="s">
        <v>28</v>
      </c>
      <c r="H1256" s="8" t="s">
        <v>674</v>
      </c>
      <c r="I1256" s="8" t="s">
        <v>4970</v>
      </c>
      <c r="J1256" s="10">
        <v>438</v>
      </c>
      <c r="K1256" s="11">
        <v>1165.19</v>
      </c>
      <c r="L1256" s="11">
        <v>1362.26</v>
      </c>
      <c r="M1256" s="11">
        <v>596669.88</v>
      </c>
      <c r="N1256" s="11">
        <v>510353.22</v>
      </c>
      <c r="O1256" s="11">
        <f>CleanedData[[#This Row],[Total Sales ($)]]-CleanedData[[#This Row],[Total Cost ($)]]</f>
        <v>86316.660000000033</v>
      </c>
      <c r="P1256" s="12">
        <f>CleanedData[[#This Row],[Profit ($)]]/CleanedData[[#This Row],[Total Sales ($)]]</f>
        <v>0.14466401421167771</v>
      </c>
      <c r="Q1256" s="8" t="s">
        <v>42</v>
      </c>
      <c r="R1256" s="8" t="s">
        <v>32</v>
      </c>
      <c r="S1256" s="8" t="b">
        <f>_xlfn.SINGLE(CleanedData[[#This Row],[Delivery Status]])="Late"</f>
        <v>1</v>
      </c>
      <c r="T1256" s="10">
        <v>6</v>
      </c>
      <c r="U1256" s="8" t="s">
        <v>86</v>
      </c>
      <c r="V1256" s="10">
        <v>4579</v>
      </c>
      <c r="W1256" s="10">
        <v>12</v>
      </c>
      <c r="X1256" s="12">
        <v>2.7397260273972601E-2</v>
      </c>
      <c r="Y1256" s="8" t="b">
        <f>CleanedData[[#This Row],[Ship Date]]&lt;CleanedData[[#This Row],[Order Date]]</f>
        <v>1</v>
      </c>
      <c r="Z1256" s="10">
        <f>YEAR(CleanedData[[#This Row],[Order Date]])</f>
        <v>2023</v>
      </c>
      <c r="AA1256" s="8">
        <f>MONTH(CleanedData[[#This Row],[Order Date]])</f>
        <v>9</v>
      </c>
    </row>
    <row r="1257" spans="1:27" x14ac:dyDescent="0.35">
      <c r="A1257" s="8" t="s">
        <v>3391</v>
      </c>
      <c r="B1257" s="9">
        <v>45040</v>
      </c>
      <c r="C1257" s="9">
        <v>44947</v>
      </c>
      <c r="D1257" s="8" t="s">
        <v>3392</v>
      </c>
      <c r="E1257" s="8" t="s">
        <v>68</v>
      </c>
      <c r="F1257" s="8" t="s">
        <v>249</v>
      </c>
      <c r="G1257" s="8" t="s">
        <v>50</v>
      </c>
      <c r="H1257" s="8" t="s">
        <v>117</v>
      </c>
      <c r="I1257" s="8" t="s">
        <v>4976</v>
      </c>
      <c r="J1257" s="10">
        <v>585</v>
      </c>
      <c r="K1257" s="11">
        <v>1094.3499999999999</v>
      </c>
      <c r="L1257" s="11">
        <v>1587.46</v>
      </c>
      <c r="M1257" s="11">
        <v>928664.1</v>
      </c>
      <c r="N1257" s="11">
        <v>640194.75</v>
      </c>
      <c r="O1257" s="11">
        <f>CleanedData[[#This Row],[Total Sales ($)]]-CleanedData[[#This Row],[Total Cost ($)]]</f>
        <v>288469.34999999998</v>
      </c>
      <c r="P1257" s="12">
        <f>CleanedData[[#This Row],[Profit ($)]]/CleanedData[[#This Row],[Total Sales ($)]]</f>
        <v>0.31062829929573027</v>
      </c>
      <c r="Q1257" s="8" t="s">
        <v>42</v>
      </c>
      <c r="R1257" s="8" t="s">
        <v>32</v>
      </c>
      <c r="S1257" s="8" t="b">
        <f>_xlfn.SINGLE(CleanedData[[#This Row],[Delivery Status]])="Late"</f>
        <v>1</v>
      </c>
      <c r="T1257" s="10">
        <v>10</v>
      </c>
      <c r="U1257" s="8" t="s">
        <v>86</v>
      </c>
      <c r="V1257" s="10">
        <v>2195</v>
      </c>
      <c r="W1257" s="10">
        <v>21</v>
      </c>
      <c r="X1257" s="12">
        <v>3.5897435897435798E-2</v>
      </c>
      <c r="Y1257" s="8" t="b">
        <f>CleanedData[[#This Row],[Ship Date]]&lt;CleanedData[[#This Row],[Order Date]]</f>
        <v>1</v>
      </c>
      <c r="Z1257" s="10">
        <f>YEAR(CleanedData[[#This Row],[Order Date]])</f>
        <v>2023</v>
      </c>
      <c r="AA1257" s="8">
        <f>MONTH(CleanedData[[#This Row],[Order Date]])</f>
        <v>4</v>
      </c>
    </row>
    <row r="1258" spans="1:27" x14ac:dyDescent="0.35">
      <c r="A1258" s="8" t="s">
        <v>3393</v>
      </c>
      <c r="B1258" s="9">
        <v>45245</v>
      </c>
      <c r="C1258" s="9">
        <v>45141</v>
      </c>
      <c r="D1258" s="8" t="s">
        <v>3394</v>
      </c>
      <c r="E1258" s="8" t="s">
        <v>68</v>
      </c>
      <c r="F1258" s="8" t="s">
        <v>146</v>
      </c>
      <c r="G1258" s="8" t="s">
        <v>70</v>
      </c>
      <c r="H1258" s="8" t="s">
        <v>623</v>
      </c>
      <c r="I1258" s="8" t="s">
        <v>4977</v>
      </c>
      <c r="J1258" s="10">
        <v>601</v>
      </c>
      <c r="K1258" s="11">
        <v>75.47</v>
      </c>
      <c r="L1258" s="11">
        <v>114.62</v>
      </c>
      <c r="M1258" s="11">
        <v>68886.62</v>
      </c>
      <c r="N1258" s="11">
        <v>45357.47</v>
      </c>
      <c r="O1258" s="11">
        <f>CleanedData[[#This Row],[Total Sales ($)]]-CleanedData[[#This Row],[Total Cost ($)]]</f>
        <v>23529.149999999994</v>
      </c>
      <c r="P1258" s="12">
        <f>CleanedData[[#This Row],[Profit ($)]]/CleanedData[[#This Row],[Total Sales ($)]]</f>
        <v>0.34156342697609487</v>
      </c>
      <c r="Q1258" s="8" t="s">
        <v>31</v>
      </c>
      <c r="R1258" s="8" t="s">
        <v>32</v>
      </c>
      <c r="S1258" s="8" t="b">
        <f>_xlfn.SINGLE(CleanedData[[#This Row],[Delivery Status]])="Late"</f>
        <v>1</v>
      </c>
      <c r="T1258" s="10">
        <v>15</v>
      </c>
      <c r="U1258" s="8" t="s">
        <v>33</v>
      </c>
      <c r="V1258" s="10">
        <v>4317</v>
      </c>
      <c r="W1258" s="10">
        <v>9</v>
      </c>
      <c r="X1258" s="12">
        <v>1.49750415973377E-2</v>
      </c>
      <c r="Y1258" s="8" t="b">
        <f>CleanedData[[#This Row],[Ship Date]]&lt;CleanedData[[#This Row],[Order Date]]</f>
        <v>1</v>
      </c>
      <c r="Z1258" s="10">
        <f>YEAR(CleanedData[[#This Row],[Order Date]])</f>
        <v>2023</v>
      </c>
      <c r="AA1258" s="8">
        <f>MONTH(CleanedData[[#This Row],[Order Date]])</f>
        <v>11</v>
      </c>
    </row>
    <row r="1259" spans="1:27" x14ac:dyDescent="0.35">
      <c r="A1259" s="8" t="s">
        <v>3395</v>
      </c>
      <c r="B1259" s="9">
        <v>44930</v>
      </c>
      <c r="C1259" s="9">
        <v>45087</v>
      </c>
      <c r="D1259" s="8" t="s">
        <v>3396</v>
      </c>
      <c r="E1259" s="8" t="s">
        <v>48</v>
      </c>
      <c r="F1259" s="8" t="s">
        <v>753</v>
      </c>
      <c r="G1259" s="8" t="s">
        <v>93</v>
      </c>
      <c r="H1259" s="8" t="s">
        <v>321</v>
      </c>
      <c r="I1259" s="8" t="s">
        <v>4971</v>
      </c>
      <c r="J1259" s="10">
        <v>584</v>
      </c>
      <c r="K1259" s="11">
        <v>908.26</v>
      </c>
      <c r="L1259" s="11">
        <v>1278.55</v>
      </c>
      <c r="M1259" s="11">
        <v>746673.2</v>
      </c>
      <c r="N1259" s="11">
        <v>530423.84</v>
      </c>
      <c r="O1259" s="11">
        <f>CleanedData[[#This Row],[Total Sales ($)]]-CleanedData[[#This Row],[Total Cost ($)]]</f>
        <v>216249.36</v>
      </c>
      <c r="P1259" s="12">
        <f>CleanedData[[#This Row],[Profit ($)]]/CleanedData[[#This Row],[Total Sales ($)]]</f>
        <v>0.2896171444214149</v>
      </c>
      <c r="Q1259" s="8" t="s">
        <v>42</v>
      </c>
      <c r="R1259" s="8" t="s">
        <v>32</v>
      </c>
      <c r="S1259" s="8" t="b">
        <f>_xlfn.SINGLE(CleanedData[[#This Row],[Delivery Status]])="Late"</f>
        <v>1</v>
      </c>
      <c r="T1259" s="10">
        <v>11</v>
      </c>
      <c r="U1259" s="8" t="s">
        <v>158</v>
      </c>
      <c r="V1259" s="10">
        <v>2994</v>
      </c>
      <c r="W1259" s="10">
        <v>25</v>
      </c>
      <c r="X1259" s="12">
        <v>4.2808219178082099E-2</v>
      </c>
      <c r="Y1259" s="8" t="b">
        <f>CleanedData[[#This Row],[Ship Date]]&lt;CleanedData[[#This Row],[Order Date]]</f>
        <v>0</v>
      </c>
      <c r="Z1259" s="10">
        <f>YEAR(CleanedData[[#This Row],[Order Date]])</f>
        <v>2023</v>
      </c>
      <c r="AA1259" s="8">
        <f>MONTH(CleanedData[[#This Row],[Order Date]])</f>
        <v>1</v>
      </c>
    </row>
    <row r="1260" spans="1:27" x14ac:dyDescent="0.35">
      <c r="A1260" s="8" t="s">
        <v>3397</v>
      </c>
      <c r="B1260" s="9">
        <v>44927</v>
      </c>
      <c r="C1260" s="9">
        <v>45128</v>
      </c>
      <c r="D1260" s="8" t="s">
        <v>3398</v>
      </c>
      <c r="E1260" s="8" t="s">
        <v>48</v>
      </c>
      <c r="F1260" s="8" t="s">
        <v>223</v>
      </c>
      <c r="G1260" s="8" t="s">
        <v>70</v>
      </c>
      <c r="H1260" s="8" t="s">
        <v>623</v>
      </c>
      <c r="I1260" s="8" t="s">
        <v>4969</v>
      </c>
      <c r="J1260" s="10">
        <v>615</v>
      </c>
      <c r="K1260" s="11">
        <v>758.2</v>
      </c>
      <c r="L1260" s="11">
        <v>1080.4000000000001</v>
      </c>
      <c r="M1260" s="11">
        <v>664446</v>
      </c>
      <c r="N1260" s="11">
        <v>466293</v>
      </c>
      <c r="O1260" s="11">
        <f>CleanedData[[#This Row],[Total Sales ($)]]-CleanedData[[#This Row],[Total Cost ($)]]</f>
        <v>198153</v>
      </c>
      <c r="P1260" s="12">
        <f>CleanedData[[#This Row],[Profit ($)]]/CleanedData[[#This Row],[Total Sales ($)]]</f>
        <v>0.29822288041466122</v>
      </c>
      <c r="Q1260" s="8" t="s">
        <v>31</v>
      </c>
      <c r="R1260" s="8" t="s">
        <v>32</v>
      </c>
      <c r="S1260" s="8" t="b">
        <f>_xlfn.SINGLE(CleanedData[[#This Row],[Delivery Status]])="Late"</f>
        <v>1</v>
      </c>
      <c r="T1260" s="10">
        <v>12</v>
      </c>
      <c r="U1260" s="8" t="s">
        <v>33</v>
      </c>
      <c r="V1260" s="10">
        <v>4826</v>
      </c>
      <c r="W1260" s="10">
        <v>29</v>
      </c>
      <c r="X1260" s="12">
        <v>4.7154471544715401E-2</v>
      </c>
      <c r="Y1260" s="8" t="b">
        <f>CleanedData[[#This Row],[Ship Date]]&lt;CleanedData[[#This Row],[Order Date]]</f>
        <v>0</v>
      </c>
      <c r="Z1260" s="10">
        <f>YEAR(CleanedData[[#This Row],[Order Date]])</f>
        <v>2023</v>
      </c>
      <c r="AA1260" s="8">
        <f>MONTH(CleanedData[[#This Row],[Order Date]])</f>
        <v>1</v>
      </c>
    </row>
    <row r="1261" spans="1:27" x14ac:dyDescent="0.35">
      <c r="A1261" s="8" t="s">
        <v>3399</v>
      </c>
      <c r="B1261" s="9">
        <v>45299</v>
      </c>
      <c r="C1261" s="9">
        <v>45389</v>
      </c>
      <c r="D1261" s="8" t="s">
        <v>3401</v>
      </c>
      <c r="E1261" s="8" t="s">
        <v>68</v>
      </c>
      <c r="F1261" s="8" t="s">
        <v>146</v>
      </c>
      <c r="G1261" s="8" t="s">
        <v>189</v>
      </c>
      <c r="H1261" s="8" t="s">
        <v>360</v>
      </c>
      <c r="I1261" s="8" t="s">
        <v>4973</v>
      </c>
      <c r="J1261" s="10">
        <v>79</v>
      </c>
      <c r="K1261" s="11">
        <v>432.48</v>
      </c>
      <c r="L1261" s="11">
        <v>609.11</v>
      </c>
      <c r="M1261" s="11">
        <v>48119.69</v>
      </c>
      <c r="N1261" s="11">
        <v>34165.919999999998</v>
      </c>
      <c r="O1261" s="11">
        <f>CleanedData[[#This Row],[Total Sales ($)]]-CleanedData[[#This Row],[Total Cost ($)]]</f>
        <v>13953.770000000004</v>
      </c>
      <c r="P1261" s="12">
        <f>CleanedData[[#This Row],[Profit ($)]]/CleanedData[[#This Row],[Total Sales ($)]]</f>
        <v>0.28998046329891158</v>
      </c>
      <c r="Q1261" s="8" t="s">
        <v>95</v>
      </c>
      <c r="R1261" s="8" t="s">
        <v>32</v>
      </c>
      <c r="S1261" s="8" t="b">
        <f>_xlfn.SINGLE(CleanedData[[#This Row],[Delivery Status]])="Late"</f>
        <v>1</v>
      </c>
      <c r="T1261" s="10">
        <v>10</v>
      </c>
      <c r="U1261" s="8" t="s">
        <v>53</v>
      </c>
      <c r="V1261" s="10">
        <v>843</v>
      </c>
      <c r="W1261" s="10">
        <v>2</v>
      </c>
      <c r="X1261" s="12">
        <v>2.53164556962025E-2</v>
      </c>
      <c r="Y1261" s="8" t="b">
        <f>CleanedData[[#This Row],[Ship Date]]&lt;CleanedData[[#This Row],[Order Date]]</f>
        <v>0</v>
      </c>
      <c r="Z1261" s="10">
        <f>YEAR(CleanedData[[#This Row],[Order Date]])</f>
        <v>2024</v>
      </c>
      <c r="AA1261" s="8">
        <f>MONTH(CleanedData[[#This Row],[Order Date]])</f>
        <v>1</v>
      </c>
    </row>
    <row r="1262" spans="1:27" x14ac:dyDescent="0.35">
      <c r="A1262" s="8" t="s">
        <v>3402</v>
      </c>
      <c r="B1262" s="9">
        <v>45098</v>
      </c>
      <c r="C1262" s="9">
        <v>45108</v>
      </c>
      <c r="D1262" s="8" t="s">
        <v>505</v>
      </c>
      <c r="E1262" s="8" t="s">
        <v>68</v>
      </c>
      <c r="F1262" s="8" t="s">
        <v>249</v>
      </c>
      <c r="G1262" s="8" t="s">
        <v>39</v>
      </c>
      <c r="H1262" s="8" t="s">
        <v>147</v>
      </c>
      <c r="I1262" s="8" t="s">
        <v>4971</v>
      </c>
      <c r="J1262" s="10">
        <v>698</v>
      </c>
      <c r="K1262" s="11">
        <v>477.87</v>
      </c>
      <c r="L1262" s="11">
        <v>690.13</v>
      </c>
      <c r="M1262" s="11">
        <v>481710.74</v>
      </c>
      <c r="N1262" s="11">
        <v>333553.26</v>
      </c>
      <c r="O1262" s="11">
        <f>CleanedData[[#This Row],[Total Sales ($)]]-CleanedData[[#This Row],[Total Cost ($)]]</f>
        <v>148157.47999999998</v>
      </c>
      <c r="P1262" s="12">
        <f>CleanedData[[#This Row],[Profit ($)]]/CleanedData[[#This Row],[Total Sales ($)]]</f>
        <v>0.30756524133134333</v>
      </c>
      <c r="Q1262" s="8" t="s">
        <v>42</v>
      </c>
      <c r="R1262" s="8" t="s">
        <v>32</v>
      </c>
      <c r="S1262" s="8" t="b">
        <f>_xlfn.SINGLE(CleanedData[[#This Row],[Delivery Status]])="Late"</f>
        <v>1</v>
      </c>
      <c r="T1262" s="10">
        <v>10</v>
      </c>
      <c r="U1262" s="8" t="s">
        <v>112</v>
      </c>
      <c r="V1262" s="10">
        <v>4095</v>
      </c>
      <c r="W1262" s="10">
        <v>26</v>
      </c>
      <c r="X1262" s="12">
        <v>3.7249283667621702E-2</v>
      </c>
      <c r="Y1262" s="8" t="b">
        <f>CleanedData[[#This Row],[Ship Date]]&lt;CleanedData[[#This Row],[Order Date]]</f>
        <v>0</v>
      </c>
      <c r="Z1262" s="10">
        <f>YEAR(CleanedData[[#This Row],[Order Date]])</f>
        <v>2023</v>
      </c>
      <c r="AA1262" s="8">
        <f>MONTH(CleanedData[[#This Row],[Order Date]])</f>
        <v>6</v>
      </c>
    </row>
    <row r="1263" spans="1:27" x14ac:dyDescent="0.35">
      <c r="A1263" s="8" t="s">
        <v>3403</v>
      </c>
      <c r="B1263" s="9">
        <v>44979</v>
      </c>
      <c r="C1263" s="9">
        <v>45064</v>
      </c>
      <c r="D1263" s="8" t="s">
        <v>3404</v>
      </c>
      <c r="E1263" s="8" t="s">
        <v>100</v>
      </c>
      <c r="F1263" s="8" t="s">
        <v>1403</v>
      </c>
      <c r="G1263" s="8" t="s">
        <v>129</v>
      </c>
      <c r="H1263" s="8" t="s">
        <v>811</v>
      </c>
      <c r="I1263" s="8" t="s">
        <v>4978</v>
      </c>
      <c r="J1263" s="10">
        <v>679</v>
      </c>
      <c r="K1263" s="11">
        <v>1083.1500000000001</v>
      </c>
      <c r="L1263" s="11">
        <v>1220.5</v>
      </c>
      <c r="M1263" s="11">
        <v>828719.5</v>
      </c>
      <c r="N1263" s="11">
        <v>735458.85</v>
      </c>
      <c r="O1263" s="11">
        <f>CleanedData[[#This Row],[Total Sales ($)]]-CleanedData[[#This Row],[Total Cost ($)]]</f>
        <v>93260.650000000023</v>
      </c>
      <c r="P1263" s="12">
        <f>CleanedData[[#This Row],[Profit ($)]]/CleanedData[[#This Row],[Total Sales ($)]]</f>
        <v>0.11253584596476857</v>
      </c>
      <c r="Q1263" s="8" t="s">
        <v>31</v>
      </c>
      <c r="R1263" s="8" t="s">
        <v>63</v>
      </c>
      <c r="S1263" s="8" t="b">
        <f>_xlfn.SINGLE(CleanedData[[#This Row],[Delivery Status]])="Late"</f>
        <v>0</v>
      </c>
      <c r="T1263" s="10">
        <v>4</v>
      </c>
      <c r="U1263" s="8" t="s">
        <v>158</v>
      </c>
      <c r="V1263" s="10">
        <v>1846</v>
      </c>
      <c r="W1263" s="10">
        <v>14</v>
      </c>
      <c r="X1263" s="12">
        <v>2.06185567010309E-2</v>
      </c>
      <c r="Y1263" s="8" t="b">
        <f>CleanedData[[#This Row],[Ship Date]]&lt;CleanedData[[#This Row],[Order Date]]</f>
        <v>0</v>
      </c>
      <c r="Z1263" s="10">
        <f>YEAR(CleanedData[[#This Row],[Order Date]])</f>
        <v>2023</v>
      </c>
      <c r="AA1263" s="8">
        <f>MONTH(CleanedData[[#This Row],[Order Date]])</f>
        <v>2</v>
      </c>
    </row>
    <row r="1264" spans="1:27" x14ac:dyDescent="0.35">
      <c r="A1264" s="8" t="s">
        <v>3405</v>
      </c>
      <c r="B1264" s="9">
        <v>45294</v>
      </c>
      <c r="C1264" s="9">
        <v>45345</v>
      </c>
      <c r="D1264" s="8" t="s">
        <v>3406</v>
      </c>
      <c r="E1264" s="8" t="s">
        <v>68</v>
      </c>
      <c r="F1264" s="8" t="s">
        <v>276</v>
      </c>
      <c r="G1264" s="8" t="s">
        <v>93</v>
      </c>
      <c r="H1264" s="8" t="s">
        <v>1442</v>
      </c>
      <c r="I1264" s="8" t="s">
        <v>4971</v>
      </c>
      <c r="J1264" s="10">
        <v>609</v>
      </c>
      <c r="K1264" s="11">
        <v>777.44</v>
      </c>
      <c r="L1264" s="11">
        <v>1230.68</v>
      </c>
      <c r="M1264" s="11">
        <v>749484.12</v>
      </c>
      <c r="N1264" s="11">
        <v>473460.96</v>
      </c>
      <c r="O1264" s="11">
        <f>CleanedData[[#This Row],[Total Sales ($)]]-CleanedData[[#This Row],[Total Cost ($)]]</f>
        <v>276023.15999999997</v>
      </c>
      <c r="P1264" s="12">
        <f>CleanedData[[#This Row],[Profit ($)]]/CleanedData[[#This Row],[Total Sales ($)]]</f>
        <v>0.36828420060454381</v>
      </c>
      <c r="Q1264" s="8" t="s">
        <v>52</v>
      </c>
      <c r="R1264" s="8" t="s">
        <v>32</v>
      </c>
      <c r="S1264" s="8" t="b">
        <f>_xlfn.SINGLE(CleanedData[[#This Row],[Delivery Status]])="Late"</f>
        <v>1</v>
      </c>
      <c r="T1264" s="10">
        <v>6</v>
      </c>
      <c r="U1264" s="8" t="s">
        <v>33</v>
      </c>
      <c r="V1264" s="10">
        <v>4557</v>
      </c>
      <c r="W1264" s="10">
        <v>13</v>
      </c>
      <c r="X1264" s="12">
        <v>2.1346469622331599E-2</v>
      </c>
      <c r="Y1264" s="8" t="b">
        <f>CleanedData[[#This Row],[Ship Date]]&lt;CleanedData[[#This Row],[Order Date]]</f>
        <v>0</v>
      </c>
      <c r="Z1264" s="10">
        <f>YEAR(CleanedData[[#This Row],[Order Date]])</f>
        <v>2024</v>
      </c>
      <c r="AA1264" s="8">
        <f>MONTH(CleanedData[[#This Row],[Order Date]])</f>
        <v>1</v>
      </c>
    </row>
    <row r="1265" spans="1:27" x14ac:dyDescent="0.35">
      <c r="A1265" s="8" t="s">
        <v>3407</v>
      </c>
      <c r="B1265" s="9">
        <v>45089</v>
      </c>
      <c r="C1265" s="9">
        <v>45273</v>
      </c>
      <c r="D1265" s="8" t="s">
        <v>2800</v>
      </c>
      <c r="E1265" s="8" t="s">
        <v>26</v>
      </c>
      <c r="F1265" s="8" t="s">
        <v>92</v>
      </c>
      <c r="G1265" s="8" t="s">
        <v>78</v>
      </c>
      <c r="H1265" s="8" t="s">
        <v>840</v>
      </c>
      <c r="I1265" s="8" t="s">
        <v>4975</v>
      </c>
      <c r="J1265" s="10">
        <v>652</v>
      </c>
      <c r="K1265" s="11">
        <v>881.9</v>
      </c>
      <c r="L1265" s="11">
        <v>1229.94</v>
      </c>
      <c r="M1265" s="11">
        <v>801920.88</v>
      </c>
      <c r="N1265" s="11">
        <v>574998.80000000005</v>
      </c>
      <c r="O1265" s="11">
        <f>CleanedData[[#This Row],[Total Sales ($)]]-CleanedData[[#This Row],[Total Cost ($)]]</f>
        <v>226922.07999999996</v>
      </c>
      <c r="P1265" s="12">
        <f>CleanedData[[#This Row],[Profit ($)]]/CleanedData[[#This Row],[Total Sales ($)]]</f>
        <v>0.28297315316194283</v>
      </c>
      <c r="Q1265" s="8" t="s">
        <v>31</v>
      </c>
      <c r="R1265" s="8" t="s">
        <v>63</v>
      </c>
      <c r="S1265" s="8" t="b">
        <f>_xlfn.SINGLE(CleanedData[[#This Row],[Delivery Status]])="Late"</f>
        <v>0</v>
      </c>
      <c r="T1265" s="10">
        <v>5</v>
      </c>
      <c r="U1265" s="8" t="s">
        <v>86</v>
      </c>
      <c r="V1265" s="10">
        <v>2162</v>
      </c>
      <c r="W1265" s="10">
        <v>19</v>
      </c>
      <c r="X1265" s="12">
        <v>2.9141104294478502E-2</v>
      </c>
      <c r="Y1265" s="8" t="b">
        <f>CleanedData[[#This Row],[Ship Date]]&lt;CleanedData[[#This Row],[Order Date]]</f>
        <v>0</v>
      </c>
      <c r="Z1265" s="10">
        <f>YEAR(CleanedData[[#This Row],[Order Date]])</f>
        <v>2023</v>
      </c>
      <c r="AA1265" s="8">
        <f>MONTH(CleanedData[[#This Row],[Order Date]])</f>
        <v>6</v>
      </c>
    </row>
    <row r="1266" spans="1:27" x14ac:dyDescent="0.35">
      <c r="A1266" s="8" t="s">
        <v>3409</v>
      </c>
      <c r="B1266" s="9">
        <v>45261</v>
      </c>
      <c r="C1266" s="9">
        <v>45148</v>
      </c>
      <c r="D1266" s="8" t="s">
        <v>3410</v>
      </c>
      <c r="E1266" s="8" t="s">
        <v>68</v>
      </c>
      <c r="F1266" s="8" t="s">
        <v>69</v>
      </c>
      <c r="G1266" s="8" t="s">
        <v>50</v>
      </c>
      <c r="H1266" s="8" t="s">
        <v>173</v>
      </c>
      <c r="I1266" s="8" t="s">
        <v>4978</v>
      </c>
      <c r="J1266" s="10">
        <v>550</v>
      </c>
      <c r="K1266" s="11">
        <v>1103.94</v>
      </c>
      <c r="L1266" s="11">
        <v>1667.77</v>
      </c>
      <c r="M1266" s="11">
        <v>917273.5</v>
      </c>
      <c r="N1266" s="11">
        <v>607167</v>
      </c>
      <c r="O1266" s="11">
        <f>CleanedData[[#This Row],[Total Sales ($)]]-CleanedData[[#This Row],[Total Cost ($)]]</f>
        <v>310106.5</v>
      </c>
      <c r="P1266" s="12">
        <f>CleanedData[[#This Row],[Profit ($)]]/CleanedData[[#This Row],[Total Sales ($)]]</f>
        <v>0.33807419488298746</v>
      </c>
      <c r="Q1266" s="8" t="s">
        <v>95</v>
      </c>
      <c r="R1266" s="8" t="s">
        <v>32</v>
      </c>
      <c r="S1266" s="8" t="b">
        <f>_xlfn.SINGLE(CleanedData[[#This Row],[Delivery Status]])="Late"</f>
        <v>1</v>
      </c>
      <c r="T1266" s="10">
        <v>6</v>
      </c>
      <c r="U1266" s="8" t="s">
        <v>112</v>
      </c>
      <c r="V1266" s="10">
        <v>2370</v>
      </c>
      <c r="W1266" s="10">
        <v>11</v>
      </c>
      <c r="X1266" s="12">
        <v>0.02</v>
      </c>
      <c r="Y1266" s="8" t="b">
        <f>CleanedData[[#This Row],[Ship Date]]&lt;CleanedData[[#This Row],[Order Date]]</f>
        <v>1</v>
      </c>
      <c r="Z1266" s="10">
        <f>YEAR(CleanedData[[#This Row],[Order Date]])</f>
        <v>2023</v>
      </c>
      <c r="AA1266" s="8">
        <f>MONTH(CleanedData[[#This Row],[Order Date]])</f>
        <v>12</v>
      </c>
    </row>
    <row r="1267" spans="1:27" x14ac:dyDescent="0.35">
      <c r="A1267" s="8" t="s">
        <v>3411</v>
      </c>
      <c r="B1267" s="9">
        <v>45097</v>
      </c>
      <c r="C1267" s="9">
        <v>45022</v>
      </c>
      <c r="D1267" s="8" t="s">
        <v>2423</v>
      </c>
      <c r="E1267" s="8" t="s">
        <v>48</v>
      </c>
      <c r="F1267" s="8" t="s">
        <v>223</v>
      </c>
      <c r="G1267" s="8" t="s">
        <v>28</v>
      </c>
      <c r="H1267" s="8" t="s">
        <v>254</v>
      </c>
      <c r="I1267" s="8" t="s">
        <v>4978</v>
      </c>
      <c r="J1267" s="10">
        <v>663</v>
      </c>
      <c r="K1267" s="11">
        <v>16.18</v>
      </c>
      <c r="L1267" s="11">
        <v>22.77</v>
      </c>
      <c r="M1267" s="11">
        <v>15096.51</v>
      </c>
      <c r="N1267" s="11">
        <v>10727.34</v>
      </c>
      <c r="O1267" s="11">
        <f>CleanedData[[#This Row],[Total Sales ($)]]-CleanedData[[#This Row],[Total Cost ($)]]</f>
        <v>4369.17</v>
      </c>
      <c r="P1267" s="12">
        <f>CleanedData[[#This Row],[Profit ($)]]/CleanedData[[#This Row],[Total Sales ($)]]</f>
        <v>0.28941589811155027</v>
      </c>
      <c r="Q1267" s="8" t="s">
        <v>95</v>
      </c>
      <c r="R1267" s="8" t="s">
        <v>63</v>
      </c>
      <c r="S1267" s="8" t="b">
        <f>_xlfn.SINGLE(CleanedData[[#This Row],[Delivery Status]])="Late"</f>
        <v>0</v>
      </c>
      <c r="T1267" s="10">
        <v>5</v>
      </c>
      <c r="U1267" s="8" t="s">
        <v>43</v>
      </c>
      <c r="V1267" s="10">
        <v>2065</v>
      </c>
      <c r="W1267" s="10">
        <v>0</v>
      </c>
      <c r="X1267" s="12">
        <v>0</v>
      </c>
      <c r="Y1267" s="8" t="b">
        <f>CleanedData[[#This Row],[Ship Date]]&lt;CleanedData[[#This Row],[Order Date]]</f>
        <v>1</v>
      </c>
      <c r="Z1267" s="10">
        <f>YEAR(CleanedData[[#This Row],[Order Date]])</f>
        <v>2023</v>
      </c>
      <c r="AA1267" s="8">
        <f>MONTH(CleanedData[[#This Row],[Order Date]])</f>
        <v>6</v>
      </c>
    </row>
    <row r="1268" spans="1:27" x14ac:dyDescent="0.35">
      <c r="A1268" s="8" t="s">
        <v>3412</v>
      </c>
      <c r="B1268" s="9">
        <v>45063</v>
      </c>
      <c r="C1268" s="9">
        <v>45105</v>
      </c>
      <c r="D1268" s="8" t="s">
        <v>3413</v>
      </c>
      <c r="E1268" s="8" t="s">
        <v>68</v>
      </c>
      <c r="F1268" s="8" t="s">
        <v>146</v>
      </c>
      <c r="G1268" s="8" t="s">
        <v>217</v>
      </c>
      <c r="H1268" s="8" t="s">
        <v>292</v>
      </c>
      <c r="I1268" s="8" t="s">
        <v>4968</v>
      </c>
      <c r="J1268" s="10">
        <v>382</v>
      </c>
      <c r="K1268" s="11">
        <v>396.91</v>
      </c>
      <c r="L1268" s="11">
        <v>562.59</v>
      </c>
      <c r="M1268" s="11">
        <v>214909.38</v>
      </c>
      <c r="N1268" s="11">
        <v>151619.62</v>
      </c>
      <c r="O1268" s="11">
        <f>CleanedData[[#This Row],[Total Sales ($)]]-CleanedData[[#This Row],[Total Cost ($)]]</f>
        <v>63289.760000000009</v>
      </c>
      <c r="P1268" s="12">
        <f>CleanedData[[#This Row],[Profit ($)]]/CleanedData[[#This Row],[Total Sales ($)]]</f>
        <v>0.29449510300574133</v>
      </c>
      <c r="Q1268" s="8" t="s">
        <v>52</v>
      </c>
      <c r="R1268" s="8" t="s">
        <v>32</v>
      </c>
      <c r="S1268" s="8" t="b">
        <f>_xlfn.SINGLE(CleanedData[[#This Row],[Delivery Status]])="Late"</f>
        <v>1</v>
      </c>
      <c r="T1268" s="10">
        <v>9</v>
      </c>
      <c r="U1268" s="8" t="s">
        <v>86</v>
      </c>
      <c r="V1268" s="10">
        <v>3595</v>
      </c>
      <c r="W1268" s="10">
        <v>16</v>
      </c>
      <c r="X1268" s="12">
        <v>4.1884816753926697E-2</v>
      </c>
      <c r="Y1268" s="8" t="b">
        <f>CleanedData[[#This Row],[Ship Date]]&lt;CleanedData[[#This Row],[Order Date]]</f>
        <v>0</v>
      </c>
      <c r="Z1268" s="10">
        <f>YEAR(CleanedData[[#This Row],[Order Date]])</f>
        <v>2023</v>
      </c>
      <c r="AA1268" s="8">
        <f>MONTH(CleanedData[[#This Row],[Order Date]])</f>
        <v>5</v>
      </c>
    </row>
    <row r="1269" spans="1:27" x14ac:dyDescent="0.35">
      <c r="A1269" s="8" t="s">
        <v>3414</v>
      </c>
      <c r="B1269" s="9">
        <v>45131</v>
      </c>
      <c r="C1269" s="9">
        <v>45240</v>
      </c>
      <c r="D1269" s="8" t="s">
        <v>3415</v>
      </c>
      <c r="E1269" s="8" t="s">
        <v>58</v>
      </c>
      <c r="F1269" s="8" t="s">
        <v>417</v>
      </c>
      <c r="G1269" s="8" t="s">
        <v>50</v>
      </c>
      <c r="H1269" s="8" t="s">
        <v>117</v>
      </c>
      <c r="I1269" s="8" t="s">
        <v>4967</v>
      </c>
      <c r="J1269" s="10">
        <v>799</v>
      </c>
      <c r="K1269" s="11">
        <v>1115.82</v>
      </c>
      <c r="L1269" s="11">
        <v>1814.65</v>
      </c>
      <c r="M1269" s="11">
        <v>1449905.35</v>
      </c>
      <c r="N1269" s="11">
        <v>891540.18</v>
      </c>
      <c r="O1269" s="11">
        <f>CleanedData[[#This Row],[Total Sales ($)]]-CleanedData[[#This Row],[Total Cost ($)]]</f>
        <v>558365.17000000004</v>
      </c>
      <c r="P1269" s="12">
        <f>CleanedData[[#This Row],[Profit ($)]]/CleanedData[[#This Row],[Total Sales ($)]]</f>
        <v>0.38510456561871437</v>
      </c>
      <c r="Q1269" s="8" t="s">
        <v>31</v>
      </c>
      <c r="R1269" s="8" t="s">
        <v>63</v>
      </c>
      <c r="S1269" s="8" t="b">
        <f>_xlfn.SINGLE(CleanedData[[#This Row],[Delivery Status]])="Late"</f>
        <v>0</v>
      </c>
      <c r="T1269" s="10">
        <v>5</v>
      </c>
      <c r="U1269" s="8" t="s">
        <v>86</v>
      </c>
      <c r="V1269" s="10">
        <v>1124</v>
      </c>
      <c r="W1269" s="10">
        <v>29</v>
      </c>
      <c r="X1269" s="12">
        <v>3.62953692115143E-2</v>
      </c>
      <c r="Y1269" s="8" t="b">
        <f>CleanedData[[#This Row],[Ship Date]]&lt;CleanedData[[#This Row],[Order Date]]</f>
        <v>0</v>
      </c>
      <c r="Z1269" s="10">
        <f>YEAR(CleanedData[[#This Row],[Order Date]])</f>
        <v>2023</v>
      </c>
      <c r="AA1269" s="8">
        <f>MONTH(CleanedData[[#This Row],[Order Date]])</f>
        <v>7</v>
      </c>
    </row>
    <row r="1270" spans="1:27" x14ac:dyDescent="0.35">
      <c r="A1270" s="8" t="s">
        <v>3416</v>
      </c>
      <c r="B1270" s="9">
        <v>45164</v>
      </c>
      <c r="C1270" s="9">
        <v>44962</v>
      </c>
      <c r="D1270" s="8" t="s">
        <v>3417</v>
      </c>
      <c r="E1270" s="8" t="s">
        <v>26</v>
      </c>
      <c r="F1270" s="8" t="s">
        <v>27</v>
      </c>
      <c r="G1270" s="8" t="s">
        <v>50</v>
      </c>
      <c r="H1270" s="8" t="s">
        <v>107</v>
      </c>
      <c r="I1270" s="8" t="s">
        <v>4971</v>
      </c>
      <c r="J1270" s="10">
        <v>212</v>
      </c>
      <c r="K1270" s="11">
        <v>499.17</v>
      </c>
      <c r="L1270" s="11">
        <v>565.66</v>
      </c>
      <c r="M1270" s="11">
        <v>119919.92</v>
      </c>
      <c r="N1270" s="11">
        <v>105824.04</v>
      </c>
      <c r="O1270" s="11">
        <f>CleanedData[[#This Row],[Total Sales ($)]]-CleanedData[[#This Row],[Total Cost ($)]]</f>
        <v>14095.880000000005</v>
      </c>
      <c r="P1270" s="12">
        <f>CleanedData[[#This Row],[Profit ($)]]/CleanedData[[#This Row],[Total Sales ($)]]</f>
        <v>0.11754410776791717</v>
      </c>
      <c r="Q1270" s="8" t="s">
        <v>95</v>
      </c>
      <c r="R1270" s="8" t="s">
        <v>32</v>
      </c>
      <c r="S1270" s="8" t="b">
        <f>_xlfn.SINGLE(CleanedData[[#This Row],[Delivery Status]])="Late"</f>
        <v>1</v>
      </c>
      <c r="T1270" s="10">
        <v>9</v>
      </c>
      <c r="U1270" s="8" t="s">
        <v>53</v>
      </c>
      <c r="V1270" s="10">
        <v>3130</v>
      </c>
      <c r="W1270" s="10">
        <v>2</v>
      </c>
      <c r="X1270" s="12">
        <v>9.4339622641508997E-3</v>
      </c>
      <c r="Y1270" s="8" t="b">
        <f>CleanedData[[#This Row],[Ship Date]]&lt;CleanedData[[#This Row],[Order Date]]</f>
        <v>1</v>
      </c>
      <c r="Z1270" s="10">
        <f>YEAR(CleanedData[[#This Row],[Order Date]])</f>
        <v>2023</v>
      </c>
      <c r="AA1270" s="8">
        <f>MONTH(CleanedData[[#This Row],[Order Date]])</f>
        <v>8</v>
      </c>
    </row>
    <row r="1271" spans="1:27" x14ac:dyDescent="0.35">
      <c r="A1271" s="8" t="s">
        <v>3418</v>
      </c>
      <c r="B1271" s="9">
        <v>45170</v>
      </c>
      <c r="C1271" s="9">
        <v>45096</v>
      </c>
      <c r="D1271" s="8" t="s">
        <v>3420</v>
      </c>
      <c r="E1271" s="8" t="s">
        <v>100</v>
      </c>
      <c r="F1271" s="8" t="s">
        <v>106</v>
      </c>
      <c r="G1271" s="8" t="s">
        <v>129</v>
      </c>
      <c r="H1271" s="8" t="s">
        <v>168</v>
      </c>
      <c r="I1271" s="8" t="s">
        <v>4968</v>
      </c>
      <c r="J1271" s="10">
        <v>782</v>
      </c>
      <c r="K1271" s="11">
        <v>786.89</v>
      </c>
      <c r="L1271" s="11">
        <v>1094.6600000000001</v>
      </c>
      <c r="M1271" s="11">
        <v>856024.12</v>
      </c>
      <c r="N1271" s="11">
        <v>615347.98</v>
      </c>
      <c r="O1271" s="11">
        <f>CleanedData[[#This Row],[Total Sales ($)]]-CleanedData[[#This Row],[Total Cost ($)]]</f>
        <v>240676.14</v>
      </c>
      <c r="P1271" s="12">
        <f>CleanedData[[#This Row],[Profit ($)]]/CleanedData[[#This Row],[Total Sales ($)]]</f>
        <v>0.28115579266621599</v>
      </c>
      <c r="Q1271" s="8" t="s">
        <v>95</v>
      </c>
      <c r="R1271" s="8" t="s">
        <v>63</v>
      </c>
      <c r="S1271" s="8" t="b">
        <f>_xlfn.SINGLE(CleanedData[[#This Row],[Delivery Status]])="Late"</f>
        <v>0</v>
      </c>
      <c r="T1271" s="10">
        <v>3</v>
      </c>
      <c r="U1271" s="8" t="s">
        <v>33</v>
      </c>
      <c r="V1271" s="10">
        <v>2944</v>
      </c>
      <c r="W1271" s="10">
        <v>30</v>
      </c>
      <c r="X1271" s="12">
        <v>3.8363171355498701E-2</v>
      </c>
      <c r="Y1271" s="8" t="b">
        <f>CleanedData[[#This Row],[Ship Date]]&lt;CleanedData[[#This Row],[Order Date]]</f>
        <v>1</v>
      </c>
      <c r="Z1271" s="10">
        <f>YEAR(CleanedData[[#This Row],[Order Date]])</f>
        <v>2023</v>
      </c>
      <c r="AA1271" s="8">
        <f>MONTH(CleanedData[[#This Row],[Order Date]])</f>
        <v>9</v>
      </c>
    </row>
    <row r="1272" spans="1:27" x14ac:dyDescent="0.35">
      <c r="A1272" s="8" t="s">
        <v>3421</v>
      </c>
      <c r="B1272" s="9">
        <v>45154</v>
      </c>
      <c r="C1272" s="9">
        <v>45040</v>
      </c>
      <c r="D1272" s="8" t="s">
        <v>3422</v>
      </c>
      <c r="E1272" s="8" t="s">
        <v>58</v>
      </c>
      <c r="F1272" s="8" t="s">
        <v>259</v>
      </c>
      <c r="G1272" s="8" t="s">
        <v>189</v>
      </c>
      <c r="H1272" s="8" t="s">
        <v>271</v>
      </c>
      <c r="I1272" s="8" t="s">
        <v>4971</v>
      </c>
      <c r="J1272" s="10">
        <v>202</v>
      </c>
      <c r="K1272" s="11">
        <v>195.24</v>
      </c>
      <c r="L1272" s="11">
        <v>258.04000000000002</v>
      </c>
      <c r="M1272" s="11">
        <v>52124.08</v>
      </c>
      <c r="N1272" s="11">
        <v>39438.480000000003</v>
      </c>
      <c r="O1272" s="11">
        <f>CleanedData[[#This Row],[Total Sales ($)]]-CleanedData[[#This Row],[Total Cost ($)]]</f>
        <v>12685.599999999999</v>
      </c>
      <c r="P1272" s="12">
        <f>CleanedData[[#This Row],[Profit ($)]]/CleanedData[[#This Row],[Total Sales ($)]]</f>
        <v>0.24337312044644238</v>
      </c>
      <c r="Q1272" s="8" t="s">
        <v>52</v>
      </c>
      <c r="R1272" s="8" t="s">
        <v>63</v>
      </c>
      <c r="S1272" s="8" t="b">
        <f>_xlfn.SINGLE(CleanedData[[#This Row],[Delivery Status]])="Late"</f>
        <v>0</v>
      </c>
      <c r="T1272" s="10">
        <v>3</v>
      </c>
      <c r="U1272" s="8" t="s">
        <v>86</v>
      </c>
      <c r="V1272" s="10">
        <v>2462</v>
      </c>
      <c r="W1272" s="10">
        <v>3</v>
      </c>
      <c r="X1272" s="12">
        <v>1.48514851485148E-2</v>
      </c>
      <c r="Y1272" s="8" t="b">
        <f>CleanedData[[#This Row],[Ship Date]]&lt;CleanedData[[#This Row],[Order Date]]</f>
        <v>1</v>
      </c>
      <c r="Z1272" s="10">
        <f>YEAR(CleanedData[[#This Row],[Order Date]])</f>
        <v>2023</v>
      </c>
      <c r="AA1272" s="8">
        <f>MONTH(CleanedData[[#This Row],[Order Date]])</f>
        <v>8</v>
      </c>
    </row>
    <row r="1273" spans="1:27" x14ac:dyDescent="0.35">
      <c r="A1273" s="8" t="s">
        <v>3423</v>
      </c>
      <c r="B1273" s="9">
        <v>45161</v>
      </c>
      <c r="C1273" s="9">
        <v>44964</v>
      </c>
      <c r="D1273" s="8" t="s">
        <v>3424</v>
      </c>
      <c r="E1273" s="8" t="s">
        <v>48</v>
      </c>
      <c r="F1273" s="8" t="s">
        <v>183</v>
      </c>
      <c r="G1273" s="8" t="s">
        <v>39</v>
      </c>
      <c r="H1273" s="8" t="s">
        <v>147</v>
      </c>
      <c r="I1273" s="8" t="s">
        <v>4976</v>
      </c>
      <c r="J1273" s="10">
        <v>147</v>
      </c>
      <c r="K1273" s="11">
        <v>1133.31</v>
      </c>
      <c r="L1273" s="11">
        <v>1783.04</v>
      </c>
      <c r="M1273" s="11">
        <v>262106.88</v>
      </c>
      <c r="N1273" s="11">
        <v>166596.57</v>
      </c>
      <c r="O1273" s="11">
        <f>CleanedData[[#This Row],[Total Sales ($)]]-CleanedData[[#This Row],[Total Cost ($)]]</f>
        <v>95510.31</v>
      </c>
      <c r="P1273" s="12">
        <f>CleanedData[[#This Row],[Profit ($)]]/CleanedData[[#This Row],[Total Sales ($)]]</f>
        <v>0.36439451722900212</v>
      </c>
      <c r="Q1273" s="8" t="s">
        <v>42</v>
      </c>
      <c r="R1273" s="8" t="s">
        <v>32</v>
      </c>
      <c r="S1273" s="8" t="b">
        <f>_xlfn.SINGLE(CleanedData[[#This Row],[Delivery Status]])="Late"</f>
        <v>1</v>
      </c>
      <c r="T1273" s="10">
        <v>12</v>
      </c>
      <c r="U1273" s="8" t="s">
        <v>86</v>
      </c>
      <c r="V1273" s="10">
        <v>4114</v>
      </c>
      <c r="W1273" s="10">
        <v>4</v>
      </c>
      <c r="X1273" s="12">
        <v>2.7210884353741398E-2</v>
      </c>
      <c r="Y1273" s="8" t="b">
        <f>CleanedData[[#This Row],[Ship Date]]&lt;CleanedData[[#This Row],[Order Date]]</f>
        <v>1</v>
      </c>
      <c r="Z1273" s="10">
        <f>YEAR(CleanedData[[#This Row],[Order Date]])</f>
        <v>2023</v>
      </c>
      <c r="AA1273" s="8">
        <f>MONTH(CleanedData[[#This Row],[Order Date]])</f>
        <v>8</v>
      </c>
    </row>
    <row r="1274" spans="1:27" x14ac:dyDescent="0.35">
      <c r="A1274" s="8" t="s">
        <v>3425</v>
      </c>
      <c r="B1274" s="9">
        <v>45031</v>
      </c>
      <c r="C1274" s="9">
        <v>44933</v>
      </c>
      <c r="D1274" s="8" t="s">
        <v>3426</v>
      </c>
      <c r="E1274" s="8" t="s">
        <v>68</v>
      </c>
      <c r="F1274" s="8" t="s">
        <v>249</v>
      </c>
      <c r="G1274" s="8" t="s">
        <v>28</v>
      </c>
      <c r="H1274" s="8" t="s">
        <v>254</v>
      </c>
      <c r="I1274" s="8" t="s">
        <v>4967</v>
      </c>
      <c r="J1274" s="10">
        <v>672</v>
      </c>
      <c r="K1274" s="11">
        <v>668.61</v>
      </c>
      <c r="L1274" s="11">
        <v>1051</v>
      </c>
      <c r="M1274" s="11">
        <v>706272</v>
      </c>
      <c r="N1274" s="11">
        <v>449305.92</v>
      </c>
      <c r="O1274" s="11">
        <f>CleanedData[[#This Row],[Total Sales ($)]]-CleanedData[[#This Row],[Total Cost ($)]]</f>
        <v>256966.08000000002</v>
      </c>
      <c r="P1274" s="12">
        <f>CleanedData[[#This Row],[Profit ($)]]/CleanedData[[#This Row],[Total Sales ($)]]</f>
        <v>0.36383444338725024</v>
      </c>
      <c r="Q1274" s="8" t="s">
        <v>95</v>
      </c>
      <c r="R1274" s="8" t="s">
        <v>63</v>
      </c>
      <c r="S1274" s="8" t="b">
        <f>_xlfn.SINGLE(CleanedData[[#This Row],[Delivery Status]])="Late"</f>
        <v>0</v>
      </c>
      <c r="T1274" s="10">
        <v>1</v>
      </c>
      <c r="U1274" s="8" t="s">
        <v>86</v>
      </c>
      <c r="V1274" s="10">
        <v>3006</v>
      </c>
      <c r="W1274" s="10">
        <v>20</v>
      </c>
      <c r="X1274" s="12">
        <v>2.9761904761904701E-2</v>
      </c>
      <c r="Y1274" s="8" t="b">
        <f>CleanedData[[#This Row],[Ship Date]]&lt;CleanedData[[#This Row],[Order Date]]</f>
        <v>1</v>
      </c>
      <c r="Z1274" s="10">
        <f>YEAR(CleanedData[[#This Row],[Order Date]])</f>
        <v>2023</v>
      </c>
      <c r="AA1274" s="8">
        <f>MONTH(CleanedData[[#This Row],[Order Date]])</f>
        <v>4</v>
      </c>
    </row>
    <row r="1275" spans="1:27" x14ac:dyDescent="0.35">
      <c r="A1275" s="8" t="s">
        <v>3427</v>
      </c>
      <c r="B1275" s="9">
        <v>45084</v>
      </c>
      <c r="C1275" s="9">
        <v>45261</v>
      </c>
      <c r="D1275" s="8" t="s">
        <v>3428</v>
      </c>
      <c r="E1275" s="8" t="s">
        <v>58</v>
      </c>
      <c r="F1275" s="8" t="s">
        <v>122</v>
      </c>
      <c r="G1275" s="8" t="s">
        <v>189</v>
      </c>
      <c r="H1275" s="8" t="s">
        <v>311</v>
      </c>
      <c r="I1275" s="8" t="s">
        <v>4977</v>
      </c>
      <c r="J1275" s="10">
        <v>765</v>
      </c>
      <c r="K1275" s="11">
        <v>484.64</v>
      </c>
      <c r="L1275" s="11">
        <v>553.44000000000005</v>
      </c>
      <c r="M1275" s="11">
        <v>423381.6</v>
      </c>
      <c r="N1275" s="11">
        <v>370749.6</v>
      </c>
      <c r="O1275" s="11">
        <f>CleanedData[[#This Row],[Total Sales ($)]]-CleanedData[[#This Row],[Total Cost ($)]]</f>
        <v>52632</v>
      </c>
      <c r="P1275" s="12">
        <f>CleanedData[[#This Row],[Profit ($)]]/CleanedData[[#This Row],[Total Sales ($)]]</f>
        <v>0.12431338537149465</v>
      </c>
      <c r="Q1275" s="8" t="s">
        <v>95</v>
      </c>
      <c r="R1275" s="8" t="s">
        <v>32</v>
      </c>
      <c r="S1275" s="8" t="b">
        <f>_xlfn.SINGLE(CleanedData[[#This Row],[Delivery Status]])="Late"</f>
        <v>1</v>
      </c>
      <c r="T1275" s="10">
        <v>14</v>
      </c>
      <c r="U1275" s="8" t="s">
        <v>43</v>
      </c>
      <c r="V1275" s="10">
        <v>1867</v>
      </c>
      <c r="W1275" s="10">
        <v>10</v>
      </c>
      <c r="X1275" s="12">
        <v>1.30718954248366E-2</v>
      </c>
      <c r="Y1275" s="8" t="b">
        <f>CleanedData[[#This Row],[Ship Date]]&lt;CleanedData[[#This Row],[Order Date]]</f>
        <v>0</v>
      </c>
      <c r="Z1275" s="10">
        <f>YEAR(CleanedData[[#This Row],[Order Date]])</f>
        <v>2023</v>
      </c>
      <c r="AA1275" s="8">
        <f>MONTH(CleanedData[[#This Row],[Order Date]])</f>
        <v>6</v>
      </c>
    </row>
    <row r="1276" spans="1:27" x14ac:dyDescent="0.35">
      <c r="A1276" s="8" t="s">
        <v>3429</v>
      </c>
      <c r="B1276" s="9">
        <v>45067</v>
      </c>
      <c r="C1276" s="9">
        <v>45175</v>
      </c>
      <c r="D1276" s="8" t="s">
        <v>3430</v>
      </c>
      <c r="E1276" s="8" t="s">
        <v>26</v>
      </c>
      <c r="F1276" s="8" t="s">
        <v>38</v>
      </c>
      <c r="G1276" s="8" t="s">
        <v>60</v>
      </c>
      <c r="H1276" s="8" t="s">
        <v>229</v>
      </c>
      <c r="I1276" s="8" t="s">
        <v>4979</v>
      </c>
      <c r="J1276" s="10">
        <v>281</v>
      </c>
      <c r="K1276" s="11">
        <v>630.08000000000004</v>
      </c>
      <c r="L1276" s="11">
        <v>759.2</v>
      </c>
      <c r="M1276" s="11">
        <v>213335.2</v>
      </c>
      <c r="N1276" s="11">
        <v>177052.48</v>
      </c>
      <c r="O1276" s="11">
        <f>CleanedData[[#This Row],[Total Sales ($)]]-CleanedData[[#This Row],[Total Cost ($)]]</f>
        <v>36282.720000000001</v>
      </c>
      <c r="P1276" s="12">
        <f>CleanedData[[#This Row],[Profit ($)]]/CleanedData[[#This Row],[Total Sales ($)]]</f>
        <v>0.17007376185458375</v>
      </c>
      <c r="Q1276" s="8" t="s">
        <v>52</v>
      </c>
      <c r="R1276" s="8" t="s">
        <v>32</v>
      </c>
      <c r="S1276" s="8" t="b">
        <f>_xlfn.SINGLE(CleanedData[[#This Row],[Delivery Status]])="Late"</f>
        <v>1</v>
      </c>
      <c r="T1276" s="10">
        <v>13</v>
      </c>
      <c r="U1276" s="8" t="s">
        <v>43</v>
      </c>
      <c r="V1276" s="10">
        <v>4959</v>
      </c>
      <c r="W1276" s="10">
        <v>7</v>
      </c>
      <c r="X1276" s="12">
        <v>2.4911032028469698E-2</v>
      </c>
      <c r="Y1276" s="8" t="b">
        <f>CleanedData[[#This Row],[Ship Date]]&lt;CleanedData[[#This Row],[Order Date]]</f>
        <v>0</v>
      </c>
      <c r="Z1276" s="10">
        <f>YEAR(CleanedData[[#This Row],[Order Date]])</f>
        <v>2023</v>
      </c>
      <c r="AA1276" s="8">
        <f>MONTH(CleanedData[[#This Row],[Order Date]])</f>
        <v>5</v>
      </c>
    </row>
    <row r="1277" spans="1:27" x14ac:dyDescent="0.35">
      <c r="A1277" s="8" t="s">
        <v>3431</v>
      </c>
      <c r="B1277" s="9">
        <v>45398</v>
      </c>
      <c r="C1277" s="9">
        <v>45345</v>
      </c>
      <c r="D1277" s="8" t="s">
        <v>3432</v>
      </c>
      <c r="E1277" s="8" t="s">
        <v>58</v>
      </c>
      <c r="F1277" s="8" t="s">
        <v>122</v>
      </c>
      <c r="G1277" s="8" t="s">
        <v>39</v>
      </c>
      <c r="H1277" s="8" t="s">
        <v>147</v>
      </c>
      <c r="I1277" s="8" t="s">
        <v>4968</v>
      </c>
      <c r="J1277" s="10">
        <v>420</v>
      </c>
      <c r="K1277" s="11">
        <v>789.32</v>
      </c>
      <c r="L1277" s="11">
        <v>1105.18</v>
      </c>
      <c r="M1277" s="11">
        <v>464175.6</v>
      </c>
      <c r="N1277" s="11">
        <v>331514.40000000002</v>
      </c>
      <c r="O1277" s="11">
        <f>CleanedData[[#This Row],[Total Sales ($)]]-CleanedData[[#This Row],[Total Cost ($)]]</f>
        <v>132661.19999999995</v>
      </c>
      <c r="P1277" s="12">
        <f>CleanedData[[#This Row],[Profit ($)]]/CleanedData[[#This Row],[Total Sales ($)]]</f>
        <v>0.28579959825548773</v>
      </c>
      <c r="Q1277" s="8" t="s">
        <v>52</v>
      </c>
      <c r="R1277" s="8" t="s">
        <v>32</v>
      </c>
      <c r="S1277" s="8" t="b">
        <f>_xlfn.SINGLE(CleanedData[[#This Row],[Delivery Status]])="Late"</f>
        <v>1</v>
      </c>
      <c r="T1277" s="10">
        <v>15</v>
      </c>
      <c r="U1277" s="8" t="s">
        <v>43</v>
      </c>
      <c r="V1277" s="10">
        <v>2278</v>
      </c>
      <c r="W1277" s="10">
        <v>4</v>
      </c>
      <c r="X1277" s="12">
        <v>9.5238095238095004E-3</v>
      </c>
      <c r="Y1277" s="8" t="b">
        <f>CleanedData[[#This Row],[Ship Date]]&lt;CleanedData[[#This Row],[Order Date]]</f>
        <v>1</v>
      </c>
      <c r="Z1277" s="10">
        <f>YEAR(CleanedData[[#This Row],[Order Date]])</f>
        <v>2024</v>
      </c>
      <c r="AA1277" s="8">
        <f>MONTH(CleanedData[[#This Row],[Order Date]])</f>
        <v>4</v>
      </c>
    </row>
    <row r="1278" spans="1:27" x14ac:dyDescent="0.35">
      <c r="A1278" s="8" t="s">
        <v>3433</v>
      </c>
      <c r="B1278" s="9">
        <v>45360</v>
      </c>
      <c r="C1278" s="9">
        <v>45478</v>
      </c>
      <c r="D1278" s="8" t="s">
        <v>3434</v>
      </c>
      <c r="E1278" s="8" t="s">
        <v>58</v>
      </c>
      <c r="F1278" s="8" t="s">
        <v>259</v>
      </c>
      <c r="G1278" s="8" t="s">
        <v>50</v>
      </c>
      <c r="H1278" s="8" t="s">
        <v>107</v>
      </c>
      <c r="I1278" s="8" t="s">
        <v>4967</v>
      </c>
      <c r="J1278" s="10">
        <v>467</v>
      </c>
      <c r="K1278" s="11">
        <v>568.15</v>
      </c>
      <c r="L1278" s="11">
        <v>738.59</v>
      </c>
      <c r="M1278" s="11">
        <v>344921.53</v>
      </c>
      <c r="N1278" s="11">
        <v>265326.05</v>
      </c>
      <c r="O1278" s="11">
        <f>CleanedData[[#This Row],[Total Sales ($)]]-CleanedData[[#This Row],[Total Cost ($)]]</f>
        <v>79595.48000000004</v>
      </c>
      <c r="P1278" s="12">
        <f>CleanedData[[#This Row],[Profit ($)]]/CleanedData[[#This Row],[Total Sales ($)]]</f>
        <v>0.23076402334177293</v>
      </c>
      <c r="Q1278" s="8" t="s">
        <v>95</v>
      </c>
      <c r="R1278" s="8" t="s">
        <v>63</v>
      </c>
      <c r="S1278" s="8" t="b">
        <f>_xlfn.SINGLE(CleanedData[[#This Row],[Delivery Status]])="Late"</f>
        <v>0</v>
      </c>
      <c r="T1278" s="10">
        <v>2</v>
      </c>
      <c r="U1278" s="8" t="s">
        <v>158</v>
      </c>
      <c r="V1278" s="10">
        <v>4130</v>
      </c>
      <c r="W1278" s="10">
        <v>10</v>
      </c>
      <c r="X1278" s="12">
        <v>2.1413276231263299E-2</v>
      </c>
      <c r="Y1278" s="8" t="b">
        <f>CleanedData[[#This Row],[Ship Date]]&lt;CleanedData[[#This Row],[Order Date]]</f>
        <v>0</v>
      </c>
      <c r="Z1278" s="10">
        <f>YEAR(CleanedData[[#This Row],[Order Date]])</f>
        <v>2024</v>
      </c>
      <c r="AA1278" s="8">
        <f>MONTH(CleanedData[[#This Row],[Order Date]])</f>
        <v>3</v>
      </c>
    </row>
    <row r="1279" spans="1:27" x14ac:dyDescent="0.35">
      <c r="A1279" s="8" t="s">
        <v>3435</v>
      </c>
      <c r="B1279" s="9">
        <v>45056</v>
      </c>
      <c r="C1279" s="9">
        <v>45078</v>
      </c>
      <c r="D1279" s="8" t="s">
        <v>3436</v>
      </c>
      <c r="E1279" s="8" t="s">
        <v>58</v>
      </c>
      <c r="F1279" s="8" t="s">
        <v>122</v>
      </c>
      <c r="G1279" s="8" t="s">
        <v>28</v>
      </c>
      <c r="H1279" s="8" t="s">
        <v>714</v>
      </c>
      <c r="I1279" s="8" t="s">
        <v>4968</v>
      </c>
      <c r="J1279" s="10">
        <v>68</v>
      </c>
      <c r="K1279" s="11">
        <v>839.28</v>
      </c>
      <c r="L1279" s="11">
        <v>1045.3499999999999</v>
      </c>
      <c r="M1279" s="11">
        <v>71083.8</v>
      </c>
      <c r="N1279" s="11">
        <v>57071.040000000001</v>
      </c>
      <c r="O1279" s="11">
        <f>CleanedData[[#This Row],[Total Sales ($)]]-CleanedData[[#This Row],[Total Cost ($)]]</f>
        <v>14012.760000000002</v>
      </c>
      <c r="P1279" s="12">
        <f>CleanedData[[#This Row],[Profit ($)]]/CleanedData[[#This Row],[Total Sales ($)]]</f>
        <v>0.19713014779738847</v>
      </c>
      <c r="Q1279" s="8" t="s">
        <v>95</v>
      </c>
      <c r="R1279" s="8" t="s">
        <v>63</v>
      </c>
      <c r="S1279" s="8" t="b">
        <f>_xlfn.SINGLE(CleanedData[[#This Row],[Delivery Status]])="Late"</f>
        <v>0</v>
      </c>
      <c r="T1279" s="10">
        <v>5</v>
      </c>
      <c r="U1279" s="8" t="s">
        <v>86</v>
      </c>
      <c r="V1279" s="10">
        <v>1626</v>
      </c>
      <c r="W1279" s="10">
        <v>3</v>
      </c>
      <c r="X1279" s="12">
        <v>4.4117647058823498E-2</v>
      </c>
      <c r="Y1279" s="8" t="b">
        <f>CleanedData[[#This Row],[Ship Date]]&lt;CleanedData[[#This Row],[Order Date]]</f>
        <v>0</v>
      </c>
      <c r="Z1279" s="10">
        <f>YEAR(CleanedData[[#This Row],[Order Date]])</f>
        <v>2023</v>
      </c>
      <c r="AA1279" s="8">
        <f>MONTH(CleanedData[[#This Row],[Order Date]])</f>
        <v>5</v>
      </c>
    </row>
    <row r="1280" spans="1:27" x14ac:dyDescent="0.35">
      <c r="A1280" s="8" t="s">
        <v>3437</v>
      </c>
      <c r="B1280" s="9">
        <v>45113</v>
      </c>
      <c r="C1280" s="9">
        <v>45055</v>
      </c>
      <c r="D1280" s="8" t="s">
        <v>1035</v>
      </c>
      <c r="E1280" s="8" t="s">
        <v>100</v>
      </c>
      <c r="F1280" s="8" t="s">
        <v>106</v>
      </c>
      <c r="G1280" s="8" t="s">
        <v>129</v>
      </c>
      <c r="H1280" s="8" t="s">
        <v>704</v>
      </c>
      <c r="I1280" s="8" t="s">
        <v>4969</v>
      </c>
      <c r="J1280" s="10">
        <v>588</v>
      </c>
      <c r="K1280" s="11">
        <v>523.71</v>
      </c>
      <c r="L1280" s="11">
        <v>854.56</v>
      </c>
      <c r="M1280" s="11">
        <v>502481.28</v>
      </c>
      <c r="N1280" s="11">
        <v>307941.48</v>
      </c>
      <c r="O1280" s="11">
        <f>CleanedData[[#This Row],[Total Sales ($)]]-CleanedData[[#This Row],[Total Cost ($)]]</f>
        <v>194539.80000000005</v>
      </c>
      <c r="P1280" s="12">
        <f>CleanedData[[#This Row],[Profit ($)]]/CleanedData[[#This Row],[Total Sales ($)]]</f>
        <v>0.38715830368844795</v>
      </c>
      <c r="Q1280" s="8" t="s">
        <v>95</v>
      </c>
      <c r="R1280" s="8" t="s">
        <v>63</v>
      </c>
      <c r="S1280" s="8" t="b">
        <f>_xlfn.SINGLE(CleanedData[[#This Row],[Delivery Status]])="Late"</f>
        <v>0</v>
      </c>
      <c r="T1280" s="10">
        <v>2</v>
      </c>
      <c r="U1280" s="8" t="s">
        <v>112</v>
      </c>
      <c r="V1280" s="10">
        <v>3677</v>
      </c>
      <c r="W1280" s="10">
        <v>24</v>
      </c>
      <c r="X1280" s="12">
        <v>4.08163265306122E-2</v>
      </c>
      <c r="Y1280" s="8" t="b">
        <f>CleanedData[[#This Row],[Ship Date]]&lt;CleanedData[[#This Row],[Order Date]]</f>
        <v>1</v>
      </c>
      <c r="Z1280" s="10">
        <f>YEAR(CleanedData[[#This Row],[Order Date]])</f>
        <v>2023</v>
      </c>
      <c r="AA1280" s="8">
        <f>MONTH(CleanedData[[#This Row],[Order Date]])</f>
        <v>7</v>
      </c>
    </row>
    <row r="1281" spans="1:27" x14ac:dyDescent="0.35">
      <c r="A1281" s="8" t="s">
        <v>3438</v>
      </c>
      <c r="B1281" s="9">
        <v>45085</v>
      </c>
      <c r="C1281" s="9">
        <v>44958</v>
      </c>
      <c r="D1281" s="8" t="s">
        <v>3439</v>
      </c>
      <c r="E1281" s="8" t="s">
        <v>48</v>
      </c>
      <c r="F1281" s="8" t="s">
        <v>223</v>
      </c>
      <c r="G1281" s="8" t="s">
        <v>28</v>
      </c>
      <c r="H1281" s="8" t="s">
        <v>212</v>
      </c>
      <c r="I1281" s="8" t="s">
        <v>4968</v>
      </c>
      <c r="J1281" s="10">
        <v>254</v>
      </c>
      <c r="K1281" s="11">
        <v>342.96</v>
      </c>
      <c r="L1281" s="11">
        <v>483.75</v>
      </c>
      <c r="M1281" s="11">
        <v>122872.5</v>
      </c>
      <c r="N1281" s="11">
        <v>87111.84</v>
      </c>
      <c r="O1281" s="11">
        <f>CleanedData[[#This Row],[Total Sales ($)]]-CleanedData[[#This Row],[Total Cost ($)]]</f>
        <v>35760.660000000003</v>
      </c>
      <c r="P1281" s="12">
        <f>CleanedData[[#This Row],[Profit ($)]]/CleanedData[[#This Row],[Total Sales ($)]]</f>
        <v>0.29103875968992249</v>
      </c>
      <c r="Q1281" s="8" t="s">
        <v>31</v>
      </c>
      <c r="R1281" s="8" t="s">
        <v>63</v>
      </c>
      <c r="S1281" s="8" t="b">
        <f>_xlfn.SINGLE(CleanedData[[#This Row],[Delivery Status]])="Late"</f>
        <v>0</v>
      </c>
      <c r="T1281" s="10">
        <v>2</v>
      </c>
      <c r="U1281" s="8" t="s">
        <v>112</v>
      </c>
      <c r="V1281" s="10">
        <v>761</v>
      </c>
      <c r="W1281" s="10">
        <v>4</v>
      </c>
      <c r="X1281" s="12">
        <v>1.5748031496062902E-2</v>
      </c>
      <c r="Y1281" s="8" t="b">
        <f>CleanedData[[#This Row],[Ship Date]]&lt;CleanedData[[#This Row],[Order Date]]</f>
        <v>1</v>
      </c>
      <c r="Z1281" s="10">
        <f>YEAR(CleanedData[[#This Row],[Order Date]])</f>
        <v>2023</v>
      </c>
      <c r="AA1281" s="8">
        <f>MONTH(CleanedData[[#This Row],[Order Date]])</f>
        <v>6</v>
      </c>
    </row>
    <row r="1282" spans="1:27" x14ac:dyDescent="0.35">
      <c r="A1282" s="8" t="s">
        <v>3440</v>
      </c>
      <c r="B1282" s="9">
        <v>45221</v>
      </c>
      <c r="C1282" s="9">
        <v>45272</v>
      </c>
      <c r="D1282" s="8" t="s">
        <v>3442</v>
      </c>
      <c r="E1282" s="8" t="s">
        <v>58</v>
      </c>
      <c r="F1282" s="8" t="s">
        <v>259</v>
      </c>
      <c r="G1282" s="8" t="s">
        <v>78</v>
      </c>
      <c r="H1282" s="8" t="s">
        <v>123</v>
      </c>
      <c r="I1282" s="8" t="s">
        <v>4979</v>
      </c>
      <c r="J1282" s="10">
        <v>516</v>
      </c>
      <c r="K1282" s="11">
        <v>1143.8399999999999</v>
      </c>
      <c r="L1282" s="11">
        <v>1387.2</v>
      </c>
      <c r="M1282" s="11">
        <v>715795.2</v>
      </c>
      <c r="N1282" s="11">
        <v>590221.43999999994</v>
      </c>
      <c r="O1282" s="11">
        <f>CleanedData[[#This Row],[Total Sales ($)]]-CleanedData[[#This Row],[Total Cost ($)]]</f>
        <v>125573.76000000001</v>
      </c>
      <c r="P1282" s="12">
        <f>CleanedData[[#This Row],[Profit ($)]]/CleanedData[[#This Row],[Total Sales ($)]]</f>
        <v>0.17543252595155712</v>
      </c>
      <c r="Q1282" s="8" t="s">
        <v>95</v>
      </c>
      <c r="R1282" s="8" t="s">
        <v>32</v>
      </c>
      <c r="S1282" s="8" t="b">
        <f>_xlfn.SINGLE(CleanedData[[#This Row],[Delivery Status]])="Late"</f>
        <v>1</v>
      </c>
      <c r="T1282" s="10">
        <v>7</v>
      </c>
      <c r="U1282" s="8" t="s">
        <v>33</v>
      </c>
      <c r="V1282" s="10">
        <v>4127</v>
      </c>
      <c r="W1282" s="10">
        <v>1</v>
      </c>
      <c r="X1282" s="12">
        <v>1.937984496124E-3</v>
      </c>
      <c r="Y1282" s="8" t="b">
        <f>CleanedData[[#This Row],[Ship Date]]&lt;CleanedData[[#This Row],[Order Date]]</f>
        <v>0</v>
      </c>
      <c r="Z1282" s="10">
        <f>YEAR(CleanedData[[#This Row],[Order Date]])</f>
        <v>2023</v>
      </c>
      <c r="AA1282" s="8">
        <f>MONTH(CleanedData[[#This Row],[Order Date]])</f>
        <v>10</v>
      </c>
    </row>
    <row r="1283" spans="1:27" x14ac:dyDescent="0.35">
      <c r="A1283" s="8" t="s">
        <v>3443</v>
      </c>
      <c r="B1283" s="9">
        <v>45048</v>
      </c>
      <c r="C1283" s="9">
        <v>45041</v>
      </c>
      <c r="D1283" s="8" t="s">
        <v>3444</v>
      </c>
      <c r="E1283" s="8" t="s">
        <v>48</v>
      </c>
      <c r="F1283" s="8" t="s">
        <v>281</v>
      </c>
      <c r="G1283" s="8" t="s">
        <v>129</v>
      </c>
      <c r="H1283" s="8" t="s">
        <v>316</v>
      </c>
      <c r="I1283" s="8" t="s">
        <v>4979</v>
      </c>
      <c r="J1283" s="10">
        <v>196</v>
      </c>
      <c r="K1283" s="11">
        <v>1130.5999999999999</v>
      </c>
      <c r="L1283" s="11">
        <v>1625.58</v>
      </c>
      <c r="M1283" s="11">
        <v>318613.68</v>
      </c>
      <c r="N1283" s="11">
        <v>221597.6</v>
      </c>
      <c r="O1283" s="11">
        <f>CleanedData[[#This Row],[Total Sales ($)]]-CleanedData[[#This Row],[Total Cost ($)]]</f>
        <v>97016.079999999987</v>
      </c>
      <c r="P1283" s="12">
        <f>CleanedData[[#This Row],[Profit ($)]]/CleanedData[[#This Row],[Total Sales ($)]]</f>
        <v>0.30449439584640553</v>
      </c>
      <c r="Q1283" s="8" t="s">
        <v>42</v>
      </c>
      <c r="R1283" s="8" t="s">
        <v>32</v>
      </c>
      <c r="S1283" s="8" t="b">
        <f>_xlfn.SINGLE(CleanedData[[#This Row],[Delivery Status]])="Late"</f>
        <v>1</v>
      </c>
      <c r="T1283" s="10">
        <v>15</v>
      </c>
      <c r="U1283" s="8" t="s">
        <v>112</v>
      </c>
      <c r="V1283" s="10">
        <v>776</v>
      </c>
      <c r="W1283" s="10">
        <v>9</v>
      </c>
      <c r="X1283" s="12">
        <v>4.5918367346938702E-2</v>
      </c>
      <c r="Y1283" s="8" t="b">
        <f>CleanedData[[#This Row],[Ship Date]]&lt;CleanedData[[#This Row],[Order Date]]</f>
        <v>1</v>
      </c>
      <c r="Z1283" s="10">
        <f>YEAR(CleanedData[[#This Row],[Order Date]])</f>
        <v>2023</v>
      </c>
      <c r="AA1283" s="8">
        <f>MONTH(CleanedData[[#This Row],[Order Date]])</f>
        <v>5</v>
      </c>
    </row>
    <row r="1284" spans="1:27" x14ac:dyDescent="0.35">
      <c r="A1284" s="8" t="s">
        <v>3445</v>
      </c>
      <c r="B1284" s="9">
        <v>45153</v>
      </c>
      <c r="C1284" s="9">
        <v>45142</v>
      </c>
      <c r="D1284" s="8" t="s">
        <v>3446</v>
      </c>
      <c r="E1284" s="8" t="s">
        <v>48</v>
      </c>
      <c r="F1284" s="8" t="s">
        <v>49</v>
      </c>
      <c r="G1284" s="8" t="s">
        <v>70</v>
      </c>
      <c r="H1284" s="8" t="s">
        <v>84</v>
      </c>
      <c r="I1284" s="8" t="s">
        <v>4970</v>
      </c>
      <c r="J1284" s="10">
        <v>150</v>
      </c>
      <c r="K1284" s="11">
        <v>610.28</v>
      </c>
      <c r="L1284" s="11">
        <v>754.26</v>
      </c>
      <c r="M1284" s="11">
        <v>113139</v>
      </c>
      <c r="N1284" s="11">
        <v>91542</v>
      </c>
      <c r="O1284" s="11">
        <f>CleanedData[[#This Row],[Total Sales ($)]]-CleanedData[[#This Row],[Total Cost ($)]]</f>
        <v>21597</v>
      </c>
      <c r="P1284" s="12">
        <f>CleanedData[[#This Row],[Profit ($)]]/CleanedData[[#This Row],[Total Sales ($)]]</f>
        <v>0.19088908333996235</v>
      </c>
      <c r="Q1284" s="8" t="s">
        <v>42</v>
      </c>
      <c r="R1284" s="8" t="s">
        <v>63</v>
      </c>
      <c r="S1284" s="8" t="b">
        <f>_xlfn.SINGLE(CleanedData[[#This Row],[Delivery Status]])="Late"</f>
        <v>0</v>
      </c>
      <c r="T1284" s="10">
        <v>4</v>
      </c>
      <c r="U1284" s="8" t="s">
        <v>158</v>
      </c>
      <c r="V1284" s="10">
        <v>2501.41</v>
      </c>
      <c r="W1284" s="10">
        <v>6</v>
      </c>
      <c r="X1284" s="12">
        <v>0.04</v>
      </c>
      <c r="Y1284" s="8" t="b">
        <f>CleanedData[[#This Row],[Ship Date]]&lt;CleanedData[[#This Row],[Order Date]]</f>
        <v>1</v>
      </c>
      <c r="Z1284" s="10">
        <f>YEAR(CleanedData[[#This Row],[Order Date]])</f>
        <v>2023</v>
      </c>
      <c r="AA1284" s="8">
        <f>MONTH(CleanedData[[#This Row],[Order Date]])</f>
        <v>8</v>
      </c>
    </row>
    <row r="1285" spans="1:27" x14ac:dyDescent="0.35">
      <c r="A1285" s="8" t="s">
        <v>3447</v>
      </c>
      <c r="B1285" s="9">
        <v>44984</v>
      </c>
      <c r="C1285" s="9">
        <v>45153</v>
      </c>
      <c r="D1285" s="8" t="s">
        <v>3448</v>
      </c>
      <c r="E1285" s="8" t="s">
        <v>100</v>
      </c>
      <c r="F1285" s="8" t="s">
        <v>106</v>
      </c>
      <c r="G1285" s="8" t="s">
        <v>50</v>
      </c>
      <c r="H1285" s="8" t="s">
        <v>135</v>
      </c>
      <c r="I1285" s="8" t="s">
        <v>4978</v>
      </c>
      <c r="J1285" s="10">
        <v>614</v>
      </c>
      <c r="K1285" s="11">
        <v>1061.52</v>
      </c>
      <c r="L1285" s="11">
        <v>1573.38</v>
      </c>
      <c r="M1285" s="11">
        <v>966055.32</v>
      </c>
      <c r="N1285" s="11">
        <v>651773.28</v>
      </c>
      <c r="O1285" s="11">
        <f>CleanedData[[#This Row],[Total Sales ($)]]-CleanedData[[#This Row],[Total Cost ($)]]</f>
        <v>314282.03999999992</v>
      </c>
      <c r="P1285" s="12">
        <f>CleanedData[[#This Row],[Profit ($)]]/CleanedData[[#This Row],[Total Sales ($)]]</f>
        <v>0.32532509628951678</v>
      </c>
      <c r="Q1285" s="8" t="s">
        <v>95</v>
      </c>
      <c r="R1285" s="8" t="s">
        <v>63</v>
      </c>
      <c r="S1285" s="8" t="b">
        <f>_xlfn.SINGLE(CleanedData[[#This Row],[Delivery Status]])="Late"</f>
        <v>0</v>
      </c>
      <c r="T1285" s="10">
        <v>3</v>
      </c>
      <c r="U1285" s="8" t="s">
        <v>33</v>
      </c>
      <c r="V1285" s="10">
        <v>4563</v>
      </c>
      <c r="W1285" s="10">
        <v>6</v>
      </c>
      <c r="X1285" s="12">
        <v>9.7719869706840001E-3</v>
      </c>
      <c r="Y1285" s="8" t="b">
        <f>CleanedData[[#This Row],[Ship Date]]&lt;CleanedData[[#This Row],[Order Date]]</f>
        <v>0</v>
      </c>
      <c r="Z1285" s="10">
        <f>YEAR(CleanedData[[#This Row],[Order Date]])</f>
        <v>2023</v>
      </c>
      <c r="AA1285" s="8">
        <f>MONTH(CleanedData[[#This Row],[Order Date]])</f>
        <v>2</v>
      </c>
    </row>
    <row r="1286" spans="1:27" x14ac:dyDescent="0.35">
      <c r="A1286" s="8" t="s">
        <v>3449</v>
      </c>
      <c r="B1286" s="9">
        <v>45254</v>
      </c>
      <c r="C1286" s="9">
        <v>45189</v>
      </c>
      <c r="D1286" s="8" t="s">
        <v>3450</v>
      </c>
      <c r="E1286" s="8" t="s">
        <v>68</v>
      </c>
      <c r="F1286" s="8" t="s">
        <v>249</v>
      </c>
      <c r="G1286" s="8" t="s">
        <v>93</v>
      </c>
      <c r="H1286" s="8" t="s">
        <v>184</v>
      </c>
      <c r="I1286" s="8" t="s">
        <v>4970</v>
      </c>
      <c r="J1286" s="10">
        <v>622</v>
      </c>
      <c r="K1286" s="11">
        <v>649.02</v>
      </c>
      <c r="L1286" s="11">
        <v>1023.52</v>
      </c>
      <c r="M1286" s="11">
        <v>636629.43999999994</v>
      </c>
      <c r="N1286" s="11">
        <v>403690.44</v>
      </c>
      <c r="O1286" s="11">
        <f>CleanedData[[#This Row],[Total Sales ($)]]-CleanedData[[#This Row],[Total Cost ($)]]</f>
        <v>232938.99999999994</v>
      </c>
      <c r="P1286" s="12">
        <f>CleanedData[[#This Row],[Profit ($)]]/CleanedData[[#This Row],[Total Sales ($)]]</f>
        <v>0.36589416914178513</v>
      </c>
      <c r="Q1286" s="8" t="s">
        <v>95</v>
      </c>
      <c r="R1286" s="8" t="s">
        <v>32</v>
      </c>
      <c r="S1286" s="8" t="b">
        <f>_xlfn.SINGLE(CleanedData[[#This Row],[Delivery Status]])="Late"</f>
        <v>1</v>
      </c>
      <c r="T1286" s="10">
        <v>7</v>
      </c>
      <c r="U1286" s="8" t="s">
        <v>33</v>
      </c>
      <c r="V1286" s="10">
        <v>242</v>
      </c>
      <c r="W1286" s="10">
        <v>29</v>
      </c>
      <c r="X1286" s="12">
        <v>4.66237942122186E-2</v>
      </c>
      <c r="Y1286" s="8" t="b">
        <f>CleanedData[[#This Row],[Ship Date]]&lt;CleanedData[[#This Row],[Order Date]]</f>
        <v>1</v>
      </c>
      <c r="Z1286" s="10">
        <f>YEAR(CleanedData[[#This Row],[Order Date]])</f>
        <v>2023</v>
      </c>
      <c r="AA1286" s="8">
        <f>MONTH(CleanedData[[#This Row],[Order Date]])</f>
        <v>11</v>
      </c>
    </row>
    <row r="1287" spans="1:27" x14ac:dyDescent="0.35">
      <c r="A1287" s="8" t="s">
        <v>3451</v>
      </c>
      <c r="B1287" s="9">
        <v>45273</v>
      </c>
      <c r="C1287" s="9">
        <v>45049</v>
      </c>
      <c r="D1287" s="8" t="s">
        <v>3452</v>
      </c>
      <c r="E1287" s="8" t="s">
        <v>100</v>
      </c>
      <c r="F1287" s="8" t="s">
        <v>238</v>
      </c>
      <c r="G1287" s="8" t="s">
        <v>217</v>
      </c>
      <c r="H1287" s="8" t="s">
        <v>684</v>
      </c>
      <c r="I1287" s="8" t="s">
        <v>4975</v>
      </c>
      <c r="J1287" s="10">
        <v>436</v>
      </c>
      <c r="K1287" s="11">
        <v>1032.43</v>
      </c>
      <c r="L1287" s="11">
        <v>1396.78</v>
      </c>
      <c r="M1287" s="11">
        <v>608996.07999999996</v>
      </c>
      <c r="N1287" s="11">
        <v>450139.48</v>
      </c>
      <c r="O1287" s="11">
        <f>CleanedData[[#This Row],[Total Sales ($)]]-CleanedData[[#This Row],[Total Cost ($)]]</f>
        <v>158856.59999999998</v>
      </c>
      <c r="P1287" s="12">
        <f>CleanedData[[#This Row],[Profit ($)]]/CleanedData[[#This Row],[Total Sales ($)]]</f>
        <v>0.26084995489626139</v>
      </c>
      <c r="Q1287" s="8" t="s">
        <v>95</v>
      </c>
      <c r="R1287" s="8" t="s">
        <v>32</v>
      </c>
      <c r="S1287" s="8" t="b">
        <f>_xlfn.SINGLE(CleanedData[[#This Row],[Delivery Status]])="Late"</f>
        <v>1</v>
      </c>
      <c r="T1287" s="10">
        <v>14</v>
      </c>
      <c r="U1287" s="8" t="s">
        <v>112</v>
      </c>
      <c r="V1287" s="10">
        <v>2797</v>
      </c>
      <c r="W1287" s="10">
        <v>2</v>
      </c>
      <c r="X1287" s="12">
        <v>4.5871559633026996E-3</v>
      </c>
      <c r="Y1287" s="8" t="b">
        <f>CleanedData[[#This Row],[Ship Date]]&lt;CleanedData[[#This Row],[Order Date]]</f>
        <v>1</v>
      </c>
      <c r="Z1287" s="10">
        <f>YEAR(CleanedData[[#This Row],[Order Date]])</f>
        <v>2023</v>
      </c>
      <c r="AA1287" s="8">
        <f>MONTH(CleanedData[[#This Row],[Order Date]])</f>
        <v>12</v>
      </c>
    </row>
    <row r="1288" spans="1:27" x14ac:dyDescent="0.35">
      <c r="A1288" s="8" t="s">
        <v>3453</v>
      </c>
      <c r="B1288" s="9">
        <v>45080</v>
      </c>
      <c r="C1288" s="9">
        <v>45195</v>
      </c>
      <c r="D1288" s="8" t="s">
        <v>3454</v>
      </c>
      <c r="E1288" s="8" t="s">
        <v>68</v>
      </c>
      <c r="F1288" s="8" t="s">
        <v>276</v>
      </c>
      <c r="G1288" s="8" t="s">
        <v>28</v>
      </c>
      <c r="H1288" s="8" t="s">
        <v>507</v>
      </c>
      <c r="I1288" s="8" t="s">
        <v>4977</v>
      </c>
      <c r="J1288" s="10">
        <v>42</v>
      </c>
      <c r="K1288" s="11">
        <v>492.69</v>
      </c>
      <c r="L1288" s="11">
        <v>552.76</v>
      </c>
      <c r="M1288" s="11">
        <v>23215.919999999998</v>
      </c>
      <c r="N1288" s="11">
        <v>20692.98</v>
      </c>
      <c r="O1288" s="11">
        <f>CleanedData[[#This Row],[Total Sales ($)]]-CleanedData[[#This Row],[Total Cost ($)]]</f>
        <v>2522.9399999999987</v>
      </c>
      <c r="P1288" s="12">
        <f>CleanedData[[#This Row],[Profit ($)]]/CleanedData[[#This Row],[Total Sales ($)]]</f>
        <v>0.10867284173963379</v>
      </c>
      <c r="Q1288" s="8" t="s">
        <v>31</v>
      </c>
      <c r="R1288" s="8" t="s">
        <v>63</v>
      </c>
      <c r="S1288" s="8" t="b">
        <f>_xlfn.SINGLE(CleanedData[[#This Row],[Delivery Status]])="Late"</f>
        <v>0</v>
      </c>
      <c r="T1288" s="10">
        <v>4</v>
      </c>
      <c r="U1288" s="8" t="s">
        <v>33</v>
      </c>
      <c r="V1288" s="10">
        <v>2873</v>
      </c>
      <c r="W1288" s="10">
        <v>2</v>
      </c>
      <c r="X1288" s="12">
        <v>4.7619047619047603E-2</v>
      </c>
      <c r="Y1288" s="8" t="b">
        <f>CleanedData[[#This Row],[Ship Date]]&lt;CleanedData[[#This Row],[Order Date]]</f>
        <v>0</v>
      </c>
      <c r="Z1288" s="10">
        <f>YEAR(CleanedData[[#This Row],[Order Date]])</f>
        <v>2023</v>
      </c>
      <c r="AA1288" s="8">
        <f>MONTH(CleanedData[[#This Row],[Order Date]])</f>
        <v>6</v>
      </c>
    </row>
    <row r="1289" spans="1:27" x14ac:dyDescent="0.35">
      <c r="A1289" s="8" t="s">
        <v>3455</v>
      </c>
      <c r="B1289" s="9">
        <v>45074</v>
      </c>
      <c r="C1289" s="9">
        <v>45059</v>
      </c>
      <c r="D1289" s="8" t="s">
        <v>3456</v>
      </c>
      <c r="E1289" s="8" t="s">
        <v>48</v>
      </c>
      <c r="F1289" s="8" t="s">
        <v>183</v>
      </c>
      <c r="G1289" s="8" t="s">
        <v>217</v>
      </c>
      <c r="H1289" s="8" t="s">
        <v>335</v>
      </c>
      <c r="I1289" s="8" t="s">
        <v>4979</v>
      </c>
      <c r="J1289" s="10">
        <v>753</v>
      </c>
      <c r="K1289" s="11">
        <v>1022.38</v>
      </c>
      <c r="L1289" s="11">
        <v>1615</v>
      </c>
      <c r="M1289" s="11">
        <v>1216095</v>
      </c>
      <c r="N1289" s="11">
        <v>769852.14</v>
      </c>
      <c r="O1289" s="11">
        <f>CleanedData[[#This Row],[Total Sales ($)]]-CleanedData[[#This Row],[Total Cost ($)]]</f>
        <v>446242.86</v>
      </c>
      <c r="P1289" s="12">
        <f>CleanedData[[#This Row],[Profit ($)]]/CleanedData[[#This Row],[Total Sales ($)]]</f>
        <v>0.36694736842105263</v>
      </c>
      <c r="Q1289" s="8" t="s">
        <v>42</v>
      </c>
      <c r="R1289" s="8" t="s">
        <v>63</v>
      </c>
      <c r="S1289" s="8" t="b">
        <f>_xlfn.SINGLE(CleanedData[[#This Row],[Delivery Status]])="Late"</f>
        <v>0</v>
      </c>
      <c r="T1289" s="10">
        <v>2</v>
      </c>
      <c r="U1289" s="8" t="s">
        <v>112</v>
      </c>
      <c r="V1289" s="10">
        <v>964</v>
      </c>
      <c r="W1289" s="10">
        <v>7</v>
      </c>
      <c r="X1289" s="12">
        <v>9.2961487383798006E-3</v>
      </c>
      <c r="Y1289" s="8" t="b">
        <f>CleanedData[[#This Row],[Ship Date]]&lt;CleanedData[[#This Row],[Order Date]]</f>
        <v>1</v>
      </c>
      <c r="Z1289" s="10">
        <f>YEAR(CleanedData[[#This Row],[Order Date]])</f>
        <v>2023</v>
      </c>
      <c r="AA1289" s="8">
        <f>MONTH(CleanedData[[#This Row],[Order Date]])</f>
        <v>5</v>
      </c>
    </row>
    <row r="1290" spans="1:27" x14ac:dyDescent="0.35">
      <c r="A1290" s="8" t="s">
        <v>3457</v>
      </c>
      <c r="B1290" s="9">
        <v>45141</v>
      </c>
      <c r="C1290" s="9">
        <v>45022</v>
      </c>
      <c r="D1290" s="8" t="s">
        <v>3458</v>
      </c>
      <c r="E1290" s="8" t="s">
        <v>26</v>
      </c>
      <c r="F1290" s="8" t="s">
        <v>228</v>
      </c>
      <c r="G1290" s="8" t="s">
        <v>28</v>
      </c>
      <c r="H1290" s="8" t="s">
        <v>507</v>
      </c>
      <c r="I1290" s="8" t="s">
        <v>4976</v>
      </c>
      <c r="J1290" s="10">
        <v>751</v>
      </c>
      <c r="K1290" s="11">
        <v>548.99</v>
      </c>
      <c r="L1290" s="11">
        <v>668.33</v>
      </c>
      <c r="M1290" s="11">
        <v>501915.83</v>
      </c>
      <c r="N1290" s="11">
        <v>412291.49</v>
      </c>
      <c r="O1290" s="11">
        <f>CleanedData[[#This Row],[Total Sales ($)]]-CleanedData[[#This Row],[Total Cost ($)]]</f>
        <v>89624.340000000026</v>
      </c>
      <c r="P1290" s="12">
        <f>CleanedData[[#This Row],[Profit ($)]]/CleanedData[[#This Row],[Total Sales ($)]]</f>
        <v>0.17856448161836222</v>
      </c>
      <c r="Q1290" s="8" t="s">
        <v>42</v>
      </c>
      <c r="R1290" s="8" t="s">
        <v>32</v>
      </c>
      <c r="S1290" s="8" t="b">
        <f>_xlfn.SINGLE(CleanedData[[#This Row],[Delivery Status]])="Late"</f>
        <v>1</v>
      </c>
      <c r="T1290" s="10">
        <v>12</v>
      </c>
      <c r="U1290" s="8" t="s">
        <v>33</v>
      </c>
      <c r="V1290" s="10">
        <v>3580</v>
      </c>
      <c r="W1290" s="10">
        <v>0</v>
      </c>
      <c r="X1290" s="12">
        <v>0</v>
      </c>
      <c r="Y1290" s="8" t="b">
        <f>CleanedData[[#This Row],[Ship Date]]&lt;CleanedData[[#This Row],[Order Date]]</f>
        <v>1</v>
      </c>
      <c r="Z1290" s="10">
        <f>YEAR(CleanedData[[#This Row],[Order Date]])</f>
        <v>2023</v>
      </c>
      <c r="AA1290" s="8">
        <f>MONTH(CleanedData[[#This Row],[Order Date]])</f>
        <v>8</v>
      </c>
    </row>
    <row r="1291" spans="1:27" x14ac:dyDescent="0.35">
      <c r="A1291" s="8" t="s">
        <v>3459</v>
      </c>
      <c r="B1291" s="9">
        <v>45481</v>
      </c>
      <c r="C1291" s="9">
        <v>45584</v>
      </c>
      <c r="D1291" s="8" t="s">
        <v>1190</v>
      </c>
      <c r="E1291" s="8" t="s">
        <v>48</v>
      </c>
      <c r="F1291" s="8" t="s">
        <v>49</v>
      </c>
      <c r="G1291" s="8" t="s">
        <v>78</v>
      </c>
      <c r="H1291" s="8" t="s">
        <v>178</v>
      </c>
      <c r="I1291" s="8" t="s">
        <v>4976</v>
      </c>
      <c r="J1291" s="10">
        <v>463</v>
      </c>
      <c r="K1291" s="11">
        <v>249.68</v>
      </c>
      <c r="L1291" s="11">
        <v>365.24</v>
      </c>
      <c r="M1291" s="11">
        <v>169106.12</v>
      </c>
      <c r="N1291" s="11">
        <v>115601.84</v>
      </c>
      <c r="O1291" s="11">
        <f>CleanedData[[#This Row],[Total Sales ($)]]-CleanedData[[#This Row],[Total Cost ($)]]</f>
        <v>53504.28</v>
      </c>
      <c r="P1291" s="12">
        <f>CleanedData[[#This Row],[Profit ($)]]/CleanedData[[#This Row],[Total Sales ($)]]</f>
        <v>0.31639469937575293</v>
      </c>
      <c r="Q1291" s="8" t="s">
        <v>31</v>
      </c>
      <c r="R1291" s="8" t="s">
        <v>32</v>
      </c>
      <c r="S1291" s="8" t="b">
        <f>_xlfn.SINGLE(CleanedData[[#This Row],[Delivery Status]])="Late"</f>
        <v>1</v>
      </c>
      <c r="T1291" s="10">
        <v>8</v>
      </c>
      <c r="U1291" s="8" t="s">
        <v>33</v>
      </c>
      <c r="V1291" s="10">
        <v>1748</v>
      </c>
      <c r="W1291" s="10">
        <v>15</v>
      </c>
      <c r="X1291" s="12">
        <v>3.2397408207343402E-2</v>
      </c>
      <c r="Y1291" s="8" t="b">
        <f>CleanedData[[#This Row],[Ship Date]]&lt;CleanedData[[#This Row],[Order Date]]</f>
        <v>0</v>
      </c>
      <c r="Z1291" s="10">
        <f>YEAR(CleanedData[[#This Row],[Order Date]])</f>
        <v>2024</v>
      </c>
      <c r="AA1291" s="8">
        <f>MONTH(CleanedData[[#This Row],[Order Date]])</f>
        <v>7</v>
      </c>
    </row>
    <row r="1292" spans="1:27" x14ac:dyDescent="0.35">
      <c r="A1292" s="8" t="s">
        <v>3460</v>
      </c>
      <c r="B1292" s="9">
        <v>45173</v>
      </c>
      <c r="C1292" s="9">
        <v>45142</v>
      </c>
      <c r="D1292" s="8" t="s">
        <v>3313</v>
      </c>
      <c r="E1292" s="8" t="s">
        <v>100</v>
      </c>
      <c r="F1292" s="8" t="s">
        <v>538</v>
      </c>
      <c r="G1292" s="8" t="s">
        <v>28</v>
      </c>
      <c r="H1292" s="8" t="s">
        <v>579</v>
      </c>
      <c r="I1292" s="8" t="s">
        <v>4969</v>
      </c>
      <c r="J1292" s="10">
        <v>403</v>
      </c>
      <c r="K1292" s="11">
        <v>914.16</v>
      </c>
      <c r="L1292" s="11">
        <v>1433.73</v>
      </c>
      <c r="M1292" s="11">
        <v>577793.18999999994</v>
      </c>
      <c r="N1292" s="11">
        <v>368406.48</v>
      </c>
      <c r="O1292" s="11">
        <f>CleanedData[[#This Row],[Total Sales ($)]]-CleanedData[[#This Row],[Total Cost ($)]]</f>
        <v>209386.70999999996</v>
      </c>
      <c r="P1292" s="12">
        <f>CleanedData[[#This Row],[Profit ($)]]/CleanedData[[#This Row],[Total Sales ($)]]</f>
        <v>0.36239040823586027</v>
      </c>
      <c r="Q1292" s="8" t="s">
        <v>31</v>
      </c>
      <c r="R1292" s="8" t="s">
        <v>32</v>
      </c>
      <c r="S1292" s="8" t="b">
        <f>_xlfn.SINGLE(CleanedData[[#This Row],[Delivery Status]])="Late"</f>
        <v>1</v>
      </c>
      <c r="T1292" s="10">
        <v>9</v>
      </c>
      <c r="U1292" s="8" t="s">
        <v>43</v>
      </c>
      <c r="V1292" s="10">
        <v>1594</v>
      </c>
      <c r="W1292" s="10">
        <v>4</v>
      </c>
      <c r="X1292" s="12">
        <v>9.9255583126550001E-3</v>
      </c>
      <c r="Y1292" s="8" t="b">
        <f>CleanedData[[#This Row],[Ship Date]]&lt;CleanedData[[#This Row],[Order Date]]</f>
        <v>1</v>
      </c>
      <c r="Z1292" s="10">
        <f>YEAR(CleanedData[[#This Row],[Order Date]])</f>
        <v>2023</v>
      </c>
      <c r="AA1292" s="8">
        <f>MONTH(CleanedData[[#This Row],[Order Date]])</f>
        <v>9</v>
      </c>
    </row>
    <row r="1293" spans="1:27" x14ac:dyDescent="0.35">
      <c r="A1293" s="8" t="s">
        <v>3461</v>
      </c>
      <c r="B1293" s="9">
        <v>45062</v>
      </c>
      <c r="C1293" s="9">
        <v>45111</v>
      </c>
      <c r="D1293" s="8" t="s">
        <v>3462</v>
      </c>
      <c r="E1293" s="8" t="s">
        <v>68</v>
      </c>
      <c r="F1293" s="8" t="s">
        <v>146</v>
      </c>
      <c r="G1293" s="8" t="s">
        <v>78</v>
      </c>
      <c r="H1293" s="8" t="s">
        <v>628</v>
      </c>
      <c r="I1293" s="8" t="s">
        <v>4978</v>
      </c>
      <c r="J1293" s="10">
        <v>538</v>
      </c>
      <c r="K1293" s="11">
        <v>925.41</v>
      </c>
      <c r="L1293" s="11">
        <v>1289.98</v>
      </c>
      <c r="M1293" s="11">
        <v>694009.24</v>
      </c>
      <c r="N1293" s="11">
        <v>497870.58</v>
      </c>
      <c r="O1293" s="11">
        <f>CleanedData[[#This Row],[Total Sales ($)]]-CleanedData[[#This Row],[Total Cost ($)]]</f>
        <v>196138.65999999997</v>
      </c>
      <c r="P1293" s="12">
        <f>CleanedData[[#This Row],[Profit ($)]]/CleanedData[[#This Row],[Total Sales ($)]]</f>
        <v>0.28261678475635277</v>
      </c>
      <c r="Q1293" s="8" t="s">
        <v>42</v>
      </c>
      <c r="R1293" s="8" t="s">
        <v>32</v>
      </c>
      <c r="S1293" s="8" t="b">
        <f>_xlfn.SINGLE(CleanedData[[#This Row],[Delivery Status]])="Late"</f>
        <v>1</v>
      </c>
      <c r="T1293" s="10">
        <v>14</v>
      </c>
      <c r="U1293" s="8" t="s">
        <v>53</v>
      </c>
      <c r="V1293" s="10">
        <v>4918</v>
      </c>
      <c r="W1293" s="10">
        <v>24</v>
      </c>
      <c r="X1293" s="12">
        <v>4.4609665427509201E-2</v>
      </c>
      <c r="Y1293" s="8" t="b">
        <f>CleanedData[[#This Row],[Ship Date]]&lt;CleanedData[[#This Row],[Order Date]]</f>
        <v>0</v>
      </c>
      <c r="Z1293" s="10">
        <f>YEAR(CleanedData[[#This Row],[Order Date]])</f>
        <v>2023</v>
      </c>
      <c r="AA1293" s="8">
        <f>MONTH(CleanedData[[#This Row],[Order Date]])</f>
        <v>5</v>
      </c>
    </row>
    <row r="1294" spans="1:27" x14ac:dyDescent="0.35">
      <c r="A1294" s="8" t="s">
        <v>3463</v>
      </c>
      <c r="B1294" s="9">
        <v>45319</v>
      </c>
      <c r="C1294" s="9">
        <v>44934</v>
      </c>
      <c r="D1294" s="8" t="s">
        <v>3465</v>
      </c>
      <c r="E1294" s="8" t="s">
        <v>48</v>
      </c>
      <c r="F1294" s="8" t="s">
        <v>281</v>
      </c>
      <c r="G1294" s="8" t="s">
        <v>129</v>
      </c>
      <c r="H1294" s="8" t="s">
        <v>811</v>
      </c>
      <c r="I1294" s="8" t="s">
        <v>4969</v>
      </c>
      <c r="J1294" s="10">
        <v>596</v>
      </c>
      <c r="K1294" s="11">
        <v>1114.29</v>
      </c>
      <c r="L1294" s="11">
        <v>1830.55</v>
      </c>
      <c r="M1294" s="11">
        <v>1091007.8</v>
      </c>
      <c r="N1294" s="11">
        <v>664116.84</v>
      </c>
      <c r="O1294" s="11">
        <f>CleanedData[[#This Row],[Total Sales ($)]]-CleanedData[[#This Row],[Total Cost ($)]]</f>
        <v>426890.96000000008</v>
      </c>
      <c r="P1294" s="12">
        <f>CleanedData[[#This Row],[Profit ($)]]/CleanedData[[#This Row],[Total Sales ($)]]</f>
        <v>0.39128130889623342</v>
      </c>
      <c r="Q1294" s="8" t="s">
        <v>95</v>
      </c>
      <c r="R1294" s="8" t="s">
        <v>63</v>
      </c>
      <c r="S1294" s="8" t="b">
        <f>_xlfn.SINGLE(CleanedData[[#This Row],[Delivery Status]])="Late"</f>
        <v>0</v>
      </c>
      <c r="T1294" s="10">
        <v>2</v>
      </c>
      <c r="U1294" s="8" t="s">
        <v>158</v>
      </c>
      <c r="V1294" s="10">
        <v>4440</v>
      </c>
      <c r="W1294" s="10">
        <v>1</v>
      </c>
      <c r="X1294" s="12">
        <v>1.6778523489932001E-3</v>
      </c>
      <c r="Y1294" s="8" t="b">
        <f>CleanedData[[#This Row],[Ship Date]]&lt;CleanedData[[#This Row],[Order Date]]</f>
        <v>1</v>
      </c>
      <c r="Z1294" s="10">
        <f>YEAR(CleanedData[[#This Row],[Order Date]])</f>
        <v>2024</v>
      </c>
      <c r="AA1294" s="8">
        <f>MONTH(CleanedData[[#This Row],[Order Date]])</f>
        <v>1</v>
      </c>
    </row>
    <row r="1295" spans="1:27" x14ac:dyDescent="0.35">
      <c r="A1295" s="8" t="s">
        <v>3466</v>
      </c>
      <c r="B1295" s="9">
        <v>45288</v>
      </c>
      <c r="C1295" s="9">
        <v>45280</v>
      </c>
      <c r="D1295" s="8" t="s">
        <v>3467</v>
      </c>
      <c r="E1295" s="8" t="s">
        <v>100</v>
      </c>
      <c r="F1295" s="8" t="s">
        <v>106</v>
      </c>
      <c r="G1295" s="8" t="s">
        <v>93</v>
      </c>
      <c r="H1295" s="8" t="s">
        <v>4972</v>
      </c>
      <c r="I1295" s="8" t="s">
        <v>4983</v>
      </c>
      <c r="J1295" s="10">
        <v>221</v>
      </c>
      <c r="K1295" s="11">
        <v>533.24</v>
      </c>
      <c r="L1295" s="11">
        <v>751.39</v>
      </c>
      <c r="M1295" s="11">
        <v>166057.19</v>
      </c>
      <c r="N1295" s="11">
        <v>117846.04</v>
      </c>
      <c r="O1295" s="11">
        <f>CleanedData[[#This Row],[Total Sales ($)]]-CleanedData[[#This Row],[Total Cost ($)]]</f>
        <v>48211.150000000009</v>
      </c>
      <c r="P1295" s="12">
        <f>CleanedData[[#This Row],[Profit ($)]]/CleanedData[[#This Row],[Total Sales ($)]]</f>
        <v>0.29032859101132574</v>
      </c>
      <c r="Q1295" s="8" t="s">
        <v>31</v>
      </c>
      <c r="R1295" s="8" t="s">
        <v>32</v>
      </c>
      <c r="S1295" s="8" t="b">
        <f>_xlfn.SINGLE(CleanedData[[#This Row],[Delivery Status]])="Late"</f>
        <v>1</v>
      </c>
      <c r="T1295" s="10">
        <v>6</v>
      </c>
      <c r="U1295" s="8" t="s">
        <v>53</v>
      </c>
      <c r="V1295" s="10">
        <v>3900</v>
      </c>
      <c r="W1295" s="10">
        <v>0</v>
      </c>
      <c r="X1295" s="12">
        <v>0</v>
      </c>
      <c r="Y1295" s="8" t="b">
        <f>CleanedData[[#This Row],[Ship Date]]&lt;CleanedData[[#This Row],[Order Date]]</f>
        <v>1</v>
      </c>
      <c r="Z1295" s="10">
        <f>YEAR(CleanedData[[#This Row],[Order Date]])</f>
        <v>2023</v>
      </c>
      <c r="AA1295" s="8">
        <f>MONTH(CleanedData[[#This Row],[Order Date]])</f>
        <v>12</v>
      </c>
    </row>
    <row r="1296" spans="1:27" x14ac:dyDescent="0.35">
      <c r="A1296" s="8" t="s">
        <v>3468</v>
      </c>
      <c r="B1296" s="9">
        <v>45001</v>
      </c>
      <c r="C1296" s="9">
        <v>45152</v>
      </c>
      <c r="D1296" s="8" t="s">
        <v>3470</v>
      </c>
      <c r="E1296" s="8" t="s">
        <v>26</v>
      </c>
      <c r="F1296" s="8" t="s">
        <v>38</v>
      </c>
      <c r="G1296" s="8" t="s">
        <v>70</v>
      </c>
      <c r="H1296" s="8" t="s">
        <v>822</v>
      </c>
      <c r="I1296" s="8" t="s">
        <v>4971</v>
      </c>
      <c r="J1296" s="10">
        <v>328</v>
      </c>
      <c r="K1296" s="11">
        <v>434.41</v>
      </c>
      <c r="L1296" s="11">
        <v>672.83</v>
      </c>
      <c r="M1296" s="11">
        <v>220688.24</v>
      </c>
      <c r="N1296" s="11">
        <v>142486.48000000001</v>
      </c>
      <c r="O1296" s="11">
        <f>CleanedData[[#This Row],[Total Sales ($)]]-CleanedData[[#This Row],[Total Cost ($)]]</f>
        <v>78201.75999999998</v>
      </c>
      <c r="P1296" s="12">
        <f>CleanedData[[#This Row],[Profit ($)]]/CleanedData[[#This Row],[Total Sales ($)]]</f>
        <v>0.35435399729500761</v>
      </c>
      <c r="Q1296" s="8" t="s">
        <v>42</v>
      </c>
      <c r="R1296" s="8" t="s">
        <v>32</v>
      </c>
      <c r="S1296" s="8" t="b">
        <f>_xlfn.SINGLE(CleanedData[[#This Row],[Delivery Status]])="Late"</f>
        <v>1</v>
      </c>
      <c r="T1296" s="10">
        <v>12</v>
      </c>
      <c r="U1296" s="8" t="s">
        <v>33</v>
      </c>
      <c r="V1296" s="10">
        <v>1951</v>
      </c>
      <c r="W1296" s="10">
        <v>16</v>
      </c>
      <c r="X1296" s="12">
        <v>4.8780487804878002E-2</v>
      </c>
      <c r="Y1296" s="8" t="b">
        <f>CleanedData[[#This Row],[Ship Date]]&lt;CleanedData[[#This Row],[Order Date]]</f>
        <v>0</v>
      </c>
      <c r="Z1296" s="10">
        <f>YEAR(CleanedData[[#This Row],[Order Date]])</f>
        <v>2023</v>
      </c>
      <c r="AA1296" s="8">
        <f>MONTH(CleanedData[[#This Row],[Order Date]])</f>
        <v>3</v>
      </c>
    </row>
    <row r="1297" spans="1:27" x14ac:dyDescent="0.35">
      <c r="A1297" s="8" t="s">
        <v>3471</v>
      </c>
      <c r="B1297" s="9">
        <v>44953</v>
      </c>
      <c r="C1297" s="9">
        <v>45284</v>
      </c>
      <c r="D1297" s="8" t="s">
        <v>3473</v>
      </c>
      <c r="E1297" s="8" t="s">
        <v>58</v>
      </c>
      <c r="F1297" s="8" t="s">
        <v>122</v>
      </c>
      <c r="G1297" s="8" t="s">
        <v>70</v>
      </c>
      <c r="H1297" s="8" t="s">
        <v>623</v>
      </c>
      <c r="I1297" s="8" t="s">
        <v>4977</v>
      </c>
      <c r="J1297" s="10">
        <v>648</v>
      </c>
      <c r="K1297" s="11">
        <v>617.02</v>
      </c>
      <c r="L1297" s="11">
        <v>839.78</v>
      </c>
      <c r="M1297" s="11">
        <v>544177.43999999994</v>
      </c>
      <c r="N1297" s="11">
        <v>399828.96</v>
      </c>
      <c r="O1297" s="11">
        <f>CleanedData[[#This Row],[Total Sales ($)]]-CleanedData[[#This Row],[Total Cost ($)]]</f>
        <v>144348.47999999992</v>
      </c>
      <c r="P1297" s="12">
        <f>CleanedData[[#This Row],[Profit ($)]]/CleanedData[[#This Row],[Total Sales ($)]]</f>
        <v>0.26525994903427075</v>
      </c>
      <c r="Q1297" s="8" t="s">
        <v>95</v>
      </c>
      <c r="R1297" s="8" t="s">
        <v>4972</v>
      </c>
      <c r="S1297" s="8" t="b">
        <f>_xlfn.SINGLE(CleanedData[[#This Row],[Delivery Status]])="Late"</f>
        <v>0</v>
      </c>
      <c r="T1297" s="10">
        <v>3</v>
      </c>
      <c r="U1297" s="8" t="s">
        <v>86</v>
      </c>
      <c r="V1297" s="10">
        <v>2502</v>
      </c>
      <c r="W1297" s="10">
        <v>1</v>
      </c>
      <c r="X1297" s="12">
        <v>1.5432098765432E-3</v>
      </c>
      <c r="Y1297" s="8" t="b">
        <f>CleanedData[[#This Row],[Ship Date]]&lt;CleanedData[[#This Row],[Order Date]]</f>
        <v>0</v>
      </c>
      <c r="Z1297" s="10">
        <f>YEAR(CleanedData[[#This Row],[Order Date]])</f>
        <v>2023</v>
      </c>
      <c r="AA1297" s="8">
        <f>MONTH(CleanedData[[#This Row],[Order Date]])</f>
        <v>1</v>
      </c>
    </row>
    <row r="1298" spans="1:27" x14ac:dyDescent="0.35">
      <c r="A1298" s="8" t="s">
        <v>3474</v>
      </c>
      <c r="B1298" s="9">
        <v>45008</v>
      </c>
      <c r="C1298" s="9">
        <v>45052</v>
      </c>
      <c r="D1298" s="8" t="s">
        <v>3475</v>
      </c>
      <c r="E1298" s="8" t="s">
        <v>48</v>
      </c>
      <c r="F1298" s="8" t="s">
        <v>281</v>
      </c>
      <c r="G1298" s="8" t="s">
        <v>60</v>
      </c>
      <c r="H1298" s="8" t="s">
        <v>400</v>
      </c>
      <c r="I1298" s="8" t="s">
        <v>4967</v>
      </c>
      <c r="J1298" s="10">
        <v>282</v>
      </c>
      <c r="K1298" s="11">
        <v>1139.7</v>
      </c>
      <c r="L1298" s="11">
        <v>1846.78</v>
      </c>
      <c r="M1298" s="11">
        <v>520791.96</v>
      </c>
      <c r="N1298" s="11">
        <v>321395.40000000002</v>
      </c>
      <c r="O1298" s="11">
        <f>CleanedData[[#This Row],[Total Sales ($)]]-CleanedData[[#This Row],[Total Cost ($)]]</f>
        <v>199396.56</v>
      </c>
      <c r="P1298" s="12">
        <f>CleanedData[[#This Row],[Profit ($)]]/CleanedData[[#This Row],[Total Sales ($)]]</f>
        <v>0.3828718093113419</v>
      </c>
      <c r="Q1298" s="8" t="s">
        <v>95</v>
      </c>
      <c r="R1298" s="8" t="s">
        <v>32</v>
      </c>
      <c r="S1298" s="8" t="b">
        <f>_xlfn.SINGLE(CleanedData[[#This Row],[Delivery Status]])="Late"</f>
        <v>1</v>
      </c>
      <c r="T1298" s="10">
        <v>12</v>
      </c>
      <c r="U1298" s="8" t="s">
        <v>158</v>
      </c>
      <c r="V1298" s="10">
        <v>2776</v>
      </c>
      <c r="W1298" s="10">
        <v>12</v>
      </c>
      <c r="X1298" s="12">
        <v>4.2553191489361701E-2</v>
      </c>
      <c r="Y1298" s="8" t="b">
        <f>CleanedData[[#This Row],[Ship Date]]&lt;CleanedData[[#This Row],[Order Date]]</f>
        <v>0</v>
      </c>
      <c r="Z1298" s="10">
        <f>YEAR(CleanedData[[#This Row],[Order Date]])</f>
        <v>2023</v>
      </c>
      <c r="AA1298" s="8">
        <f>MONTH(CleanedData[[#This Row],[Order Date]])</f>
        <v>3</v>
      </c>
    </row>
    <row r="1299" spans="1:27" x14ac:dyDescent="0.35">
      <c r="A1299" s="8" t="s">
        <v>3476</v>
      </c>
      <c r="B1299" s="9">
        <v>44998</v>
      </c>
      <c r="C1299" s="9">
        <v>44935</v>
      </c>
      <c r="D1299" s="8" t="s">
        <v>3477</v>
      </c>
      <c r="E1299" s="8" t="s">
        <v>26</v>
      </c>
      <c r="F1299" s="8" t="s">
        <v>92</v>
      </c>
      <c r="G1299" s="8" t="s">
        <v>50</v>
      </c>
      <c r="H1299" s="8" t="s">
        <v>117</v>
      </c>
      <c r="I1299" s="8" t="s">
        <v>4973</v>
      </c>
      <c r="J1299" s="10">
        <v>86</v>
      </c>
      <c r="K1299" s="11">
        <v>884.13</v>
      </c>
      <c r="L1299" s="11">
        <v>1233.81</v>
      </c>
      <c r="M1299" s="11">
        <v>106107.66</v>
      </c>
      <c r="N1299" s="11">
        <v>76035.179999999993</v>
      </c>
      <c r="O1299" s="11">
        <f>CleanedData[[#This Row],[Total Sales ($)]]-CleanedData[[#This Row],[Total Cost ($)]]</f>
        <v>30072.48000000001</v>
      </c>
      <c r="P1299" s="12">
        <f>CleanedData[[#This Row],[Profit ($)]]/CleanedData[[#This Row],[Total Sales ($)]]</f>
        <v>0.28341478833856115</v>
      </c>
      <c r="Q1299" s="8" t="s">
        <v>42</v>
      </c>
      <c r="R1299" s="8" t="s">
        <v>32</v>
      </c>
      <c r="S1299" s="8" t="b">
        <f>_xlfn.SINGLE(CleanedData[[#This Row],[Delivery Status]])="Late"</f>
        <v>1</v>
      </c>
      <c r="T1299" s="10">
        <v>8</v>
      </c>
      <c r="U1299" s="8" t="s">
        <v>53</v>
      </c>
      <c r="V1299" s="10">
        <v>2436</v>
      </c>
      <c r="W1299" s="10"/>
      <c r="X1299" s="12"/>
      <c r="Y1299" s="8" t="b">
        <f>CleanedData[[#This Row],[Ship Date]]&lt;CleanedData[[#This Row],[Order Date]]</f>
        <v>1</v>
      </c>
      <c r="Z1299" s="10">
        <f>YEAR(CleanedData[[#This Row],[Order Date]])</f>
        <v>2023</v>
      </c>
      <c r="AA1299" s="8">
        <f>MONTH(CleanedData[[#This Row],[Order Date]])</f>
        <v>3</v>
      </c>
    </row>
    <row r="1300" spans="1:27" x14ac:dyDescent="0.35">
      <c r="A1300" s="8" t="s">
        <v>3478</v>
      </c>
      <c r="B1300" s="9">
        <v>44931</v>
      </c>
      <c r="C1300" s="9">
        <v>45221</v>
      </c>
      <c r="D1300" s="8" t="s">
        <v>3479</v>
      </c>
      <c r="E1300" s="8" t="s">
        <v>68</v>
      </c>
      <c r="F1300" s="8" t="s">
        <v>146</v>
      </c>
      <c r="G1300" s="8" t="s">
        <v>28</v>
      </c>
      <c r="H1300" s="8" t="s">
        <v>714</v>
      </c>
      <c r="I1300" s="8" t="s">
        <v>4974</v>
      </c>
      <c r="J1300" s="10">
        <v>326</v>
      </c>
      <c r="K1300" s="11">
        <v>455.54</v>
      </c>
      <c r="L1300" s="11">
        <v>628.74</v>
      </c>
      <c r="M1300" s="11">
        <v>204969.24</v>
      </c>
      <c r="N1300" s="11">
        <v>148506.04</v>
      </c>
      <c r="O1300" s="11">
        <f>CleanedData[[#This Row],[Total Sales ($)]]-CleanedData[[#This Row],[Total Cost ($)]]</f>
        <v>56463.199999999983</v>
      </c>
      <c r="P1300" s="12">
        <f>CleanedData[[#This Row],[Profit ($)]]/CleanedData[[#This Row],[Total Sales ($)]]</f>
        <v>0.2754715780767884</v>
      </c>
      <c r="Q1300" s="8" t="s">
        <v>52</v>
      </c>
      <c r="R1300" s="8" t="s">
        <v>32</v>
      </c>
      <c r="S1300" s="8" t="b">
        <f>_xlfn.SINGLE(CleanedData[[#This Row],[Delivery Status]])="Late"</f>
        <v>1</v>
      </c>
      <c r="T1300" s="10">
        <v>12</v>
      </c>
      <c r="U1300" s="8" t="s">
        <v>33</v>
      </c>
      <c r="V1300" s="10">
        <v>2892</v>
      </c>
      <c r="W1300" s="10">
        <v>14</v>
      </c>
      <c r="X1300" s="12">
        <v>4.2944785276073601E-2</v>
      </c>
      <c r="Y1300" s="8" t="b">
        <f>CleanedData[[#This Row],[Ship Date]]&lt;CleanedData[[#This Row],[Order Date]]</f>
        <v>0</v>
      </c>
      <c r="Z1300" s="10">
        <f>YEAR(CleanedData[[#This Row],[Order Date]])</f>
        <v>2023</v>
      </c>
      <c r="AA1300" s="8">
        <f>MONTH(CleanedData[[#This Row],[Order Date]])</f>
        <v>1</v>
      </c>
    </row>
    <row r="1301" spans="1:27" x14ac:dyDescent="0.35">
      <c r="A1301" s="8" t="s">
        <v>3480</v>
      </c>
      <c r="B1301" s="9">
        <v>45031</v>
      </c>
      <c r="C1301" s="9">
        <v>44927</v>
      </c>
      <c r="D1301" s="8" t="s">
        <v>3481</v>
      </c>
      <c r="E1301" s="8" t="s">
        <v>58</v>
      </c>
      <c r="F1301" s="8" t="s">
        <v>59</v>
      </c>
      <c r="G1301" s="8" t="s">
        <v>50</v>
      </c>
      <c r="H1301" s="8" t="s">
        <v>51</v>
      </c>
      <c r="I1301" s="8" t="s">
        <v>4973</v>
      </c>
      <c r="J1301" s="10">
        <v>748</v>
      </c>
      <c r="K1301" s="11">
        <v>439.35</v>
      </c>
      <c r="L1301" s="11">
        <v>529.16</v>
      </c>
      <c r="M1301" s="11">
        <v>395811.68</v>
      </c>
      <c r="N1301" s="11">
        <v>328633.8</v>
      </c>
      <c r="O1301" s="11">
        <f>CleanedData[[#This Row],[Total Sales ($)]]-CleanedData[[#This Row],[Total Cost ($)]]</f>
        <v>67177.88</v>
      </c>
      <c r="P1301" s="12">
        <f>CleanedData[[#This Row],[Profit ($)]]/CleanedData[[#This Row],[Total Sales ($)]]</f>
        <v>0.16972182326706481</v>
      </c>
      <c r="Q1301" s="8" t="s">
        <v>52</v>
      </c>
      <c r="R1301" s="8" t="s">
        <v>63</v>
      </c>
      <c r="S1301" s="8" t="b">
        <f>_xlfn.SINGLE(CleanedData[[#This Row],[Delivery Status]])="Late"</f>
        <v>0</v>
      </c>
      <c r="T1301" s="10">
        <v>3</v>
      </c>
      <c r="U1301" s="8" t="s">
        <v>53</v>
      </c>
      <c r="V1301" s="10">
        <v>2499</v>
      </c>
      <c r="W1301" s="10">
        <v>33</v>
      </c>
      <c r="X1301" s="12">
        <v>4.4117647058823498E-2</v>
      </c>
      <c r="Y1301" s="8" t="b">
        <f>CleanedData[[#This Row],[Ship Date]]&lt;CleanedData[[#This Row],[Order Date]]</f>
        <v>1</v>
      </c>
      <c r="Z1301" s="10">
        <f>YEAR(CleanedData[[#This Row],[Order Date]])</f>
        <v>2023</v>
      </c>
      <c r="AA1301" s="8">
        <f>MONTH(CleanedData[[#This Row],[Order Date]])</f>
        <v>4</v>
      </c>
    </row>
    <row r="1302" spans="1:27" x14ac:dyDescent="0.35">
      <c r="A1302" s="8" t="s">
        <v>3482</v>
      </c>
      <c r="B1302" s="9">
        <v>45531</v>
      </c>
      <c r="C1302" s="9">
        <v>45575</v>
      </c>
      <c r="D1302" s="8" t="s">
        <v>1094</v>
      </c>
      <c r="E1302" s="8" t="s">
        <v>68</v>
      </c>
      <c r="F1302" s="8" t="s">
        <v>249</v>
      </c>
      <c r="G1302" s="8" t="s">
        <v>217</v>
      </c>
      <c r="H1302" s="8" t="s">
        <v>340</v>
      </c>
      <c r="I1302" s="8" t="s">
        <v>4974</v>
      </c>
      <c r="J1302" s="10">
        <v>375</v>
      </c>
      <c r="K1302" s="11">
        <v>345.76</v>
      </c>
      <c r="L1302" s="11">
        <v>450.58</v>
      </c>
      <c r="M1302" s="11">
        <v>168967.5</v>
      </c>
      <c r="N1302" s="11">
        <v>129660</v>
      </c>
      <c r="O1302" s="11">
        <f>CleanedData[[#This Row],[Total Sales ($)]]-CleanedData[[#This Row],[Total Cost ($)]]</f>
        <v>39307.5</v>
      </c>
      <c r="P1302" s="12">
        <f>CleanedData[[#This Row],[Profit ($)]]/CleanedData[[#This Row],[Total Sales ($)]]</f>
        <v>0.23263349460695104</v>
      </c>
      <c r="Q1302" s="8" t="s">
        <v>95</v>
      </c>
      <c r="R1302" s="8" t="s">
        <v>63</v>
      </c>
      <c r="S1302" s="8" t="b">
        <f>_xlfn.SINGLE(CleanedData[[#This Row],[Delivery Status]])="Late"</f>
        <v>0</v>
      </c>
      <c r="T1302" s="10">
        <v>3</v>
      </c>
      <c r="U1302" s="8" t="s">
        <v>33</v>
      </c>
      <c r="V1302" s="10">
        <v>397</v>
      </c>
      <c r="W1302" s="10">
        <v>8</v>
      </c>
      <c r="X1302" s="12">
        <v>2.1333333333333301E-2</v>
      </c>
      <c r="Y1302" s="8" t="b">
        <f>CleanedData[[#This Row],[Ship Date]]&lt;CleanedData[[#This Row],[Order Date]]</f>
        <v>0</v>
      </c>
      <c r="Z1302" s="10">
        <f>YEAR(CleanedData[[#This Row],[Order Date]])</f>
        <v>2024</v>
      </c>
      <c r="AA1302" s="8">
        <f>MONTH(CleanedData[[#This Row],[Order Date]])</f>
        <v>8</v>
      </c>
    </row>
    <row r="1303" spans="1:27" x14ac:dyDescent="0.35">
      <c r="A1303" s="8" t="s">
        <v>3483</v>
      </c>
      <c r="B1303" s="9">
        <v>45306</v>
      </c>
      <c r="C1303" s="9">
        <v>45490</v>
      </c>
      <c r="D1303" s="8" t="s">
        <v>3484</v>
      </c>
      <c r="E1303" s="8" t="s">
        <v>48</v>
      </c>
      <c r="F1303" s="8" t="s">
        <v>223</v>
      </c>
      <c r="G1303" s="8" t="s">
        <v>189</v>
      </c>
      <c r="H1303" s="8" t="s">
        <v>437</v>
      </c>
      <c r="I1303" s="8" t="s">
        <v>4976</v>
      </c>
      <c r="J1303" s="10">
        <v>557</v>
      </c>
      <c r="K1303" s="11">
        <v>904.64</v>
      </c>
      <c r="L1303" s="11">
        <v>1037.08</v>
      </c>
      <c r="M1303" s="11">
        <v>577653.56000000006</v>
      </c>
      <c r="N1303" s="11">
        <v>503884.48</v>
      </c>
      <c r="O1303" s="11">
        <f>CleanedData[[#This Row],[Total Sales ($)]]-CleanedData[[#This Row],[Total Cost ($)]]</f>
        <v>73769.080000000075</v>
      </c>
      <c r="P1303" s="12">
        <f>CleanedData[[#This Row],[Profit ($)]]/CleanedData[[#This Row],[Total Sales ($)]]</f>
        <v>0.12770470937632594</v>
      </c>
      <c r="Q1303" s="8" t="s">
        <v>52</v>
      </c>
      <c r="R1303" s="8" t="s">
        <v>63</v>
      </c>
      <c r="S1303" s="8" t="b">
        <f>_xlfn.SINGLE(CleanedData[[#This Row],[Delivery Status]])="Late"</f>
        <v>0</v>
      </c>
      <c r="T1303" s="10">
        <v>1</v>
      </c>
      <c r="U1303" s="8" t="s">
        <v>158</v>
      </c>
      <c r="V1303" s="10">
        <v>48</v>
      </c>
      <c r="W1303" s="10">
        <v>2</v>
      </c>
      <c r="X1303" s="12">
        <v>3.5906642728903999E-3</v>
      </c>
      <c r="Y1303" s="8" t="b">
        <f>CleanedData[[#This Row],[Ship Date]]&lt;CleanedData[[#This Row],[Order Date]]</f>
        <v>0</v>
      </c>
      <c r="Z1303" s="10">
        <f>YEAR(CleanedData[[#This Row],[Order Date]])</f>
        <v>2024</v>
      </c>
      <c r="AA1303" s="8">
        <f>MONTH(CleanedData[[#This Row],[Order Date]])</f>
        <v>1</v>
      </c>
    </row>
    <row r="1304" spans="1:27" x14ac:dyDescent="0.35">
      <c r="A1304" s="8" t="s">
        <v>3485</v>
      </c>
      <c r="B1304" s="9">
        <v>44986</v>
      </c>
      <c r="C1304" s="9">
        <v>45078</v>
      </c>
      <c r="D1304" s="8" t="s">
        <v>3486</v>
      </c>
      <c r="E1304" s="8" t="s">
        <v>48</v>
      </c>
      <c r="F1304" s="8" t="s">
        <v>270</v>
      </c>
      <c r="G1304" s="8" t="s">
        <v>93</v>
      </c>
      <c r="H1304" s="8" t="s">
        <v>94</v>
      </c>
      <c r="I1304" s="8" t="s">
        <v>4979</v>
      </c>
      <c r="J1304" s="10">
        <v>189</v>
      </c>
      <c r="K1304" s="11">
        <v>157.85</v>
      </c>
      <c r="L1304" s="11">
        <v>228.98</v>
      </c>
      <c r="M1304" s="11">
        <v>43277.22</v>
      </c>
      <c r="N1304" s="11">
        <v>29833.65</v>
      </c>
      <c r="O1304" s="11">
        <f>CleanedData[[#This Row],[Total Sales ($)]]-CleanedData[[#This Row],[Total Cost ($)]]</f>
        <v>13443.57</v>
      </c>
      <c r="P1304" s="12">
        <f>CleanedData[[#This Row],[Profit ($)]]/CleanedData[[#This Row],[Total Sales ($)]]</f>
        <v>0.31063848371036773</v>
      </c>
      <c r="Q1304" s="8" t="s">
        <v>42</v>
      </c>
      <c r="R1304" s="8" t="s">
        <v>32</v>
      </c>
      <c r="S1304" s="8" t="b">
        <f>_xlfn.SINGLE(CleanedData[[#This Row],[Delivery Status]])="Late"</f>
        <v>1</v>
      </c>
      <c r="T1304" s="10">
        <v>15</v>
      </c>
      <c r="U1304" s="8" t="s">
        <v>33</v>
      </c>
      <c r="V1304" s="10">
        <v>2470</v>
      </c>
      <c r="W1304" s="10">
        <v>6</v>
      </c>
      <c r="X1304" s="12">
        <v>3.1746031746031703E-2</v>
      </c>
      <c r="Y1304" s="8" t="b">
        <f>CleanedData[[#This Row],[Ship Date]]&lt;CleanedData[[#This Row],[Order Date]]</f>
        <v>0</v>
      </c>
      <c r="Z1304" s="10">
        <f>YEAR(CleanedData[[#This Row],[Order Date]])</f>
        <v>2023</v>
      </c>
      <c r="AA1304" s="8">
        <f>MONTH(CleanedData[[#This Row],[Order Date]])</f>
        <v>3</v>
      </c>
    </row>
    <row r="1305" spans="1:27" x14ac:dyDescent="0.35">
      <c r="A1305" s="8" t="s">
        <v>3487</v>
      </c>
      <c r="B1305" s="9">
        <v>45173</v>
      </c>
      <c r="C1305" s="9">
        <v>45255</v>
      </c>
      <c r="D1305" s="8" t="s">
        <v>3488</v>
      </c>
      <c r="E1305" s="8" t="s">
        <v>100</v>
      </c>
      <c r="F1305" s="8" t="s">
        <v>538</v>
      </c>
      <c r="G1305" s="8" t="s">
        <v>60</v>
      </c>
      <c r="H1305" s="8" t="s">
        <v>265</v>
      </c>
      <c r="I1305" s="8" t="s">
        <v>4979</v>
      </c>
      <c r="J1305" s="10">
        <v>97</v>
      </c>
      <c r="K1305" s="11">
        <v>438.38</v>
      </c>
      <c r="L1305" s="11">
        <v>547.09</v>
      </c>
      <c r="M1305" s="11">
        <v>53067.73</v>
      </c>
      <c r="N1305" s="11">
        <v>42522.86</v>
      </c>
      <c r="O1305" s="11">
        <f>CleanedData[[#This Row],[Total Sales ($)]]-CleanedData[[#This Row],[Total Cost ($)]]</f>
        <v>10544.870000000003</v>
      </c>
      <c r="P1305" s="12">
        <f>CleanedData[[#This Row],[Profit ($)]]/CleanedData[[#This Row],[Total Sales ($)]]</f>
        <v>0.19870588020252614</v>
      </c>
      <c r="Q1305" s="8" t="s">
        <v>31</v>
      </c>
      <c r="R1305" s="8" t="s">
        <v>32</v>
      </c>
      <c r="S1305" s="8" t="b">
        <f>_xlfn.SINGLE(CleanedData[[#This Row],[Delivery Status]])="Late"</f>
        <v>1</v>
      </c>
      <c r="T1305" s="10">
        <v>11</v>
      </c>
      <c r="U1305" s="8" t="s">
        <v>53</v>
      </c>
      <c r="V1305" s="10">
        <v>794</v>
      </c>
      <c r="W1305" s="10">
        <v>0</v>
      </c>
      <c r="X1305" s="12">
        <v>0</v>
      </c>
      <c r="Y1305" s="8" t="b">
        <f>CleanedData[[#This Row],[Ship Date]]&lt;CleanedData[[#This Row],[Order Date]]</f>
        <v>0</v>
      </c>
      <c r="Z1305" s="10">
        <f>YEAR(CleanedData[[#This Row],[Order Date]])</f>
        <v>2023</v>
      </c>
      <c r="AA1305" s="8">
        <f>MONTH(CleanedData[[#This Row],[Order Date]])</f>
        <v>9</v>
      </c>
    </row>
    <row r="1306" spans="1:27" x14ac:dyDescent="0.35">
      <c r="A1306" s="8" t="s">
        <v>3489</v>
      </c>
      <c r="B1306" s="9">
        <v>45392</v>
      </c>
      <c r="C1306" s="9">
        <v>45422</v>
      </c>
      <c r="D1306" s="8" t="s">
        <v>3490</v>
      </c>
      <c r="E1306" s="8" t="s">
        <v>68</v>
      </c>
      <c r="F1306" s="8" t="s">
        <v>276</v>
      </c>
      <c r="G1306" s="8" t="s">
        <v>93</v>
      </c>
      <c r="H1306" s="8" t="s">
        <v>184</v>
      </c>
      <c r="I1306" s="8" t="s">
        <v>4977</v>
      </c>
      <c r="J1306" s="10">
        <v>678</v>
      </c>
      <c r="K1306" s="11">
        <v>500.05</v>
      </c>
      <c r="L1306" s="11">
        <v>744.06</v>
      </c>
      <c r="M1306" s="11">
        <v>504472.68</v>
      </c>
      <c r="N1306" s="11">
        <v>339033.9</v>
      </c>
      <c r="O1306" s="11">
        <f>CleanedData[[#This Row],[Total Sales ($)]]-CleanedData[[#This Row],[Total Cost ($)]]</f>
        <v>165438.77999999997</v>
      </c>
      <c r="P1306" s="12">
        <f>CleanedData[[#This Row],[Profit ($)]]/CleanedData[[#This Row],[Total Sales ($)]]</f>
        <v>0.32794398301212263</v>
      </c>
      <c r="Q1306" s="8" t="s">
        <v>52</v>
      </c>
      <c r="R1306" s="8" t="s">
        <v>32</v>
      </c>
      <c r="S1306" s="8" t="b">
        <f>_xlfn.SINGLE(CleanedData[[#This Row],[Delivery Status]])="Late"</f>
        <v>1</v>
      </c>
      <c r="T1306" s="10">
        <v>14</v>
      </c>
      <c r="U1306" s="8" t="s">
        <v>86</v>
      </c>
      <c r="V1306" s="10">
        <v>694</v>
      </c>
      <c r="W1306" s="10">
        <v>26</v>
      </c>
      <c r="X1306" s="12">
        <v>3.8348082595870199E-2</v>
      </c>
      <c r="Y1306" s="8" t="b">
        <f>CleanedData[[#This Row],[Ship Date]]&lt;CleanedData[[#This Row],[Order Date]]</f>
        <v>0</v>
      </c>
      <c r="Z1306" s="10">
        <f>YEAR(CleanedData[[#This Row],[Order Date]])</f>
        <v>2024</v>
      </c>
      <c r="AA1306" s="8">
        <f>MONTH(CleanedData[[#This Row],[Order Date]])</f>
        <v>4</v>
      </c>
    </row>
    <row r="1307" spans="1:27" x14ac:dyDescent="0.35">
      <c r="A1307" s="8" t="s">
        <v>3491</v>
      </c>
      <c r="B1307" s="9">
        <v>45092</v>
      </c>
      <c r="C1307" s="9">
        <v>44939</v>
      </c>
      <c r="D1307" s="8" t="s">
        <v>3492</v>
      </c>
      <c r="E1307" s="8" t="s">
        <v>48</v>
      </c>
      <c r="F1307" s="8" t="s">
        <v>4972</v>
      </c>
      <c r="G1307" s="8" t="s">
        <v>93</v>
      </c>
      <c r="H1307" s="8" t="s">
        <v>1442</v>
      </c>
      <c r="I1307" s="8" t="s">
        <v>4975</v>
      </c>
      <c r="J1307" s="10">
        <v>590</v>
      </c>
      <c r="K1307" s="11">
        <v>607.84</v>
      </c>
      <c r="L1307" s="11">
        <v>953.26</v>
      </c>
      <c r="M1307" s="11">
        <v>562423.4</v>
      </c>
      <c r="N1307" s="11">
        <v>358625.6</v>
      </c>
      <c r="O1307" s="11">
        <f>CleanedData[[#This Row],[Total Sales ($)]]-CleanedData[[#This Row],[Total Cost ($)]]</f>
        <v>203797.80000000005</v>
      </c>
      <c r="P1307" s="12">
        <f>CleanedData[[#This Row],[Profit ($)]]/CleanedData[[#This Row],[Total Sales ($)]]</f>
        <v>0.36235654490904901</v>
      </c>
      <c r="Q1307" s="8" t="s">
        <v>52</v>
      </c>
      <c r="R1307" s="8" t="s">
        <v>32</v>
      </c>
      <c r="S1307" s="8" t="b">
        <f>_xlfn.SINGLE(CleanedData[[#This Row],[Delivery Status]])="Late"</f>
        <v>1</v>
      </c>
      <c r="T1307" s="10">
        <v>11</v>
      </c>
      <c r="U1307" s="8" t="s">
        <v>158</v>
      </c>
      <c r="V1307" s="10">
        <v>2555</v>
      </c>
      <c r="W1307" s="10">
        <v>20</v>
      </c>
      <c r="X1307" s="12">
        <v>3.38983050847457E-2</v>
      </c>
      <c r="Y1307" s="8" t="b">
        <f>CleanedData[[#This Row],[Ship Date]]&lt;CleanedData[[#This Row],[Order Date]]</f>
        <v>1</v>
      </c>
      <c r="Z1307" s="10">
        <f>YEAR(CleanedData[[#This Row],[Order Date]])</f>
        <v>2023</v>
      </c>
      <c r="AA1307" s="8">
        <f>MONTH(CleanedData[[#This Row],[Order Date]])</f>
        <v>6</v>
      </c>
    </row>
    <row r="1308" spans="1:27" x14ac:dyDescent="0.35">
      <c r="A1308" s="8" t="s">
        <v>3493</v>
      </c>
      <c r="B1308" s="9">
        <v>45332</v>
      </c>
      <c r="C1308" s="9">
        <v>45496</v>
      </c>
      <c r="D1308" s="8" t="s">
        <v>3494</v>
      </c>
      <c r="E1308" s="8" t="s">
        <v>58</v>
      </c>
      <c r="F1308" s="8" t="s">
        <v>59</v>
      </c>
      <c r="G1308" s="8" t="s">
        <v>78</v>
      </c>
      <c r="H1308" s="8" t="s">
        <v>481</v>
      </c>
      <c r="I1308" s="8" t="s">
        <v>4967</v>
      </c>
      <c r="J1308" s="10">
        <v>491</v>
      </c>
      <c r="K1308" s="11">
        <v>782.14</v>
      </c>
      <c r="L1308" s="11">
        <v>876.88</v>
      </c>
      <c r="M1308" s="11">
        <v>430548.08</v>
      </c>
      <c r="N1308" s="11">
        <v>384030.74</v>
      </c>
      <c r="O1308" s="11">
        <f>CleanedData[[#This Row],[Total Sales ($)]]-CleanedData[[#This Row],[Total Cost ($)]]</f>
        <v>46517.340000000026</v>
      </c>
      <c r="P1308" s="12">
        <f>CleanedData[[#This Row],[Profit ($)]]/CleanedData[[#This Row],[Total Sales ($)]]</f>
        <v>0.10804214943891986</v>
      </c>
      <c r="Q1308" s="8" t="s">
        <v>52</v>
      </c>
      <c r="R1308" s="8" t="s">
        <v>32</v>
      </c>
      <c r="S1308" s="8" t="b">
        <f>_xlfn.SINGLE(CleanedData[[#This Row],[Delivery Status]])="Late"</f>
        <v>1</v>
      </c>
      <c r="T1308" s="10">
        <v>9</v>
      </c>
      <c r="U1308" s="8" t="s">
        <v>53</v>
      </c>
      <c r="V1308" s="10">
        <v>2378</v>
      </c>
      <c r="W1308" s="10">
        <v>11</v>
      </c>
      <c r="X1308" s="12">
        <v>2.2403258655804399E-2</v>
      </c>
      <c r="Y1308" s="8" t="b">
        <f>CleanedData[[#This Row],[Ship Date]]&lt;CleanedData[[#This Row],[Order Date]]</f>
        <v>0</v>
      </c>
      <c r="Z1308" s="10">
        <f>YEAR(CleanedData[[#This Row],[Order Date]])</f>
        <v>2024</v>
      </c>
      <c r="AA1308" s="8">
        <f>MONTH(CleanedData[[#This Row],[Order Date]])</f>
        <v>2</v>
      </c>
    </row>
    <row r="1309" spans="1:27" x14ac:dyDescent="0.35">
      <c r="A1309" s="8" t="s">
        <v>3495</v>
      </c>
      <c r="B1309" s="9">
        <v>45174</v>
      </c>
      <c r="C1309" s="9">
        <v>44996</v>
      </c>
      <c r="D1309" s="8" t="s">
        <v>3497</v>
      </c>
      <c r="E1309" s="8" t="s">
        <v>26</v>
      </c>
      <c r="F1309" s="8" t="s">
        <v>27</v>
      </c>
      <c r="G1309" s="8" t="s">
        <v>39</v>
      </c>
      <c r="H1309" s="8" t="s">
        <v>647</v>
      </c>
      <c r="I1309" s="8" t="s">
        <v>4967</v>
      </c>
      <c r="J1309" s="10">
        <v>308</v>
      </c>
      <c r="K1309" s="11">
        <v>624.61</v>
      </c>
      <c r="L1309" s="11">
        <v>709.99</v>
      </c>
      <c r="M1309" s="11">
        <v>218676.92</v>
      </c>
      <c r="N1309" s="11">
        <v>192379.88</v>
      </c>
      <c r="O1309" s="11">
        <f>CleanedData[[#This Row],[Total Sales ($)]]-CleanedData[[#This Row],[Total Cost ($)]]</f>
        <v>26297.040000000008</v>
      </c>
      <c r="P1309" s="12">
        <f>CleanedData[[#This Row],[Profit ($)]]/CleanedData[[#This Row],[Total Sales ($)]]</f>
        <v>0.12025521486218119</v>
      </c>
      <c r="Q1309" s="8" t="s">
        <v>95</v>
      </c>
      <c r="R1309" s="8" t="s">
        <v>63</v>
      </c>
      <c r="S1309" s="8" t="b">
        <f>_xlfn.SINGLE(CleanedData[[#This Row],[Delivery Status]])="Late"</f>
        <v>0</v>
      </c>
      <c r="T1309" s="10">
        <v>2</v>
      </c>
      <c r="U1309" s="8" t="s">
        <v>158</v>
      </c>
      <c r="V1309" s="10">
        <v>3415</v>
      </c>
      <c r="W1309" s="10">
        <v>9</v>
      </c>
      <c r="X1309" s="12">
        <v>2.9220779220779199E-2</v>
      </c>
      <c r="Y1309" s="8" t="b">
        <f>CleanedData[[#This Row],[Ship Date]]&lt;CleanedData[[#This Row],[Order Date]]</f>
        <v>1</v>
      </c>
      <c r="Z1309" s="10">
        <f>YEAR(CleanedData[[#This Row],[Order Date]])</f>
        <v>2023</v>
      </c>
      <c r="AA1309" s="8">
        <f>MONTH(CleanedData[[#This Row],[Order Date]])</f>
        <v>9</v>
      </c>
    </row>
    <row r="1310" spans="1:27" x14ac:dyDescent="0.35">
      <c r="A1310" s="8" t="s">
        <v>3498</v>
      </c>
      <c r="B1310" s="9">
        <v>44951</v>
      </c>
      <c r="C1310" s="9">
        <v>45250</v>
      </c>
      <c r="D1310" s="8" t="s">
        <v>3499</v>
      </c>
      <c r="E1310" s="8" t="s">
        <v>68</v>
      </c>
      <c r="F1310" s="8" t="s">
        <v>163</v>
      </c>
      <c r="G1310" s="8" t="s">
        <v>70</v>
      </c>
      <c r="H1310" s="8" t="s">
        <v>1019</v>
      </c>
      <c r="I1310" s="8" t="s">
        <v>4976</v>
      </c>
      <c r="J1310" s="10">
        <v>109</v>
      </c>
      <c r="K1310" s="11">
        <v>722.84</v>
      </c>
      <c r="L1310" s="11">
        <v>934.62</v>
      </c>
      <c r="M1310" s="11">
        <v>101873.58</v>
      </c>
      <c r="N1310" s="11">
        <v>78789.56</v>
      </c>
      <c r="O1310" s="11">
        <f>CleanedData[[#This Row],[Total Sales ($)]]-CleanedData[[#This Row],[Total Cost ($)]]</f>
        <v>23084.020000000004</v>
      </c>
      <c r="P1310" s="12">
        <f>CleanedData[[#This Row],[Profit ($)]]/CleanedData[[#This Row],[Total Sales ($)]]</f>
        <v>0.22659476578716486</v>
      </c>
      <c r="Q1310" s="8" t="s">
        <v>95</v>
      </c>
      <c r="R1310" s="8" t="s">
        <v>32</v>
      </c>
      <c r="S1310" s="8" t="b">
        <f>_xlfn.SINGLE(CleanedData[[#This Row],[Delivery Status]])="Late"</f>
        <v>1</v>
      </c>
      <c r="T1310" s="10">
        <v>9</v>
      </c>
      <c r="U1310" s="8" t="s">
        <v>86</v>
      </c>
      <c r="V1310" s="10">
        <v>420</v>
      </c>
      <c r="W1310" s="10">
        <v>1</v>
      </c>
      <c r="X1310" s="12">
        <v>9.1743119266054999E-3</v>
      </c>
      <c r="Y1310" s="8" t="b">
        <f>CleanedData[[#This Row],[Ship Date]]&lt;CleanedData[[#This Row],[Order Date]]</f>
        <v>0</v>
      </c>
      <c r="Z1310" s="10">
        <f>YEAR(CleanedData[[#This Row],[Order Date]])</f>
        <v>2023</v>
      </c>
      <c r="AA1310" s="8">
        <f>MONTH(CleanedData[[#This Row],[Order Date]])</f>
        <v>1</v>
      </c>
    </row>
    <row r="1311" spans="1:27" x14ac:dyDescent="0.35">
      <c r="A1311" s="8" t="s">
        <v>3500</v>
      </c>
      <c r="B1311" s="9">
        <v>45000</v>
      </c>
      <c r="C1311" s="9">
        <v>45058</v>
      </c>
      <c r="D1311" s="8" t="s">
        <v>3501</v>
      </c>
      <c r="E1311" s="8" t="s">
        <v>26</v>
      </c>
      <c r="F1311" s="8" t="s">
        <v>92</v>
      </c>
      <c r="G1311" s="8" t="s">
        <v>78</v>
      </c>
      <c r="H1311" s="8" t="s">
        <v>572</v>
      </c>
      <c r="I1311" s="8" t="s">
        <v>4979</v>
      </c>
      <c r="J1311" s="10">
        <v>286</v>
      </c>
      <c r="K1311" s="11">
        <v>128.29</v>
      </c>
      <c r="L1311" s="11">
        <v>207.8</v>
      </c>
      <c r="M1311" s="11">
        <v>59430.8</v>
      </c>
      <c r="N1311" s="11">
        <v>36690.94</v>
      </c>
      <c r="O1311" s="11">
        <f>CleanedData[[#This Row],[Total Sales ($)]]-CleanedData[[#This Row],[Total Cost ($)]]</f>
        <v>22739.86</v>
      </c>
      <c r="P1311" s="12">
        <f>CleanedData[[#This Row],[Profit ($)]]/CleanedData[[#This Row],[Total Sales ($)]]</f>
        <v>0.38262752646775744</v>
      </c>
      <c r="Q1311" s="8" t="s">
        <v>42</v>
      </c>
      <c r="R1311" s="8" t="s">
        <v>32</v>
      </c>
      <c r="S1311" s="8" t="b">
        <f>_xlfn.SINGLE(CleanedData[[#This Row],[Delivery Status]])="Late"</f>
        <v>1</v>
      </c>
      <c r="T1311" s="10">
        <v>10</v>
      </c>
      <c r="U1311" s="8" t="s">
        <v>158</v>
      </c>
      <c r="V1311" s="10">
        <v>2446</v>
      </c>
      <c r="W1311" s="10">
        <v>10</v>
      </c>
      <c r="X1311" s="12">
        <v>3.4965034965034898E-2</v>
      </c>
      <c r="Y1311" s="8" t="b">
        <f>CleanedData[[#This Row],[Ship Date]]&lt;CleanedData[[#This Row],[Order Date]]</f>
        <v>0</v>
      </c>
      <c r="Z1311" s="10">
        <f>YEAR(CleanedData[[#This Row],[Order Date]])</f>
        <v>2023</v>
      </c>
      <c r="AA1311" s="8">
        <f>MONTH(CleanedData[[#This Row],[Order Date]])</f>
        <v>3</v>
      </c>
    </row>
    <row r="1312" spans="1:27" x14ac:dyDescent="0.35">
      <c r="A1312" s="8" t="s">
        <v>3502</v>
      </c>
      <c r="B1312" s="9">
        <v>45277</v>
      </c>
      <c r="C1312" s="9">
        <v>45018</v>
      </c>
      <c r="D1312" s="8" t="s">
        <v>958</v>
      </c>
      <c r="E1312" s="8" t="s">
        <v>100</v>
      </c>
      <c r="F1312" s="8" t="s">
        <v>238</v>
      </c>
      <c r="G1312" s="8" t="s">
        <v>28</v>
      </c>
      <c r="H1312" s="8" t="s">
        <v>254</v>
      </c>
      <c r="I1312" s="8" t="s">
        <v>4977</v>
      </c>
      <c r="J1312" s="10">
        <v>89</v>
      </c>
      <c r="K1312" s="11">
        <v>245.4</v>
      </c>
      <c r="L1312" s="11">
        <v>348.77</v>
      </c>
      <c r="M1312" s="11">
        <v>31040.53</v>
      </c>
      <c r="N1312" s="11">
        <v>21840.6</v>
      </c>
      <c r="O1312" s="11">
        <f>CleanedData[[#This Row],[Total Sales ($)]]-CleanedData[[#This Row],[Total Cost ($)]]</f>
        <v>9199.93</v>
      </c>
      <c r="P1312" s="12">
        <f>CleanedData[[#This Row],[Profit ($)]]/CleanedData[[#This Row],[Total Sales ($)]]</f>
        <v>0.29638443673481091</v>
      </c>
      <c r="Q1312" s="8" t="s">
        <v>42</v>
      </c>
      <c r="R1312" s="8" t="s">
        <v>32</v>
      </c>
      <c r="S1312" s="8" t="b">
        <f>_xlfn.SINGLE(CleanedData[[#This Row],[Delivery Status]])="Late"</f>
        <v>1</v>
      </c>
      <c r="T1312" s="10">
        <v>15</v>
      </c>
      <c r="U1312" s="8" t="s">
        <v>33</v>
      </c>
      <c r="V1312" s="10">
        <v>2704</v>
      </c>
      <c r="W1312" s="10">
        <v>3</v>
      </c>
      <c r="X1312" s="12">
        <v>3.3707865168539297E-2</v>
      </c>
      <c r="Y1312" s="8" t="b">
        <f>CleanedData[[#This Row],[Ship Date]]&lt;CleanedData[[#This Row],[Order Date]]</f>
        <v>1</v>
      </c>
      <c r="Z1312" s="10">
        <f>YEAR(CleanedData[[#This Row],[Order Date]])</f>
        <v>2023</v>
      </c>
      <c r="AA1312" s="8">
        <f>MONTH(CleanedData[[#This Row],[Order Date]])</f>
        <v>12</v>
      </c>
    </row>
    <row r="1313" spans="1:27" x14ac:dyDescent="0.35">
      <c r="A1313" s="8" t="s">
        <v>3503</v>
      </c>
      <c r="B1313" s="9">
        <v>45029</v>
      </c>
      <c r="C1313" s="9">
        <v>45235</v>
      </c>
      <c r="D1313" s="8" t="s">
        <v>3504</v>
      </c>
      <c r="E1313" s="8" t="s">
        <v>58</v>
      </c>
      <c r="F1313" s="8" t="s">
        <v>122</v>
      </c>
      <c r="G1313" s="8" t="s">
        <v>60</v>
      </c>
      <c r="H1313" s="8" t="s">
        <v>539</v>
      </c>
      <c r="I1313" s="8" t="s">
        <v>4968</v>
      </c>
      <c r="J1313" s="10">
        <v>67</v>
      </c>
      <c r="K1313" s="11">
        <v>306.69</v>
      </c>
      <c r="L1313" s="11">
        <v>408.49</v>
      </c>
      <c r="M1313" s="11">
        <v>27368.83</v>
      </c>
      <c r="N1313" s="11">
        <v>20548.23</v>
      </c>
      <c r="O1313" s="11">
        <f>CleanedData[[#This Row],[Total Sales ($)]]-CleanedData[[#This Row],[Total Cost ($)]]</f>
        <v>6820.6000000000022</v>
      </c>
      <c r="P1313" s="12">
        <f>CleanedData[[#This Row],[Profit ($)]]/CleanedData[[#This Row],[Total Sales ($)]]</f>
        <v>0.24921050698915526</v>
      </c>
      <c r="Q1313" s="8" t="s">
        <v>42</v>
      </c>
      <c r="R1313" s="8" t="s">
        <v>32</v>
      </c>
      <c r="S1313" s="8" t="b">
        <f>_xlfn.SINGLE(CleanedData[[#This Row],[Delivery Status]])="Late"</f>
        <v>1</v>
      </c>
      <c r="T1313" s="10">
        <v>14</v>
      </c>
      <c r="U1313" s="8" t="s">
        <v>86</v>
      </c>
      <c r="V1313" s="10">
        <v>3964</v>
      </c>
      <c r="W1313" s="10">
        <v>0</v>
      </c>
      <c r="X1313" s="12">
        <v>0</v>
      </c>
      <c r="Y1313" s="8" t="b">
        <f>CleanedData[[#This Row],[Ship Date]]&lt;CleanedData[[#This Row],[Order Date]]</f>
        <v>0</v>
      </c>
      <c r="Z1313" s="10">
        <f>YEAR(CleanedData[[#This Row],[Order Date]])</f>
        <v>2023</v>
      </c>
      <c r="AA1313" s="8">
        <f>MONTH(CleanedData[[#This Row],[Order Date]])</f>
        <v>4</v>
      </c>
    </row>
    <row r="1314" spans="1:27" x14ac:dyDescent="0.35">
      <c r="A1314" s="8" t="s">
        <v>3505</v>
      </c>
      <c r="B1314" s="9">
        <v>45143</v>
      </c>
      <c r="C1314" s="9">
        <v>45097</v>
      </c>
      <c r="D1314" s="8" t="s">
        <v>3506</v>
      </c>
      <c r="E1314" s="8" t="s">
        <v>100</v>
      </c>
      <c r="F1314" s="8" t="s">
        <v>101</v>
      </c>
      <c r="G1314" s="8" t="s">
        <v>93</v>
      </c>
      <c r="H1314" s="8" t="s">
        <v>643</v>
      </c>
      <c r="I1314" s="8" t="s">
        <v>4968</v>
      </c>
      <c r="J1314" s="10">
        <v>741</v>
      </c>
      <c r="K1314" s="11">
        <v>1101.6500000000001</v>
      </c>
      <c r="L1314" s="11">
        <v>1380.26</v>
      </c>
      <c r="M1314" s="11">
        <v>1022772.66</v>
      </c>
      <c r="N1314" s="11">
        <v>816322.65</v>
      </c>
      <c r="O1314" s="11">
        <f>CleanedData[[#This Row],[Total Sales ($)]]-CleanedData[[#This Row],[Total Cost ($)]]</f>
        <v>206450.01</v>
      </c>
      <c r="P1314" s="12">
        <f>CleanedData[[#This Row],[Profit ($)]]/CleanedData[[#This Row],[Total Sales ($)]]</f>
        <v>0.20185327402083666</v>
      </c>
      <c r="Q1314" s="8" t="s">
        <v>42</v>
      </c>
      <c r="R1314" s="8" t="s">
        <v>32</v>
      </c>
      <c r="S1314" s="8" t="b">
        <f>_xlfn.SINGLE(CleanedData[[#This Row],[Delivery Status]])="Late"</f>
        <v>1</v>
      </c>
      <c r="T1314" s="10">
        <v>10</v>
      </c>
      <c r="U1314" s="8" t="s">
        <v>53</v>
      </c>
      <c r="V1314" s="10">
        <v>970</v>
      </c>
      <c r="W1314" s="10"/>
      <c r="X1314" s="12"/>
      <c r="Y1314" s="8" t="b">
        <f>CleanedData[[#This Row],[Ship Date]]&lt;CleanedData[[#This Row],[Order Date]]</f>
        <v>1</v>
      </c>
      <c r="Z1314" s="10">
        <f>YEAR(CleanedData[[#This Row],[Order Date]])</f>
        <v>2023</v>
      </c>
      <c r="AA1314" s="8">
        <f>MONTH(CleanedData[[#This Row],[Order Date]])</f>
        <v>8</v>
      </c>
    </row>
    <row r="1315" spans="1:27" x14ac:dyDescent="0.35">
      <c r="A1315" s="8" t="s">
        <v>1841</v>
      </c>
      <c r="B1315" s="9">
        <v>45039</v>
      </c>
      <c r="C1315" s="9">
        <v>45173</v>
      </c>
      <c r="D1315" s="8" t="s">
        <v>1843</v>
      </c>
      <c r="E1315" s="8" t="s">
        <v>48</v>
      </c>
      <c r="F1315" s="8" t="s">
        <v>49</v>
      </c>
      <c r="G1315" s="8" t="s">
        <v>93</v>
      </c>
      <c r="H1315" s="8" t="s">
        <v>485</v>
      </c>
      <c r="I1315" s="8" t="s">
        <v>4971</v>
      </c>
      <c r="J1315" s="10">
        <v>624</v>
      </c>
      <c r="K1315" s="11">
        <v>889.12</v>
      </c>
      <c r="L1315" s="11">
        <v>1070.6500000000001</v>
      </c>
      <c r="M1315" s="11">
        <v>668085.6</v>
      </c>
      <c r="N1315" s="11">
        <v>554810.88</v>
      </c>
      <c r="O1315" s="11">
        <f>CleanedData[[#This Row],[Total Sales ($)]]-CleanedData[[#This Row],[Total Cost ($)]]</f>
        <v>113274.71999999997</v>
      </c>
      <c r="P1315" s="12">
        <f>CleanedData[[#This Row],[Profit ($)]]/CleanedData[[#This Row],[Total Sales ($)]]</f>
        <v>0.16955120721057299</v>
      </c>
      <c r="Q1315" s="8" t="s">
        <v>31</v>
      </c>
      <c r="R1315" s="8" t="s">
        <v>32</v>
      </c>
      <c r="S1315" s="8" t="b">
        <f>_xlfn.SINGLE(CleanedData[[#This Row],[Delivery Status]])="Late"</f>
        <v>1</v>
      </c>
      <c r="T1315" s="10">
        <v>9</v>
      </c>
      <c r="U1315" s="8" t="s">
        <v>112</v>
      </c>
      <c r="V1315" s="10">
        <v>2069</v>
      </c>
      <c r="W1315" s="10">
        <v>8</v>
      </c>
      <c r="X1315" s="12">
        <v>1.2820512820512799E-2</v>
      </c>
      <c r="Y1315" s="8" t="b">
        <f>CleanedData[[#This Row],[Ship Date]]&lt;CleanedData[[#This Row],[Order Date]]</f>
        <v>0</v>
      </c>
      <c r="Z1315" s="10">
        <f>YEAR(CleanedData[[#This Row],[Order Date]])</f>
        <v>2023</v>
      </c>
      <c r="AA1315" s="8">
        <f>MONTH(CleanedData[[#This Row],[Order Date]])</f>
        <v>4</v>
      </c>
    </row>
    <row r="1316" spans="1:27" x14ac:dyDescent="0.35">
      <c r="A1316" s="8" t="s">
        <v>1321</v>
      </c>
      <c r="B1316" s="9">
        <v>45265</v>
      </c>
      <c r="C1316" s="9">
        <v>45025</v>
      </c>
      <c r="D1316" s="8" t="s">
        <v>4972</v>
      </c>
      <c r="E1316" s="8" t="s">
        <v>26</v>
      </c>
      <c r="F1316" s="8" t="s">
        <v>228</v>
      </c>
      <c r="G1316" s="8" t="s">
        <v>50</v>
      </c>
      <c r="H1316" s="8" t="s">
        <v>51</v>
      </c>
      <c r="I1316" s="8" t="s">
        <v>4968</v>
      </c>
      <c r="J1316" s="10">
        <v>697</v>
      </c>
      <c r="K1316" s="11">
        <v>1058.22</v>
      </c>
      <c r="L1316" s="11">
        <v>1376.62</v>
      </c>
      <c r="M1316" s="11">
        <v>959504.14</v>
      </c>
      <c r="N1316" s="11">
        <v>737579.34</v>
      </c>
      <c r="O1316" s="11">
        <f>CleanedData[[#This Row],[Total Sales ($)]]-CleanedData[[#This Row],[Total Cost ($)]]</f>
        <v>221924.80000000005</v>
      </c>
      <c r="P1316" s="12">
        <f>CleanedData[[#This Row],[Profit ($)]]/CleanedData[[#This Row],[Total Sales ($)]]</f>
        <v>0.23129113335561016</v>
      </c>
      <c r="Q1316" s="8" t="s">
        <v>42</v>
      </c>
      <c r="R1316" s="8" t="s">
        <v>32</v>
      </c>
      <c r="S1316" s="8" t="b">
        <f>_xlfn.SINGLE(CleanedData[[#This Row],[Delivery Status]])="Late"</f>
        <v>1</v>
      </c>
      <c r="T1316" s="10">
        <v>10</v>
      </c>
      <c r="U1316" s="8" t="s">
        <v>33</v>
      </c>
      <c r="V1316" s="10">
        <v>2603</v>
      </c>
      <c r="W1316" s="10">
        <v>2</v>
      </c>
      <c r="X1316" s="12">
        <v>2.8694404591103999E-3</v>
      </c>
      <c r="Y1316" s="8" t="b">
        <f>CleanedData[[#This Row],[Ship Date]]&lt;CleanedData[[#This Row],[Order Date]]</f>
        <v>1</v>
      </c>
      <c r="Z1316" s="10">
        <f>YEAR(CleanedData[[#This Row],[Order Date]])</f>
        <v>2023</v>
      </c>
      <c r="AA1316" s="8">
        <f>MONTH(CleanedData[[#This Row],[Order Date]])</f>
        <v>12</v>
      </c>
    </row>
    <row r="1317" spans="1:27" x14ac:dyDescent="0.35">
      <c r="A1317" s="8" t="s">
        <v>3508</v>
      </c>
      <c r="B1317" s="9">
        <v>45404</v>
      </c>
      <c r="C1317" s="9">
        <v>45427</v>
      </c>
      <c r="D1317" s="8" t="s">
        <v>3193</v>
      </c>
      <c r="E1317" s="8" t="s">
        <v>26</v>
      </c>
      <c r="F1317" s="8" t="s">
        <v>77</v>
      </c>
      <c r="G1317" s="8" t="s">
        <v>129</v>
      </c>
      <c r="H1317" s="8" t="s">
        <v>130</v>
      </c>
      <c r="I1317" s="8" t="s">
        <v>4973</v>
      </c>
      <c r="J1317" s="10">
        <v>402</v>
      </c>
      <c r="K1317" s="11">
        <v>204.92</v>
      </c>
      <c r="L1317" s="11">
        <v>272.17</v>
      </c>
      <c r="M1317" s="11">
        <v>109412.34</v>
      </c>
      <c r="N1317" s="11">
        <v>82377.84</v>
      </c>
      <c r="O1317" s="11">
        <f>CleanedData[[#This Row],[Total Sales ($)]]-CleanedData[[#This Row],[Total Cost ($)]]</f>
        <v>27034.5</v>
      </c>
      <c r="P1317" s="12">
        <f>CleanedData[[#This Row],[Profit ($)]]/CleanedData[[#This Row],[Total Sales ($)]]</f>
        <v>0.24708821692324651</v>
      </c>
      <c r="Q1317" s="8" t="s">
        <v>42</v>
      </c>
      <c r="R1317" s="8" t="s">
        <v>32</v>
      </c>
      <c r="S1317" s="8" t="b">
        <f>_xlfn.SINGLE(CleanedData[[#This Row],[Delivery Status]])="Late"</f>
        <v>1</v>
      </c>
      <c r="T1317" s="10">
        <v>14</v>
      </c>
      <c r="U1317" s="8" t="s">
        <v>53</v>
      </c>
      <c r="V1317" s="10">
        <v>4912</v>
      </c>
      <c r="W1317" s="10">
        <v>12</v>
      </c>
      <c r="X1317" s="12">
        <v>2.9850746268656699E-2</v>
      </c>
      <c r="Y1317" s="8" t="b">
        <f>CleanedData[[#This Row],[Ship Date]]&lt;CleanedData[[#This Row],[Order Date]]</f>
        <v>0</v>
      </c>
      <c r="Z1317" s="10">
        <f>YEAR(CleanedData[[#This Row],[Order Date]])</f>
        <v>2024</v>
      </c>
      <c r="AA1317" s="8">
        <f>MONTH(CleanedData[[#This Row],[Order Date]])</f>
        <v>4</v>
      </c>
    </row>
    <row r="1318" spans="1:27" x14ac:dyDescent="0.35">
      <c r="A1318" s="8" t="s">
        <v>3511</v>
      </c>
      <c r="B1318" s="9">
        <v>45402</v>
      </c>
      <c r="C1318" s="9">
        <v>45415</v>
      </c>
      <c r="D1318" s="8" t="s">
        <v>3512</v>
      </c>
      <c r="E1318" s="8" t="s">
        <v>100</v>
      </c>
      <c r="F1318" s="8" t="s">
        <v>101</v>
      </c>
      <c r="G1318" s="8" t="s">
        <v>217</v>
      </c>
      <c r="H1318" s="8" t="s">
        <v>725</v>
      </c>
      <c r="I1318" s="8" t="s">
        <v>4967</v>
      </c>
      <c r="J1318" s="10">
        <v>529</v>
      </c>
      <c r="K1318" s="11">
        <v>704.73</v>
      </c>
      <c r="L1318" s="11">
        <v>980.24</v>
      </c>
      <c r="M1318" s="11">
        <v>518546.96</v>
      </c>
      <c r="N1318" s="11">
        <v>372802.17</v>
      </c>
      <c r="O1318" s="11">
        <f>CleanedData[[#This Row],[Total Sales ($)]]-CleanedData[[#This Row],[Total Cost ($)]]</f>
        <v>145744.79000000004</v>
      </c>
      <c r="P1318" s="12">
        <f>CleanedData[[#This Row],[Profit ($)]]/CleanedData[[#This Row],[Total Sales ($)]]</f>
        <v>0.28106382110503558</v>
      </c>
      <c r="Q1318" s="8" t="s">
        <v>95</v>
      </c>
      <c r="R1318" s="8" t="s">
        <v>4972</v>
      </c>
      <c r="S1318" s="8" t="b">
        <f>_xlfn.SINGLE(CleanedData[[#This Row],[Delivery Status]])="Late"</f>
        <v>0</v>
      </c>
      <c r="T1318" s="10">
        <v>7</v>
      </c>
      <c r="U1318" s="8" t="s">
        <v>33</v>
      </c>
      <c r="V1318" s="10">
        <v>1889</v>
      </c>
      <c r="W1318" s="10">
        <v>20</v>
      </c>
      <c r="X1318" s="12">
        <v>3.7807183364839299E-2</v>
      </c>
      <c r="Y1318" s="8" t="b">
        <f>CleanedData[[#This Row],[Ship Date]]&lt;CleanedData[[#This Row],[Order Date]]</f>
        <v>0</v>
      </c>
      <c r="Z1318" s="10">
        <f>YEAR(CleanedData[[#This Row],[Order Date]])</f>
        <v>2024</v>
      </c>
      <c r="AA1318" s="8">
        <f>MONTH(CleanedData[[#This Row],[Order Date]])</f>
        <v>4</v>
      </c>
    </row>
    <row r="1319" spans="1:27" x14ac:dyDescent="0.35">
      <c r="A1319" s="8" t="s">
        <v>3513</v>
      </c>
      <c r="B1319" s="9">
        <v>45358</v>
      </c>
      <c r="C1319" s="9">
        <v>45573</v>
      </c>
      <c r="D1319" s="8" t="s">
        <v>3514</v>
      </c>
      <c r="E1319" s="8" t="s">
        <v>48</v>
      </c>
      <c r="F1319" s="8" t="s">
        <v>183</v>
      </c>
      <c r="G1319" s="8" t="s">
        <v>129</v>
      </c>
      <c r="H1319" s="8" t="s">
        <v>520</v>
      </c>
      <c r="I1319" s="8" t="s">
        <v>4969</v>
      </c>
      <c r="J1319" s="10">
        <v>592</v>
      </c>
      <c r="K1319" s="11">
        <v>283.02</v>
      </c>
      <c r="L1319" s="11">
        <v>438.06</v>
      </c>
      <c r="M1319" s="11">
        <v>259331.52</v>
      </c>
      <c r="N1319" s="11">
        <v>167547.84</v>
      </c>
      <c r="O1319" s="11">
        <f>CleanedData[[#This Row],[Total Sales ($)]]-CleanedData[[#This Row],[Total Cost ($)]]</f>
        <v>91783.679999999993</v>
      </c>
      <c r="P1319" s="12">
        <f>CleanedData[[#This Row],[Profit ($)]]/CleanedData[[#This Row],[Total Sales ($)]]</f>
        <v>0.35392411998356388</v>
      </c>
      <c r="Q1319" s="8" t="s">
        <v>95</v>
      </c>
      <c r="R1319" s="8" t="s">
        <v>63</v>
      </c>
      <c r="S1319" s="8" t="b">
        <f>_xlfn.SINGLE(CleanedData[[#This Row],[Delivery Status]])="Late"</f>
        <v>0</v>
      </c>
      <c r="T1319" s="10">
        <v>4</v>
      </c>
      <c r="U1319" s="8" t="s">
        <v>43</v>
      </c>
      <c r="V1319" s="10">
        <v>2181</v>
      </c>
      <c r="W1319" s="10">
        <v>17</v>
      </c>
      <c r="X1319" s="12">
        <v>2.87162162162162E-2</v>
      </c>
      <c r="Y1319" s="8" t="b">
        <f>CleanedData[[#This Row],[Ship Date]]&lt;CleanedData[[#This Row],[Order Date]]</f>
        <v>0</v>
      </c>
      <c r="Z1319" s="10">
        <f>YEAR(CleanedData[[#This Row],[Order Date]])</f>
        <v>2024</v>
      </c>
      <c r="AA1319" s="8">
        <f>MONTH(CleanedData[[#This Row],[Order Date]])</f>
        <v>3</v>
      </c>
    </row>
    <row r="1320" spans="1:27" x14ac:dyDescent="0.35">
      <c r="A1320" s="8" t="s">
        <v>3515</v>
      </c>
      <c r="B1320" s="9">
        <v>45506</v>
      </c>
      <c r="C1320" s="9">
        <v>45652</v>
      </c>
      <c r="D1320" s="8" t="s">
        <v>3516</v>
      </c>
      <c r="E1320" s="8" t="s">
        <v>100</v>
      </c>
      <c r="F1320" s="8" t="s">
        <v>538</v>
      </c>
      <c r="G1320" s="8" t="s">
        <v>93</v>
      </c>
      <c r="H1320" s="8" t="s">
        <v>140</v>
      </c>
      <c r="I1320" s="8" t="s">
        <v>4968</v>
      </c>
      <c r="J1320" s="10">
        <v>713</v>
      </c>
      <c r="K1320" s="11">
        <v>618.4</v>
      </c>
      <c r="L1320" s="11">
        <v>825.74</v>
      </c>
      <c r="M1320" s="11">
        <v>588752.62</v>
      </c>
      <c r="N1320" s="11">
        <v>440919.2</v>
      </c>
      <c r="O1320" s="11">
        <f>CleanedData[[#This Row],[Total Sales ($)]]-CleanedData[[#This Row],[Total Cost ($)]]</f>
        <v>147833.41999999998</v>
      </c>
      <c r="P1320" s="12">
        <f>CleanedData[[#This Row],[Profit ($)]]/CleanedData[[#This Row],[Total Sales ($)]]</f>
        <v>0.25109598663017413</v>
      </c>
      <c r="Q1320" s="8" t="s">
        <v>52</v>
      </c>
      <c r="R1320" s="8" t="s">
        <v>63</v>
      </c>
      <c r="S1320" s="8" t="b">
        <f>_xlfn.SINGLE(CleanedData[[#This Row],[Delivery Status]])="Late"</f>
        <v>0</v>
      </c>
      <c r="T1320" s="10">
        <v>3</v>
      </c>
      <c r="U1320" s="8" t="s">
        <v>43</v>
      </c>
      <c r="V1320" s="10">
        <v>591</v>
      </c>
      <c r="W1320" s="10">
        <v>8</v>
      </c>
      <c r="X1320" s="12">
        <v>1.12201963534361E-2</v>
      </c>
      <c r="Y1320" s="8" t="b">
        <f>CleanedData[[#This Row],[Ship Date]]&lt;CleanedData[[#This Row],[Order Date]]</f>
        <v>0</v>
      </c>
      <c r="Z1320" s="10">
        <f>YEAR(CleanedData[[#This Row],[Order Date]])</f>
        <v>2024</v>
      </c>
      <c r="AA1320" s="8">
        <f>MONTH(CleanedData[[#This Row],[Order Date]])</f>
        <v>8</v>
      </c>
    </row>
    <row r="1321" spans="1:27" x14ac:dyDescent="0.35">
      <c r="A1321" s="8" t="s">
        <v>3517</v>
      </c>
      <c r="B1321" s="9">
        <v>45256</v>
      </c>
      <c r="C1321" s="9">
        <v>45159</v>
      </c>
      <c r="D1321" s="8" t="s">
        <v>1751</v>
      </c>
      <c r="E1321" s="8" t="s">
        <v>68</v>
      </c>
      <c r="F1321" s="8" t="s">
        <v>163</v>
      </c>
      <c r="G1321" s="8" t="s">
        <v>70</v>
      </c>
      <c r="H1321" s="8" t="s">
        <v>71</v>
      </c>
      <c r="I1321" s="8" t="s">
        <v>4970</v>
      </c>
      <c r="J1321" s="10">
        <v>-12</v>
      </c>
      <c r="K1321" s="11">
        <v>225.04</v>
      </c>
      <c r="L1321" s="11">
        <v>337.01</v>
      </c>
      <c r="M1321" s="11">
        <v>251072.45</v>
      </c>
      <c r="N1321" s="11">
        <v>167654.79999999999</v>
      </c>
      <c r="O1321" s="11">
        <f>CleanedData[[#This Row],[Total Sales ($)]]-CleanedData[[#This Row],[Total Cost ($)]]</f>
        <v>83417.650000000023</v>
      </c>
      <c r="P1321" s="12">
        <f>CleanedData[[#This Row],[Profit ($)]]/CleanedData[[#This Row],[Total Sales ($)]]</f>
        <v>0.3322453339663512</v>
      </c>
      <c r="Q1321" s="8" t="s">
        <v>52</v>
      </c>
      <c r="R1321" s="8" t="s">
        <v>32</v>
      </c>
      <c r="S1321" s="8" t="b">
        <f>_xlfn.SINGLE(CleanedData[[#This Row],[Delivery Status]])="Late"</f>
        <v>1</v>
      </c>
      <c r="T1321" s="10">
        <v>6</v>
      </c>
      <c r="U1321" s="8" t="s">
        <v>112</v>
      </c>
      <c r="V1321" s="10">
        <v>3772</v>
      </c>
      <c r="W1321" s="10">
        <v>14</v>
      </c>
      <c r="X1321" s="12"/>
      <c r="Y1321" s="8" t="b">
        <f>CleanedData[[#This Row],[Ship Date]]&lt;CleanedData[[#This Row],[Order Date]]</f>
        <v>1</v>
      </c>
      <c r="Z1321" s="10">
        <f>YEAR(CleanedData[[#This Row],[Order Date]])</f>
        <v>2023</v>
      </c>
      <c r="AA1321" s="8">
        <f>MONTH(CleanedData[[#This Row],[Order Date]])</f>
        <v>11</v>
      </c>
    </row>
    <row r="1322" spans="1:27" x14ac:dyDescent="0.35">
      <c r="A1322" s="8" t="s">
        <v>3518</v>
      </c>
      <c r="B1322" s="9">
        <v>44940</v>
      </c>
      <c r="C1322" s="9">
        <v>45173</v>
      </c>
      <c r="D1322" s="8" t="s">
        <v>3519</v>
      </c>
      <c r="E1322" s="8" t="s">
        <v>100</v>
      </c>
      <c r="F1322" s="8" t="s">
        <v>538</v>
      </c>
      <c r="G1322" s="8" t="s">
        <v>60</v>
      </c>
      <c r="H1322" s="8" t="s">
        <v>164</v>
      </c>
      <c r="I1322" s="8" t="s">
        <v>4971</v>
      </c>
      <c r="J1322" s="10">
        <v>613</v>
      </c>
      <c r="K1322" s="11">
        <v>790.14</v>
      </c>
      <c r="L1322" s="11">
        <v>1079.22</v>
      </c>
      <c r="M1322" s="11">
        <v>661561.86</v>
      </c>
      <c r="N1322" s="11">
        <v>484355.82</v>
      </c>
      <c r="O1322" s="11">
        <f>CleanedData[[#This Row],[Total Sales ($)]]-CleanedData[[#This Row],[Total Cost ($)]]</f>
        <v>177206.03999999998</v>
      </c>
      <c r="P1322" s="12">
        <f>CleanedData[[#This Row],[Profit ($)]]/CleanedData[[#This Row],[Total Sales ($)]]</f>
        <v>0.26786012119864344</v>
      </c>
      <c r="Q1322" s="8" t="s">
        <v>42</v>
      </c>
      <c r="R1322" s="8" t="s">
        <v>63</v>
      </c>
      <c r="S1322" s="8" t="b">
        <f>_xlfn.SINGLE(CleanedData[[#This Row],[Delivery Status]])="Late"</f>
        <v>0</v>
      </c>
      <c r="T1322" s="10">
        <v>2</v>
      </c>
      <c r="U1322" s="8" t="s">
        <v>33</v>
      </c>
      <c r="V1322" s="10">
        <v>2762</v>
      </c>
      <c r="W1322" s="10">
        <v>27</v>
      </c>
      <c r="X1322" s="12">
        <v>4.4045676998368602E-2</v>
      </c>
      <c r="Y1322" s="8" t="b">
        <f>CleanedData[[#This Row],[Ship Date]]&lt;CleanedData[[#This Row],[Order Date]]</f>
        <v>0</v>
      </c>
      <c r="Z1322" s="10">
        <f>YEAR(CleanedData[[#This Row],[Order Date]])</f>
        <v>2023</v>
      </c>
      <c r="AA1322" s="8">
        <f>MONTH(CleanedData[[#This Row],[Order Date]])</f>
        <v>1</v>
      </c>
    </row>
    <row r="1323" spans="1:27" x14ac:dyDescent="0.35">
      <c r="A1323" s="8" t="s">
        <v>3520</v>
      </c>
      <c r="B1323" s="9">
        <v>45018</v>
      </c>
      <c r="C1323" s="9">
        <v>45217</v>
      </c>
      <c r="D1323" s="8" t="s">
        <v>3522</v>
      </c>
      <c r="E1323" s="8" t="s">
        <v>58</v>
      </c>
      <c r="F1323" s="8" t="s">
        <v>116</v>
      </c>
      <c r="G1323" s="8" t="s">
        <v>93</v>
      </c>
      <c r="H1323" s="8" t="s">
        <v>140</v>
      </c>
      <c r="I1323" s="8" t="s">
        <v>4977</v>
      </c>
      <c r="J1323" s="10">
        <v>294</v>
      </c>
      <c r="K1323" s="11">
        <v>531.1</v>
      </c>
      <c r="L1323" s="11">
        <v>851.72</v>
      </c>
      <c r="M1323" s="11">
        <v>250405.68</v>
      </c>
      <c r="N1323" s="11">
        <v>156143.4</v>
      </c>
      <c r="O1323" s="11">
        <f>CleanedData[[#This Row],[Total Sales ($)]]-CleanedData[[#This Row],[Total Cost ($)]]</f>
        <v>94262.28</v>
      </c>
      <c r="P1323" s="12">
        <f>CleanedData[[#This Row],[Profit ($)]]/CleanedData[[#This Row],[Total Sales ($)]]</f>
        <v>0.37643826609683934</v>
      </c>
      <c r="Q1323" s="8" t="s">
        <v>31</v>
      </c>
      <c r="R1323" s="8" t="s">
        <v>32</v>
      </c>
      <c r="S1323" s="8" t="b">
        <f>_xlfn.SINGLE(CleanedData[[#This Row],[Delivery Status]])="Late"</f>
        <v>1</v>
      </c>
      <c r="T1323" s="10">
        <v>14</v>
      </c>
      <c r="U1323" s="8" t="s">
        <v>112</v>
      </c>
      <c r="V1323" s="10">
        <v>1238</v>
      </c>
      <c r="W1323" s="10">
        <v>12</v>
      </c>
      <c r="X1323" s="12">
        <v>4.08163265306122E-2</v>
      </c>
      <c r="Y1323" s="8" t="b">
        <f>CleanedData[[#This Row],[Ship Date]]&lt;CleanedData[[#This Row],[Order Date]]</f>
        <v>0</v>
      </c>
      <c r="Z1323" s="10">
        <f>YEAR(CleanedData[[#This Row],[Order Date]])</f>
        <v>2023</v>
      </c>
      <c r="AA1323" s="8">
        <f>MONTH(CleanedData[[#This Row],[Order Date]])</f>
        <v>4</v>
      </c>
    </row>
    <row r="1324" spans="1:27" x14ac:dyDescent="0.35">
      <c r="A1324" s="8" t="s">
        <v>3523</v>
      </c>
      <c r="B1324" s="9">
        <v>45247</v>
      </c>
      <c r="C1324" s="9">
        <v>45174</v>
      </c>
      <c r="D1324" s="8" t="s">
        <v>3525</v>
      </c>
      <c r="E1324" s="8" t="s">
        <v>26</v>
      </c>
      <c r="F1324" s="8" t="s">
        <v>27</v>
      </c>
      <c r="G1324" s="8" t="s">
        <v>93</v>
      </c>
      <c r="H1324" s="8" t="s">
        <v>485</v>
      </c>
      <c r="I1324" s="8" t="s">
        <v>4967</v>
      </c>
      <c r="J1324" s="10">
        <v>429</v>
      </c>
      <c r="K1324" s="11">
        <v>750.41</v>
      </c>
      <c r="L1324" s="11">
        <v>1086.46</v>
      </c>
      <c r="M1324" s="11">
        <v>466091.34</v>
      </c>
      <c r="N1324" s="11">
        <v>321925.89</v>
      </c>
      <c r="O1324" s="11">
        <f>CleanedData[[#This Row],[Total Sales ($)]]-CleanedData[[#This Row],[Total Cost ($)]]</f>
        <v>144165.45000000001</v>
      </c>
      <c r="P1324" s="12">
        <f>CleanedData[[#This Row],[Profit ($)]]/CleanedData[[#This Row],[Total Sales ($)]]</f>
        <v>0.30930729157078957</v>
      </c>
      <c r="Q1324" s="8" t="s">
        <v>31</v>
      </c>
      <c r="R1324" s="8" t="s">
        <v>32</v>
      </c>
      <c r="S1324" s="8" t="b">
        <f>_xlfn.SINGLE(CleanedData[[#This Row],[Delivery Status]])="Late"</f>
        <v>1</v>
      </c>
      <c r="T1324" s="10">
        <v>15</v>
      </c>
      <c r="U1324" s="8" t="s">
        <v>33</v>
      </c>
      <c r="V1324" s="10">
        <v>834</v>
      </c>
      <c r="W1324" s="10">
        <v>13</v>
      </c>
      <c r="X1324" s="12">
        <v>3.03030303030303E-2</v>
      </c>
      <c r="Y1324" s="8" t="b">
        <f>CleanedData[[#This Row],[Ship Date]]&lt;CleanedData[[#This Row],[Order Date]]</f>
        <v>1</v>
      </c>
      <c r="Z1324" s="10">
        <f>YEAR(CleanedData[[#This Row],[Order Date]])</f>
        <v>2023</v>
      </c>
      <c r="AA1324" s="8">
        <f>MONTH(CleanedData[[#This Row],[Order Date]])</f>
        <v>11</v>
      </c>
    </row>
    <row r="1325" spans="1:27" x14ac:dyDescent="0.35">
      <c r="A1325" s="8" t="s">
        <v>3526</v>
      </c>
      <c r="B1325" s="9">
        <v>45033</v>
      </c>
      <c r="C1325" s="9">
        <v>45241</v>
      </c>
      <c r="D1325" s="8" t="s">
        <v>3527</v>
      </c>
      <c r="E1325" s="8" t="s">
        <v>48</v>
      </c>
      <c r="F1325" s="8" t="s">
        <v>183</v>
      </c>
      <c r="G1325" s="8" t="s">
        <v>39</v>
      </c>
      <c r="H1325" s="8" t="s">
        <v>40</v>
      </c>
      <c r="I1325" s="8" t="s">
        <v>4973</v>
      </c>
      <c r="J1325" s="10">
        <v>206</v>
      </c>
      <c r="K1325" s="11">
        <v>157.01</v>
      </c>
      <c r="L1325" s="11">
        <v>217.04</v>
      </c>
      <c r="M1325" s="11">
        <v>44710.239999999998</v>
      </c>
      <c r="N1325" s="11">
        <v>32344.06</v>
      </c>
      <c r="O1325" s="11">
        <f>CleanedData[[#This Row],[Total Sales ($)]]-CleanedData[[#This Row],[Total Cost ($)]]</f>
        <v>12366.179999999997</v>
      </c>
      <c r="P1325" s="12">
        <f>CleanedData[[#This Row],[Profit ($)]]/CleanedData[[#This Row],[Total Sales ($)]]</f>
        <v>0.27658496129745663</v>
      </c>
      <c r="Q1325" s="8" t="s">
        <v>31</v>
      </c>
      <c r="R1325" s="8" t="s">
        <v>63</v>
      </c>
      <c r="S1325" s="8" t="b">
        <f>_xlfn.SINGLE(CleanedData[[#This Row],[Delivery Status]])="Late"</f>
        <v>0</v>
      </c>
      <c r="T1325" s="10">
        <v>3</v>
      </c>
      <c r="U1325" s="8" t="s">
        <v>112</v>
      </c>
      <c r="V1325" s="10">
        <v>2760</v>
      </c>
      <c r="W1325" s="10">
        <v>3</v>
      </c>
      <c r="X1325" s="12">
        <v>1.45631067961165E-2</v>
      </c>
      <c r="Y1325" s="8" t="b">
        <f>CleanedData[[#This Row],[Ship Date]]&lt;CleanedData[[#This Row],[Order Date]]</f>
        <v>0</v>
      </c>
      <c r="Z1325" s="10">
        <f>YEAR(CleanedData[[#This Row],[Order Date]])</f>
        <v>2023</v>
      </c>
      <c r="AA1325" s="8">
        <f>MONTH(CleanedData[[#This Row],[Order Date]])</f>
        <v>4</v>
      </c>
    </row>
    <row r="1326" spans="1:27" x14ac:dyDescent="0.35">
      <c r="A1326" s="8" t="s">
        <v>3528</v>
      </c>
      <c r="B1326" s="9">
        <v>45140</v>
      </c>
      <c r="C1326" s="9">
        <v>45112</v>
      </c>
      <c r="D1326" s="8" t="s">
        <v>601</v>
      </c>
      <c r="E1326" s="8" t="s">
        <v>100</v>
      </c>
      <c r="F1326" s="8" t="s">
        <v>238</v>
      </c>
      <c r="G1326" s="8" t="s">
        <v>39</v>
      </c>
      <c r="H1326" s="8" t="s">
        <v>647</v>
      </c>
      <c r="I1326" s="8" t="s">
        <v>4974</v>
      </c>
      <c r="J1326" s="10">
        <v>305</v>
      </c>
      <c r="K1326" s="11">
        <v>188.26</v>
      </c>
      <c r="L1326" s="11">
        <v>246.89</v>
      </c>
      <c r="M1326" s="11">
        <v>75301.45</v>
      </c>
      <c r="N1326" s="11">
        <v>57419.3</v>
      </c>
      <c r="O1326" s="11">
        <f>CleanedData[[#This Row],[Total Sales ($)]]-CleanedData[[#This Row],[Total Cost ($)]]</f>
        <v>17882.149999999994</v>
      </c>
      <c r="P1326" s="12">
        <f>CleanedData[[#This Row],[Profit ($)]]/CleanedData[[#This Row],[Total Sales ($)]]</f>
        <v>0.23747417878407381</v>
      </c>
      <c r="Q1326" s="8" t="s">
        <v>52</v>
      </c>
      <c r="R1326" s="8" t="s">
        <v>32</v>
      </c>
      <c r="S1326" s="8" t="b">
        <f>_xlfn.SINGLE(CleanedData[[#This Row],[Delivery Status]])="Late"</f>
        <v>1</v>
      </c>
      <c r="T1326" s="10">
        <v>9</v>
      </c>
      <c r="U1326" s="8" t="s">
        <v>43</v>
      </c>
      <c r="V1326" s="10">
        <v>410</v>
      </c>
      <c r="W1326" s="10">
        <v>7</v>
      </c>
      <c r="X1326" s="12">
        <v>2.2950819672131102E-2</v>
      </c>
      <c r="Y1326" s="8" t="b">
        <f>CleanedData[[#This Row],[Ship Date]]&lt;CleanedData[[#This Row],[Order Date]]</f>
        <v>1</v>
      </c>
      <c r="Z1326" s="10">
        <f>YEAR(CleanedData[[#This Row],[Order Date]])</f>
        <v>2023</v>
      </c>
      <c r="AA1326" s="8">
        <f>MONTH(CleanedData[[#This Row],[Order Date]])</f>
        <v>8</v>
      </c>
    </row>
    <row r="1327" spans="1:27" x14ac:dyDescent="0.35">
      <c r="A1327" s="8" t="s">
        <v>3529</v>
      </c>
      <c r="B1327" s="9">
        <v>45194</v>
      </c>
      <c r="C1327" s="9">
        <v>45111</v>
      </c>
      <c r="D1327" s="8" t="s">
        <v>3530</v>
      </c>
      <c r="E1327" s="8" t="s">
        <v>100</v>
      </c>
      <c r="F1327" s="8" t="s">
        <v>538</v>
      </c>
      <c r="G1327" s="8" t="s">
        <v>93</v>
      </c>
      <c r="H1327" s="8" t="s">
        <v>140</v>
      </c>
      <c r="I1327" s="8" t="s">
        <v>4978</v>
      </c>
      <c r="J1327" s="10">
        <v>552</v>
      </c>
      <c r="K1327" s="11">
        <v>649.91999999999996</v>
      </c>
      <c r="L1327" s="11">
        <v>834.42</v>
      </c>
      <c r="M1327" s="11">
        <v>460599.84</v>
      </c>
      <c r="N1327" s="11">
        <v>358755.84000000003</v>
      </c>
      <c r="O1327" s="11">
        <f>CleanedData[[#This Row],[Total Sales ($)]]-CleanedData[[#This Row],[Total Cost ($)]]</f>
        <v>101844</v>
      </c>
      <c r="P1327" s="12">
        <f>CleanedData[[#This Row],[Profit ($)]]/CleanedData[[#This Row],[Total Sales ($)]]</f>
        <v>0.22111167038182208</v>
      </c>
      <c r="Q1327" s="8" t="s">
        <v>52</v>
      </c>
      <c r="R1327" s="8" t="s">
        <v>32</v>
      </c>
      <c r="S1327" s="8" t="b">
        <f>_xlfn.SINGLE(CleanedData[[#This Row],[Delivery Status]])="Late"</f>
        <v>1</v>
      </c>
      <c r="T1327" s="10">
        <v>7</v>
      </c>
      <c r="U1327" s="8" t="s">
        <v>158</v>
      </c>
      <c r="V1327" s="10">
        <v>4929</v>
      </c>
      <c r="W1327" s="10">
        <v>17</v>
      </c>
      <c r="X1327" s="12">
        <v>3.0797101449275301E-2</v>
      </c>
      <c r="Y1327" s="8" t="b">
        <f>CleanedData[[#This Row],[Ship Date]]&lt;CleanedData[[#This Row],[Order Date]]</f>
        <v>1</v>
      </c>
      <c r="Z1327" s="10">
        <f>YEAR(CleanedData[[#This Row],[Order Date]])</f>
        <v>2023</v>
      </c>
      <c r="AA1327" s="8">
        <f>MONTH(CleanedData[[#This Row],[Order Date]])</f>
        <v>9</v>
      </c>
    </row>
    <row r="1328" spans="1:27" x14ac:dyDescent="0.35">
      <c r="A1328" s="8" t="s">
        <v>3531</v>
      </c>
      <c r="B1328" s="9">
        <v>45050</v>
      </c>
      <c r="C1328" s="9">
        <v>45209</v>
      </c>
      <c r="D1328" s="8" t="s">
        <v>3532</v>
      </c>
      <c r="E1328" s="8" t="s">
        <v>58</v>
      </c>
      <c r="F1328" s="8" t="s">
        <v>59</v>
      </c>
      <c r="G1328" s="8" t="s">
        <v>78</v>
      </c>
      <c r="H1328" s="8" t="s">
        <v>572</v>
      </c>
      <c r="I1328" s="8" t="s">
        <v>4975</v>
      </c>
      <c r="J1328" s="10">
        <v>609</v>
      </c>
      <c r="K1328" s="11">
        <v>574.83000000000004</v>
      </c>
      <c r="L1328" s="11">
        <v>895.34</v>
      </c>
      <c r="M1328" s="11">
        <v>545262.06000000006</v>
      </c>
      <c r="N1328" s="11">
        <v>350071.47</v>
      </c>
      <c r="O1328" s="11">
        <f>CleanedData[[#This Row],[Total Sales ($)]]-CleanedData[[#This Row],[Total Cost ($)]]</f>
        <v>195190.59000000008</v>
      </c>
      <c r="P1328" s="12">
        <f>CleanedData[[#This Row],[Profit ($)]]/CleanedData[[#This Row],[Total Sales ($)]]</f>
        <v>0.3579757410592625</v>
      </c>
      <c r="Q1328" s="8" t="s">
        <v>42</v>
      </c>
      <c r="R1328" s="8" t="s">
        <v>32</v>
      </c>
      <c r="S1328" s="8" t="b">
        <f>_xlfn.SINGLE(CleanedData[[#This Row],[Delivery Status]])="Late"</f>
        <v>1</v>
      </c>
      <c r="T1328" s="10">
        <v>7</v>
      </c>
      <c r="U1328" s="8" t="s">
        <v>112</v>
      </c>
      <c r="V1328" s="10">
        <v>2501.41</v>
      </c>
      <c r="W1328" s="10">
        <v>29</v>
      </c>
      <c r="X1328" s="12">
        <v>4.7619047619047603E-2</v>
      </c>
      <c r="Y1328" s="8" t="b">
        <f>CleanedData[[#This Row],[Ship Date]]&lt;CleanedData[[#This Row],[Order Date]]</f>
        <v>0</v>
      </c>
      <c r="Z1328" s="10">
        <f>YEAR(CleanedData[[#This Row],[Order Date]])</f>
        <v>2023</v>
      </c>
      <c r="AA1328" s="8">
        <f>MONTH(CleanedData[[#This Row],[Order Date]])</f>
        <v>5</v>
      </c>
    </row>
    <row r="1329" spans="1:27" x14ac:dyDescent="0.35">
      <c r="A1329" s="8" t="s">
        <v>3533</v>
      </c>
      <c r="B1329" s="9">
        <v>45636</v>
      </c>
      <c r="C1329" s="9">
        <v>45450</v>
      </c>
      <c r="D1329" s="8" t="s">
        <v>4991</v>
      </c>
      <c r="E1329" s="8" t="s">
        <v>100</v>
      </c>
      <c r="F1329" s="8" t="s">
        <v>106</v>
      </c>
      <c r="G1329" s="8" t="s">
        <v>217</v>
      </c>
      <c r="H1329" s="8" t="s">
        <v>218</v>
      </c>
      <c r="I1329" s="8" t="s">
        <v>4974</v>
      </c>
      <c r="J1329" s="10">
        <v>157</v>
      </c>
      <c r="K1329" s="11">
        <v>997.82</v>
      </c>
      <c r="L1329" s="11">
        <v>1643.63</v>
      </c>
      <c r="M1329" s="11">
        <v>258049.91</v>
      </c>
      <c r="N1329" s="11">
        <v>156657.74</v>
      </c>
      <c r="O1329" s="11">
        <f>CleanedData[[#This Row],[Total Sales ($)]]-CleanedData[[#This Row],[Total Cost ($)]]</f>
        <v>101392.17000000001</v>
      </c>
      <c r="P1329" s="12">
        <f>CleanedData[[#This Row],[Profit ($)]]/CleanedData[[#This Row],[Total Sales ($)]]</f>
        <v>0.39291689735524421</v>
      </c>
      <c r="Q1329" s="8" t="s">
        <v>31</v>
      </c>
      <c r="R1329" s="8" t="s">
        <v>32</v>
      </c>
      <c r="S1329" s="8" t="b">
        <f>_xlfn.SINGLE(CleanedData[[#This Row],[Delivery Status]])="Late"</f>
        <v>1</v>
      </c>
      <c r="T1329" s="10">
        <v>13</v>
      </c>
      <c r="U1329" s="8" t="s">
        <v>53</v>
      </c>
      <c r="V1329" s="10">
        <v>3566</v>
      </c>
      <c r="W1329" s="10">
        <v>5</v>
      </c>
      <c r="X1329" s="12">
        <v>3.18471337579617E-2</v>
      </c>
      <c r="Y1329" s="8" t="b">
        <f>CleanedData[[#This Row],[Ship Date]]&lt;CleanedData[[#This Row],[Order Date]]</f>
        <v>1</v>
      </c>
      <c r="Z1329" s="10">
        <f>YEAR(CleanedData[[#This Row],[Order Date]])</f>
        <v>2024</v>
      </c>
      <c r="AA1329" s="8">
        <f>MONTH(CleanedData[[#This Row],[Order Date]])</f>
        <v>12</v>
      </c>
    </row>
    <row r="1330" spans="1:27" x14ac:dyDescent="0.35">
      <c r="A1330" s="8" t="s">
        <v>3536</v>
      </c>
      <c r="B1330" s="9">
        <v>45241</v>
      </c>
      <c r="C1330" s="9">
        <v>45161</v>
      </c>
      <c r="D1330" s="8" t="s">
        <v>3537</v>
      </c>
      <c r="E1330" s="8" t="s">
        <v>26</v>
      </c>
      <c r="F1330" s="8" t="s">
        <v>228</v>
      </c>
      <c r="G1330" s="8" t="s">
        <v>78</v>
      </c>
      <c r="H1330" s="8" t="s">
        <v>481</v>
      </c>
      <c r="I1330" s="8" t="s">
        <v>4968</v>
      </c>
      <c r="J1330" s="10">
        <v>340</v>
      </c>
      <c r="K1330" s="11">
        <v>472.37</v>
      </c>
      <c r="L1330" s="11">
        <v>778.75</v>
      </c>
      <c r="M1330" s="11">
        <v>264775</v>
      </c>
      <c r="N1330" s="11">
        <v>160605.79999999999</v>
      </c>
      <c r="O1330" s="11">
        <f>CleanedData[[#This Row],[Total Sales ($)]]-CleanedData[[#This Row],[Total Cost ($)]]</f>
        <v>104169.20000000001</v>
      </c>
      <c r="P1330" s="12">
        <f>CleanedData[[#This Row],[Profit ($)]]/CleanedData[[#This Row],[Total Sales ($)]]</f>
        <v>0.39342536115569826</v>
      </c>
      <c r="Q1330" s="8" t="s">
        <v>95</v>
      </c>
      <c r="R1330" s="8" t="s">
        <v>32</v>
      </c>
      <c r="S1330" s="8" t="b">
        <f>_xlfn.SINGLE(CleanedData[[#This Row],[Delivery Status]])="Late"</f>
        <v>1</v>
      </c>
      <c r="T1330" s="10">
        <v>8</v>
      </c>
      <c r="U1330" s="8" t="s">
        <v>86</v>
      </c>
      <c r="V1330" s="10">
        <v>168</v>
      </c>
      <c r="W1330" s="10">
        <v>14</v>
      </c>
      <c r="X1330" s="12">
        <v>4.1176470588235203E-2</v>
      </c>
      <c r="Y1330" s="8" t="b">
        <f>CleanedData[[#This Row],[Ship Date]]&lt;CleanedData[[#This Row],[Order Date]]</f>
        <v>1</v>
      </c>
      <c r="Z1330" s="10">
        <f>YEAR(CleanedData[[#This Row],[Order Date]])</f>
        <v>2023</v>
      </c>
      <c r="AA1330" s="8">
        <f>MONTH(CleanedData[[#This Row],[Order Date]])</f>
        <v>11</v>
      </c>
    </row>
    <row r="1331" spans="1:27" x14ac:dyDescent="0.35">
      <c r="A1331" s="8" t="s">
        <v>3538</v>
      </c>
      <c r="B1331" s="9">
        <v>45614</v>
      </c>
      <c r="C1331" s="9">
        <v>45299</v>
      </c>
      <c r="D1331" s="8" t="s">
        <v>3539</v>
      </c>
      <c r="E1331" s="8" t="s">
        <v>68</v>
      </c>
      <c r="F1331" s="8" t="s">
        <v>276</v>
      </c>
      <c r="G1331" s="8" t="s">
        <v>78</v>
      </c>
      <c r="H1331" s="8" t="s">
        <v>178</v>
      </c>
      <c r="I1331" s="8" t="s">
        <v>4967</v>
      </c>
      <c r="J1331" s="10">
        <v>139</v>
      </c>
      <c r="K1331" s="11">
        <v>297.60000000000002</v>
      </c>
      <c r="L1331" s="11">
        <v>408.13</v>
      </c>
      <c r="M1331" s="11">
        <v>56730.07</v>
      </c>
      <c r="N1331" s="11">
        <v>41366.400000000001</v>
      </c>
      <c r="O1331" s="11">
        <f>CleanedData[[#This Row],[Total Sales ($)]]-CleanedData[[#This Row],[Total Cost ($)]]</f>
        <v>15363.669999999998</v>
      </c>
      <c r="P1331" s="12">
        <f>CleanedData[[#This Row],[Profit ($)]]/CleanedData[[#This Row],[Total Sales ($)]]</f>
        <v>0.27082057187660791</v>
      </c>
      <c r="Q1331" s="8" t="s">
        <v>95</v>
      </c>
      <c r="R1331" s="8" t="s">
        <v>32</v>
      </c>
      <c r="S1331" s="8" t="b">
        <f>_xlfn.SINGLE(CleanedData[[#This Row],[Delivery Status]])="Late"</f>
        <v>1</v>
      </c>
      <c r="T1331" s="10">
        <v>13</v>
      </c>
      <c r="U1331" s="8" t="s">
        <v>158</v>
      </c>
      <c r="V1331" s="10">
        <v>1494</v>
      </c>
      <c r="W1331" s="10">
        <v>0</v>
      </c>
      <c r="X1331" s="12">
        <v>0</v>
      </c>
      <c r="Y1331" s="8" t="b">
        <f>CleanedData[[#This Row],[Ship Date]]&lt;CleanedData[[#This Row],[Order Date]]</f>
        <v>1</v>
      </c>
      <c r="Z1331" s="10">
        <f>YEAR(CleanedData[[#This Row],[Order Date]])</f>
        <v>2024</v>
      </c>
      <c r="AA1331" s="8">
        <f>MONTH(CleanedData[[#This Row],[Order Date]])</f>
        <v>11</v>
      </c>
    </row>
    <row r="1332" spans="1:27" x14ac:dyDescent="0.35">
      <c r="A1332" s="8" t="s">
        <v>3540</v>
      </c>
      <c r="B1332" s="9">
        <v>45009</v>
      </c>
      <c r="C1332" s="9">
        <v>45099</v>
      </c>
      <c r="D1332" s="8" t="s">
        <v>3541</v>
      </c>
      <c r="E1332" s="8" t="s">
        <v>68</v>
      </c>
      <c r="F1332" s="8" t="s">
        <v>249</v>
      </c>
      <c r="G1332" s="8" t="s">
        <v>93</v>
      </c>
      <c r="H1332" s="8" t="s">
        <v>485</v>
      </c>
      <c r="I1332" s="8" t="s">
        <v>4978</v>
      </c>
      <c r="J1332" s="10">
        <v>367</v>
      </c>
      <c r="K1332" s="11">
        <v>778.61</v>
      </c>
      <c r="L1332" s="11">
        <v>1091.92</v>
      </c>
      <c r="M1332" s="11">
        <v>400734.64</v>
      </c>
      <c r="N1332" s="11">
        <v>285749.87</v>
      </c>
      <c r="O1332" s="11">
        <f>CleanedData[[#This Row],[Total Sales ($)]]-CleanedData[[#This Row],[Total Cost ($)]]</f>
        <v>114984.77000000002</v>
      </c>
      <c r="P1332" s="12">
        <f>CleanedData[[#This Row],[Profit ($)]]/CleanedData[[#This Row],[Total Sales ($)]]</f>
        <v>0.2869349402886659</v>
      </c>
      <c r="Q1332" s="8" t="s">
        <v>95</v>
      </c>
      <c r="R1332" s="8" t="s">
        <v>63</v>
      </c>
      <c r="S1332" s="8" t="b">
        <f>_xlfn.SINGLE(CleanedData[[#This Row],[Delivery Status]])="Late"</f>
        <v>0</v>
      </c>
      <c r="T1332" s="10">
        <v>1</v>
      </c>
      <c r="U1332" s="8" t="s">
        <v>112</v>
      </c>
      <c r="V1332" s="10">
        <v>719</v>
      </c>
      <c r="W1332" s="10">
        <v>13</v>
      </c>
      <c r="X1332" s="12">
        <v>3.5422343324250601E-2</v>
      </c>
      <c r="Y1332" s="8" t="b">
        <f>CleanedData[[#This Row],[Ship Date]]&lt;CleanedData[[#This Row],[Order Date]]</f>
        <v>0</v>
      </c>
      <c r="Z1332" s="10">
        <f>YEAR(CleanedData[[#This Row],[Order Date]])</f>
        <v>2023</v>
      </c>
      <c r="AA1332" s="8">
        <f>MONTH(CleanedData[[#This Row],[Order Date]])</f>
        <v>3</v>
      </c>
    </row>
    <row r="1333" spans="1:27" x14ac:dyDescent="0.35">
      <c r="A1333" s="8" t="s">
        <v>2882</v>
      </c>
      <c r="B1333" s="9">
        <v>45033</v>
      </c>
      <c r="C1333" s="9">
        <v>45218</v>
      </c>
      <c r="D1333" s="8" t="s">
        <v>2883</v>
      </c>
      <c r="E1333" s="8" t="s">
        <v>26</v>
      </c>
      <c r="F1333" s="8" t="s">
        <v>228</v>
      </c>
      <c r="G1333" s="8" t="s">
        <v>28</v>
      </c>
      <c r="H1333" s="8" t="s">
        <v>674</v>
      </c>
      <c r="I1333" s="8" t="s">
        <v>4975</v>
      </c>
      <c r="J1333" s="10">
        <v>496</v>
      </c>
      <c r="K1333" s="11">
        <v>892.09</v>
      </c>
      <c r="L1333" s="11">
        <v>1038.3800000000001</v>
      </c>
      <c r="M1333" s="11">
        <v>515036.48</v>
      </c>
      <c r="N1333" s="11">
        <v>442476.64</v>
      </c>
      <c r="O1333" s="11">
        <f>CleanedData[[#This Row],[Total Sales ($)]]-CleanedData[[#This Row],[Total Cost ($)]]</f>
        <v>72559.839999999967</v>
      </c>
      <c r="P1333" s="12">
        <f>CleanedData[[#This Row],[Profit ($)]]/CleanedData[[#This Row],[Total Sales ($)]]</f>
        <v>0.14088291376952555</v>
      </c>
      <c r="Q1333" s="8" t="s">
        <v>31</v>
      </c>
      <c r="R1333" s="8" t="s">
        <v>32</v>
      </c>
      <c r="S1333" s="8" t="b">
        <f>_xlfn.SINGLE(CleanedData[[#This Row],[Delivery Status]])="Late"</f>
        <v>1</v>
      </c>
      <c r="T1333" s="10">
        <v>12</v>
      </c>
      <c r="U1333" s="8" t="s">
        <v>53</v>
      </c>
      <c r="V1333" s="10">
        <v>3964</v>
      </c>
      <c r="W1333" s="10">
        <v>24</v>
      </c>
      <c r="X1333" s="12">
        <v>4.8387096774193498E-2</v>
      </c>
      <c r="Y1333" s="8" t="b">
        <f>CleanedData[[#This Row],[Ship Date]]&lt;CleanedData[[#This Row],[Order Date]]</f>
        <v>0</v>
      </c>
      <c r="Z1333" s="10">
        <f>YEAR(CleanedData[[#This Row],[Order Date]])</f>
        <v>2023</v>
      </c>
      <c r="AA1333" s="8">
        <f>MONTH(CleanedData[[#This Row],[Order Date]])</f>
        <v>4</v>
      </c>
    </row>
    <row r="1334" spans="1:27" x14ac:dyDescent="0.35">
      <c r="A1334" s="8" t="s">
        <v>3542</v>
      </c>
      <c r="B1334" s="9">
        <v>45051</v>
      </c>
      <c r="C1334" s="9">
        <v>45043</v>
      </c>
      <c r="D1334" s="8" t="s">
        <v>3543</v>
      </c>
      <c r="E1334" s="8" t="s">
        <v>58</v>
      </c>
      <c r="F1334" s="8" t="s">
        <v>59</v>
      </c>
      <c r="G1334" s="8" t="s">
        <v>217</v>
      </c>
      <c r="H1334" s="8" t="s">
        <v>340</v>
      </c>
      <c r="I1334" s="8" t="s">
        <v>4977</v>
      </c>
      <c r="J1334" s="10">
        <v>566</v>
      </c>
      <c r="K1334" s="11">
        <v>843.97</v>
      </c>
      <c r="L1334" s="11">
        <v>968.48</v>
      </c>
      <c r="M1334" s="11">
        <v>548159.68000000005</v>
      </c>
      <c r="N1334" s="11">
        <v>477687.02</v>
      </c>
      <c r="O1334" s="11">
        <f>CleanedData[[#This Row],[Total Sales ($)]]-CleanedData[[#This Row],[Total Cost ($)]]</f>
        <v>70472.660000000033</v>
      </c>
      <c r="P1334" s="12">
        <f>CleanedData[[#This Row],[Profit ($)]]/CleanedData[[#This Row],[Total Sales ($)]]</f>
        <v>0.12856228316537258</v>
      </c>
      <c r="Q1334" s="8" t="s">
        <v>31</v>
      </c>
      <c r="R1334" s="8" t="s">
        <v>32</v>
      </c>
      <c r="S1334" s="8" t="b">
        <f>_xlfn.SINGLE(CleanedData[[#This Row],[Delivery Status]])="Late"</f>
        <v>1</v>
      </c>
      <c r="T1334" s="10">
        <v>8</v>
      </c>
      <c r="U1334" s="8" t="s">
        <v>86</v>
      </c>
      <c r="V1334" s="10">
        <v>4586</v>
      </c>
      <c r="W1334" s="10">
        <v>28</v>
      </c>
      <c r="X1334" s="12">
        <v>4.9469964664310903E-2</v>
      </c>
      <c r="Y1334" s="8" t="b">
        <f>CleanedData[[#This Row],[Ship Date]]&lt;CleanedData[[#This Row],[Order Date]]</f>
        <v>1</v>
      </c>
      <c r="Z1334" s="10">
        <f>YEAR(CleanedData[[#This Row],[Order Date]])</f>
        <v>2023</v>
      </c>
      <c r="AA1334" s="8">
        <f>MONTH(CleanedData[[#This Row],[Order Date]])</f>
        <v>5</v>
      </c>
    </row>
    <row r="1335" spans="1:27" x14ac:dyDescent="0.35">
      <c r="A1335" s="8" t="s">
        <v>3544</v>
      </c>
      <c r="B1335" s="9">
        <v>45035</v>
      </c>
      <c r="C1335" s="9">
        <v>44983</v>
      </c>
      <c r="D1335" s="8" t="s">
        <v>3545</v>
      </c>
      <c r="E1335" s="8" t="s">
        <v>100</v>
      </c>
      <c r="F1335" s="8" t="s">
        <v>106</v>
      </c>
      <c r="G1335" s="8" t="s">
        <v>39</v>
      </c>
      <c r="H1335" s="8" t="s">
        <v>147</v>
      </c>
      <c r="I1335" s="8" t="s">
        <v>4971</v>
      </c>
      <c r="J1335" s="10">
        <v>29</v>
      </c>
      <c r="K1335" s="11">
        <v>361.71</v>
      </c>
      <c r="L1335" s="11">
        <v>498.29</v>
      </c>
      <c r="M1335" s="11">
        <v>14450.41</v>
      </c>
      <c r="N1335" s="11">
        <v>10489.59</v>
      </c>
      <c r="O1335" s="11">
        <f>CleanedData[[#This Row],[Total Sales ($)]]-CleanedData[[#This Row],[Total Cost ($)]]</f>
        <v>3960.8199999999997</v>
      </c>
      <c r="P1335" s="12">
        <f>CleanedData[[#This Row],[Profit ($)]]/CleanedData[[#This Row],[Total Sales ($)]]</f>
        <v>0.27409741315298319</v>
      </c>
      <c r="Q1335" s="8" t="s">
        <v>31</v>
      </c>
      <c r="R1335" s="8" t="s">
        <v>32</v>
      </c>
      <c r="S1335" s="8" t="b">
        <f>_xlfn.SINGLE(CleanedData[[#This Row],[Delivery Status]])="Late"</f>
        <v>1</v>
      </c>
      <c r="T1335" s="10">
        <v>11</v>
      </c>
      <c r="U1335" s="8" t="s">
        <v>53</v>
      </c>
      <c r="V1335" s="10">
        <v>4726</v>
      </c>
      <c r="W1335" s="10">
        <v>0</v>
      </c>
      <c r="X1335" s="12">
        <v>0</v>
      </c>
      <c r="Y1335" s="8" t="b">
        <f>CleanedData[[#This Row],[Ship Date]]&lt;CleanedData[[#This Row],[Order Date]]</f>
        <v>1</v>
      </c>
      <c r="Z1335" s="10">
        <f>YEAR(CleanedData[[#This Row],[Order Date]])</f>
        <v>2023</v>
      </c>
      <c r="AA1335" s="8">
        <f>MONTH(CleanedData[[#This Row],[Order Date]])</f>
        <v>4</v>
      </c>
    </row>
    <row r="1336" spans="1:27" x14ac:dyDescent="0.35">
      <c r="A1336" s="8" t="s">
        <v>3546</v>
      </c>
      <c r="B1336" s="9">
        <v>45110</v>
      </c>
      <c r="C1336" s="9">
        <v>44998</v>
      </c>
      <c r="D1336" s="8" t="s">
        <v>3547</v>
      </c>
      <c r="E1336" s="8" t="s">
        <v>68</v>
      </c>
      <c r="F1336" s="8" t="s">
        <v>249</v>
      </c>
      <c r="G1336" s="8" t="s">
        <v>50</v>
      </c>
      <c r="H1336" s="8" t="s">
        <v>260</v>
      </c>
      <c r="I1336" s="8" t="s">
        <v>4969</v>
      </c>
      <c r="J1336" s="10">
        <v>499</v>
      </c>
      <c r="K1336" s="11">
        <v>311.33999999999997</v>
      </c>
      <c r="L1336" s="11">
        <v>501.04</v>
      </c>
      <c r="M1336" s="11">
        <v>250018.96</v>
      </c>
      <c r="N1336" s="11">
        <v>155358.66</v>
      </c>
      <c r="O1336" s="11">
        <f>CleanedData[[#This Row],[Total Sales ($)]]-CleanedData[[#This Row],[Total Cost ($)]]</f>
        <v>94660.299999999988</v>
      </c>
      <c r="P1336" s="12">
        <f>CleanedData[[#This Row],[Profit ($)]]/CleanedData[[#This Row],[Total Sales ($)]]</f>
        <v>0.3786124860290595</v>
      </c>
      <c r="Q1336" s="8" t="s">
        <v>31</v>
      </c>
      <c r="R1336" s="8" t="s">
        <v>63</v>
      </c>
      <c r="S1336" s="8" t="b">
        <f>_xlfn.SINGLE(CleanedData[[#This Row],[Delivery Status]])="Late"</f>
        <v>0</v>
      </c>
      <c r="T1336" s="10">
        <v>5</v>
      </c>
      <c r="U1336" s="8" t="s">
        <v>86</v>
      </c>
      <c r="V1336" s="10">
        <v>1916</v>
      </c>
      <c r="W1336" s="10">
        <v>5</v>
      </c>
      <c r="X1336" s="12">
        <v>1.0020040080160299E-2</v>
      </c>
      <c r="Y1336" s="8" t="b">
        <f>CleanedData[[#This Row],[Ship Date]]&lt;CleanedData[[#This Row],[Order Date]]</f>
        <v>1</v>
      </c>
      <c r="Z1336" s="10">
        <f>YEAR(CleanedData[[#This Row],[Order Date]])</f>
        <v>2023</v>
      </c>
      <c r="AA1336" s="8">
        <f>MONTH(CleanedData[[#This Row],[Order Date]])</f>
        <v>7</v>
      </c>
    </row>
    <row r="1337" spans="1:27" x14ac:dyDescent="0.35">
      <c r="A1337" s="8" t="s">
        <v>3548</v>
      </c>
      <c r="B1337" s="9">
        <v>44946</v>
      </c>
      <c r="C1337" s="9">
        <v>44992</v>
      </c>
      <c r="D1337" s="8" t="s">
        <v>3549</v>
      </c>
      <c r="E1337" s="8" t="s">
        <v>68</v>
      </c>
      <c r="F1337" s="8" t="s">
        <v>146</v>
      </c>
      <c r="G1337" s="8" t="s">
        <v>93</v>
      </c>
      <c r="H1337" s="8" t="s">
        <v>321</v>
      </c>
      <c r="I1337" s="8" t="s">
        <v>4970</v>
      </c>
      <c r="J1337" s="10">
        <v>414</v>
      </c>
      <c r="K1337" s="11">
        <v>136.19</v>
      </c>
      <c r="L1337" s="11">
        <v>191.77</v>
      </c>
      <c r="M1337" s="11">
        <v>79392.78</v>
      </c>
      <c r="N1337" s="11">
        <v>56382.66</v>
      </c>
      <c r="O1337" s="11">
        <f>CleanedData[[#This Row],[Total Sales ($)]]-CleanedData[[#This Row],[Total Cost ($)]]</f>
        <v>23010.119999999995</v>
      </c>
      <c r="P1337" s="12">
        <f>CleanedData[[#This Row],[Profit ($)]]/CleanedData[[#This Row],[Total Sales ($)]]</f>
        <v>0.289826354487146</v>
      </c>
      <c r="Q1337" s="8" t="s">
        <v>95</v>
      </c>
      <c r="R1337" s="8" t="s">
        <v>32</v>
      </c>
      <c r="S1337" s="8" t="b">
        <f>_xlfn.SINGLE(CleanedData[[#This Row],[Delivery Status]])="Late"</f>
        <v>1</v>
      </c>
      <c r="T1337" s="10">
        <v>6</v>
      </c>
      <c r="U1337" s="8" t="s">
        <v>53</v>
      </c>
      <c r="V1337" s="10">
        <v>1616</v>
      </c>
      <c r="W1337" s="10">
        <v>14</v>
      </c>
      <c r="X1337" s="12">
        <v>3.3816425120772903E-2</v>
      </c>
      <c r="Y1337" s="8" t="b">
        <f>CleanedData[[#This Row],[Ship Date]]&lt;CleanedData[[#This Row],[Order Date]]</f>
        <v>0</v>
      </c>
      <c r="Z1337" s="10">
        <f>YEAR(CleanedData[[#This Row],[Order Date]])</f>
        <v>2023</v>
      </c>
      <c r="AA1337" s="8">
        <f>MONTH(CleanedData[[#This Row],[Order Date]])</f>
        <v>1</v>
      </c>
    </row>
    <row r="1338" spans="1:27" x14ac:dyDescent="0.35">
      <c r="A1338" s="8" t="s">
        <v>3550</v>
      </c>
      <c r="B1338" s="9">
        <v>44995</v>
      </c>
      <c r="C1338" s="9">
        <v>45158</v>
      </c>
      <c r="D1338" s="8" t="s">
        <v>3551</v>
      </c>
      <c r="E1338" s="8" t="s">
        <v>26</v>
      </c>
      <c r="F1338" s="8" t="s">
        <v>92</v>
      </c>
      <c r="G1338" s="8" t="s">
        <v>28</v>
      </c>
      <c r="H1338" s="8" t="s">
        <v>254</v>
      </c>
      <c r="I1338" s="8" t="s">
        <v>4971</v>
      </c>
      <c r="J1338" s="10">
        <v>621</v>
      </c>
      <c r="K1338" s="11">
        <v>982.3</v>
      </c>
      <c r="L1338" s="11">
        <v>1612.17</v>
      </c>
      <c r="M1338" s="11">
        <v>1001157.57</v>
      </c>
      <c r="N1338" s="11">
        <v>610008.30000000005</v>
      </c>
      <c r="O1338" s="11">
        <f>CleanedData[[#This Row],[Total Sales ($)]]-CleanedData[[#This Row],[Total Cost ($)]]</f>
        <v>391149.2699999999</v>
      </c>
      <c r="P1338" s="12">
        <f>CleanedData[[#This Row],[Profit ($)]]/CleanedData[[#This Row],[Total Sales ($)]]</f>
        <v>0.39069701086113739</v>
      </c>
      <c r="Q1338" s="8" t="s">
        <v>95</v>
      </c>
      <c r="R1338" s="8" t="s">
        <v>63</v>
      </c>
      <c r="S1338" s="8" t="b">
        <f>_xlfn.SINGLE(CleanedData[[#This Row],[Delivery Status]])="Late"</f>
        <v>0</v>
      </c>
      <c r="T1338" s="10">
        <v>4</v>
      </c>
      <c r="U1338" s="8" t="s">
        <v>33</v>
      </c>
      <c r="V1338" s="10">
        <v>1202</v>
      </c>
      <c r="W1338" s="10">
        <v>27</v>
      </c>
      <c r="X1338" s="12">
        <v>4.3478260869565202E-2</v>
      </c>
      <c r="Y1338" s="8" t="b">
        <f>CleanedData[[#This Row],[Ship Date]]&lt;CleanedData[[#This Row],[Order Date]]</f>
        <v>0</v>
      </c>
      <c r="Z1338" s="10">
        <f>YEAR(CleanedData[[#This Row],[Order Date]])</f>
        <v>2023</v>
      </c>
      <c r="AA1338" s="8">
        <f>MONTH(CleanedData[[#This Row],[Order Date]])</f>
        <v>3</v>
      </c>
    </row>
    <row r="1339" spans="1:27" x14ac:dyDescent="0.35">
      <c r="A1339" s="8" t="s">
        <v>3552</v>
      </c>
      <c r="B1339" s="9">
        <v>44983</v>
      </c>
      <c r="C1339" s="9">
        <v>45086</v>
      </c>
      <c r="D1339" s="8" t="s">
        <v>3553</v>
      </c>
      <c r="E1339" s="8" t="s">
        <v>68</v>
      </c>
      <c r="F1339" s="8" t="s">
        <v>69</v>
      </c>
      <c r="G1339" s="8" t="s">
        <v>78</v>
      </c>
      <c r="H1339" s="8" t="s">
        <v>79</v>
      </c>
      <c r="I1339" s="8" t="s">
        <v>4972</v>
      </c>
      <c r="J1339" s="10">
        <v>523</v>
      </c>
      <c r="K1339" s="11">
        <v>1084.58</v>
      </c>
      <c r="L1339" s="11">
        <v>1526.89</v>
      </c>
      <c r="M1339" s="11">
        <v>798563.47</v>
      </c>
      <c r="N1339" s="11">
        <v>567235.34</v>
      </c>
      <c r="O1339" s="11">
        <f>CleanedData[[#This Row],[Total Sales ($)]]-CleanedData[[#This Row],[Total Cost ($)]]</f>
        <v>231328.13</v>
      </c>
      <c r="P1339" s="12">
        <f>CleanedData[[#This Row],[Profit ($)]]/CleanedData[[#This Row],[Total Sales ($)]]</f>
        <v>0.28968033060665799</v>
      </c>
      <c r="Q1339" s="8" t="s">
        <v>52</v>
      </c>
      <c r="R1339" s="8" t="s">
        <v>63</v>
      </c>
      <c r="S1339" s="8" t="b">
        <f>_xlfn.SINGLE(CleanedData[[#This Row],[Delivery Status]])="Late"</f>
        <v>0</v>
      </c>
      <c r="T1339" s="10">
        <v>5</v>
      </c>
      <c r="U1339" s="8" t="s">
        <v>43</v>
      </c>
      <c r="V1339" s="10">
        <v>2601</v>
      </c>
      <c r="W1339" s="10">
        <v>8</v>
      </c>
      <c r="X1339" s="12">
        <v>1.52963671128107E-2</v>
      </c>
      <c r="Y1339" s="8" t="b">
        <f>CleanedData[[#This Row],[Ship Date]]&lt;CleanedData[[#This Row],[Order Date]]</f>
        <v>0</v>
      </c>
      <c r="Z1339" s="10">
        <f>YEAR(CleanedData[[#This Row],[Order Date]])</f>
        <v>2023</v>
      </c>
      <c r="AA1339" s="8">
        <f>MONTH(CleanedData[[#This Row],[Order Date]])</f>
        <v>2</v>
      </c>
    </row>
    <row r="1340" spans="1:27" x14ac:dyDescent="0.35">
      <c r="A1340" s="8" t="s">
        <v>3554</v>
      </c>
      <c r="B1340" s="9">
        <v>45143</v>
      </c>
      <c r="C1340" s="9">
        <v>45268</v>
      </c>
      <c r="D1340" s="8" t="s">
        <v>3555</v>
      </c>
      <c r="E1340" s="8" t="s">
        <v>58</v>
      </c>
      <c r="F1340" s="8" t="s">
        <v>122</v>
      </c>
      <c r="G1340" s="8" t="s">
        <v>70</v>
      </c>
      <c r="H1340" s="8" t="s">
        <v>84</v>
      </c>
      <c r="I1340" s="8" t="s">
        <v>4971</v>
      </c>
      <c r="J1340" s="10">
        <v>304</v>
      </c>
      <c r="K1340" s="11">
        <v>569.41999999999996</v>
      </c>
      <c r="L1340" s="11">
        <v>898.35</v>
      </c>
      <c r="M1340" s="11">
        <v>273098.40000000002</v>
      </c>
      <c r="N1340" s="11">
        <v>173103.68</v>
      </c>
      <c r="O1340" s="11">
        <f>CleanedData[[#This Row],[Total Sales ($)]]-CleanedData[[#This Row],[Total Cost ($)]]</f>
        <v>99994.72000000003</v>
      </c>
      <c r="P1340" s="12">
        <f>CleanedData[[#This Row],[Profit ($)]]/CleanedData[[#This Row],[Total Sales ($)]]</f>
        <v>0.36614905103801421</v>
      </c>
      <c r="Q1340" s="8" t="s">
        <v>42</v>
      </c>
      <c r="R1340" s="8" t="s">
        <v>32</v>
      </c>
      <c r="S1340" s="8" t="b">
        <f>_xlfn.SINGLE(CleanedData[[#This Row],[Delivery Status]])="Late"</f>
        <v>1</v>
      </c>
      <c r="T1340" s="10">
        <v>10</v>
      </c>
      <c r="U1340" s="8" t="s">
        <v>86</v>
      </c>
      <c r="V1340" s="10">
        <v>4825</v>
      </c>
      <c r="W1340" s="10">
        <v>10</v>
      </c>
      <c r="X1340" s="12">
        <v>3.2894736842105199E-2</v>
      </c>
      <c r="Y1340" s="8" t="b">
        <f>CleanedData[[#This Row],[Ship Date]]&lt;CleanedData[[#This Row],[Order Date]]</f>
        <v>0</v>
      </c>
      <c r="Z1340" s="10">
        <f>YEAR(CleanedData[[#This Row],[Order Date]])</f>
        <v>2023</v>
      </c>
      <c r="AA1340" s="8">
        <f>MONTH(CleanedData[[#This Row],[Order Date]])</f>
        <v>8</v>
      </c>
    </row>
    <row r="1341" spans="1:27" x14ac:dyDescent="0.35">
      <c r="A1341" s="8" t="s">
        <v>3556</v>
      </c>
      <c r="B1341" s="9">
        <v>45261</v>
      </c>
      <c r="C1341" s="9">
        <v>45323</v>
      </c>
      <c r="D1341" s="8" t="s">
        <v>1809</v>
      </c>
      <c r="E1341" s="8" t="s">
        <v>48</v>
      </c>
      <c r="F1341" s="8" t="s">
        <v>49</v>
      </c>
      <c r="G1341" s="8" t="s">
        <v>60</v>
      </c>
      <c r="H1341" s="8" t="s">
        <v>61</v>
      </c>
      <c r="I1341" s="8" t="s">
        <v>4976</v>
      </c>
      <c r="J1341" s="10">
        <v>593</v>
      </c>
      <c r="K1341" s="11">
        <v>198.57</v>
      </c>
      <c r="L1341" s="11">
        <v>230.59</v>
      </c>
      <c r="M1341" s="11">
        <v>136739.87</v>
      </c>
      <c r="N1341" s="11">
        <v>117752.01</v>
      </c>
      <c r="O1341" s="11">
        <f>CleanedData[[#This Row],[Total Sales ($)]]-CleanedData[[#This Row],[Total Cost ($)]]</f>
        <v>18987.86</v>
      </c>
      <c r="P1341" s="12">
        <f>CleanedData[[#This Row],[Profit ($)]]/CleanedData[[#This Row],[Total Sales ($)]]</f>
        <v>0.13886118218483023</v>
      </c>
      <c r="Q1341" s="8" t="s">
        <v>31</v>
      </c>
      <c r="R1341" s="8" t="s">
        <v>63</v>
      </c>
      <c r="S1341" s="8" t="b">
        <f>_xlfn.SINGLE(CleanedData[[#This Row],[Delivery Status]])="Late"</f>
        <v>0</v>
      </c>
      <c r="T1341" s="10">
        <v>1</v>
      </c>
      <c r="U1341" s="8" t="s">
        <v>86</v>
      </c>
      <c r="V1341" s="10">
        <v>4634</v>
      </c>
      <c r="W1341" s="10">
        <v>9</v>
      </c>
      <c r="X1341" s="12">
        <v>1.5177065767284901E-2</v>
      </c>
      <c r="Y1341" s="8" t="b">
        <f>CleanedData[[#This Row],[Ship Date]]&lt;CleanedData[[#This Row],[Order Date]]</f>
        <v>0</v>
      </c>
      <c r="Z1341" s="10">
        <f>YEAR(CleanedData[[#This Row],[Order Date]])</f>
        <v>2023</v>
      </c>
      <c r="AA1341" s="8">
        <f>MONTH(CleanedData[[#This Row],[Order Date]])</f>
        <v>12</v>
      </c>
    </row>
    <row r="1342" spans="1:27" x14ac:dyDescent="0.35">
      <c r="A1342" s="8" t="s">
        <v>3557</v>
      </c>
      <c r="B1342" s="9">
        <v>45250</v>
      </c>
      <c r="C1342" s="9">
        <v>44986</v>
      </c>
      <c r="D1342" s="8" t="s">
        <v>3558</v>
      </c>
      <c r="E1342" s="8" t="s">
        <v>58</v>
      </c>
      <c r="F1342" s="8" t="s">
        <v>122</v>
      </c>
      <c r="G1342" s="8" t="s">
        <v>50</v>
      </c>
      <c r="H1342" s="8" t="s">
        <v>107</v>
      </c>
      <c r="I1342" s="8" t="s">
        <v>4978</v>
      </c>
      <c r="J1342" s="10">
        <v>45</v>
      </c>
      <c r="K1342" s="11">
        <v>229.69</v>
      </c>
      <c r="L1342" s="11">
        <v>280.68</v>
      </c>
      <c r="M1342" s="11">
        <v>12630.6</v>
      </c>
      <c r="N1342" s="11">
        <v>10336.049999999999</v>
      </c>
      <c r="O1342" s="11">
        <f>CleanedData[[#This Row],[Total Sales ($)]]-CleanedData[[#This Row],[Total Cost ($)]]</f>
        <v>2294.5500000000011</v>
      </c>
      <c r="P1342" s="12">
        <f>CleanedData[[#This Row],[Profit ($)]]/CleanedData[[#This Row],[Total Sales ($)]]</f>
        <v>0.18166595411144371</v>
      </c>
      <c r="Q1342" s="8" t="s">
        <v>42</v>
      </c>
      <c r="R1342" s="8" t="s">
        <v>32</v>
      </c>
      <c r="S1342" s="8" t="b">
        <f>_xlfn.SINGLE(CleanedData[[#This Row],[Delivery Status]])="Late"</f>
        <v>1</v>
      </c>
      <c r="T1342" s="10">
        <v>14</v>
      </c>
      <c r="U1342" s="8" t="s">
        <v>33</v>
      </c>
      <c r="V1342" s="10">
        <v>422</v>
      </c>
      <c r="W1342" s="10">
        <v>1</v>
      </c>
      <c r="X1342" s="12">
        <v>2.2222222222222199E-2</v>
      </c>
      <c r="Y1342" s="8" t="b">
        <f>CleanedData[[#This Row],[Ship Date]]&lt;CleanedData[[#This Row],[Order Date]]</f>
        <v>1</v>
      </c>
      <c r="Z1342" s="10">
        <f>YEAR(CleanedData[[#This Row],[Order Date]])</f>
        <v>2023</v>
      </c>
      <c r="AA1342" s="8">
        <f>MONTH(CleanedData[[#This Row],[Order Date]])</f>
        <v>11</v>
      </c>
    </row>
    <row r="1343" spans="1:27" x14ac:dyDescent="0.35">
      <c r="A1343" s="8" t="s">
        <v>3559</v>
      </c>
      <c r="B1343" s="9">
        <v>44947</v>
      </c>
      <c r="C1343" s="9">
        <v>45273</v>
      </c>
      <c r="D1343" s="8" t="s">
        <v>3560</v>
      </c>
      <c r="E1343" s="8" t="s">
        <v>26</v>
      </c>
      <c r="F1343" s="8" t="s">
        <v>77</v>
      </c>
      <c r="G1343" s="8" t="s">
        <v>28</v>
      </c>
      <c r="H1343" s="8" t="s">
        <v>579</v>
      </c>
      <c r="I1343" s="8" t="s">
        <v>4979</v>
      </c>
      <c r="J1343" s="10">
        <v>106</v>
      </c>
      <c r="K1343" s="11">
        <v>258.01</v>
      </c>
      <c r="L1343" s="11">
        <v>349.69</v>
      </c>
      <c r="M1343" s="11">
        <v>37067.14</v>
      </c>
      <c r="N1343" s="11">
        <v>27349.06</v>
      </c>
      <c r="O1343" s="11">
        <f>CleanedData[[#This Row],[Total Sales ($)]]-CleanedData[[#This Row],[Total Cost ($)]]</f>
        <v>9718.0799999999981</v>
      </c>
      <c r="P1343" s="12">
        <f>CleanedData[[#This Row],[Profit ($)]]/CleanedData[[#This Row],[Total Sales ($)]]</f>
        <v>0.26217506934713597</v>
      </c>
      <c r="Q1343" s="8" t="s">
        <v>52</v>
      </c>
      <c r="R1343" s="8" t="s">
        <v>32</v>
      </c>
      <c r="S1343" s="8" t="b">
        <f>_xlfn.SINGLE(CleanedData[[#This Row],[Delivery Status]])="Late"</f>
        <v>1</v>
      </c>
      <c r="T1343" s="10">
        <v>14</v>
      </c>
      <c r="U1343" s="8" t="s">
        <v>53</v>
      </c>
      <c r="V1343" s="10">
        <v>4708</v>
      </c>
      <c r="W1343" s="10">
        <v>5</v>
      </c>
      <c r="X1343" s="12">
        <v>4.71698113207547E-2</v>
      </c>
      <c r="Y1343" s="8" t="b">
        <f>CleanedData[[#This Row],[Ship Date]]&lt;CleanedData[[#This Row],[Order Date]]</f>
        <v>0</v>
      </c>
      <c r="Z1343" s="10">
        <f>YEAR(CleanedData[[#This Row],[Order Date]])</f>
        <v>2023</v>
      </c>
      <c r="AA1343" s="8">
        <f>MONTH(CleanedData[[#This Row],[Order Date]])</f>
        <v>1</v>
      </c>
    </row>
    <row r="1344" spans="1:27" x14ac:dyDescent="0.35">
      <c r="A1344" s="8" t="s">
        <v>3561</v>
      </c>
      <c r="B1344" s="9">
        <v>45367</v>
      </c>
      <c r="C1344" s="9">
        <v>45561</v>
      </c>
      <c r="D1344" s="8" t="s">
        <v>3562</v>
      </c>
      <c r="E1344" s="8" t="s">
        <v>68</v>
      </c>
      <c r="F1344" s="8" t="s">
        <v>69</v>
      </c>
      <c r="G1344" s="8" t="s">
        <v>129</v>
      </c>
      <c r="H1344" s="8" t="s">
        <v>520</v>
      </c>
      <c r="I1344" s="8" t="s">
        <v>4979</v>
      </c>
      <c r="J1344" s="10">
        <v>517</v>
      </c>
      <c r="K1344" s="11">
        <v>858.88</v>
      </c>
      <c r="L1344" s="11">
        <v>1256.55</v>
      </c>
      <c r="M1344" s="11">
        <v>649636.35</v>
      </c>
      <c r="N1344" s="11">
        <v>444040.96000000002</v>
      </c>
      <c r="O1344" s="11">
        <f>CleanedData[[#This Row],[Total Sales ($)]]-CleanedData[[#This Row],[Total Cost ($)]]</f>
        <v>205595.38999999996</v>
      </c>
      <c r="P1344" s="12">
        <f>CleanedData[[#This Row],[Profit ($)]]/CleanedData[[#This Row],[Total Sales ($)]]</f>
        <v>0.31647765707691689</v>
      </c>
      <c r="Q1344" s="8" t="s">
        <v>42</v>
      </c>
      <c r="R1344" s="8" t="s">
        <v>63</v>
      </c>
      <c r="S1344" s="8" t="b">
        <f>_xlfn.SINGLE(CleanedData[[#This Row],[Delivery Status]])="Late"</f>
        <v>0</v>
      </c>
      <c r="T1344" s="10">
        <v>4</v>
      </c>
      <c r="U1344" s="8" t="s">
        <v>33</v>
      </c>
      <c r="V1344" s="10">
        <v>2163</v>
      </c>
      <c r="W1344" s="10">
        <v>17</v>
      </c>
      <c r="X1344" s="12">
        <v>3.2882011605415797E-2</v>
      </c>
      <c r="Y1344" s="8" t="b">
        <f>CleanedData[[#This Row],[Ship Date]]&lt;CleanedData[[#This Row],[Order Date]]</f>
        <v>0</v>
      </c>
      <c r="Z1344" s="10">
        <f>YEAR(CleanedData[[#This Row],[Order Date]])</f>
        <v>2024</v>
      </c>
      <c r="AA1344" s="8">
        <f>MONTH(CleanedData[[#This Row],[Order Date]])</f>
        <v>3</v>
      </c>
    </row>
    <row r="1345" spans="1:27" x14ac:dyDescent="0.35">
      <c r="A1345" s="8" t="s">
        <v>3563</v>
      </c>
      <c r="B1345" s="9">
        <v>45026</v>
      </c>
      <c r="C1345" s="9">
        <v>45002</v>
      </c>
      <c r="D1345" s="8" t="s">
        <v>3564</v>
      </c>
      <c r="E1345" s="8" t="s">
        <v>100</v>
      </c>
      <c r="F1345" s="8" t="s">
        <v>106</v>
      </c>
      <c r="G1345" s="8" t="s">
        <v>70</v>
      </c>
      <c r="H1345" s="8" t="s">
        <v>84</v>
      </c>
      <c r="I1345" s="8" t="s">
        <v>4973</v>
      </c>
      <c r="J1345" s="10">
        <v>161</v>
      </c>
      <c r="K1345" s="11">
        <v>382.63</v>
      </c>
      <c r="L1345" s="11"/>
      <c r="M1345" s="11">
        <v>95564.77</v>
      </c>
      <c r="N1345" s="11">
        <v>61603.43</v>
      </c>
      <c r="O1345" s="11">
        <f>CleanedData[[#This Row],[Total Sales ($)]]-CleanedData[[#This Row],[Total Cost ($)]]</f>
        <v>33961.340000000004</v>
      </c>
      <c r="P1345" s="12">
        <f>CleanedData[[#This Row],[Profit ($)]]/CleanedData[[#This Row],[Total Sales ($)]]</f>
        <v>0.35537510318917737</v>
      </c>
      <c r="Q1345" s="8" t="s">
        <v>42</v>
      </c>
      <c r="R1345" s="8" t="s">
        <v>32</v>
      </c>
      <c r="S1345" s="8" t="b">
        <f>_xlfn.SINGLE(CleanedData[[#This Row],[Delivery Status]])="Late"</f>
        <v>1</v>
      </c>
      <c r="T1345" s="10">
        <v>14</v>
      </c>
      <c r="U1345" s="8" t="s">
        <v>112</v>
      </c>
      <c r="V1345" s="10">
        <v>992</v>
      </c>
      <c r="W1345" s="10">
        <v>8</v>
      </c>
      <c r="X1345" s="12">
        <v>4.9689440993788803E-2</v>
      </c>
      <c r="Y1345" s="8" t="b">
        <f>CleanedData[[#This Row],[Ship Date]]&lt;CleanedData[[#This Row],[Order Date]]</f>
        <v>1</v>
      </c>
      <c r="Z1345" s="10">
        <f>YEAR(CleanedData[[#This Row],[Order Date]])</f>
        <v>2023</v>
      </c>
      <c r="AA1345" s="8">
        <f>MONTH(CleanedData[[#This Row],[Order Date]])</f>
        <v>4</v>
      </c>
    </row>
    <row r="1346" spans="1:27" x14ac:dyDescent="0.35">
      <c r="A1346" s="8" t="s">
        <v>3565</v>
      </c>
      <c r="B1346" s="9">
        <v>45124</v>
      </c>
      <c r="C1346" s="9">
        <v>45188</v>
      </c>
      <c r="D1346" s="8" t="s">
        <v>3566</v>
      </c>
      <c r="E1346" s="8" t="s">
        <v>100</v>
      </c>
      <c r="F1346" s="8" t="s">
        <v>106</v>
      </c>
      <c r="G1346" s="8" t="s">
        <v>39</v>
      </c>
      <c r="H1346" s="8" t="s">
        <v>40</v>
      </c>
      <c r="I1346" s="8" t="s">
        <v>4973</v>
      </c>
      <c r="J1346" s="10">
        <v>304</v>
      </c>
      <c r="K1346" s="11">
        <v>874.64</v>
      </c>
      <c r="L1346" s="11">
        <v>1262.8499999999999</v>
      </c>
      <c r="M1346" s="11">
        <v>383906.4</v>
      </c>
      <c r="N1346" s="11">
        <v>265890.56</v>
      </c>
      <c r="O1346" s="11">
        <f>CleanedData[[#This Row],[Total Sales ($)]]-CleanedData[[#This Row],[Total Cost ($)]]</f>
        <v>118015.84000000003</v>
      </c>
      <c r="P1346" s="12">
        <f>CleanedData[[#This Row],[Profit ($)]]/CleanedData[[#This Row],[Total Sales ($)]]</f>
        <v>0.30740784732945325</v>
      </c>
      <c r="Q1346" s="8" t="s">
        <v>42</v>
      </c>
      <c r="R1346" s="8" t="s">
        <v>32</v>
      </c>
      <c r="S1346" s="8" t="b">
        <f>_xlfn.SINGLE(CleanedData[[#This Row],[Delivery Status]])="Late"</f>
        <v>1</v>
      </c>
      <c r="T1346" s="10">
        <v>8</v>
      </c>
      <c r="U1346" s="8" t="s">
        <v>158</v>
      </c>
      <c r="V1346" s="10">
        <v>4650</v>
      </c>
      <c r="W1346" s="10">
        <v>9</v>
      </c>
      <c r="X1346" s="12">
        <v>2.9605263157894701E-2</v>
      </c>
      <c r="Y1346" s="8" t="b">
        <f>CleanedData[[#This Row],[Ship Date]]&lt;CleanedData[[#This Row],[Order Date]]</f>
        <v>0</v>
      </c>
      <c r="Z1346" s="10">
        <f>YEAR(CleanedData[[#This Row],[Order Date]])</f>
        <v>2023</v>
      </c>
      <c r="AA1346" s="8">
        <f>MONTH(CleanedData[[#This Row],[Order Date]])</f>
        <v>7</v>
      </c>
    </row>
    <row r="1347" spans="1:27" x14ac:dyDescent="0.35">
      <c r="A1347" s="8" t="s">
        <v>3567</v>
      </c>
      <c r="B1347" s="9">
        <v>45071</v>
      </c>
      <c r="C1347" s="9">
        <v>45110</v>
      </c>
      <c r="D1347" s="8" t="s">
        <v>3568</v>
      </c>
      <c r="E1347" s="8" t="s">
        <v>26</v>
      </c>
      <c r="F1347" s="8" t="s">
        <v>27</v>
      </c>
      <c r="G1347" s="8" t="s">
        <v>28</v>
      </c>
      <c r="H1347" s="8" t="s">
        <v>579</v>
      </c>
      <c r="I1347" s="8" t="s">
        <v>4978</v>
      </c>
      <c r="J1347" s="10">
        <v>145</v>
      </c>
      <c r="K1347" s="11">
        <v>1009.2</v>
      </c>
      <c r="L1347" s="11">
        <v>1551.05</v>
      </c>
      <c r="M1347" s="11">
        <v>224902.25</v>
      </c>
      <c r="N1347" s="11">
        <v>146334</v>
      </c>
      <c r="O1347" s="11">
        <f>CleanedData[[#This Row],[Total Sales ($)]]-CleanedData[[#This Row],[Total Cost ($)]]</f>
        <v>78568.25</v>
      </c>
      <c r="P1347" s="12">
        <f>CleanedData[[#This Row],[Profit ($)]]/CleanedData[[#This Row],[Total Sales ($)]]</f>
        <v>0.34934399277908512</v>
      </c>
      <c r="Q1347" s="8" t="s">
        <v>95</v>
      </c>
      <c r="R1347" s="8" t="s">
        <v>32</v>
      </c>
      <c r="S1347" s="8" t="b">
        <f>_xlfn.SINGLE(CleanedData[[#This Row],[Delivery Status]])="Late"</f>
        <v>1</v>
      </c>
      <c r="T1347" s="10">
        <v>14</v>
      </c>
      <c r="U1347" s="8" t="s">
        <v>112</v>
      </c>
      <c r="V1347" s="10">
        <v>4823</v>
      </c>
      <c r="W1347" s="10">
        <v>5</v>
      </c>
      <c r="X1347" s="12">
        <v>3.4482758620689599E-2</v>
      </c>
      <c r="Y1347" s="8" t="b">
        <f>CleanedData[[#This Row],[Ship Date]]&lt;CleanedData[[#This Row],[Order Date]]</f>
        <v>0</v>
      </c>
      <c r="Z1347" s="10">
        <f>YEAR(CleanedData[[#This Row],[Order Date]])</f>
        <v>2023</v>
      </c>
      <c r="AA1347" s="8">
        <f>MONTH(CleanedData[[#This Row],[Order Date]])</f>
        <v>5</v>
      </c>
    </row>
    <row r="1348" spans="1:27" x14ac:dyDescent="0.35">
      <c r="A1348" s="8" t="s">
        <v>3569</v>
      </c>
      <c r="B1348" s="9">
        <v>45318</v>
      </c>
      <c r="C1348" s="9">
        <v>45393</v>
      </c>
      <c r="D1348" s="8" t="s">
        <v>3571</v>
      </c>
      <c r="E1348" s="8" t="s">
        <v>100</v>
      </c>
      <c r="F1348" s="8" t="s">
        <v>238</v>
      </c>
      <c r="G1348" s="8" t="s">
        <v>60</v>
      </c>
      <c r="H1348" s="8" t="s">
        <v>229</v>
      </c>
      <c r="I1348" s="8" t="s">
        <v>4969</v>
      </c>
      <c r="J1348" s="10">
        <v>630</v>
      </c>
      <c r="K1348" s="11">
        <v>346.37</v>
      </c>
      <c r="L1348" s="11">
        <v>514.97</v>
      </c>
      <c r="M1348" s="11">
        <v>324431.09999999998</v>
      </c>
      <c r="N1348" s="11">
        <v>218213.1</v>
      </c>
      <c r="O1348" s="11">
        <f>CleanedData[[#This Row],[Total Sales ($)]]-CleanedData[[#This Row],[Total Cost ($)]]</f>
        <v>106217.99999999997</v>
      </c>
      <c r="P1348" s="12">
        <f>CleanedData[[#This Row],[Profit ($)]]/CleanedData[[#This Row],[Total Sales ($)]]</f>
        <v>0.32739771248810606</v>
      </c>
      <c r="Q1348" s="8" t="s">
        <v>42</v>
      </c>
      <c r="R1348" s="8" t="s">
        <v>32</v>
      </c>
      <c r="S1348" s="8" t="b">
        <f>_xlfn.SINGLE(CleanedData[[#This Row],[Delivery Status]])="Late"</f>
        <v>1</v>
      </c>
      <c r="T1348" s="10">
        <v>12</v>
      </c>
      <c r="U1348" s="8" t="s">
        <v>158</v>
      </c>
      <c r="V1348" s="10">
        <v>2265</v>
      </c>
      <c r="W1348" s="10">
        <v>12</v>
      </c>
      <c r="X1348" s="12">
        <v>1.9047619047619001E-2</v>
      </c>
      <c r="Y1348" s="8" t="b">
        <f>CleanedData[[#This Row],[Ship Date]]&lt;CleanedData[[#This Row],[Order Date]]</f>
        <v>0</v>
      </c>
      <c r="Z1348" s="10">
        <f>YEAR(CleanedData[[#This Row],[Order Date]])</f>
        <v>2024</v>
      </c>
      <c r="AA1348" s="8">
        <f>MONTH(CleanedData[[#This Row],[Order Date]])</f>
        <v>1</v>
      </c>
    </row>
    <row r="1349" spans="1:27" x14ac:dyDescent="0.35">
      <c r="A1349" s="8" t="s">
        <v>3572</v>
      </c>
      <c r="B1349" s="9">
        <v>45227</v>
      </c>
      <c r="C1349" s="9">
        <v>45112</v>
      </c>
      <c r="D1349" s="8" t="s">
        <v>3573</v>
      </c>
      <c r="E1349" s="8" t="s">
        <v>100</v>
      </c>
      <c r="F1349" s="8" t="s">
        <v>238</v>
      </c>
      <c r="G1349" s="8" t="s">
        <v>70</v>
      </c>
      <c r="H1349" s="8" t="s">
        <v>384</v>
      </c>
      <c r="I1349" s="8" t="s">
        <v>4976</v>
      </c>
      <c r="J1349" s="10">
        <v>624</v>
      </c>
      <c r="K1349" s="11">
        <v>479.99</v>
      </c>
      <c r="L1349" s="11">
        <v>712.62</v>
      </c>
      <c r="M1349" s="11">
        <v>444674.88</v>
      </c>
      <c r="N1349" s="11">
        <v>299513.76</v>
      </c>
      <c r="O1349" s="11">
        <f>CleanedData[[#This Row],[Total Sales ($)]]-CleanedData[[#This Row],[Total Cost ($)]]</f>
        <v>145161.12</v>
      </c>
      <c r="P1349" s="12">
        <f>CleanedData[[#This Row],[Profit ($)]]/CleanedData[[#This Row],[Total Sales ($)]]</f>
        <v>0.32644326569560211</v>
      </c>
      <c r="Q1349" s="8" t="s">
        <v>31</v>
      </c>
      <c r="R1349" s="8" t="s">
        <v>32</v>
      </c>
      <c r="S1349" s="8" t="b">
        <f>_xlfn.SINGLE(CleanedData[[#This Row],[Delivery Status]])="Late"</f>
        <v>1</v>
      </c>
      <c r="T1349" s="10">
        <v>12</v>
      </c>
      <c r="U1349" s="8" t="s">
        <v>43</v>
      </c>
      <c r="V1349" s="10">
        <v>754</v>
      </c>
      <c r="W1349" s="10">
        <v>0</v>
      </c>
      <c r="X1349" s="12">
        <v>0</v>
      </c>
      <c r="Y1349" s="8" t="b">
        <f>CleanedData[[#This Row],[Ship Date]]&lt;CleanedData[[#This Row],[Order Date]]</f>
        <v>1</v>
      </c>
      <c r="Z1349" s="10">
        <f>YEAR(CleanedData[[#This Row],[Order Date]])</f>
        <v>2023</v>
      </c>
      <c r="AA1349" s="8">
        <f>MONTH(CleanedData[[#This Row],[Order Date]])</f>
        <v>10</v>
      </c>
    </row>
    <row r="1350" spans="1:27" x14ac:dyDescent="0.35">
      <c r="A1350" s="8" t="s">
        <v>3574</v>
      </c>
      <c r="B1350" s="9">
        <v>45555</v>
      </c>
      <c r="C1350" s="9">
        <v>45396</v>
      </c>
      <c r="D1350" s="8" t="s">
        <v>3442</v>
      </c>
      <c r="E1350" s="8" t="s">
        <v>58</v>
      </c>
      <c r="F1350" s="8" t="s">
        <v>122</v>
      </c>
      <c r="G1350" s="8" t="s">
        <v>39</v>
      </c>
      <c r="H1350" s="8" t="s">
        <v>664</v>
      </c>
      <c r="I1350" s="8" t="s">
        <v>4974</v>
      </c>
      <c r="J1350" s="10">
        <v>369</v>
      </c>
      <c r="K1350" s="11">
        <v>506.91</v>
      </c>
      <c r="L1350" s="11">
        <v>671.85</v>
      </c>
      <c r="M1350" s="11">
        <v>247912.65</v>
      </c>
      <c r="N1350" s="11">
        <v>187049.79</v>
      </c>
      <c r="O1350" s="11">
        <f>CleanedData[[#This Row],[Total Sales ($)]]-CleanedData[[#This Row],[Total Cost ($)]]</f>
        <v>60862.859999999986</v>
      </c>
      <c r="P1350" s="12">
        <f>CleanedData[[#This Row],[Profit ($)]]/CleanedData[[#This Row],[Total Sales ($)]]</f>
        <v>0.24550122795266796</v>
      </c>
      <c r="Q1350" s="8" t="s">
        <v>95</v>
      </c>
      <c r="R1350" s="8" t="s">
        <v>63</v>
      </c>
      <c r="S1350" s="8" t="b">
        <f>_xlfn.SINGLE(CleanedData[[#This Row],[Delivery Status]])="Late"</f>
        <v>0</v>
      </c>
      <c r="T1350" s="10">
        <v>2</v>
      </c>
      <c r="U1350" s="8" t="s">
        <v>33</v>
      </c>
      <c r="V1350" s="10">
        <v>1991</v>
      </c>
      <c r="W1350" s="10">
        <v>17</v>
      </c>
      <c r="X1350" s="12">
        <v>4.6070460704606998E-2</v>
      </c>
      <c r="Y1350" s="8" t="b">
        <f>CleanedData[[#This Row],[Ship Date]]&lt;CleanedData[[#This Row],[Order Date]]</f>
        <v>1</v>
      </c>
      <c r="Z1350" s="10">
        <f>YEAR(CleanedData[[#This Row],[Order Date]])</f>
        <v>2024</v>
      </c>
      <c r="AA1350" s="8">
        <f>MONTH(CleanedData[[#This Row],[Order Date]])</f>
        <v>9</v>
      </c>
    </row>
    <row r="1351" spans="1:27" x14ac:dyDescent="0.35">
      <c r="A1351" s="8" t="s">
        <v>3575</v>
      </c>
      <c r="B1351" s="9">
        <v>45050</v>
      </c>
      <c r="C1351" s="9">
        <v>45043</v>
      </c>
      <c r="D1351" s="8" t="s">
        <v>3576</v>
      </c>
      <c r="E1351" s="8" t="s">
        <v>68</v>
      </c>
      <c r="F1351" s="8" t="s">
        <v>146</v>
      </c>
      <c r="G1351" s="8" t="s">
        <v>60</v>
      </c>
      <c r="H1351" s="8" t="s">
        <v>539</v>
      </c>
      <c r="I1351" s="8" t="s">
        <v>4973</v>
      </c>
      <c r="J1351" s="10">
        <v>286</v>
      </c>
      <c r="K1351" s="11">
        <v>676.03</v>
      </c>
      <c r="L1351" s="11">
        <v>1110.22</v>
      </c>
      <c r="M1351" s="11">
        <v>317522.92</v>
      </c>
      <c r="N1351" s="11">
        <v>193344.58</v>
      </c>
      <c r="O1351" s="11">
        <f>CleanedData[[#This Row],[Total Sales ($)]]-CleanedData[[#This Row],[Total Cost ($)]]</f>
        <v>124178.34</v>
      </c>
      <c r="P1351" s="12">
        <f>CleanedData[[#This Row],[Profit ($)]]/CleanedData[[#This Row],[Total Sales ($)]]</f>
        <v>0.39108464988921116</v>
      </c>
      <c r="Q1351" s="8" t="s">
        <v>42</v>
      </c>
      <c r="R1351" s="8" t="s">
        <v>63</v>
      </c>
      <c r="S1351" s="8" t="b">
        <f>_xlfn.SINGLE(CleanedData[[#This Row],[Delivery Status]])="Late"</f>
        <v>0</v>
      </c>
      <c r="T1351" s="10">
        <v>1</v>
      </c>
      <c r="U1351" s="8" t="s">
        <v>112</v>
      </c>
      <c r="V1351" s="10">
        <v>3530</v>
      </c>
      <c r="W1351" s="10">
        <v>9</v>
      </c>
      <c r="X1351" s="12">
        <v>3.1468531468531402E-2</v>
      </c>
      <c r="Y1351" s="8" t="b">
        <f>CleanedData[[#This Row],[Ship Date]]&lt;CleanedData[[#This Row],[Order Date]]</f>
        <v>1</v>
      </c>
      <c r="Z1351" s="10">
        <f>YEAR(CleanedData[[#This Row],[Order Date]])</f>
        <v>2023</v>
      </c>
      <c r="AA1351" s="8">
        <f>MONTH(CleanedData[[#This Row],[Order Date]])</f>
        <v>5</v>
      </c>
    </row>
    <row r="1352" spans="1:27" x14ac:dyDescent="0.35">
      <c r="A1352" s="8" t="s">
        <v>3577</v>
      </c>
      <c r="B1352" s="9">
        <v>45180</v>
      </c>
      <c r="C1352" s="9">
        <v>45102</v>
      </c>
      <c r="D1352" s="8" t="s">
        <v>3578</v>
      </c>
      <c r="E1352" s="8" t="s">
        <v>26</v>
      </c>
      <c r="F1352" s="8" t="s">
        <v>1576</v>
      </c>
      <c r="G1352" s="8" t="s">
        <v>93</v>
      </c>
      <c r="H1352" s="8" t="s">
        <v>302</v>
      </c>
      <c r="I1352" s="8" t="s">
        <v>4975</v>
      </c>
      <c r="J1352" s="10">
        <v>473</v>
      </c>
      <c r="K1352" s="11">
        <v>46.46</v>
      </c>
      <c r="L1352" s="11">
        <v>54.7</v>
      </c>
      <c r="M1352" s="11">
        <v>25873.1</v>
      </c>
      <c r="N1352" s="11">
        <v>21975.58</v>
      </c>
      <c r="O1352" s="11">
        <f>CleanedData[[#This Row],[Total Sales ($)]]-CleanedData[[#This Row],[Total Cost ($)]]</f>
        <v>3897.5199999999968</v>
      </c>
      <c r="P1352" s="12">
        <f>CleanedData[[#This Row],[Profit ($)]]/CleanedData[[#This Row],[Total Sales ($)]]</f>
        <v>0.15063985374771469</v>
      </c>
      <c r="Q1352" s="8" t="s">
        <v>95</v>
      </c>
      <c r="R1352" s="8" t="s">
        <v>32</v>
      </c>
      <c r="S1352" s="8" t="b">
        <f>_xlfn.SINGLE(CleanedData[[#This Row],[Delivery Status]])="Late"</f>
        <v>1</v>
      </c>
      <c r="T1352" s="10">
        <v>10</v>
      </c>
      <c r="U1352" s="8" t="s">
        <v>158</v>
      </c>
      <c r="V1352" s="10">
        <v>1260</v>
      </c>
      <c r="W1352" s="10">
        <v>22</v>
      </c>
      <c r="X1352" s="12">
        <v>4.6511627906976702E-2</v>
      </c>
      <c r="Y1352" s="8" t="b">
        <f>CleanedData[[#This Row],[Ship Date]]&lt;CleanedData[[#This Row],[Order Date]]</f>
        <v>1</v>
      </c>
      <c r="Z1352" s="10">
        <f>YEAR(CleanedData[[#This Row],[Order Date]])</f>
        <v>2023</v>
      </c>
      <c r="AA1352" s="8">
        <f>MONTH(CleanedData[[#This Row],[Order Date]])</f>
        <v>9</v>
      </c>
    </row>
    <row r="1353" spans="1:27" x14ac:dyDescent="0.35">
      <c r="A1353" s="8" t="s">
        <v>3579</v>
      </c>
      <c r="B1353" s="9">
        <v>45501</v>
      </c>
      <c r="C1353" s="9">
        <v>45327</v>
      </c>
      <c r="D1353" s="8" t="s">
        <v>3580</v>
      </c>
      <c r="E1353" s="8" t="s">
        <v>100</v>
      </c>
      <c r="F1353" s="8" t="s">
        <v>330</v>
      </c>
      <c r="G1353" s="8" t="s">
        <v>129</v>
      </c>
      <c r="H1353" s="8" t="s">
        <v>345</v>
      </c>
      <c r="I1353" s="8" t="s">
        <v>4978</v>
      </c>
      <c r="J1353" s="10">
        <v>591</v>
      </c>
      <c r="K1353" s="11">
        <v>581.57000000000005</v>
      </c>
      <c r="L1353" s="11">
        <v>671.8</v>
      </c>
      <c r="M1353" s="11">
        <v>397033.8</v>
      </c>
      <c r="N1353" s="11">
        <v>343707.87</v>
      </c>
      <c r="O1353" s="11">
        <f>CleanedData[[#This Row],[Total Sales ($)]]-CleanedData[[#This Row],[Total Cost ($)]]</f>
        <v>53325.929999999993</v>
      </c>
      <c r="P1353" s="12">
        <f>CleanedData[[#This Row],[Profit ($)]]/CleanedData[[#This Row],[Total Sales ($)]]</f>
        <v>0.13431080678773444</v>
      </c>
      <c r="Q1353" s="8" t="s">
        <v>42</v>
      </c>
      <c r="R1353" s="8" t="s">
        <v>63</v>
      </c>
      <c r="S1353" s="8" t="b">
        <f>_xlfn.SINGLE(CleanedData[[#This Row],[Delivery Status]])="Late"</f>
        <v>0</v>
      </c>
      <c r="T1353" s="10">
        <v>2</v>
      </c>
      <c r="U1353" s="8" t="s">
        <v>86</v>
      </c>
      <c r="V1353" s="10">
        <v>2926</v>
      </c>
      <c r="W1353" s="10">
        <v>1</v>
      </c>
      <c r="X1353" s="12">
        <v>1.6920473773265E-3</v>
      </c>
      <c r="Y1353" s="8" t="b">
        <f>CleanedData[[#This Row],[Ship Date]]&lt;CleanedData[[#This Row],[Order Date]]</f>
        <v>1</v>
      </c>
      <c r="Z1353" s="10">
        <f>YEAR(CleanedData[[#This Row],[Order Date]])</f>
        <v>2024</v>
      </c>
      <c r="AA1353" s="8">
        <f>MONTH(CleanedData[[#This Row],[Order Date]])</f>
        <v>7</v>
      </c>
    </row>
    <row r="1354" spans="1:27" x14ac:dyDescent="0.35">
      <c r="A1354" s="8" t="s">
        <v>3581</v>
      </c>
      <c r="B1354" s="9">
        <v>44975</v>
      </c>
      <c r="C1354" s="9">
        <v>45044</v>
      </c>
      <c r="D1354" s="8" t="s">
        <v>2016</v>
      </c>
      <c r="E1354" s="8" t="s">
        <v>48</v>
      </c>
      <c r="F1354" s="8" t="s">
        <v>49</v>
      </c>
      <c r="G1354" s="8" t="s">
        <v>189</v>
      </c>
      <c r="H1354" s="8" t="s">
        <v>561</v>
      </c>
      <c r="I1354" s="8" t="s">
        <v>4974</v>
      </c>
      <c r="J1354" s="10">
        <v>764</v>
      </c>
      <c r="K1354" s="11">
        <v>955.63</v>
      </c>
      <c r="L1354" s="11">
        <v>1146.3399999999999</v>
      </c>
      <c r="M1354" s="11">
        <v>875803.76</v>
      </c>
      <c r="N1354" s="11">
        <v>730101.32</v>
      </c>
      <c r="O1354" s="11">
        <f>CleanedData[[#This Row],[Total Sales ($)]]-CleanedData[[#This Row],[Total Cost ($)]]</f>
        <v>145702.44000000006</v>
      </c>
      <c r="P1354" s="12">
        <f>CleanedData[[#This Row],[Profit ($)]]/CleanedData[[#This Row],[Total Sales ($)]]</f>
        <v>0.16636425493309148</v>
      </c>
      <c r="Q1354" s="8" t="s">
        <v>42</v>
      </c>
      <c r="R1354" s="8" t="s">
        <v>63</v>
      </c>
      <c r="S1354" s="8" t="b">
        <f>_xlfn.SINGLE(CleanedData[[#This Row],[Delivery Status]])="Late"</f>
        <v>0</v>
      </c>
      <c r="T1354" s="10">
        <v>13</v>
      </c>
      <c r="U1354" s="8" t="s">
        <v>112</v>
      </c>
      <c r="V1354" s="10">
        <v>1857</v>
      </c>
      <c r="W1354" s="10">
        <v>26</v>
      </c>
      <c r="X1354" s="12">
        <v>3.4031413612565398E-2</v>
      </c>
      <c r="Y1354" s="8" t="b">
        <f>CleanedData[[#This Row],[Ship Date]]&lt;CleanedData[[#This Row],[Order Date]]</f>
        <v>0</v>
      </c>
      <c r="Z1354" s="10">
        <f>YEAR(CleanedData[[#This Row],[Order Date]])</f>
        <v>2023</v>
      </c>
      <c r="AA1354" s="8">
        <f>MONTH(CleanedData[[#This Row],[Order Date]])</f>
        <v>2</v>
      </c>
    </row>
    <row r="1355" spans="1:27" x14ac:dyDescent="0.35">
      <c r="A1355" s="8" t="s">
        <v>3583</v>
      </c>
      <c r="B1355" s="9">
        <v>44973</v>
      </c>
      <c r="C1355" s="9">
        <v>45148</v>
      </c>
      <c r="D1355" s="8" t="s">
        <v>3584</v>
      </c>
      <c r="E1355" s="8" t="s">
        <v>48</v>
      </c>
      <c r="F1355" s="8" t="s">
        <v>281</v>
      </c>
      <c r="G1355" s="8" t="s">
        <v>129</v>
      </c>
      <c r="H1355" s="8" t="s">
        <v>811</v>
      </c>
      <c r="I1355" s="8" t="s">
        <v>4969</v>
      </c>
      <c r="J1355" s="10">
        <v>173</v>
      </c>
      <c r="K1355" s="11">
        <v>92.43</v>
      </c>
      <c r="L1355" s="11">
        <v>110.69</v>
      </c>
      <c r="M1355" s="11">
        <v>19149.37</v>
      </c>
      <c r="N1355" s="11">
        <v>15990.39</v>
      </c>
      <c r="O1355" s="11">
        <f>CleanedData[[#This Row],[Total Sales ($)]]-CleanedData[[#This Row],[Total Cost ($)]]</f>
        <v>3158.9799999999996</v>
      </c>
      <c r="P1355" s="12">
        <f>CleanedData[[#This Row],[Profit ($)]]/CleanedData[[#This Row],[Total Sales ($)]]</f>
        <v>0.16496521817689039</v>
      </c>
      <c r="Q1355" s="8" t="s">
        <v>52</v>
      </c>
      <c r="R1355" s="8" t="s">
        <v>32</v>
      </c>
      <c r="S1355" s="8" t="b">
        <f>_xlfn.SINGLE(CleanedData[[#This Row],[Delivery Status]])="Late"</f>
        <v>1</v>
      </c>
      <c r="T1355" s="10">
        <v>9</v>
      </c>
      <c r="U1355" s="8" t="s">
        <v>33</v>
      </c>
      <c r="V1355" s="10">
        <v>2387</v>
      </c>
      <c r="W1355" s="10">
        <v>4</v>
      </c>
      <c r="X1355" s="12">
        <v>2.3121387283236899E-2</v>
      </c>
      <c r="Y1355" s="8" t="b">
        <f>CleanedData[[#This Row],[Ship Date]]&lt;CleanedData[[#This Row],[Order Date]]</f>
        <v>0</v>
      </c>
      <c r="Z1355" s="10">
        <f>YEAR(CleanedData[[#This Row],[Order Date]])</f>
        <v>2023</v>
      </c>
      <c r="AA1355" s="8">
        <f>MONTH(CleanedData[[#This Row],[Order Date]])</f>
        <v>2</v>
      </c>
    </row>
    <row r="1356" spans="1:27" x14ac:dyDescent="0.35">
      <c r="A1356" s="8" t="s">
        <v>3585</v>
      </c>
      <c r="B1356" s="9">
        <v>45304</v>
      </c>
      <c r="C1356" s="9">
        <v>45541</v>
      </c>
      <c r="D1356" s="8" t="s">
        <v>4992</v>
      </c>
      <c r="E1356" s="8" t="s">
        <v>68</v>
      </c>
      <c r="F1356" s="8" t="s">
        <v>163</v>
      </c>
      <c r="G1356" s="8" t="s">
        <v>60</v>
      </c>
      <c r="H1356" s="8" t="s">
        <v>229</v>
      </c>
      <c r="I1356" s="8" t="s">
        <v>4967</v>
      </c>
      <c r="J1356" s="10">
        <v>169</v>
      </c>
      <c r="K1356" s="11">
        <v>980.94</v>
      </c>
      <c r="L1356" s="11">
        <v>1194.54</v>
      </c>
      <c r="M1356" s="11">
        <v>201877.26</v>
      </c>
      <c r="N1356" s="11">
        <v>165778.85999999999</v>
      </c>
      <c r="O1356" s="11">
        <f>CleanedData[[#This Row],[Total Sales ($)]]-CleanedData[[#This Row],[Total Cost ($)]]</f>
        <v>36098.400000000023</v>
      </c>
      <c r="P1356" s="12">
        <f>CleanedData[[#This Row],[Profit ($)]]/CleanedData[[#This Row],[Total Sales ($)]]</f>
        <v>0.17881360188859322</v>
      </c>
      <c r="Q1356" s="8" t="s">
        <v>95</v>
      </c>
      <c r="R1356" s="8" t="s">
        <v>32</v>
      </c>
      <c r="S1356" s="8" t="b">
        <f>_xlfn.SINGLE(CleanedData[[#This Row],[Delivery Status]])="Late"</f>
        <v>1</v>
      </c>
      <c r="T1356" s="10">
        <v>13</v>
      </c>
      <c r="U1356" s="8" t="s">
        <v>86</v>
      </c>
      <c r="V1356" s="10">
        <v>2387</v>
      </c>
      <c r="W1356" s="10">
        <v>3</v>
      </c>
      <c r="X1356" s="12">
        <v>1.7751479289940801E-2</v>
      </c>
      <c r="Y1356" s="8" t="b">
        <f>CleanedData[[#This Row],[Ship Date]]&lt;CleanedData[[#This Row],[Order Date]]</f>
        <v>0</v>
      </c>
      <c r="Z1356" s="10">
        <f>YEAR(CleanedData[[#This Row],[Order Date]])</f>
        <v>2024</v>
      </c>
      <c r="AA1356" s="8">
        <f>MONTH(CleanedData[[#This Row],[Order Date]])</f>
        <v>1</v>
      </c>
    </row>
    <row r="1357" spans="1:27" x14ac:dyDescent="0.35">
      <c r="A1357" s="8" t="s">
        <v>3587</v>
      </c>
      <c r="B1357" s="9">
        <v>45217</v>
      </c>
      <c r="C1357" s="9">
        <v>45066</v>
      </c>
      <c r="D1357" s="8" t="s">
        <v>3588</v>
      </c>
      <c r="E1357" s="8" t="s">
        <v>48</v>
      </c>
      <c r="F1357" s="8" t="s">
        <v>270</v>
      </c>
      <c r="G1357" s="8" t="s">
        <v>93</v>
      </c>
      <c r="H1357" s="8" t="s">
        <v>184</v>
      </c>
      <c r="I1357" s="8" t="s">
        <v>4976</v>
      </c>
      <c r="J1357" s="10">
        <v>724</v>
      </c>
      <c r="K1357" s="11">
        <v>1043.83</v>
      </c>
      <c r="L1357" s="11">
        <v>1620.64</v>
      </c>
      <c r="M1357" s="11">
        <v>1173343.3600000001</v>
      </c>
      <c r="N1357" s="11">
        <v>755732.92</v>
      </c>
      <c r="O1357" s="11">
        <f>CleanedData[[#This Row],[Total Sales ($)]]-CleanedData[[#This Row],[Total Cost ($)]]</f>
        <v>417610.44000000006</v>
      </c>
      <c r="P1357" s="12">
        <f>CleanedData[[#This Row],[Profit ($)]]/CleanedData[[#This Row],[Total Sales ($)]]</f>
        <v>0.35591494718136046</v>
      </c>
      <c r="Q1357" s="8" t="s">
        <v>95</v>
      </c>
      <c r="R1357" s="8" t="s">
        <v>32</v>
      </c>
      <c r="S1357" s="8" t="b">
        <f>_xlfn.SINGLE(CleanedData[[#This Row],[Delivery Status]])="Late"</f>
        <v>1</v>
      </c>
      <c r="T1357" s="10">
        <v>11</v>
      </c>
      <c r="U1357" s="8" t="s">
        <v>86</v>
      </c>
      <c r="V1357" s="10">
        <v>2363</v>
      </c>
      <c r="W1357" s="10">
        <v>5</v>
      </c>
      <c r="X1357" s="12">
        <v>6.9060773480662E-3</v>
      </c>
      <c r="Y1357" s="8" t="b">
        <f>CleanedData[[#This Row],[Ship Date]]&lt;CleanedData[[#This Row],[Order Date]]</f>
        <v>1</v>
      </c>
      <c r="Z1357" s="10">
        <f>YEAR(CleanedData[[#This Row],[Order Date]])</f>
        <v>2023</v>
      </c>
      <c r="AA1357" s="8">
        <f>MONTH(CleanedData[[#This Row],[Order Date]])</f>
        <v>10</v>
      </c>
    </row>
    <row r="1358" spans="1:27" x14ac:dyDescent="0.35">
      <c r="A1358" s="8" t="s">
        <v>3589</v>
      </c>
      <c r="B1358" s="9">
        <v>45068</v>
      </c>
      <c r="C1358" s="9">
        <v>45026</v>
      </c>
      <c r="D1358" s="8" t="s">
        <v>2937</v>
      </c>
      <c r="E1358" s="8" t="s">
        <v>58</v>
      </c>
      <c r="F1358" s="8" t="s">
        <v>417</v>
      </c>
      <c r="G1358" s="8" t="s">
        <v>28</v>
      </c>
      <c r="H1358" s="8" t="s">
        <v>507</v>
      </c>
      <c r="I1358" s="8" t="s">
        <v>4974</v>
      </c>
      <c r="J1358" s="10">
        <v>359</v>
      </c>
      <c r="K1358" s="11">
        <v>362.76</v>
      </c>
      <c r="L1358" s="11">
        <v>564.21</v>
      </c>
      <c r="M1358" s="11">
        <v>202551.39</v>
      </c>
      <c r="N1358" s="11">
        <v>130230.84</v>
      </c>
      <c r="O1358" s="11">
        <f>CleanedData[[#This Row],[Total Sales ($)]]-CleanedData[[#This Row],[Total Cost ($)]]</f>
        <v>72320.550000000017</v>
      </c>
      <c r="P1358" s="12">
        <f>CleanedData[[#This Row],[Profit ($)]]/CleanedData[[#This Row],[Total Sales ($)]]</f>
        <v>0.35704790769394379</v>
      </c>
      <c r="Q1358" s="8" t="s">
        <v>31</v>
      </c>
      <c r="R1358" s="8" t="s">
        <v>32</v>
      </c>
      <c r="S1358" s="8" t="b">
        <f>_xlfn.SINGLE(CleanedData[[#This Row],[Delivery Status]])="Late"</f>
        <v>1</v>
      </c>
      <c r="T1358" s="10">
        <v>12</v>
      </c>
      <c r="U1358" s="8" t="s">
        <v>112</v>
      </c>
      <c r="V1358" s="10">
        <v>5</v>
      </c>
      <c r="W1358" s="10">
        <v>7</v>
      </c>
      <c r="X1358" s="12">
        <v>1.9498607242339799E-2</v>
      </c>
      <c r="Y1358" s="8" t="b">
        <f>CleanedData[[#This Row],[Ship Date]]&lt;CleanedData[[#This Row],[Order Date]]</f>
        <v>1</v>
      </c>
      <c r="Z1358" s="10">
        <f>YEAR(CleanedData[[#This Row],[Order Date]])</f>
        <v>2023</v>
      </c>
      <c r="AA1358" s="8">
        <f>MONTH(CleanedData[[#This Row],[Order Date]])</f>
        <v>5</v>
      </c>
    </row>
    <row r="1359" spans="1:27" x14ac:dyDescent="0.35">
      <c r="A1359" s="8" t="s">
        <v>3591</v>
      </c>
      <c r="B1359" s="9">
        <v>45205</v>
      </c>
      <c r="C1359" s="9">
        <v>45252</v>
      </c>
      <c r="D1359" s="8" t="s">
        <v>3593</v>
      </c>
      <c r="E1359" s="8" t="s">
        <v>68</v>
      </c>
      <c r="F1359" s="8" t="s">
        <v>146</v>
      </c>
      <c r="G1359" s="8" t="s">
        <v>93</v>
      </c>
      <c r="H1359" s="8" t="s">
        <v>321</v>
      </c>
      <c r="I1359" s="8" t="s">
        <v>4979</v>
      </c>
      <c r="J1359" s="10">
        <v>24</v>
      </c>
      <c r="K1359" s="11">
        <v>325.27999999999997</v>
      </c>
      <c r="L1359" s="11">
        <v>478.42</v>
      </c>
      <c r="M1359" s="11">
        <v>11482.08</v>
      </c>
      <c r="N1359" s="11">
        <v>7806.72</v>
      </c>
      <c r="O1359" s="11">
        <f>CleanedData[[#This Row],[Total Sales ($)]]-CleanedData[[#This Row],[Total Cost ($)]]</f>
        <v>3675.3599999999997</v>
      </c>
      <c r="P1359" s="12">
        <f>CleanedData[[#This Row],[Profit ($)]]/CleanedData[[#This Row],[Total Sales ($)]]</f>
        <v>0.32009531374106431</v>
      </c>
      <c r="Q1359" s="8" t="s">
        <v>42</v>
      </c>
      <c r="R1359" s="8" t="s">
        <v>32</v>
      </c>
      <c r="S1359" s="8" t="b">
        <f>_xlfn.SINGLE(CleanedData[[#This Row],[Delivery Status]])="Late"</f>
        <v>1</v>
      </c>
      <c r="T1359" s="10">
        <v>9</v>
      </c>
      <c r="U1359" s="8" t="s">
        <v>43</v>
      </c>
      <c r="V1359" s="10">
        <v>4479</v>
      </c>
      <c r="W1359" s="10">
        <v>1</v>
      </c>
      <c r="X1359" s="12">
        <v>4.1666666666666602E-2</v>
      </c>
      <c r="Y1359" s="8" t="b">
        <f>CleanedData[[#This Row],[Ship Date]]&lt;CleanedData[[#This Row],[Order Date]]</f>
        <v>0</v>
      </c>
      <c r="Z1359" s="10">
        <f>YEAR(CleanedData[[#This Row],[Order Date]])</f>
        <v>2023</v>
      </c>
      <c r="AA1359" s="8">
        <f>MONTH(CleanedData[[#This Row],[Order Date]])</f>
        <v>10</v>
      </c>
    </row>
    <row r="1360" spans="1:27" x14ac:dyDescent="0.35">
      <c r="A1360" s="8" t="s">
        <v>3594</v>
      </c>
      <c r="B1360" s="9">
        <v>45074</v>
      </c>
      <c r="C1360" s="9">
        <v>45279</v>
      </c>
      <c r="D1360" s="8" t="s">
        <v>3595</v>
      </c>
      <c r="E1360" s="8" t="s">
        <v>26</v>
      </c>
      <c r="F1360" s="8" t="s">
        <v>228</v>
      </c>
      <c r="G1360" s="8" t="s">
        <v>60</v>
      </c>
      <c r="H1360" s="8" t="s">
        <v>834</v>
      </c>
      <c r="I1360" s="8" t="s">
        <v>4971</v>
      </c>
      <c r="J1360" s="10">
        <v>214</v>
      </c>
      <c r="K1360" s="11">
        <v>160.96</v>
      </c>
      <c r="L1360" s="11">
        <v>192.15</v>
      </c>
      <c r="M1360" s="11">
        <v>41120.1</v>
      </c>
      <c r="N1360" s="11">
        <v>34445.440000000002</v>
      </c>
      <c r="O1360" s="11">
        <f>CleanedData[[#This Row],[Total Sales ($)]]-CleanedData[[#This Row],[Total Cost ($)]]</f>
        <v>6674.6599999999962</v>
      </c>
      <c r="P1360" s="12">
        <f>CleanedData[[#This Row],[Profit ($)]]/CleanedData[[#This Row],[Total Sales ($)]]</f>
        <v>0.16232110330470978</v>
      </c>
      <c r="Q1360" s="8" t="s">
        <v>42</v>
      </c>
      <c r="R1360" s="8" t="s">
        <v>32</v>
      </c>
      <c r="S1360" s="8" t="b">
        <f>_xlfn.SINGLE(CleanedData[[#This Row],[Delivery Status]])="Late"</f>
        <v>1</v>
      </c>
      <c r="T1360" s="10">
        <v>12</v>
      </c>
      <c r="U1360" s="8" t="s">
        <v>53</v>
      </c>
      <c r="V1360" s="10">
        <v>2995</v>
      </c>
      <c r="W1360" s="10">
        <v>2</v>
      </c>
      <c r="X1360" s="12">
        <v>9.3457943925232996E-3</v>
      </c>
      <c r="Y1360" s="8" t="b">
        <f>CleanedData[[#This Row],[Ship Date]]&lt;CleanedData[[#This Row],[Order Date]]</f>
        <v>0</v>
      </c>
      <c r="Z1360" s="10">
        <f>YEAR(CleanedData[[#This Row],[Order Date]])</f>
        <v>2023</v>
      </c>
      <c r="AA1360" s="8">
        <f>MONTH(CleanedData[[#This Row],[Order Date]])</f>
        <v>5</v>
      </c>
    </row>
    <row r="1361" spans="1:27" x14ac:dyDescent="0.35">
      <c r="A1361" s="8" t="s">
        <v>3596</v>
      </c>
      <c r="B1361" s="9">
        <v>45008</v>
      </c>
      <c r="C1361" s="9">
        <v>44983</v>
      </c>
      <c r="D1361" s="8" t="s">
        <v>3597</v>
      </c>
      <c r="E1361" s="8" t="s">
        <v>48</v>
      </c>
      <c r="F1361" s="8" t="s">
        <v>281</v>
      </c>
      <c r="G1361" s="8" t="s">
        <v>39</v>
      </c>
      <c r="H1361" s="8" t="s">
        <v>477</v>
      </c>
      <c r="I1361" s="8" t="s">
        <v>4967</v>
      </c>
      <c r="J1361" s="10">
        <v>222</v>
      </c>
      <c r="K1361" s="11">
        <v>124.15</v>
      </c>
      <c r="L1361" s="11">
        <v>158.08000000000001</v>
      </c>
      <c r="M1361" s="11">
        <v>35093.760000000002</v>
      </c>
      <c r="N1361" s="11">
        <v>27561.3</v>
      </c>
      <c r="O1361" s="11">
        <f>CleanedData[[#This Row],[Total Sales ($)]]-CleanedData[[#This Row],[Total Cost ($)]]</f>
        <v>7532.4600000000028</v>
      </c>
      <c r="P1361" s="12">
        <f>CleanedData[[#This Row],[Profit ($)]]/CleanedData[[#This Row],[Total Sales ($)]]</f>
        <v>0.21463815789473692</v>
      </c>
      <c r="Q1361" s="8" t="s">
        <v>31</v>
      </c>
      <c r="R1361" s="8" t="s">
        <v>63</v>
      </c>
      <c r="S1361" s="8" t="b">
        <f>_xlfn.SINGLE(CleanedData[[#This Row],[Delivery Status]])="Late"</f>
        <v>0</v>
      </c>
      <c r="T1361" s="10">
        <v>5</v>
      </c>
      <c r="U1361" s="8" t="s">
        <v>33</v>
      </c>
      <c r="V1361" s="10">
        <v>222</v>
      </c>
      <c r="W1361" s="10">
        <v>0</v>
      </c>
      <c r="X1361" s="12">
        <v>0</v>
      </c>
      <c r="Y1361" s="8" t="b">
        <f>CleanedData[[#This Row],[Ship Date]]&lt;CleanedData[[#This Row],[Order Date]]</f>
        <v>1</v>
      </c>
      <c r="Z1361" s="10">
        <f>YEAR(CleanedData[[#This Row],[Order Date]])</f>
        <v>2023</v>
      </c>
      <c r="AA1361" s="8">
        <f>MONTH(CleanedData[[#This Row],[Order Date]])</f>
        <v>3</v>
      </c>
    </row>
    <row r="1362" spans="1:27" x14ac:dyDescent="0.35">
      <c r="A1362" s="8" t="s">
        <v>3598</v>
      </c>
      <c r="B1362" s="9">
        <v>45202</v>
      </c>
      <c r="C1362" s="9">
        <v>45070</v>
      </c>
      <c r="D1362" s="8" t="s">
        <v>1339</v>
      </c>
      <c r="E1362" s="8" t="s">
        <v>58</v>
      </c>
      <c r="F1362" s="8" t="s">
        <v>4972</v>
      </c>
      <c r="G1362" s="8" t="s">
        <v>39</v>
      </c>
      <c r="H1362" s="8" t="s">
        <v>40</v>
      </c>
      <c r="I1362" s="8" t="s">
        <v>4982</v>
      </c>
      <c r="J1362" s="10">
        <v>679</v>
      </c>
      <c r="K1362" s="11">
        <v>467.06</v>
      </c>
      <c r="L1362" s="11">
        <v>736.71</v>
      </c>
      <c r="M1362" s="11">
        <v>500226.09</v>
      </c>
      <c r="N1362" s="11">
        <v>317133.74</v>
      </c>
      <c r="O1362" s="11">
        <f>CleanedData[[#This Row],[Total Sales ($)]]-CleanedData[[#This Row],[Total Cost ($)]]</f>
        <v>183092.35000000003</v>
      </c>
      <c r="P1362" s="12">
        <f>CleanedData[[#This Row],[Profit ($)]]/CleanedData[[#This Row],[Total Sales ($)]]</f>
        <v>0.36601919344110984</v>
      </c>
      <c r="Q1362" s="8" t="s">
        <v>52</v>
      </c>
      <c r="R1362" s="8" t="s">
        <v>32</v>
      </c>
      <c r="S1362" s="8" t="b">
        <f>_xlfn.SINGLE(CleanedData[[#This Row],[Delivery Status]])="Late"</f>
        <v>1</v>
      </c>
      <c r="T1362" s="10">
        <v>14</v>
      </c>
      <c r="U1362" s="8" t="s">
        <v>112</v>
      </c>
      <c r="V1362" s="10">
        <v>3216</v>
      </c>
      <c r="W1362" s="10">
        <v>33</v>
      </c>
      <c r="X1362" s="12">
        <v>4.8600883652430003E-2</v>
      </c>
      <c r="Y1362" s="8" t="b">
        <f>CleanedData[[#This Row],[Ship Date]]&lt;CleanedData[[#This Row],[Order Date]]</f>
        <v>1</v>
      </c>
      <c r="Z1362" s="10">
        <f>YEAR(CleanedData[[#This Row],[Order Date]])</f>
        <v>2023</v>
      </c>
      <c r="AA1362" s="8">
        <f>MONTH(CleanedData[[#This Row],[Order Date]])</f>
        <v>10</v>
      </c>
    </row>
    <row r="1363" spans="1:27" x14ac:dyDescent="0.35">
      <c r="A1363" s="8" t="s">
        <v>3600</v>
      </c>
      <c r="B1363" s="9">
        <v>45644</v>
      </c>
      <c r="C1363" s="9">
        <v>45345</v>
      </c>
      <c r="D1363" s="8" t="s">
        <v>3601</v>
      </c>
      <c r="E1363" s="8" t="s">
        <v>68</v>
      </c>
      <c r="F1363" s="8" t="s">
        <v>249</v>
      </c>
      <c r="G1363" s="8" t="s">
        <v>70</v>
      </c>
      <c r="H1363" s="8" t="s">
        <v>239</v>
      </c>
      <c r="I1363" s="8" t="s">
        <v>4969</v>
      </c>
      <c r="J1363" s="10">
        <v>702</v>
      </c>
      <c r="K1363" s="11">
        <v>5.51</v>
      </c>
      <c r="L1363" s="11">
        <v>8.5500000000000007</v>
      </c>
      <c r="M1363" s="11">
        <v>6002.1</v>
      </c>
      <c r="N1363" s="11">
        <v>3868.02</v>
      </c>
      <c r="O1363" s="11">
        <f>CleanedData[[#This Row],[Total Sales ($)]]-CleanedData[[#This Row],[Total Cost ($)]]</f>
        <v>2134.0800000000004</v>
      </c>
      <c r="P1363" s="12">
        <f>CleanedData[[#This Row],[Profit ($)]]/CleanedData[[#This Row],[Total Sales ($)]]</f>
        <v>0.35555555555555562</v>
      </c>
      <c r="Q1363" s="8" t="s">
        <v>52</v>
      </c>
      <c r="R1363" s="8" t="s">
        <v>32</v>
      </c>
      <c r="S1363" s="8" t="b">
        <f>_xlfn.SINGLE(CleanedData[[#This Row],[Delivery Status]])="Late"</f>
        <v>1</v>
      </c>
      <c r="T1363" s="10">
        <v>10</v>
      </c>
      <c r="U1363" s="8" t="s">
        <v>43</v>
      </c>
      <c r="V1363" s="10">
        <v>363</v>
      </c>
      <c r="W1363" s="10">
        <v>4</v>
      </c>
      <c r="X1363" s="12">
        <v>5.6980056980056003E-3</v>
      </c>
      <c r="Y1363" s="8" t="b">
        <f>CleanedData[[#This Row],[Ship Date]]&lt;CleanedData[[#This Row],[Order Date]]</f>
        <v>1</v>
      </c>
      <c r="Z1363" s="10">
        <f>YEAR(CleanedData[[#This Row],[Order Date]])</f>
        <v>2024</v>
      </c>
      <c r="AA1363" s="8">
        <f>MONTH(CleanedData[[#This Row],[Order Date]])</f>
        <v>12</v>
      </c>
    </row>
    <row r="1364" spans="1:27" x14ac:dyDescent="0.35">
      <c r="A1364" s="8" t="s">
        <v>3602</v>
      </c>
      <c r="B1364" s="9">
        <v>45177</v>
      </c>
      <c r="C1364" s="9">
        <v>45101</v>
      </c>
      <c r="D1364" s="8" t="s">
        <v>3604</v>
      </c>
      <c r="E1364" s="8" t="s">
        <v>100</v>
      </c>
      <c r="F1364" s="8" t="s">
        <v>330</v>
      </c>
      <c r="G1364" s="8" t="s">
        <v>70</v>
      </c>
      <c r="H1364" s="8" t="s">
        <v>446</v>
      </c>
      <c r="I1364" s="8" t="s">
        <v>4967</v>
      </c>
      <c r="J1364" s="10">
        <v>478</v>
      </c>
      <c r="K1364" s="11">
        <v>495.35</v>
      </c>
      <c r="L1364" s="11">
        <v>781.74</v>
      </c>
      <c r="M1364" s="11">
        <v>373671.72</v>
      </c>
      <c r="N1364" s="11">
        <v>236777.3</v>
      </c>
      <c r="O1364" s="11">
        <f>CleanedData[[#This Row],[Total Sales ($)]]-CleanedData[[#This Row],[Total Cost ($)]]</f>
        <v>136894.41999999998</v>
      </c>
      <c r="P1364" s="12">
        <f>CleanedData[[#This Row],[Profit ($)]]/CleanedData[[#This Row],[Total Sales ($)]]</f>
        <v>0.36634942564023842</v>
      </c>
      <c r="Q1364" s="8" t="s">
        <v>42</v>
      </c>
      <c r="R1364" s="8" t="s">
        <v>63</v>
      </c>
      <c r="S1364" s="8" t="b">
        <f>_xlfn.SINGLE(CleanedData[[#This Row],[Delivery Status]])="Late"</f>
        <v>0</v>
      </c>
      <c r="T1364" s="10">
        <v>5</v>
      </c>
      <c r="U1364" s="8" t="s">
        <v>112</v>
      </c>
      <c r="V1364" s="10">
        <v>1413</v>
      </c>
      <c r="W1364" s="10">
        <v>12</v>
      </c>
      <c r="X1364" s="12">
        <v>2.5104602510460199E-2</v>
      </c>
      <c r="Y1364" s="8" t="b">
        <f>CleanedData[[#This Row],[Ship Date]]&lt;CleanedData[[#This Row],[Order Date]]</f>
        <v>1</v>
      </c>
      <c r="Z1364" s="10">
        <f>YEAR(CleanedData[[#This Row],[Order Date]])</f>
        <v>2023</v>
      </c>
      <c r="AA1364" s="8">
        <f>MONTH(CleanedData[[#This Row],[Order Date]])</f>
        <v>9</v>
      </c>
    </row>
    <row r="1365" spans="1:27" x14ac:dyDescent="0.35">
      <c r="A1365" s="8" t="s">
        <v>3605</v>
      </c>
      <c r="B1365" s="9">
        <v>44946</v>
      </c>
      <c r="C1365" s="9">
        <v>44996</v>
      </c>
      <c r="D1365" s="8" t="s">
        <v>3606</v>
      </c>
      <c r="E1365" s="8" t="s">
        <v>68</v>
      </c>
      <c r="F1365" s="8" t="s">
        <v>146</v>
      </c>
      <c r="G1365" s="8" t="s">
        <v>93</v>
      </c>
      <c r="H1365" s="8" t="s">
        <v>302</v>
      </c>
      <c r="I1365" s="8" t="s">
        <v>4970</v>
      </c>
      <c r="J1365" s="10">
        <v>37</v>
      </c>
      <c r="K1365" s="11">
        <v>943.74</v>
      </c>
      <c r="L1365" s="11">
        <v>1500.68</v>
      </c>
      <c r="M1365" s="11">
        <v>55525.16</v>
      </c>
      <c r="N1365" s="11">
        <v>34918.379999999997</v>
      </c>
      <c r="O1365" s="11">
        <f>CleanedData[[#This Row],[Total Sales ($)]]-CleanedData[[#This Row],[Total Cost ($)]]</f>
        <v>20606.780000000006</v>
      </c>
      <c r="P1365" s="12">
        <f>CleanedData[[#This Row],[Profit ($)]]/CleanedData[[#This Row],[Total Sales ($)]]</f>
        <v>0.37112508995921856</v>
      </c>
      <c r="Q1365" s="8" t="s">
        <v>52</v>
      </c>
      <c r="R1365" s="8" t="s">
        <v>32</v>
      </c>
      <c r="S1365" s="8" t="b">
        <f>_xlfn.SINGLE(CleanedData[[#This Row],[Delivery Status]])="Late"</f>
        <v>1</v>
      </c>
      <c r="T1365" s="10">
        <v>12</v>
      </c>
      <c r="U1365" s="8" t="s">
        <v>86</v>
      </c>
      <c r="V1365" s="10">
        <v>3440</v>
      </c>
      <c r="W1365" s="10">
        <v>1</v>
      </c>
      <c r="X1365" s="12">
        <v>2.7027027027027001E-2</v>
      </c>
      <c r="Y1365" s="8" t="b">
        <f>CleanedData[[#This Row],[Ship Date]]&lt;CleanedData[[#This Row],[Order Date]]</f>
        <v>0</v>
      </c>
      <c r="Z1365" s="10">
        <f>YEAR(CleanedData[[#This Row],[Order Date]])</f>
        <v>2023</v>
      </c>
      <c r="AA1365" s="8">
        <f>MONTH(CleanedData[[#This Row],[Order Date]])</f>
        <v>1</v>
      </c>
    </row>
    <row r="1366" spans="1:27" x14ac:dyDescent="0.35">
      <c r="A1366" s="8" t="s">
        <v>3607</v>
      </c>
      <c r="B1366" s="9">
        <v>45010</v>
      </c>
      <c r="C1366" s="9">
        <v>45223</v>
      </c>
      <c r="D1366" s="8" t="s">
        <v>334</v>
      </c>
      <c r="E1366" s="8" t="s">
        <v>4972</v>
      </c>
      <c r="F1366" s="8" t="s">
        <v>276</v>
      </c>
      <c r="G1366" s="8" t="s">
        <v>129</v>
      </c>
      <c r="H1366" s="8" t="s">
        <v>345</v>
      </c>
      <c r="I1366" s="8" t="s">
        <v>4970</v>
      </c>
      <c r="J1366" s="10">
        <v>555</v>
      </c>
      <c r="K1366" s="11">
        <v>1027.46</v>
      </c>
      <c r="L1366" s="11">
        <v>1307.8499999999999</v>
      </c>
      <c r="M1366" s="11">
        <v>725856.75</v>
      </c>
      <c r="N1366" s="11">
        <v>570240.30000000005</v>
      </c>
      <c r="O1366" s="11">
        <f>CleanedData[[#This Row],[Total Sales ($)]]-CleanedData[[#This Row],[Total Cost ($)]]</f>
        <v>155616.44999999995</v>
      </c>
      <c r="P1366" s="12">
        <f>CleanedData[[#This Row],[Profit ($)]]/CleanedData[[#This Row],[Total Sales ($)]]</f>
        <v>0.21439002943762658</v>
      </c>
      <c r="Q1366" s="8" t="s">
        <v>95</v>
      </c>
      <c r="R1366" s="8" t="s">
        <v>32</v>
      </c>
      <c r="S1366" s="8" t="b">
        <f>_xlfn.SINGLE(CleanedData[[#This Row],[Delivery Status]])="Late"</f>
        <v>1</v>
      </c>
      <c r="T1366" s="10">
        <v>11</v>
      </c>
      <c r="U1366" s="8" t="s">
        <v>43</v>
      </c>
      <c r="V1366" s="10">
        <v>775</v>
      </c>
      <c r="W1366" s="10">
        <v>17</v>
      </c>
      <c r="X1366" s="12">
        <v>3.0630630630630599E-2</v>
      </c>
      <c r="Y1366" s="8" t="b">
        <f>CleanedData[[#This Row],[Ship Date]]&lt;CleanedData[[#This Row],[Order Date]]</f>
        <v>0</v>
      </c>
      <c r="Z1366" s="10">
        <f>YEAR(CleanedData[[#This Row],[Order Date]])</f>
        <v>2023</v>
      </c>
      <c r="AA1366" s="8">
        <f>MONTH(CleanedData[[#This Row],[Order Date]])</f>
        <v>3</v>
      </c>
    </row>
    <row r="1367" spans="1:27" x14ac:dyDescent="0.35">
      <c r="A1367" s="8" t="s">
        <v>3608</v>
      </c>
      <c r="B1367" s="9">
        <v>45131</v>
      </c>
      <c r="C1367" s="9">
        <v>45286</v>
      </c>
      <c r="D1367" s="8" t="s">
        <v>3611</v>
      </c>
      <c r="E1367" s="8" t="s">
        <v>58</v>
      </c>
      <c r="F1367" s="8" t="s">
        <v>59</v>
      </c>
      <c r="G1367" s="8" t="s">
        <v>78</v>
      </c>
      <c r="H1367" s="8" t="s">
        <v>178</v>
      </c>
      <c r="I1367" s="8" t="s">
        <v>4976</v>
      </c>
      <c r="J1367" s="10">
        <v>712</v>
      </c>
      <c r="K1367" s="11">
        <v>802.02</v>
      </c>
      <c r="L1367" s="11">
        <v>1099.8499999999999</v>
      </c>
      <c r="M1367" s="11">
        <v>783093.2</v>
      </c>
      <c r="N1367" s="11">
        <v>571038.24</v>
      </c>
      <c r="O1367" s="11">
        <f>CleanedData[[#This Row],[Total Sales ($)]]-CleanedData[[#This Row],[Total Cost ($)]]</f>
        <v>212054.95999999996</v>
      </c>
      <c r="P1367" s="12">
        <f>CleanedData[[#This Row],[Profit ($)]]/CleanedData[[#This Row],[Total Sales ($)]]</f>
        <v>0.27079147156430416</v>
      </c>
      <c r="Q1367" s="8" t="s">
        <v>52</v>
      </c>
      <c r="R1367" s="8" t="s">
        <v>32</v>
      </c>
      <c r="S1367" s="8" t="b">
        <f>_xlfn.SINGLE(CleanedData[[#This Row],[Delivery Status]])="Late"</f>
        <v>1</v>
      </c>
      <c r="T1367" s="10">
        <v>15</v>
      </c>
      <c r="U1367" s="8" t="s">
        <v>86</v>
      </c>
      <c r="V1367" s="10">
        <v>3228</v>
      </c>
      <c r="W1367" s="10">
        <v>23</v>
      </c>
      <c r="X1367" s="12">
        <v>3.2303370786516801E-2</v>
      </c>
      <c r="Y1367" s="8" t="b">
        <f>CleanedData[[#This Row],[Ship Date]]&lt;CleanedData[[#This Row],[Order Date]]</f>
        <v>0</v>
      </c>
      <c r="Z1367" s="10">
        <f>YEAR(CleanedData[[#This Row],[Order Date]])</f>
        <v>2023</v>
      </c>
      <c r="AA1367" s="8">
        <f>MONTH(CleanedData[[#This Row],[Order Date]])</f>
        <v>7</v>
      </c>
    </row>
    <row r="1368" spans="1:27" x14ac:dyDescent="0.35">
      <c r="A1368" s="8" t="s">
        <v>3612</v>
      </c>
      <c r="B1368" s="9">
        <v>45037</v>
      </c>
      <c r="C1368" s="9">
        <v>44977</v>
      </c>
      <c r="D1368" s="8" t="s">
        <v>4972</v>
      </c>
      <c r="E1368" s="8" t="s">
        <v>68</v>
      </c>
      <c r="F1368" s="8" t="s">
        <v>249</v>
      </c>
      <c r="G1368" s="8" t="s">
        <v>50</v>
      </c>
      <c r="H1368" s="8" t="s">
        <v>51</v>
      </c>
      <c r="I1368" s="8" t="s">
        <v>4969</v>
      </c>
      <c r="J1368" s="10">
        <v>499</v>
      </c>
      <c r="K1368" s="11">
        <v>335.82</v>
      </c>
      <c r="L1368" s="11">
        <v>511.08</v>
      </c>
      <c r="M1368" s="11">
        <v>255028.92</v>
      </c>
      <c r="N1368" s="11">
        <v>167574.18</v>
      </c>
      <c r="O1368" s="11">
        <f>CleanedData[[#This Row],[Total Sales ($)]]-CleanedData[[#This Row],[Total Cost ($)]]</f>
        <v>87454.74000000002</v>
      </c>
      <c r="P1368" s="12">
        <f>CleanedData[[#This Row],[Profit ($)]]/CleanedData[[#This Row],[Total Sales ($)]]</f>
        <v>0.34292087344447059</v>
      </c>
      <c r="Q1368" s="8" t="s">
        <v>42</v>
      </c>
      <c r="R1368" s="8" t="s">
        <v>32</v>
      </c>
      <c r="S1368" s="8" t="b">
        <f>_xlfn.SINGLE(CleanedData[[#This Row],[Delivery Status]])="Late"</f>
        <v>1</v>
      </c>
      <c r="T1368" s="10">
        <v>-1</v>
      </c>
      <c r="U1368" s="8" t="s">
        <v>33</v>
      </c>
      <c r="V1368" s="10">
        <v>1885</v>
      </c>
      <c r="W1368" s="10">
        <v>4</v>
      </c>
      <c r="X1368" s="12">
        <v>8.0160320641282003E-3</v>
      </c>
      <c r="Y1368" s="8" t="b">
        <f>CleanedData[[#This Row],[Ship Date]]&lt;CleanedData[[#This Row],[Order Date]]</f>
        <v>1</v>
      </c>
      <c r="Z1368" s="10">
        <f>YEAR(CleanedData[[#This Row],[Order Date]])</f>
        <v>2023</v>
      </c>
      <c r="AA1368" s="8">
        <f>MONTH(CleanedData[[#This Row],[Order Date]])</f>
        <v>4</v>
      </c>
    </row>
    <row r="1369" spans="1:27" x14ac:dyDescent="0.35">
      <c r="A1369" s="8" t="s">
        <v>3613</v>
      </c>
      <c r="B1369" s="9">
        <v>45144</v>
      </c>
      <c r="C1369" s="9">
        <v>45246</v>
      </c>
      <c r="D1369" s="8" t="s">
        <v>3614</v>
      </c>
      <c r="E1369" s="8" t="s">
        <v>48</v>
      </c>
      <c r="F1369" s="8" t="s">
        <v>281</v>
      </c>
      <c r="G1369" s="8" t="s">
        <v>28</v>
      </c>
      <c r="H1369" s="8" t="s">
        <v>507</v>
      </c>
      <c r="I1369" s="8" t="s">
        <v>4977</v>
      </c>
      <c r="J1369" s="10">
        <v>783</v>
      </c>
      <c r="K1369" s="11"/>
      <c r="L1369" s="11">
        <v>731.08</v>
      </c>
      <c r="M1369" s="11">
        <v>572435.64</v>
      </c>
      <c r="N1369" s="11">
        <v>400645.44</v>
      </c>
      <c r="O1369" s="11">
        <f>CleanedData[[#This Row],[Total Sales ($)]]-CleanedData[[#This Row],[Total Cost ($)]]</f>
        <v>171790.2</v>
      </c>
      <c r="P1369" s="12">
        <f>CleanedData[[#This Row],[Profit ($)]]/CleanedData[[#This Row],[Total Sales ($)]]</f>
        <v>0.30010395579143184</v>
      </c>
      <c r="Q1369" s="8" t="s">
        <v>31</v>
      </c>
      <c r="R1369" s="8" t="s">
        <v>32</v>
      </c>
      <c r="S1369" s="8" t="b">
        <f>_xlfn.SINGLE(CleanedData[[#This Row],[Delivery Status]])="Late"</f>
        <v>1</v>
      </c>
      <c r="T1369" s="10">
        <v>9</v>
      </c>
      <c r="U1369" s="8" t="s">
        <v>112</v>
      </c>
      <c r="V1369" s="10">
        <v>3413</v>
      </c>
      <c r="W1369" s="10">
        <v>4</v>
      </c>
      <c r="X1369" s="12">
        <v>5.1085568326946999E-3</v>
      </c>
      <c r="Y1369" s="8" t="b">
        <f>CleanedData[[#This Row],[Ship Date]]&lt;CleanedData[[#This Row],[Order Date]]</f>
        <v>0</v>
      </c>
      <c r="Z1369" s="10">
        <f>YEAR(CleanedData[[#This Row],[Order Date]])</f>
        <v>2023</v>
      </c>
      <c r="AA1369" s="8">
        <f>MONTH(CleanedData[[#This Row],[Order Date]])</f>
        <v>8</v>
      </c>
    </row>
    <row r="1370" spans="1:27" x14ac:dyDescent="0.35">
      <c r="A1370" s="8" t="s">
        <v>3615</v>
      </c>
      <c r="B1370" s="9">
        <v>45096</v>
      </c>
      <c r="C1370" s="9">
        <v>45040</v>
      </c>
      <c r="D1370" s="8" t="s">
        <v>3616</v>
      </c>
      <c r="E1370" s="8" t="s">
        <v>100</v>
      </c>
      <c r="F1370" s="8" t="s">
        <v>238</v>
      </c>
      <c r="G1370" s="8" t="s">
        <v>39</v>
      </c>
      <c r="H1370" s="8" t="s">
        <v>412</v>
      </c>
      <c r="I1370" s="8" t="s">
        <v>4974</v>
      </c>
      <c r="J1370" s="10">
        <v>361</v>
      </c>
      <c r="K1370" s="11">
        <v>1098.31</v>
      </c>
      <c r="L1370" s="11">
        <v>1282.49</v>
      </c>
      <c r="M1370" s="11">
        <v>462978.89</v>
      </c>
      <c r="N1370" s="11">
        <v>396489.91</v>
      </c>
      <c r="O1370" s="11">
        <f>CleanedData[[#This Row],[Total Sales ($)]]-CleanedData[[#This Row],[Total Cost ($)]]</f>
        <v>66488.98000000004</v>
      </c>
      <c r="P1370" s="12">
        <f>CleanedData[[#This Row],[Profit ($)]]/CleanedData[[#This Row],[Total Sales ($)]]</f>
        <v>0.14361125622811882</v>
      </c>
      <c r="Q1370" s="8" t="s">
        <v>52</v>
      </c>
      <c r="R1370" s="8" t="s">
        <v>32</v>
      </c>
      <c r="S1370" s="8" t="b">
        <f>_xlfn.SINGLE(CleanedData[[#This Row],[Delivery Status]])="Late"</f>
        <v>1</v>
      </c>
      <c r="T1370" s="10">
        <v>12</v>
      </c>
      <c r="U1370" s="8" t="s">
        <v>86</v>
      </c>
      <c r="V1370" s="10">
        <v>2044</v>
      </c>
      <c r="W1370" s="10">
        <v>6</v>
      </c>
      <c r="X1370" s="12">
        <v>1.6620498614958401E-2</v>
      </c>
      <c r="Y1370" s="8" t="b">
        <f>CleanedData[[#This Row],[Ship Date]]&lt;CleanedData[[#This Row],[Order Date]]</f>
        <v>1</v>
      </c>
      <c r="Z1370" s="10">
        <f>YEAR(CleanedData[[#This Row],[Order Date]])</f>
        <v>2023</v>
      </c>
      <c r="AA1370" s="8">
        <f>MONTH(CleanedData[[#This Row],[Order Date]])</f>
        <v>6</v>
      </c>
    </row>
    <row r="1371" spans="1:27" x14ac:dyDescent="0.35">
      <c r="A1371" s="8" t="s">
        <v>3617</v>
      </c>
      <c r="B1371" s="9">
        <v>44994</v>
      </c>
      <c r="C1371" s="9">
        <v>45094</v>
      </c>
      <c r="D1371" s="8" t="s">
        <v>3618</v>
      </c>
      <c r="E1371" s="8" t="s">
        <v>68</v>
      </c>
      <c r="F1371" s="8" t="s">
        <v>163</v>
      </c>
      <c r="G1371" s="8" t="s">
        <v>28</v>
      </c>
      <c r="H1371" s="8" t="s">
        <v>579</v>
      </c>
      <c r="I1371" s="8" t="s">
        <v>4968</v>
      </c>
      <c r="J1371" s="10">
        <v>-12</v>
      </c>
      <c r="K1371" s="11">
        <v>311.72000000000003</v>
      </c>
      <c r="L1371" s="11">
        <v>506.7</v>
      </c>
      <c r="M1371" s="11">
        <v>392692.5</v>
      </c>
      <c r="N1371" s="11">
        <v>241583</v>
      </c>
      <c r="O1371" s="11">
        <f>CleanedData[[#This Row],[Total Sales ($)]]-CleanedData[[#This Row],[Total Cost ($)]]</f>
        <v>151109.5</v>
      </c>
      <c r="P1371" s="12">
        <f>CleanedData[[#This Row],[Profit ($)]]/CleanedData[[#This Row],[Total Sales ($)]]</f>
        <v>0.38480363134004342</v>
      </c>
      <c r="Q1371" s="8" t="s">
        <v>52</v>
      </c>
      <c r="R1371" s="8" t="s">
        <v>32</v>
      </c>
      <c r="S1371" s="8" t="b">
        <f>_xlfn.SINGLE(CleanedData[[#This Row],[Delivery Status]])="Late"</f>
        <v>1</v>
      </c>
      <c r="T1371" s="10">
        <v>12</v>
      </c>
      <c r="U1371" s="8" t="s">
        <v>33</v>
      </c>
      <c r="V1371" s="10">
        <v>2238</v>
      </c>
      <c r="W1371" s="10">
        <v>16</v>
      </c>
      <c r="X1371" s="12"/>
      <c r="Y1371" s="8" t="b">
        <f>CleanedData[[#This Row],[Ship Date]]&lt;CleanedData[[#This Row],[Order Date]]</f>
        <v>0</v>
      </c>
      <c r="Z1371" s="10">
        <f>YEAR(CleanedData[[#This Row],[Order Date]])</f>
        <v>2023</v>
      </c>
      <c r="AA1371" s="8">
        <f>MONTH(CleanedData[[#This Row],[Order Date]])</f>
        <v>3</v>
      </c>
    </row>
    <row r="1372" spans="1:27" x14ac:dyDescent="0.35">
      <c r="A1372" s="8" t="s">
        <v>3619</v>
      </c>
      <c r="B1372" s="9">
        <v>45088</v>
      </c>
      <c r="C1372" s="9">
        <v>45234</v>
      </c>
      <c r="D1372" s="8" t="s">
        <v>3620</v>
      </c>
      <c r="E1372" s="8" t="s">
        <v>68</v>
      </c>
      <c r="F1372" s="8" t="s">
        <v>249</v>
      </c>
      <c r="G1372" s="8" t="s">
        <v>50</v>
      </c>
      <c r="H1372" s="8" t="s">
        <v>734</v>
      </c>
      <c r="I1372" s="8" t="s">
        <v>4969</v>
      </c>
      <c r="J1372" s="10">
        <v>244</v>
      </c>
      <c r="K1372" s="11">
        <v>360.66</v>
      </c>
      <c r="L1372" s="11">
        <v>438.94</v>
      </c>
      <c r="M1372" s="11">
        <v>107101.36</v>
      </c>
      <c r="N1372" s="11">
        <v>88001.04</v>
      </c>
      <c r="O1372" s="11">
        <f>CleanedData[[#This Row],[Total Sales ($)]]-CleanedData[[#This Row],[Total Cost ($)]]</f>
        <v>19100.320000000007</v>
      </c>
      <c r="P1372" s="12">
        <f>CleanedData[[#This Row],[Profit ($)]]/CleanedData[[#This Row],[Total Sales ($)]]</f>
        <v>0.17833872511049353</v>
      </c>
      <c r="Q1372" s="8" t="s">
        <v>52</v>
      </c>
      <c r="R1372" s="8" t="s">
        <v>63</v>
      </c>
      <c r="S1372" s="8" t="b">
        <f>_xlfn.SINGLE(CleanedData[[#This Row],[Delivery Status]])="Late"</f>
        <v>0</v>
      </c>
      <c r="T1372" s="10">
        <v>5</v>
      </c>
      <c r="U1372" s="8" t="s">
        <v>158</v>
      </c>
      <c r="V1372" s="10">
        <v>150</v>
      </c>
      <c r="W1372" s="10">
        <v>5</v>
      </c>
      <c r="X1372" s="12">
        <v>2.0491803278688499E-2</v>
      </c>
      <c r="Y1372" s="8" t="b">
        <f>CleanedData[[#This Row],[Ship Date]]&lt;CleanedData[[#This Row],[Order Date]]</f>
        <v>0</v>
      </c>
      <c r="Z1372" s="10">
        <f>YEAR(CleanedData[[#This Row],[Order Date]])</f>
        <v>2023</v>
      </c>
      <c r="AA1372" s="8">
        <f>MONTH(CleanedData[[#This Row],[Order Date]])</f>
        <v>6</v>
      </c>
    </row>
    <row r="1373" spans="1:27" x14ac:dyDescent="0.35">
      <c r="A1373" s="8" t="s">
        <v>3621</v>
      </c>
      <c r="B1373" s="9">
        <v>45174</v>
      </c>
      <c r="C1373" s="9">
        <v>45070</v>
      </c>
      <c r="D1373" s="8" t="s">
        <v>3622</v>
      </c>
      <c r="E1373" s="8" t="s">
        <v>58</v>
      </c>
      <c r="F1373" s="8" t="s">
        <v>122</v>
      </c>
      <c r="G1373" s="8" t="s">
        <v>217</v>
      </c>
      <c r="H1373" s="8" t="s">
        <v>524</v>
      </c>
      <c r="I1373" s="8" t="s">
        <v>4974</v>
      </c>
      <c r="J1373" s="10">
        <v>253</v>
      </c>
      <c r="K1373" s="11">
        <v>873.26</v>
      </c>
      <c r="L1373" s="11">
        <v>1148.5999999999999</v>
      </c>
      <c r="M1373" s="11">
        <v>290595.8</v>
      </c>
      <c r="N1373" s="11">
        <v>220934.78</v>
      </c>
      <c r="O1373" s="11">
        <f>CleanedData[[#This Row],[Total Sales ($)]]-CleanedData[[#This Row],[Total Cost ($)]]</f>
        <v>69661.01999999999</v>
      </c>
      <c r="P1373" s="12">
        <f>CleanedData[[#This Row],[Profit ($)]]/CleanedData[[#This Row],[Total Sales ($)]]</f>
        <v>0.23971791746473967</v>
      </c>
      <c r="Q1373" s="8" t="s">
        <v>52</v>
      </c>
      <c r="R1373" s="8" t="s">
        <v>32</v>
      </c>
      <c r="S1373" s="8" t="b">
        <f>_xlfn.SINGLE(CleanedData[[#This Row],[Delivery Status]])="Late"</f>
        <v>1</v>
      </c>
      <c r="T1373" s="10">
        <v>11</v>
      </c>
      <c r="U1373" s="8" t="s">
        <v>33</v>
      </c>
      <c r="V1373" s="10">
        <v>4439</v>
      </c>
      <c r="W1373" s="10">
        <v>8</v>
      </c>
      <c r="X1373" s="12">
        <v>3.1620553359683702E-2</v>
      </c>
      <c r="Y1373" s="8" t="b">
        <f>CleanedData[[#This Row],[Ship Date]]&lt;CleanedData[[#This Row],[Order Date]]</f>
        <v>1</v>
      </c>
      <c r="Z1373" s="10">
        <f>YEAR(CleanedData[[#This Row],[Order Date]])</f>
        <v>2023</v>
      </c>
      <c r="AA1373" s="8">
        <f>MONTH(CleanedData[[#This Row],[Order Date]])</f>
        <v>9</v>
      </c>
    </row>
    <row r="1374" spans="1:27" x14ac:dyDescent="0.35">
      <c r="A1374" s="8" t="s">
        <v>3623</v>
      </c>
      <c r="B1374" s="9">
        <v>45089</v>
      </c>
      <c r="C1374" s="9">
        <v>45268</v>
      </c>
      <c r="D1374" s="8" t="s">
        <v>3624</v>
      </c>
      <c r="E1374" s="8" t="s">
        <v>68</v>
      </c>
      <c r="F1374" s="8" t="s">
        <v>249</v>
      </c>
      <c r="G1374" s="8" t="s">
        <v>60</v>
      </c>
      <c r="H1374" s="8" t="s">
        <v>780</v>
      </c>
      <c r="I1374" s="8" t="s">
        <v>4970</v>
      </c>
      <c r="J1374" s="10">
        <v>215</v>
      </c>
      <c r="K1374" s="11">
        <v>541.84</v>
      </c>
      <c r="L1374" s="11">
        <v>736.8</v>
      </c>
      <c r="M1374" s="11">
        <v>158412</v>
      </c>
      <c r="N1374" s="11">
        <v>116495.6</v>
      </c>
      <c r="O1374" s="11">
        <f>CleanedData[[#This Row],[Total Sales ($)]]-CleanedData[[#This Row],[Total Cost ($)]]</f>
        <v>41916.399999999994</v>
      </c>
      <c r="P1374" s="12">
        <f>CleanedData[[#This Row],[Profit ($)]]/CleanedData[[#This Row],[Total Sales ($)]]</f>
        <v>0.26460369163952224</v>
      </c>
      <c r="Q1374" s="8" t="s">
        <v>42</v>
      </c>
      <c r="R1374" s="8" t="s">
        <v>32</v>
      </c>
      <c r="S1374" s="8" t="b">
        <f>_xlfn.SINGLE(CleanedData[[#This Row],[Delivery Status]])="Late"</f>
        <v>1</v>
      </c>
      <c r="T1374" s="10">
        <v>12</v>
      </c>
      <c r="U1374" s="8" t="s">
        <v>33</v>
      </c>
      <c r="V1374" s="10">
        <v>2505</v>
      </c>
      <c r="W1374" s="10">
        <v>4</v>
      </c>
      <c r="X1374" s="12">
        <v>1.86046511627906E-2</v>
      </c>
      <c r="Y1374" s="8" t="b">
        <f>CleanedData[[#This Row],[Ship Date]]&lt;CleanedData[[#This Row],[Order Date]]</f>
        <v>0</v>
      </c>
      <c r="Z1374" s="10">
        <f>YEAR(CleanedData[[#This Row],[Order Date]])</f>
        <v>2023</v>
      </c>
      <c r="AA1374" s="8">
        <f>MONTH(CleanedData[[#This Row],[Order Date]])</f>
        <v>6</v>
      </c>
    </row>
    <row r="1375" spans="1:27" x14ac:dyDescent="0.35">
      <c r="A1375" s="8" t="s">
        <v>3625</v>
      </c>
      <c r="B1375" s="9">
        <v>45214</v>
      </c>
      <c r="C1375" s="9">
        <v>45249</v>
      </c>
      <c r="D1375" s="8" t="s">
        <v>3626</v>
      </c>
      <c r="E1375" s="8" t="s">
        <v>100</v>
      </c>
      <c r="F1375" s="8" t="s">
        <v>538</v>
      </c>
      <c r="G1375" s="8" t="s">
        <v>93</v>
      </c>
      <c r="H1375" s="8" t="s">
        <v>643</v>
      </c>
      <c r="I1375" s="8" t="s">
        <v>4970</v>
      </c>
      <c r="J1375" s="10">
        <v>127</v>
      </c>
      <c r="K1375" s="11">
        <v>264.58</v>
      </c>
      <c r="L1375" s="11">
        <v>424.76</v>
      </c>
      <c r="M1375" s="11">
        <v>53944.52</v>
      </c>
      <c r="N1375" s="11">
        <v>33601.660000000003</v>
      </c>
      <c r="O1375" s="11">
        <f>CleanedData[[#This Row],[Total Sales ($)]]-CleanedData[[#This Row],[Total Cost ($)]]</f>
        <v>20342.859999999993</v>
      </c>
      <c r="P1375" s="12">
        <f>CleanedData[[#This Row],[Profit ($)]]/CleanedData[[#This Row],[Total Sales ($)]]</f>
        <v>0.37710707222902334</v>
      </c>
      <c r="Q1375" s="8" t="s">
        <v>42</v>
      </c>
      <c r="R1375" s="8" t="s">
        <v>63</v>
      </c>
      <c r="S1375" s="8" t="b">
        <f>_xlfn.SINGLE(CleanedData[[#This Row],[Delivery Status]])="Late"</f>
        <v>0</v>
      </c>
      <c r="T1375" s="10">
        <v>1</v>
      </c>
      <c r="U1375" s="8" t="s">
        <v>112</v>
      </c>
      <c r="V1375" s="10">
        <v>3783</v>
      </c>
      <c r="W1375" s="10">
        <v>0</v>
      </c>
      <c r="X1375" s="12">
        <v>0</v>
      </c>
      <c r="Y1375" s="8" t="b">
        <f>CleanedData[[#This Row],[Ship Date]]&lt;CleanedData[[#This Row],[Order Date]]</f>
        <v>0</v>
      </c>
      <c r="Z1375" s="10">
        <f>YEAR(CleanedData[[#This Row],[Order Date]])</f>
        <v>2023</v>
      </c>
      <c r="AA1375" s="8">
        <f>MONTH(CleanedData[[#This Row],[Order Date]])</f>
        <v>10</v>
      </c>
    </row>
    <row r="1376" spans="1:27" x14ac:dyDescent="0.35">
      <c r="A1376" s="8" t="s">
        <v>3627</v>
      </c>
      <c r="B1376" s="9">
        <v>44958</v>
      </c>
      <c r="C1376" s="9">
        <v>45120</v>
      </c>
      <c r="D1376" s="8" t="s">
        <v>3628</v>
      </c>
      <c r="E1376" s="8" t="s">
        <v>58</v>
      </c>
      <c r="F1376" s="8" t="s">
        <v>122</v>
      </c>
      <c r="G1376" s="8" t="s">
        <v>78</v>
      </c>
      <c r="H1376" s="8" t="s">
        <v>425</v>
      </c>
      <c r="I1376" s="8" t="s">
        <v>4968</v>
      </c>
      <c r="J1376" s="10">
        <v>375</v>
      </c>
      <c r="K1376" s="11">
        <v>540.20000000000005</v>
      </c>
      <c r="L1376" s="11">
        <v>615.83000000000004</v>
      </c>
      <c r="M1376" s="11">
        <v>230936.25</v>
      </c>
      <c r="N1376" s="11">
        <v>202575</v>
      </c>
      <c r="O1376" s="11">
        <f>CleanedData[[#This Row],[Total Sales ($)]]-CleanedData[[#This Row],[Total Cost ($)]]</f>
        <v>28361.25</v>
      </c>
      <c r="P1376" s="12">
        <f>CleanedData[[#This Row],[Profit ($)]]/CleanedData[[#This Row],[Total Sales ($)]]</f>
        <v>0.12280986635922252</v>
      </c>
      <c r="Q1376" s="8" t="s">
        <v>95</v>
      </c>
      <c r="R1376" s="8" t="s">
        <v>32</v>
      </c>
      <c r="S1376" s="8" t="b">
        <f>_xlfn.SINGLE(CleanedData[[#This Row],[Delivery Status]])="Late"</f>
        <v>1</v>
      </c>
      <c r="T1376" s="10">
        <v>12</v>
      </c>
      <c r="U1376" s="8" t="s">
        <v>33</v>
      </c>
      <c r="V1376" s="10">
        <v>1098</v>
      </c>
      <c r="W1376" s="10">
        <v>7</v>
      </c>
      <c r="X1376" s="12">
        <v>1.8666666666666599E-2</v>
      </c>
      <c r="Y1376" s="8" t="b">
        <f>CleanedData[[#This Row],[Ship Date]]&lt;CleanedData[[#This Row],[Order Date]]</f>
        <v>0</v>
      </c>
      <c r="Z1376" s="10">
        <f>YEAR(CleanedData[[#This Row],[Order Date]])</f>
        <v>2023</v>
      </c>
      <c r="AA1376" s="8">
        <f>MONTH(CleanedData[[#This Row],[Order Date]])</f>
        <v>2</v>
      </c>
    </row>
    <row r="1377" spans="1:27" x14ac:dyDescent="0.35">
      <c r="A1377" s="8" t="s">
        <v>3629</v>
      </c>
      <c r="B1377" s="9">
        <v>45181</v>
      </c>
      <c r="C1377" s="9">
        <v>44958</v>
      </c>
      <c r="D1377" s="8" t="s">
        <v>3630</v>
      </c>
      <c r="E1377" s="8" t="s">
        <v>100</v>
      </c>
      <c r="F1377" s="8" t="s">
        <v>101</v>
      </c>
      <c r="G1377" s="8" t="s">
        <v>60</v>
      </c>
      <c r="H1377" s="8" t="s">
        <v>780</v>
      </c>
      <c r="I1377" s="8" t="s">
        <v>4979</v>
      </c>
      <c r="J1377" s="10">
        <v>677</v>
      </c>
      <c r="K1377" s="11">
        <v>747.67</v>
      </c>
      <c r="L1377" s="11">
        <v>1133.5</v>
      </c>
      <c r="M1377" s="11">
        <v>767379.5</v>
      </c>
      <c r="N1377" s="11">
        <v>506172.59</v>
      </c>
      <c r="O1377" s="11">
        <f>CleanedData[[#This Row],[Total Sales ($)]]-CleanedData[[#This Row],[Total Cost ($)]]</f>
        <v>261206.90999999997</v>
      </c>
      <c r="P1377" s="12">
        <f>CleanedData[[#This Row],[Profit ($)]]/CleanedData[[#This Row],[Total Sales ($)]]</f>
        <v>0.34038817820908684</v>
      </c>
      <c r="Q1377" s="8" t="s">
        <v>31</v>
      </c>
      <c r="R1377" s="8" t="s">
        <v>32</v>
      </c>
      <c r="S1377" s="8" t="b">
        <f>_xlfn.SINGLE(CleanedData[[#This Row],[Delivery Status]])="Late"</f>
        <v>1</v>
      </c>
      <c r="T1377" s="10">
        <v>8</v>
      </c>
      <c r="U1377" s="8" t="s">
        <v>86</v>
      </c>
      <c r="V1377" s="10">
        <v>4847</v>
      </c>
      <c r="W1377" s="10">
        <v>9</v>
      </c>
      <c r="X1377" s="12">
        <v>1.32939438700147E-2</v>
      </c>
      <c r="Y1377" s="8" t="b">
        <f>CleanedData[[#This Row],[Ship Date]]&lt;CleanedData[[#This Row],[Order Date]]</f>
        <v>1</v>
      </c>
      <c r="Z1377" s="10">
        <f>YEAR(CleanedData[[#This Row],[Order Date]])</f>
        <v>2023</v>
      </c>
      <c r="AA1377" s="8">
        <f>MONTH(CleanedData[[#This Row],[Order Date]])</f>
        <v>9</v>
      </c>
    </row>
    <row r="1378" spans="1:27" x14ac:dyDescent="0.35">
      <c r="A1378" s="8" t="s">
        <v>3631</v>
      </c>
      <c r="B1378" s="9">
        <v>45285</v>
      </c>
      <c r="C1378" s="9">
        <v>45469</v>
      </c>
      <c r="D1378" s="8" t="s">
        <v>3633</v>
      </c>
      <c r="E1378" s="8" t="s">
        <v>26</v>
      </c>
      <c r="F1378" s="8" t="s">
        <v>92</v>
      </c>
      <c r="G1378" s="8" t="s">
        <v>78</v>
      </c>
      <c r="H1378" s="8" t="s">
        <v>79</v>
      </c>
      <c r="I1378" s="8" t="s">
        <v>4967</v>
      </c>
      <c r="J1378" s="10">
        <v>710</v>
      </c>
      <c r="K1378" s="11">
        <v>206.37</v>
      </c>
      <c r="L1378" s="11">
        <v>271.52999999999997</v>
      </c>
      <c r="M1378" s="11">
        <v>192786.3</v>
      </c>
      <c r="N1378" s="11">
        <v>146522.70000000001</v>
      </c>
      <c r="O1378" s="11">
        <f>CleanedData[[#This Row],[Total Sales ($)]]-CleanedData[[#This Row],[Total Cost ($)]]</f>
        <v>46263.599999999977</v>
      </c>
      <c r="P1378" s="12">
        <f>CleanedData[[#This Row],[Profit ($)]]/CleanedData[[#This Row],[Total Sales ($)]]</f>
        <v>0.23997348359297305</v>
      </c>
      <c r="Q1378" s="8" t="s">
        <v>52</v>
      </c>
      <c r="R1378" s="8" t="s">
        <v>63</v>
      </c>
      <c r="S1378" s="8" t="b">
        <f>_xlfn.SINGLE(CleanedData[[#This Row],[Delivery Status]])="Late"</f>
        <v>0</v>
      </c>
      <c r="T1378" s="10">
        <v>3</v>
      </c>
      <c r="U1378" s="8" t="s">
        <v>43</v>
      </c>
      <c r="V1378" s="10">
        <v>1044</v>
      </c>
      <c r="W1378" s="10">
        <v>27</v>
      </c>
      <c r="X1378" s="12">
        <v>3.8028169014084498E-2</v>
      </c>
      <c r="Y1378" s="8" t="b">
        <f>CleanedData[[#This Row],[Ship Date]]&lt;CleanedData[[#This Row],[Order Date]]</f>
        <v>0</v>
      </c>
      <c r="Z1378" s="10">
        <f>YEAR(CleanedData[[#This Row],[Order Date]])</f>
        <v>2023</v>
      </c>
      <c r="AA1378" s="8">
        <f>MONTH(CleanedData[[#This Row],[Order Date]])</f>
        <v>12</v>
      </c>
    </row>
    <row r="1379" spans="1:27" x14ac:dyDescent="0.35">
      <c r="A1379" s="8" t="s">
        <v>3634</v>
      </c>
      <c r="B1379" s="9">
        <v>45580</v>
      </c>
      <c r="C1379" s="9">
        <v>45325</v>
      </c>
      <c r="D1379" s="8" t="s">
        <v>3635</v>
      </c>
      <c r="E1379" s="8" t="s">
        <v>26</v>
      </c>
      <c r="F1379" s="8" t="s">
        <v>228</v>
      </c>
      <c r="G1379" s="8" t="s">
        <v>28</v>
      </c>
      <c r="H1379" s="8" t="s">
        <v>579</v>
      </c>
      <c r="I1379" s="8" t="s">
        <v>4968</v>
      </c>
      <c r="J1379" s="10">
        <v>714</v>
      </c>
      <c r="K1379" s="11">
        <v>289.33</v>
      </c>
      <c r="L1379" s="11">
        <v>388.95</v>
      </c>
      <c r="M1379" s="11">
        <v>277710.3</v>
      </c>
      <c r="N1379" s="11">
        <v>206581.62</v>
      </c>
      <c r="O1379" s="11">
        <f>CleanedData[[#This Row],[Total Sales ($)]]-CleanedData[[#This Row],[Total Cost ($)]]</f>
        <v>71128.679999999993</v>
      </c>
      <c r="P1379" s="12">
        <f>CleanedData[[#This Row],[Profit ($)]]/CleanedData[[#This Row],[Total Sales ($)]]</f>
        <v>0.25612546599820024</v>
      </c>
      <c r="Q1379" s="8" t="s">
        <v>95</v>
      </c>
      <c r="R1379" s="8" t="s">
        <v>32</v>
      </c>
      <c r="S1379" s="8" t="b">
        <f>_xlfn.SINGLE(CleanedData[[#This Row],[Delivery Status]])="Late"</f>
        <v>1</v>
      </c>
      <c r="T1379" s="10">
        <v>10</v>
      </c>
      <c r="U1379" s="8" t="s">
        <v>33</v>
      </c>
      <c r="V1379" s="10">
        <v>3568</v>
      </c>
      <c r="W1379" s="10">
        <v>12</v>
      </c>
      <c r="X1379" s="12">
        <v>1.6806722689075598E-2</v>
      </c>
      <c r="Y1379" s="8" t="b">
        <f>CleanedData[[#This Row],[Ship Date]]&lt;CleanedData[[#This Row],[Order Date]]</f>
        <v>1</v>
      </c>
      <c r="Z1379" s="10">
        <f>YEAR(CleanedData[[#This Row],[Order Date]])</f>
        <v>2024</v>
      </c>
      <c r="AA1379" s="8">
        <f>MONTH(CleanedData[[#This Row],[Order Date]])</f>
        <v>10</v>
      </c>
    </row>
    <row r="1380" spans="1:27" x14ac:dyDescent="0.35">
      <c r="A1380" s="8" t="s">
        <v>3636</v>
      </c>
      <c r="B1380" s="9">
        <v>45110</v>
      </c>
      <c r="C1380" s="9">
        <v>44963</v>
      </c>
      <c r="D1380" s="8" t="s">
        <v>3637</v>
      </c>
      <c r="E1380" s="8" t="s">
        <v>48</v>
      </c>
      <c r="F1380" s="8" t="s">
        <v>281</v>
      </c>
      <c r="G1380" s="8" t="s">
        <v>28</v>
      </c>
      <c r="H1380" s="8" t="s">
        <v>674</v>
      </c>
      <c r="I1380" s="8" t="s">
        <v>4976</v>
      </c>
      <c r="J1380" s="10">
        <v>246</v>
      </c>
      <c r="K1380" s="11">
        <v>28.42</v>
      </c>
      <c r="L1380" s="11">
        <v>40.94</v>
      </c>
      <c r="M1380" s="11">
        <v>10071.24</v>
      </c>
      <c r="N1380" s="11">
        <v>6991.32</v>
      </c>
      <c r="O1380" s="11">
        <f>CleanedData[[#This Row],[Total Sales ($)]]-CleanedData[[#This Row],[Total Cost ($)]]</f>
        <v>3079.92</v>
      </c>
      <c r="P1380" s="12">
        <f>CleanedData[[#This Row],[Profit ($)]]/CleanedData[[#This Row],[Total Sales ($)]]</f>
        <v>0.3058133854421104</v>
      </c>
      <c r="Q1380" s="8" t="s">
        <v>95</v>
      </c>
      <c r="R1380" s="8" t="s">
        <v>32</v>
      </c>
      <c r="S1380" s="8" t="b">
        <f>_xlfn.SINGLE(CleanedData[[#This Row],[Delivery Status]])="Late"</f>
        <v>1</v>
      </c>
      <c r="T1380" s="10">
        <v>13</v>
      </c>
      <c r="U1380" s="8" t="s">
        <v>53</v>
      </c>
      <c r="V1380" s="10">
        <v>3393</v>
      </c>
      <c r="W1380" s="10">
        <v>9</v>
      </c>
      <c r="X1380" s="12">
        <v>3.65853658536585E-2</v>
      </c>
      <c r="Y1380" s="8" t="b">
        <f>CleanedData[[#This Row],[Ship Date]]&lt;CleanedData[[#This Row],[Order Date]]</f>
        <v>1</v>
      </c>
      <c r="Z1380" s="10">
        <f>YEAR(CleanedData[[#This Row],[Order Date]])</f>
        <v>2023</v>
      </c>
      <c r="AA1380" s="8">
        <f>MONTH(CleanedData[[#This Row],[Order Date]])</f>
        <v>7</v>
      </c>
    </row>
    <row r="1381" spans="1:27" x14ac:dyDescent="0.35">
      <c r="A1381" s="8" t="s">
        <v>3638</v>
      </c>
      <c r="B1381" s="9">
        <v>45265</v>
      </c>
      <c r="C1381" s="9">
        <v>44929</v>
      </c>
      <c r="D1381" s="8" t="s">
        <v>3639</v>
      </c>
      <c r="E1381" s="8" t="s">
        <v>48</v>
      </c>
      <c r="F1381" s="8" t="s">
        <v>270</v>
      </c>
      <c r="G1381" s="8" t="s">
        <v>129</v>
      </c>
      <c r="H1381" s="8" t="s">
        <v>345</v>
      </c>
      <c r="I1381" s="8" t="s">
        <v>4975</v>
      </c>
      <c r="J1381" s="10">
        <v>97</v>
      </c>
      <c r="K1381" s="11">
        <v>761.67</v>
      </c>
      <c r="L1381" s="11">
        <v>1082.55</v>
      </c>
      <c r="M1381" s="11">
        <v>105007.35</v>
      </c>
      <c r="N1381" s="11">
        <v>73881.990000000005</v>
      </c>
      <c r="O1381" s="11">
        <f>CleanedData[[#This Row],[Total Sales ($)]]-CleanedData[[#This Row],[Total Cost ($)]]</f>
        <v>31125.360000000001</v>
      </c>
      <c r="P1381" s="12">
        <f>CleanedData[[#This Row],[Profit ($)]]/CleanedData[[#This Row],[Total Sales ($)]]</f>
        <v>0.29641125121241513</v>
      </c>
      <c r="Q1381" s="8" t="s">
        <v>31</v>
      </c>
      <c r="R1381" s="8" t="s">
        <v>63</v>
      </c>
      <c r="S1381" s="8" t="b">
        <f>_xlfn.SINGLE(CleanedData[[#This Row],[Delivery Status]])="Late"</f>
        <v>0</v>
      </c>
      <c r="T1381" s="10">
        <v>2</v>
      </c>
      <c r="U1381" s="8" t="s">
        <v>53</v>
      </c>
      <c r="V1381" s="10">
        <v>562</v>
      </c>
      <c r="W1381" s="10">
        <v>2</v>
      </c>
      <c r="X1381" s="12">
        <v>2.06185567010309E-2</v>
      </c>
      <c r="Y1381" s="8" t="b">
        <f>CleanedData[[#This Row],[Ship Date]]&lt;CleanedData[[#This Row],[Order Date]]</f>
        <v>1</v>
      </c>
      <c r="Z1381" s="10">
        <f>YEAR(CleanedData[[#This Row],[Order Date]])</f>
        <v>2023</v>
      </c>
      <c r="AA1381" s="8">
        <f>MONTH(CleanedData[[#This Row],[Order Date]])</f>
        <v>12</v>
      </c>
    </row>
    <row r="1382" spans="1:27" x14ac:dyDescent="0.35">
      <c r="A1382" s="8" t="s">
        <v>3640</v>
      </c>
      <c r="B1382" s="9">
        <v>45093</v>
      </c>
      <c r="C1382" s="9">
        <v>45243</v>
      </c>
      <c r="D1382" s="8" t="s">
        <v>3641</v>
      </c>
      <c r="E1382" s="8" t="s">
        <v>100</v>
      </c>
      <c r="F1382" s="8" t="s">
        <v>330</v>
      </c>
      <c r="G1382" s="8" t="s">
        <v>189</v>
      </c>
      <c r="H1382" s="8" t="s">
        <v>437</v>
      </c>
      <c r="I1382" s="8" t="s">
        <v>4971</v>
      </c>
      <c r="J1382" s="10">
        <v>488</v>
      </c>
      <c r="K1382" s="11">
        <v>1065.6099999999999</v>
      </c>
      <c r="L1382" s="11">
        <v>1724.81</v>
      </c>
      <c r="M1382" s="11">
        <v>841707.28</v>
      </c>
      <c r="N1382" s="11">
        <v>520017.68</v>
      </c>
      <c r="O1382" s="11">
        <f>CleanedData[[#This Row],[Total Sales ($)]]-CleanedData[[#This Row],[Total Cost ($)]]</f>
        <v>321689.60000000003</v>
      </c>
      <c r="P1382" s="12">
        <f>CleanedData[[#This Row],[Profit ($)]]/CleanedData[[#This Row],[Total Sales ($)]]</f>
        <v>0.38218702349824041</v>
      </c>
      <c r="Q1382" s="8" t="s">
        <v>52</v>
      </c>
      <c r="R1382" s="8" t="s">
        <v>63</v>
      </c>
      <c r="S1382" s="8" t="b">
        <f>_xlfn.SINGLE(CleanedData[[#This Row],[Delivery Status]])="Late"</f>
        <v>0</v>
      </c>
      <c r="T1382" s="10">
        <v>5</v>
      </c>
      <c r="U1382" s="8" t="s">
        <v>112</v>
      </c>
      <c r="V1382" s="10">
        <v>4735</v>
      </c>
      <c r="W1382" s="10">
        <v>24</v>
      </c>
      <c r="X1382" s="12">
        <v>4.9180327868852403E-2</v>
      </c>
      <c r="Y1382" s="8" t="b">
        <f>CleanedData[[#This Row],[Ship Date]]&lt;CleanedData[[#This Row],[Order Date]]</f>
        <v>0</v>
      </c>
      <c r="Z1382" s="10">
        <f>YEAR(CleanedData[[#This Row],[Order Date]])</f>
        <v>2023</v>
      </c>
      <c r="AA1382" s="8">
        <f>MONTH(CleanedData[[#This Row],[Order Date]])</f>
        <v>6</v>
      </c>
    </row>
    <row r="1383" spans="1:27" x14ac:dyDescent="0.35">
      <c r="A1383" s="8" t="s">
        <v>397</v>
      </c>
      <c r="B1383" s="9">
        <v>45174</v>
      </c>
      <c r="C1383" s="9">
        <v>45004</v>
      </c>
      <c r="D1383" s="8" t="s">
        <v>399</v>
      </c>
      <c r="E1383" s="8" t="s">
        <v>68</v>
      </c>
      <c r="F1383" s="8" t="s">
        <v>276</v>
      </c>
      <c r="G1383" s="8" t="s">
        <v>60</v>
      </c>
      <c r="H1383" s="8" t="s">
        <v>400</v>
      </c>
      <c r="I1383" s="8" t="s">
        <v>4971</v>
      </c>
      <c r="J1383" s="10">
        <v>551</v>
      </c>
      <c r="K1383" s="11">
        <v>291.83</v>
      </c>
      <c r="L1383" s="11">
        <v>451.32</v>
      </c>
      <c r="M1383" s="11">
        <v>248677.32</v>
      </c>
      <c r="N1383" s="11">
        <v>160798.32999999999</v>
      </c>
      <c r="O1383" s="11">
        <f>CleanedData[[#This Row],[Total Sales ($)]]-CleanedData[[#This Row],[Total Cost ($)]]</f>
        <v>87878.99000000002</v>
      </c>
      <c r="P1383" s="12">
        <f>CleanedData[[#This Row],[Profit ($)]]/CleanedData[[#This Row],[Total Sales ($)]]</f>
        <v>0.35338562439067633</v>
      </c>
      <c r="Q1383" s="8" t="s">
        <v>52</v>
      </c>
      <c r="R1383" s="8" t="s">
        <v>32</v>
      </c>
      <c r="S1383" s="8" t="b">
        <f>_xlfn.SINGLE(CleanedData[[#This Row],[Delivery Status]])="Late"</f>
        <v>1</v>
      </c>
      <c r="T1383" s="10">
        <v>8</v>
      </c>
      <c r="U1383" s="8" t="s">
        <v>33</v>
      </c>
      <c r="V1383" s="10">
        <v>3415</v>
      </c>
      <c r="W1383" s="10">
        <v>11</v>
      </c>
      <c r="X1383" s="12">
        <v>1.9963702359346601E-2</v>
      </c>
      <c r="Y1383" s="8" t="b">
        <f>CleanedData[[#This Row],[Ship Date]]&lt;CleanedData[[#This Row],[Order Date]]</f>
        <v>1</v>
      </c>
      <c r="Z1383" s="10">
        <f>YEAR(CleanedData[[#This Row],[Order Date]])</f>
        <v>2023</v>
      </c>
      <c r="AA1383" s="8">
        <f>MONTH(CleanedData[[#This Row],[Order Date]])</f>
        <v>9</v>
      </c>
    </row>
    <row r="1384" spans="1:27" x14ac:dyDescent="0.35">
      <c r="A1384" s="8" t="s">
        <v>3642</v>
      </c>
      <c r="B1384" s="9">
        <v>45525</v>
      </c>
      <c r="C1384" s="9">
        <v>45561</v>
      </c>
      <c r="D1384" s="8" t="s">
        <v>3643</v>
      </c>
      <c r="E1384" s="8" t="s">
        <v>68</v>
      </c>
      <c r="F1384" s="8" t="s">
        <v>163</v>
      </c>
      <c r="G1384" s="8" t="s">
        <v>60</v>
      </c>
      <c r="H1384" s="8" t="s">
        <v>400</v>
      </c>
      <c r="I1384" s="8" t="s">
        <v>4969</v>
      </c>
      <c r="J1384" s="10">
        <v>245</v>
      </c>
      <c r="K1384" s="11">
        <v>694.45</v>
      </c>
      <c r="L1384" s="11">
        <v>1051.26</v>
      </c>
      <c r="M1384" s="11">
        <v>257558.7</v>
      </c>
      <c r="N1384" s="11">
        <v>170140.25</v>
      </c>
      <c r="O1384" s="11">
        <f>CleanedData[[#This Row],[Total Sales ($)]]-CleanedData[[#This Row],[Total Cost ($)]]</f>
        <v>87418.450000000012</v>
      </c>
      <c r="P1384" s="12">
        <f>CleanedData[[#This Row],[Profit ($)]]/CleanedData[[#This Row],[Total Sales ($)]]</f>
        <v>0.33941175351482983</v>
      </c>
      <c r="Q1384" s="8" t="s">
        <v>31</v>
      </c>
      <c r="R1384" s="8" t="s">
        <v>32</v>
      </c>
      <c r="S1384" s="8" t="b">
        <f>_xlfn.SINGLE(CleanedData[[#This Row],[Delivery Status]])="Late"</f>
        <v>1</v>
      </c>
      <c r="T1384" s="10">
        <v>15</v>
      </c>
      <c r="U1384" s="8" t="s">
        <v>43</v>
      </c>
      <c r="V1384" s="10">
        <v>1177</v>
      </c>
      <c r="W1384" s="10">
        <v>2</v>
      </c>
      <c r="X1384" s="12">
        <v>8.1632653061223994E-3</v>
      </c>
      <c r="Y1384" s="8" t="b">
        <f>CleanedData[[#This Row],[Ship Date]]&lt;CleanedData[[#This Row],[Order Date]]</f>
        <v>0</v>
      </c>
      <c r="Z1384" s="10">
        <f>YEAR(CleanedData[[#This Row],[Order Date]])</f>
        <v>2024</v>
      </c>
      <c r="AA1384" s="8">
        <f>MONTH(CleanedData[[#This Row],[Order Date]])</f>
        <v>8</v>
      </c>
    </row>
    <row r="1385" spans="1:27" x14ac:dyDescent="0.35">
      <c r="A1385" s="8" t="s">
        <v>3644</v>
      </c>
      <c r="B1385" s="9">
        <v>44995</v>
      </c>
      <c r="C1385" s="9">
        <v>45160</v>
      </c>
      <c r="D1385" s="8" t="s">
        <v>3645</v>
      </c>
      <c r="E1385" s="8" t="s">
        <v>26</v>
      </c>
      <c r="F1385" s="8" t="s">
        <v>77</v>
      </c>
      <c r="G1385" s="8" t="s">
        <v>60</v>
      </c>
      <c r="H1385" s="8" t="s">
        <v>780</v>
      </c>
      <c r="I1385" s="8" t="s">
        <v>4973</v>
      </c>
      <c r="J1385" s="10">
        <v>104</v>
      </c>
      <c r="K1385" s="11">
        <v>800.02</v>
      </c>
      <c r="L1385" s="11">
        <v>954.3</v>
      </c>
      <c r="M1385" s="11">
        <v>99247.2</v>
      </c>
      <c r="N1385" s="11">
        <v>83202.080000000002</v>
      </c>
      <c r="O1385" s="11">
        <f>CleanedData[[#This Row],[Total Sales ($)]]-CleanedData[[#This Row],[Total Cost ($)]]</f>
        <v>16045.119999999995</v>
      </c>
      <c r="P1385" s="12">
        <f>CleanedData[[#This Row],[Profit ($)]]/CleanedData[[#This Row],[Total Sales ($)]]</f>
        <v>0.16166823849942361</v>
      </c>
      <c r="Q1385" s="8" t="s">
        <v>52</v>
      </c>
      <c r="R1385" s="8" t="s">
        <v>63</v>
      </c>
      <c r="S1385" s="8" t="b">
        <f>_xlfn.SINGLE(CleanedData[[#This Row],[Delivery Status]])="Late"</f>
        <v>0</v>
      </c>
      <c r="T1385" s="10">
        <v>4</v>
      </c>
      <c r="U1385" s="8" t="s">
        <v>112</v>
      </c>
      <c r="V1385" s="10">
        <v>1985</v>
      </c>
      <c r="W1385" s="10">
        <v>1</v>
      </c>
      <c r="X1385" s="12">
        <v>9.6153846153846003E-3</v>
      </c>
      <c r="Y1385" s="8" t="b">
        <f>CleanedData[[#This Row],[Ship Date]]&lt;CleanedData[[#This Row],[Order Date]]</f>
        <v>0</v>
      </c>
      <c r="Z1385" s="10">
        <f>YEAR(CleanedData[[#This Row],[Order Date]])</f>
        <v>2023</v>
      </c>
      <c r="AA1385" s="8">
        <f>MONTH(CleanedData[[#This Row],[Order Date]])</f>
        <v>3</v>
      </c>
    </row>
    <row r="1386" spans="1:27" x14ac:dyDescent="0.35">
      <c r="A1386" s="8" t="s">
        <v>3646</v>
      </c>
      <c r="B1386" s="9">
        <v>45314</v>
      </c>
      <c r="C1386" s="9">
        <v>45587</v>
      </c>
      <c r="D1386" s="8" t="s">
        <v>1958</v>
      </c>
      <c r="E1386" s="8" t="s">
        <v>100</v>
      </c>
      <c r="F1386" s="8" t="s">
        <v>238</v>
      </c>
      <c r="G1386" s="8" t="s">
        <v>50</v>
      </c>
      <c r="H1386" s="8" t="s">
        <v>173</v>
      </c>
      <c r="I1386" s="8" t="s">
        <v>4979</v>
      </c>
      <c r="J1386" s="10">
        <v>382</v>
      </c>
      <c r="K1386" s="11">
        <v>169.12</v>
      </c>
      <c r="L1386" s="11">
        <v>251.44</v>
      </c>
      <c r="M1386" s="11">
        <v>96050.08</v>
      </c>
      <c r="N1386" s="11">
        <v>64603.839999999997</v>
      </c>
      <c r="O1386" s="11">
        <f>CleanedData[[#This Row],[Total Sales ($)]]-CleanedData[[#This Row],[Total Cost ($)]]</f>
        <v>31446.240000000005</v>
      </c>
      <c r="P1386" s="12">
        <f>CleanedData[[#This Row],[Profit ($)]]/CleanedData[[#This Row],[Total Sales ($)]]</f>
        <v>0.32739420935412034</v>
      </c>
      <c r="Q1386" s="8" t="s">
        <v>95</v>
      </c>
      <c r="R1386" s="8" t="s">
        <v>32</v>
      </c>
      <c r="S1386" s="8" t="b">
        <f>_xlfn.SINGLE(CleanedData[[#This Row],[Delivery Status]])="Late"</f>
        <v>1</v>
      </c>
      <c r="T1386" s="10">
        <v>6</v>
      </c>
      <c r="U1386" s="8" t="s">
        <v>86</v>
      </c>
      <c r="V1386" s="10">
        <v>4236</v>
      </c>
      <c r="W1386" s="10">
        <v>1</v>
      </c>
      <c r="X1386" s="12">
        <v>2.6178010471203999E-3</v>
      </c>
      <c r="Y1386" s="8" t="b">
        <f>CleanedData[[#This Row],[Ship Date]]&lt;CleanedData[[#This Row],[Order Date]]</f>
        <v>0</v>
      </c>
      <c r="Z1386" s="10">
        <f>YEAR(CleanedData[[#This Row],[Order Date]])</f>
        <v>2024</v>
      </c>
      <c r="AA1386" s="8">
        <f>MONTH(CleanedData[[#This Row],[Order Date]])</f>
        <v>1</v>
      </c>
    </row>
    <row r="1387" spans="1:27" x14ac:dyDescent="0.35">
      <c r="A1387" s="8" t="s">
        <v>3647</v>
      </c>
      <c r="B1387" s="9">
        <v>45141</v>
      </c>
      <c r="C1387" s="9">
        <v>45225</v>
      </c>
      <c r="D1387" s="8" t="s">
        <v>1489</v>
      </c>
      <c r="E1387" s="8" t="s">
        <v>58</v>
      </c>
      <c r="F1387" s="8" t="s">
        <v>259</v>
      </c>
      <c r="G1387" s="8" t="s">
        <v>28</v>
      </c>
      <c r="H1387" s="8" t="s">
        <v>29</v>
      </c>
      <c r="I1387" s="8" t="s">
        <v>4971</v>
      </c>
      <c r="J1387" s="10">
        <v>331</v>
      </c>
      <c r="K1387" s="11">
        <v>717.59</v>
      </c>
      <c r="L1387" s="11"/>
      <c r="M1387" s="11">
        <v>288403.61</v>
      </c>
      <c r="N1387" s="11">
        <v>237522.29</v>
      </c>
      <c r="O1387" s="11">
        <f>CleanedData[[#This Row],[Total Sales ($)]]-CleanedData[[#This Row],[Total Cost ($)]]</f>
        <v>50881.319999999978</v>
      </c>
      <c r="P1387" s="12">
        <f>CleanedData[[#This Row],[Profit ($)]]/CleanedData[[#This Row],[Total Sales ($)]]</f>
        <v>0.17642400523349891</v>
      </c>
      <c r="Q1387" s="8" t="s">
        <v>95</v>
      </c>
      <c r="R1387" s="8" t="s">
        <v>63</v>
      </c>
      <c r="S1387" s="8" t="b">
        <f>_xlfn.SINGLE(CleanedData[[#This Row],[Delivery Status]])="Late"</f>
        <v>0</v>
      </c>
      <c r="T1387" s="10">
        <v>3</v>
      </c>
      <c r="U1387" s="8" t="s">
        <v>43</v>
      </c>
      <c r="V1387" s="10">
        <v>1761</v>
      </c>
      <c r="W1387" s="10">
        <v>5</v>
      </c>
      <c r="X1387" s="12">
        <v>1.51057401812688E-2</v>
      </c>
      <c r="Y1387" s="8" t="b">
        <f>CleanedData[[#This Row],[Ship Date]]&lt;CleanedData[[#This Row],[Order Date]]</f>
        <v>0</v>
      </c>
      <c r="Z1387" s="10">
        <f>YEAR(CleanedData[[#This Row],[Order Date]])</f>
        <v>2023</v>
      </c>
      <c r="AA1387" s="8">
        <f>MONTH(CleanedData[[#This Row],[Order Date]])</f>
        <v>8</v>
      </c>
    </row>
    <row r="1388" spans="1:27" x14ac:dyDescent="0.35">
      <c r="A1388" s="8" t="s">
        <v>3648</v>
      </c>
      <c r="B1388" s="9">
        <v>44995</v>
      </c>
      <c r="C1388" s="9">
        <v>45232</v>
      </c>
      <c r="D1388" s="8" t="s">
        <v>3649</v>
      </c>
      <c r="E1388" s="8" t="s">
        <v>58</v>
      </c>
      <c r="F1388" s="8" t="s">
        <v>259</v>
      </c>
      <c r="G1388" s="8" t="s">
        <v>70</v>
      </c>
      <c r="H1388" s="8" t="s">
        <v>84</v>
      </c>
      <c r="I1388" s="8" t="s">
        <v>4971</v>
      </c>
      <c r="J1388" s="10">
        <v>743</v>
      </c>
      <c r="K1388" s="11">
        <v>258.91000000000003</v>
      </c>
      <c r="L1388" s="11">
        <v>299.27</v>
      </c>
      <c r="M1388" s="11">
        <v>222357.61</v>
      </c>
      <c r="N1388" s="11">
        <v>192370.13</v>
      </c>
      <c r="O1388" s="11">
        <f>CleanedData[[#This Row],[Total Sales ($)]]-CleanedData[[#This Row],[Total Cost ($)]]</f>
        <v>29987.479999999981</v>
      </c>
      <c r="P1388" s="12">
        <f>CleanedData[[#This Row],[Profit ($)]]/CleanedData[[#This Row],[Total Sales ($)]]</f>
        <v>0.13486149630768196</v>
      </c>
      <c r="Q1388" s="8" t="s">
        <v>42</v>
      </c>
      <c r="R1388" s="8" t="s">
        <v>32</v>
      </c>
      <c r="S1388" s="8" t="b">
        <f>_xlfn.SINGLE(CleanedData[[#This Row],[Delivery Status]])="Late"</f>
        <v>1</v>
      </c>
      <c r="T1388" s="10">
        <v>11</v>
      </c>
      <c r="U1388" s="8" t="s">
        <v>53</v>
      </c>
      <c r="V1388" s="10">
        <v>4206</v>
      </c>
      <c r="W1388" s="10">
        <v>15</v>
      </c>
      <c r="X1388" s="12">
        <v>2.0188425302826302E-2</v>
      </c>
      <c r="Y1388" s="8" t="b">
        <f>CleanedData[[#This Row],[Ship Date]]&lt;CleanedData[[#This Row],[Order Date]]</f>
        <v>0</v>
      </c>
      <c r="Z1388" s="10">
        <f>YEAR(CleanedData[[#This Row],[Order Date]])</f>
        <v>2023</v>
      </c>
      <c r="AA1388" s="8">
        <f>MONTH(CleanedData[[#This Row],[Order Date]])</f>
        <v>3</v>
      </c>
    </row>
    <row r="1389" spans="1:27" x14ac:dyDescent="0.35">
      <c r="A1389" s="8" t="s">
        <v>3650</v>
      </c>
      <c r="B1389" s="9">
        <v>45470</v>
      </c>
      <c r="C1389" s="9">
        <v>45519</v>
      </c>
      <c r="D1389" s="8" t="s">
        <v>3652</v>
      </c>
      <c r="E1389" s="8" t="s">
        <v>58</v>
      </c>
      <c r="F1389" s="8" t="s">
        <v>59</v>
      </c>
      <c r="G1389" s="8" t="s">
        <v>28</v>
      </c>
      <c r="H1389" s="8" t="s">
        <v>254</v>
      </c>
      <c r="I1389" s="8" t="s">
        <v>4970</v>
      </c>
      <c r="J1389" s="10">
        <v>255</v>
      </c>
      <c r="K1389" s="11">
        <v>1005.78</v>
      </c>
      <c r="L1389" s="11">
        <v>1389.74</v>
      </c>
      <c r="M1389" s="11">
        <v>354383.7</v>
      </c>
      <c r="N1389" s="11">
        <v>256473.9</v>
      </c>
      <c r="O1389" s="11">
        <f>CleanedData[[#This Row],[Total Sales ($)]]-CleanedData[[#This Row],[Total Cost ($)]]</f>
        <v>97909.800000000017</v>
      </c>
      <c r="P1389" s="12">
        <f>CleanedData[[#This Row],[Profit ($)]]/CleanedData[[#This Row],[Total Sales ($)]]</f>
        <v>0.27628189445507795</v>
      </c>
      <c r="Q1389" s="8" t="s">
        <v>31</v>
      </c>
      <c r="R1389" s="8" t="s">
        <v>32</v>
      </c>
      <c r="S1389" s="8" t="b">
        <f>_xlfn.SINGLE(CleanedData[[#This Row],[Delivery Status]])="Late"</f>
        <v>1</v>
      </c>
      <c r="T1389" s="10">
        <v>10</v>
      </c>
      <c r="U1389" s="8" t="s">
        <v>112</v>
      </c>
      <c r="V1389" s="10">
        <v>3471</v>
      </c>
      <c r="W1389" s="10">
        <v>8</v>
      </c>
      <c r="X1389" s="12">
        <v>3.1372549019607801E-2</v>
      </c>
      <c r="Y1389" s="8" t="b">
        <f>CleanedData[[#This Row],[Ship Date]]&lt;CleanedData[[#This Row],[Order Date]]</f>
        <v>0</v>
      </c>
      <c r="Z1389" s="10">
        <f>YEAR(CleanedData[[#This Row],[Order Date]])</f>
        <v>2024</v>
      </c>
      <c r="AA1389" s="8">
        <f>MONTH(CleanedData[[#This Row],[Order Date]])</f>
        <v>6</v>
      </c>
    </row>
    <row r="1390" spans="1:27" x14ac:dyDescent="0.35">
      <c r="A1390" s="8" t="s">
        <v>3653</v>
      </c>
      <c r="B1390" s="9">
        <v>44953</v>
      </c>
      <c r="C1390" s="9">
        <v>45063</v>
      </c>
      <c r="D1390" s="8" t="s">
        <v>3639</v>
      </c>
      <c r="E1390" s="8" t="s">
        <v>48</v>
      </c>
      <c r="F1390" s="8" t="s">
        <v>270</v>
      </c>
      <c r="G1390" s="8" t="s">
        <v>129</v>
      </c>
      <c r="H1390" s="8" t="s">
        <v>345</v>
      </c>
      <c r="I1390" s="8" t="s">
        <v>4976</v>
      </c>
      <c r="J1390" s="10">
        <v>401</v>
      </c>
      <c r="K1390" s="11">
        <v>179.5</v>
      </c>
      <c r="L1390" s="11">
        <v>232.99</v>
      </c>
      <c r="M1390" s="11">
        <v>93428.99</v>
      </c>
      <c r="N1390" s="11">
        <v>71979.5</v>
      </c>
      <c r="O1390" s="11">
        <f>CleanedData[[#This Row],[Total Sales ($)]]-CleanedData[[#This Row],[Total Cost ($)]]</f>
        <v>21449.490000000005</v>
      </c>
      <c r="P1390" s="12">
        <f>CleanedData[[#This Row],[Profit ($)]]/CleanedData[[#This Row],[Total Sales ($)]]</f>
        <v>0.22958066869822744</v>
      </c>
      <c r="Q1390" s="8" t="s">
        <v>42</v>
      </c>
      <c r="R1390" s="8" t="s">
        <v>32</v>
      </c>
      <c r="S1390" s="8" t="b">
        <f>_xlfn.SINGLE(CleanedData[[#This Row],[Delivery Status]])="Late"</f>
        <v>1</v>
      </c>
      <c r="T1390" s="10">
        <v>15</v>
      </c>
      <c r="U1390" s="8" t="s">
        <v>158</v>
      </c>
      <c r="V1390" s="10">
        <v>1727</v>
      </c>
      <c r="W1390" s="10">
        <v>11</v>
      </c>
      <c r="X1390" s="12">
        <v>2.7431421446384E-2</v>
      </c>
      <c r="Y1390" s="8" t="b">
        <f>CleanedData[[#This Row],[Ship Date]]&lt;CleanedData[[#This Row],[Order Date]]</f>
        <v>0</v>
      </c>
      <c r="Z1390" s="10">
        <f>YEAR(CleanedData[[#This Row],[Order Date]])</f>
        <v>2023</v>
      </c>
      <c r="AA1390" s="8">
        <f>MONTH(CleanedData[[#This Row],[Order Date]])</f>
        <v>1</v>
      </c>
    </row>
    <row r="1391" spans="1:27" x14ac:dyDescent="0.35">
      <c r="A1391" s="8" t="s">
        <v>3654</v>
      </c>
      <c r="B1391" s="9">
        <v>44968</v>
      </c>
      <c r="C1391" s="9">
        <v>45279</v>
      </c>
      <c r="D1391" s="8" t="s">
        <v>3655</v>
      </c>
      <c r="E1391" s="8" t="s">
        <v>48</v>
      </c>
      <c r="F1391" s="8" t="s">
        <v>223</v>
      </c>
      <c r="G1391" s="8" t="s">
        <v>60</v>
      </c>
      <c r="H1391" s="8" t="s">
        <v>780</v>
      </c>
      <c r="I1391" s="8" t="s">
        <v>4973</v>
      </c>
      <c r="J1391" s="10">
        <v>75</v>
      </c>
      <c r="K1391" s="11">
        <v>422.67</v>
      </c>
      <c r="L1391" s="11">
        <v>595.83000000000004</v>
      </c>
      <c r="M1391" s="11">
        <v>44687.25</v>
      </c>
      <c r="N1391" s="11">
        <v>31700.25</v>
      </c>
      <c r="O1391" s="11">
        <f>CleanedData[[#This Row],[Total Sales ($)]]-CleanedData[[#This Row],[Total Cost ($)]]</f>
        <v>12987</v>
      </c>
      <c r="P1391" s="12">
        <f>CleanedData[[#This Row],[Profit ($)]]/CleanedData[[#This Row],[Total Sales ($)]]</f>
        <v>0.29061980766325968</v>
      </c>
      <c r="Q1391" s="8" t="s">
        <v>52</v>
      </c>
      <c r="R1391" s="8" t="s">
        <v>63</v>
      </c>
      <c r="S1391" s="8" t="b">
        <f>_xlfn.SINGLE(CleanedData[[#This Row],[Delivery Status]])="Late"</f>
        <v>0</v>
      </c>
      <c r="T1391" s="10">
        <v>4</v>
      </c>
      <c r="U1391" s="8" t="s">
        <v>43</v>
      </c>
      <c r="V1391" s="10">
        <v>670</v>
      </c>
      <c r="W1391" s="10">
        <v>3</v>
      </c>
      <c r="X1391" s="12">
        <v>0.04</v>
      </c>
      <c r="Y1391" s="8" t="b">
        <f>CleanedData[[#This Row],[Ship Date]]&lt;CleanedData[[#This Row],[Order Date]]</f>
        <v>0</v>
      </c>
      <c r="Z1391" s="10">
        <f>YEAR(CleanedData[[#This Row],[Order Date]])</f>
        <v>2023</v>
      </c>
      <c r="AA1391" s="8">
        <f>MONTH(CleanedData[[#This Row],[Order Date]])</f>
        <v>2</v>
      </c>
    </row>
    <row r="1392" spans="1:27" x14ac:dyDescent="0.35">
      <c r="A1392" s="8" t="s">
        <v>3656</v>
      </c>
      <c r="B1392" s="9">
        <v>45233</v>
      </c>
      <c r="C1392" s="9">
        <v>45036</v>
      </c>
      <c r="D1392" s="8" t="s">
        <v>3657</v>
      </c>
      <c r="E1392" s="8" t="s">
        <v>58</v>
      </c>
      <c r="F1392" s="8" t="s">
        <v>122</v>
      </c>
      <c r="G1392" s="8" t="s">
        <v>93</v>
      </c>
      <c r="H1392" s="8" t="s">
        <v>643</v>
      </c>
      <c r="I1392" s="8" t="s">
        <v>4978</v>
      </c>
      <c r="J1392" s="10">
        <v>180</v>
      </c>
      <c r="K1392" s="11">
        <v>1104.53</v>
      </c>
      <c r="L1392" s="11">
        <v>1494.92</v>
      </c>
      <c r="M1392" s="11">
        <v>269085.59999999998</v>
      </c>
      <c r="N1392" s="11">
        <v>198815.4</v>
      </c>
      <c r="O1392" s="11">
        <f>CleanedData[[#This Row],[Total Sales ($)]]-CleanedData[[#This Row],[Total Cost ($)]]</f>
        <v>70270.199999999983</v>
      </c>
      <c r="P1392" s="12">
        <f>CleanedData[[#This Row],[Profit ($)]]/CleanedData[[#This Row],[Total Sales ($)]]</f>
        <v>0.26114440906536801</v>
      </c>
      <c r="Q1392" s="8" t="s">
        <v>95</v>
      </c>
      <c r="R1392" s="8" t="s">
        <v>32</v>
      </c>
      <c r="S1392" s="8" t="b">
        <f>_xlfn.SINGLE(CleanedData[[#This Row],[Delivery Status]])="Late"</f>
        <v>1</v>
      </c>
      <c r="T1392" s="10">
        <v>10</v>
      </c>
      <c r="U1392" s="8" t="s">
        <v>53</v>
      </c>
      <c r="V1392" s="10">
        <v>913</v>
      </c>
      <c r="W1392" s="10">
        <v>7</v>
      </c>
      <c r="X1392" s="12">
        <v>3.8888888888888799E-2</v>
      </c>
      <c r="Y1392" s="8" t="b">
        <f>CleanedData[[#This Row],[Ship Date]]&lt;CleanedData[[#This Row],[Order Date]]</f>
        <v>1</v>
      </c>
      <c r="Z1392" s="10">
        <f>YEAR(CleanedData[[#This Row],[Order Date]])</f>
        <v>2023</v>
      </c>
      <c r="AA1392" s="8">
        <f>MONTH(CleanedData[[#This Row],[Order Date]])</f>
        <v>11</v>
      </c>
    </row>
    <row r="1393" spans="1:27" x14ac:dyDescent="0.35">
      <c r="A1393" s="8" t="s">
        <v>3658</v>
      </c>
      <c r="B1393" s="9">
        <v>45001</v>
      </c>
      <c r="C1393" s="9">
        <v>45056</v>
      </c>
      <c r="D1393" s="8" t="s">
        <v>3659</v>
      </c>
      <c r="E1393" s="8" t="s">
        <v>48</v>
      </c>
      <c r="F1393" s="8" t="s">
        <v>183</v>
      </c>
      <c r="G1393" s="8" t="s">
        <v>189</v>
      </c>
      <c r="H1393" s="8" t="s">
        <v>360</v>
      </c>
      <c r="I1393" s="8" t="s">
        <v>4979</v>
      </c>
      <c r="J1393" s="10">
        <v>386</v>
      </c>
      <c r="K1393" s="11">
        <v>456.64</v>
      </c>
      <c r="L1393" s="11">
        <v>559.19000000000005</v>
      </c>
      <c r="M1393" s="11">
        <v>215847.34</v>
      </c>
      <c r="N1393" s="11">
        <v>176263.04000000001</v>
      </c>
      <c r="O1393" s="11">
        <f>CleanedData[[#This Row],[Total Sales ($)]]-CleanedData[[#This Row],[Total Cost ($)]]</f>
        <v>39584.299999999988</v>
      </c>
      <c r="P1393" s="12">
        <f>CleanedData[[#This Row],[Profit ($)]]/CleanedData[[#This Row],[Total Sales ($)]]</f>
        <v>0.1833902609131064</v>
      </c>
      <c r="Q1393" s="8" t="s">
        <v>31</v>
      </c>
      <c r="R1393" s="8" t="s">
        <v>32</v>
      </c>
      <c r="S1393" s="8" t="b">
        <f>_xlfn.SINGLE(CleanedData[[#This Row],[Delivery Status]])="Late"</f>
        <v>1</v>
      </c>
      <c r="T1393" s="10">
        <v>8</v>
      </c>
      <c r="U1393" s="8" t="s">
        <v>158</v>
      </c>
      <c r="V1393" s="10">
        <v>1461</v>
      </c>
      <c r="W1393" s="10">
        <v>13</v>
      </c>
      <c r="X1393" s="12">
        <v>3.3678756476683898E-2</v>
      </c>
      <c r="Y1393" s="8" t="b">
        <f>CleanedData[[#This Row],[Ship Date]]&lt;CleanedData[[#This Row],[Order Date]]</f>
        <v>0</v>
      </c>
      <c r="Z1393" s="10">
        <f>YEAR(CleanedData[[#This Row],[Order Date]])</f>
        <v>2023</v>
      </c>
      <c r="AA1393" s="8">
        <f>MONTH(CleanedData[[#This Row],[Order Date]])</f>
        <v>3</v>
      </c>
    </row>
    <row r="1394" spans="1:27" x14ac:dyDescent="0.35">
      <c r="A1394" s="8" t="s">
        <v>3660</v>
      </c>
      <c r="B1394" s="9">
        <v>45151</v>
      </c>
      <c r="C1394" s="9">
        <v>45056</v>
      </c>
      <c r="D1394" s="8" t="s">
        <v>3661</v>
      </c>
      <c r="E1394" s="8" t="s">
        <v>58</v>
      </c>
      <c r="F1394" s="8" t="s">
        <v>116</v>
      </c>
      <c r="G1394" s="8" t="s">
        <v>189</v>
      </c>
      <c r="H1394" s="8" t="s">
        <v>561</v>
      </c>
      <c r="I1394" s="8" t="s">
        <v>4970</v>
      </c>
      <c r="J1394" s="10">
        <v>720</v>
      </c>
      <c r="K1394" s="11">
        <v>18.25</v>
      </c>
      <c r="L1394" s="11">
        <v>26.02</v>
      </c>
      <c r="M1394" s="11">
        <v>18734.400000000001</v>
      </c>
      <c r="N1394" s="11">
        <v>13140</v>
      </c>
      <c r="O1394" s="11">
        <f>CleanedData[[#This Row],[Total Sales ($)]]-CleanedData[[#This Row],[Total Cost ($)]]</f>
        <v>5594.4000000000015</v>
      </c>
      <c r="P1394" s="12">
        <f>CleanedData[[#This Row],[Profit ($)]]/CleanedData[[#This Row],[Total Sales ($)]]</f>
        <v>0.29861644888547278</v>
      </c>
      <c r="Q1394" s="8" t="s">
        <v>95</v>
      </c>
      <c r="R1394" s="8" t="s">
        <v>32</v>
      </c>
      <c r="S1394" s="8" t="b">
        <f>_xlfn.SINGLE(CleanedData[[#This Row],[Delivery Status]])="Late"</f>
        <v>1</v>
      </c>
      <c r="T1394" s="10">
        <v>10</v>
      </c>
      <c r="U1394" s="8" t="s">
        <v>53</v>
      </c>
      <c r="V1394" s="10">
        <v>2375</v>
      </c>
      <c r="W1394" s="10">
        <v>7</v>
      </c>
      <c r="X1394" s="12">
        <v>9.7222222222221998E-3</v>
      </c>
      <c r="Y1394" s="8" t="b">
        <f>CleanedData[[#This Row],[Ship Date]]&lt;CleanedData[[#This Row],[Order Date]]</f>
        <v>1</v>
      </c>
      <c r="Z1394" s="10">
        <f>YEAR(CleanedData[[#This Row],[Order Date]])</f>
        <v>2023</v>
      </c>
      <c r="AA1394" s="8">
        <f>MONTH(CleanedData[[#This Row],[Order Date]])</f>
        <v>8</v>
      </c>
    </row>
    <row r="1395" spans="1:27" x14ac:dyDescent="0.35">
      <c r="A1395" s="8" t="s">
        <v>3662</v>
      </c>
      <c r="B1395" s="9">
        <v>45360</v>
      </c>
      <c r="C1395" s="9">
        <v>44931</v>
      </c>
      <c r="D1395" s="8" t="s">
        <v>3664</v>
      </c>
      <c r="E1395" s="8" t="s">
        <v>26</v>
      </c>
      <c r="F1395" s="8" t="s">
        <v>38</v>
      </c>
      <c r="G1395" s="8" t="s">
        <v>93</v>
      </c>
      <c r="H1395" s="8" t="s">
        <v>1442</v>
      </c>
      <c r="I1395" s="8" t="s">
        <v>4974</v>
      </c>
      <c r="J1395" s="10">
        <v>365</v>
      </c>
      <c r="K1395" s="11">
        <v>1150.48</v>
      </c>
      <c r="L1395" s="11">
        <v>1361.53</v>
      </c>
      <c r="M1395" s="11">
        <v>496958.45</v>
      </c>
      <c r="N1395" s="11">
        <v>419925.2</v>
      </c>
      <c r="O1395" s="11">
        <f>CleanedData[[#This Row],[Total Sales ($)]]-CleanedData[[#This Row],[Total Cost ($)]]</f>
        <v>77033.25</v>
      </c>
      <c r="P1395" s="12">
        <f>CleanedData[[#This Row],[Profit ($)]]/CleanedData[[#This Row],[Total Sales ($)]]</f>
        <v>0.15500943791176103</v>
      </c>
      <c r="Q1395" s="8" t="s">
        <v>31</v>
      </c>
      <c r="R1395" s="8" t="s">
        <v>63</v>
      </c>
      <c r="S1395" s="8" t="b">
        <f>_xlfn.SINGLE(CleanedData[[#This Row],[Delivery Status]])="Late"</f>
        <v>0</v>
      </c>
      <c r="T1395" s="10">
        <v>3</v>
      </c>
      <c r="U1395" s="8" t="s">
        <v>158</v>
      </c>
      <c r="V1395" s="10">
        <v>2236</v>
      </c>
      <c r="W1395" s="10">
        <v>18</v>
      </c>
      <c r="X1395" s="12">
        <v>4.93150684931506E-2</v>
      </c>
      <c r="Y1395" s="8" t="b">
        <f>CleanedData[[#This Row],[Ship Date]]&lt;CleanedData[[#This Row],[Order Date]]</f>
        <v>1</v>
      </c>
      <c r="Z1395" s="10">
        <f>YEAR(CleanedData[[#This Row],[Order Date]])</f>
        <v>2024</v>
      </c>
      <c r="AA1395" s="8">
        <f>MONTH(CleanedData[[#This Row],[Order Date]])</f>
        <v>3</v>
      </c>
    </row>
    <row r="1396" spans="1:27" x14ac:dyDescent="0.35">
      <c r="A1396" s="8" t="s">
        <v>3665</v>
      </c>
      <c r="B1396" s="9">
        <v>45096</v>
      </c>
      <c r="C1396" s="9">
        <v>45101</v>
      </c>
      <c r="D1396" s="8" t="s">
        <v>3666</v>
      </c>
      <c r="E1396" s="8" t="s">
        <v>48</v>
      </c>
      <c r="F1396" s="8" t="s">
        <v>270</v>
      </c>
      <c r="G1396" s="8" t="s">
        <v>93</v>
      </c>
      <c r="H1396" s="8" t="s">
        <v>485</v>
      </c>
      <c r="I1396" s="8" t="s">
        <v>4968</v>
      </c>
      <c r="J1396" s="10">
        <v>203</v>
      </c>
      <c r="K1396" s="11">
        <v>247.47</v>
      </c>
      <c r="L1396" s="11">
        <v>339.98</v>
      </c>
      <c r="M1396" s="11">
        <v>69015.94</v>
      </c>
      <c r="N1396" s="11">
        <v>50236.41</v>
      </c>
      <c r="O1396" s="11">
        <f>CleanedData[[#This Row],[Total Sales ($)]]-CleanedData[[#This Row],[Total Cost ($)]]</f>
        <v>18779.53</v>
      </c>
      <c r="P1396" s="12">
        <f>CleanedData[[#This Row],[Profit ($)]]/CleanedData[[#This Row],[Total Sales ($)]]</f>
        <v>0.27210424142596623</v>
      </c>
      <c r="Q1396" s="8" t="s">
        <v>95</v>
      </c>
      <c r="R1396" s="8" t="s">
        <v>63</v>
      </c>
      <c r="S1396" s="8" t="b">
        <f>_xlfn.SINGLE(CleanedData[[#This Row],[Delivery Status]])="Late"</f>
        <v>0</v>
      </c>
      <c r="T1396" s="10">
        <v>4</v>
      </c>
      <c r="U1396" s="8" t="s">
        <v>43</v>
      </c>
      <c r="V1396" s="10">
        <v>1954</v>
      </c>
      <c r="W1396" s="10">
        <v>9</v>
      </c>
      <c r="X1396" s="12">
        <v>4.4334975369458102E-2</v>
      </c>
      <c r="Y1396" s="8" t="b">
        <f>CleanedData[[#This Row],[Ship Date]]&lt;CleanedData[[#This Row],[Order Date]]</f>
        <v>0</v>
      </c>
      <c r="Z1396" s="10">
        <f>YEAR(CleanedData[[#This Row],[Order Date]])</f>
        <v>2023</v>
      </c>
      <c r="AA1396" s="8">
        <f>MONTH(CleanedData[[#This Row],[Order Date]])</f>
        <v>6</v>
      </c>
    </row>
    <row r="1397" spans="1:27" x14ac:dyDescent="0.35">
      <c r="A1397" s="8" t="s">
        <v>3667</v>
      </c>
      <c r="B1397" s="9">
        <v>45205</v>
      </c>
      <c r="C1397" s="9">
        <v>45251</v>
      </c>
      <c r="D1397" s="8" t="s">
        <v>3668</v>
      </c>
      <c r="E1397" s="8" t="s">
        <v>100</v>
      </c>
      <c r="F1397" s="8" t="s">
        <v>106</v>
      </c>
      <c r="G1397" s="8" t="s">
        <v>60</v>
      </c>
      <c r="H1397" s="8" t="s">
        <v>780</v>
      </c>
      <c r="I1397" s="8" t="s">
        <v>4968</v>
      </c>
      <c r="J1397" s="10">
        <v>186</v>
      </c>
      <c r="K1397" s="11">
        <v>97.82</v>
      </c>
      <c r="L1397" s="11">
        <v>155.55000000000001</v>
      </c>
      <c r="M1397" s="11">
        <v>28932.3</v>
      </c>
      <c r="N1397" s="11">
        <v>18194.52</v>
      </c>
      <c r="O1397" s="11">
        <f>CleanedData[[#This Row],[Total Sales ($)]]-CleanedData[[#This Row],[Total Cost ($)]]</f>
        <v>10737.779999999999</v>
      </c>
      <c r="P1397" s="12">
        <f>CleanedData[[#This Row],[Profit ($)]]/CleanedData[[#This Row],[Total Sales ($)]]</f>
        <v>0.37113468338154931</v>
      </c>
      <c r="Q1397" s="8" t="s">
        <v>95</v>
      </c>
      <c r="R1397" s="8" t="s">
        <v>32</v>
      </c>
      <c r="S1397" s="8" t="b">
        <f>_xlfn.SINGLE(CleanedData[[#This Row],[Delivery Status]])="Late"</f>
        <v>1</v>
      </c>
      <c r="T1397" s="10">
        <v>7</v>
      </c>
      <c r="U1397" s="8" t="s">
        <v>43</v>
      </c>
      <c r="V1397" s="10">
        <v>3674</v>
      </c>
      <c r="W1397" s="10">
        <v>9</v>
      </c>
      <c r="X1397" s="12">
        <v>4.8387096774193498E-2</v>
      </c>
      <c r="Y1397" s="8" t="b">
        <f>CleanedData[[#This Row],[Ship Date]]&lt;CleanedData[[#This Row],[Order Date]]</f>
        <v>0</v>
      </c>
      <c r="Z1397" s="10">
        <f>YEAR(CleanedData[[#This Row],[Order Date]])</f>
        <v>2023</v>
      </c>
      <c r="AA1397" s="8">
        <f>MONTH(CleanedData[[#This Row],[Order Date]])</f>
        <v>10</v>
      </c>
    </row>
    <row r="1398" spans="1:27" x14ac:dyDescent="0.35">
      <c r="A1398" s="8" t="s">
        <v>3669</v>
      </c>
      <c r="B1398" s="9">
        <v>45007</v>
      </c>
      <c r="C1398" s="9">
        <v>45049</v>
      </c>
      <c r="D1398" s="8" t="s">
        <v>3670</v>
      </c>
      <c r="E1398" s="8" t="s">
        <v>68</v>
      </c>
      <c r="F1398" s="8" t="s">
        <v>3671</v>
      </c>
      <c r="G1398" s="8" t="s">
        <v>28</v>
      </c>
      <c r="H1398" s="8" t="s">
        <v>254</v>
      </c>
      <c r="I1398" s="8" t="s">
        <v>4968</v>
      </c>
      <c r="J1398" s="10">
        <v>94</v>
      </c>
      <c r="K1398" s="11">
        <v>683.84</v>
      </c>
      <c r="L1398" s="11">
        <v>869.29</v>
      </c>
      <c r="M1398" s="11">
        <v>81713.259999999995</v>
      </c>
      <c r="N1398" s="11">
        <v>64280.959999999999</v>
      </c>
      <c r="O1398" s="11">
        <f>CleanedData[[#This Row],[Total Sales ($)]]-CleanedData[[#This Row],[Total Cost ($)]]</f>
        <v>17432.299999999996</v>
      </c>
      <c r="P1398" s="12">
        <f>CleanedData[[#This Row],[Profit ($)]]/CleanedData[[#This Row],[Total Sales ($)]]</f>
        <v>0.21333502053399897</v>
      </c>
      <c r="Q1398" s="8" t="s">
        <v>95</v>
      </c>
      <c r="R1398" s="8" t="s">
        <v>63</v>
      </c>
      <c r="S1398" s="8" t="b">
        <f>_xlfn.SINGLE(CleanedData[[#This Row],[Delivery Status]])="Late"</f>
        <v>0</v>
      </c>
      <c r="T1398" s="10">
        <v>2</v>
      </c>
      <c r="U1398" s="8" t="s">
        <v>53</v>
      </c>
      <c r="V1398" s="10">
        <v>4812</v>
      </c>
      <c r="W1398" s="10">
        <v>3</v>
      </c>
      <c r="X1398" s="12">
        <v>3.1914893617021198E-2</v>
      </c>
      <c r="Y1398" s="8" t="b">
        <f>CleanedData[[#This Row],[Ship Date]]&lt;CleanedData[[#This Row],[Order Date]]</f>
        <v>0</v>
      </c>
      <c r="Z1398" s="10">
        <f>YEAR(CleanedData[[#This Row],[Order Date]])</f>
        <v>2023</v>
      </c>
      <c r="AA1398" s="8">
        <f>MONTH(CleanedData[[#This Row],[Order Date]])</f>
        <v>3</v>
      </c>
    </row>
    <row r="1399" spans="1:27" x14ac:dyDescent="0.35">
      <c r="A1399" s="8" t="s">
        <v>3672</v>
      </c>
      <c r="B1399" s="9">
        <v>45342</v>
      </c>
      <c r="C1399" s="9">
        <v>45341</v>
      </c>
      <c r="D1399" s="8" t="s">
        <v>3674</v>
      </c>
      <c r="E1399" s="8" t="s">
        <v>48</v>
      </c>
      <c r="F1399" s="8" t="s">
        <v>281</v>
      </c>
      <c r="G1399" s="8" t="s">
        <v>217</v>
      </c>
      <c r="H1399" s="8" t="s">
        <v>335</v>
      </c>
      <c r="I1399" s="8" t="s">
        <v>4978</v>
      </c>
      <c r="J1399" s="10">
        <v>702</v>
      </c>
      <c r="K1399" s="11">
        <v>304.37</v>
      </c>
      <c r="L1399" s="11">
        <v>373.01</v>
      </c>
      <c r="M1399" s="11">
        <v>261853.02</v>
      </c>
      <c r="N1399" s="11">
        <v>213667.74</v>
      </c>
      <c r="O1399" s="11">
        <f>CleanedData[[#This Row],[Total Sales ($)]]-CleanedData[[#This Row],[Total Cost ($)]]</f>
        <v>48185.279999999999</v>
      </c>
      <c r="P1399" s="12">
        <f>CleanedData[[#This Row],[Profit ($)]]/CleanedData[[#This Row],[Total Sales ($)]]</f>
        <v>0.18401651430256563</v>
      </c>
      <c r="Q1399" s="8" t="s">
        <v>52</v>
      </c>
      <c r="R1399" s="8" t="s">
        <v>32</v>
      </c>
      <c r="S1399" s="8" t="b">
        <f>_xlfn.SINGLE(CleanedData[[#This Row],[Delivery Status]])="Late"</f>
        <v>1</v>
      </c>
      <c r="T1399" s="10">
        <v>10</v>
      </c>
      <c r="U1399" s="8" t="s">
        <v>86</v>
      </c>
      <c r="V1399" s="10">
        <v>2105</v>
      </c>
      <c r="W1399" s="10">
        <v>31</v>
      </c>
      <c r="X1399" s="12">
        <v>4.4159544159544102E-2</v>
      </c>
      <c r="Y1399" s="8" t="b">
        <f>CleanedData[[#This Row],[Ship Date]]&lt;CleanedData[[#This Row],[Order Date]]</f>
        <v>1</v>
      </c>
      <c r="Z1399" s="10">
        <f>YEAR(CleanedData[[#This Row],[Order Date]])</f>
        <v>2024</v>
      </c>
      <c r="AA1399" s="8">
        <f>MONTH(CleanedData[[#This Row],[Order Date]])</f>
        <v>2</v>
      </c>
    </row>
    <row r="1400" spans="1:27" x14ac:dyDescent="0.35">
      <c r="A1400" s="8" t="s">
        <v>3676</v>
      </c>
      <c r="B1400" s="9">
        <v>45540</v>
      </c>
      <c r="C1400" s="9">
        <v>45572</v>
      </c>
      <c r="D1400" s="8" t="s">
        <v>3679</v>
      </c>
      <c r="E1400" s="8" t="s">
        <v>26</v>
      </c>
      <c r="F1400" s="8" t="s">
        <v>4972</v>
      </c>
      <c r="G1400" s="8" t="s">
        <v>78</v>
      </c>
      <c r="H1400" s="8" t="s">
        <v>425</v>
      </c>
      <c r="I1400" s="8" t="s">
        <v>4971</v>
      </c>
      <c r="J1400" s="10">
        <v>380</v>
      </c>
      <c r="K1400" s="11">
        <v>155.11000000000001</v>
      </c>
      <c r="L1400" s="11">
        <v>219.77</v>
      </c>
      <c r="M1400" s="11">
        <v>83512.600000000006</v>
      </c>
      <c r="N1400" s="11">
        <v>58941.8</v>
      </c>
      <c r="O1400" s="11">
        <f>CleanedData[[#This Row],[Total Sales ($)]]-CleanedData[[#This Row],[Total Cost ($)]]</f>
        <v>24570.800000000003</v>
      </c>
      <c r="P1400" s="12">
        <f>CleanedData[[#This Row],[Profit ($)]]/CleanedData[[#This Row],[Total Sales ($)]]</f>
        <v>0.29421668107567001</v>
      </c>
      <c r="Q1400" s="8" t="s">
        <v>95</v>
      </c>
      <c r="R1400" s="8" t="s">
        <v>32</v>
      </c>
      <c r="S1400" s="8" t="b">
        <f>_xlfn.SINGLE(CleanedData[[#This Row],[Delivery Status]])="Late"</f>
        <v>1</v>
      </c>
      <c r="T1400" s="10">
        <v>7</v>
      </c>
      <c r="U1400" s="8" t="s">
        <v>43</v>
      </c>
      <c r="V1400" s="10">
        <v>1037</v>
      </c>
      <c r="W1400" s="10">
        <v>2</v>
      </c>
      <c r="X1400" s="12">
        <v>5.2631578947368004E-3</v>
      </c>
      <c r="Y1400" s="8" t="b">
        <f>CleanedData[[#This Row],[Ship Date]]&lt;CleanedData[[#This Row],[Order Date]]</f>
        <v>0</v>
      </c>
      <c r="Z1400" s="10">
        <f>YEAR(CleanedData[[#This Row],[Order Date]])</f>
        <v>2024</v>
      </c>
      <c r="AA1400" s="8">
        <f>MONTH(CleanedData[[#This Row],[Order Date]])</f>
        <v>9</v>
      </c>
    </row>
    <row r="1401" spans="1:27" x14ac:dyDescent="0.35">
      <c r="A1401" s="8" t="s">
        <v>3680</v>
      </c>
      <c r="B1401" s="9">
        <v>44987</v>
      </c>
      <c r="C1401" s="9">
        <v>45135</v>
      </c>
      <c r="D1401" s="8" t="s">
        <v>3681</v>
      </c>
      <c r="E1401" s="8" t="s">
        <v>58</v>
      </c>
      <c r="F1401" s="8" t="s">
        <v>122</v>
      </c>
      <c r="G1401" s="8" t="s">
        <v>50</v>
      </c>
      <c r="H1401" s="8" t="s">
        <v>51</v>
      </c>
      <c r="I1401" s="8" t="s">
        <v>4981</v>
      </c>
      <c r="J1401" s="10">
        <v>261</v>
      </c>
      <c r="K1401" s="11">
        <v>1164.3599999999999</v>
      </c>
      <c r="L1401" s="11">
        <v>1696.54</v>
      </c>
      <c r="M1401" s="11">
        <v>442796.94</v>
      </c>
      <c r="N1401" s="11">
        <v>303897.96000000002</v>
      </c>
      <c r="O1401" s="11">
        <f>CleanedData[[#This Row],[Total Sales ($)]]-CleanedData[[#This Row],[Total Cost ($)]]</f>
        <v>138898.97999999998</v>
      </c>
      <c r="P1401" s="12">
        <f>CleanedData[[#This Row],[Profit ($)]]/CleanedData[[#This Row],[Total Sales ($)]]</f>
        <v>0.31368550107866594</v>
      </c>
      <c r="Q1401" s="8" t="s">
        <v>31</v>
      </c>
      <c r="R1401" s="8" t="s">
        <v>32</v>
      </c>
      <c r="S1401" s="8" t="b">
        <f>_xlfn.SINGLE(CleanedData[[#This Row],[Delivery Status]])="Late"</f>
        <v>1</v>
      </c>
      <c r="T1401" s="10">
        <v>11</v>
      </c>
      <c r="U1401" s="8" t="s">
        <v>43</v>
      </c>
      <c r="V1401" s="10">
        <v>679</v>
      </c>
      <c r="W1401" s="10">
        <v>7</v>
      </c>
      <c r="X1401" s="12">
        <v>2.68199233716475E-2</v>
      </c>
      <c r="Y1401" s="8" t="b">
        <f>CleanedData[[#This Row],[Ship Date]]&lt;CleanedData[[#This Row],[Order Date]]</f>
        <v>0</v>
      </c>
      <c r="Z1401" s="10">
        <f>YEAR(CleanedData[[#This Row],[Order Date]])</f>
        <v>2023</v>
      </c>
      <c r="AA1401" s="8">
        <f>MONTH(CleanedData[[#This Row],[Order Date]])</f>
        <v>3</v>
      </c>
    </row>
    <row r="1402" spans="1:27" x14ac:dyDescent="0.35">
      <c r="A1402" s="8" t="s">
        <v>3682</v>
      </c>
      <c r="B1402" s="9">
        <v>45051</v>
      </c>
      <c r="C1402" s="9">
        <v>45157</v>
      </c>
      <c r="D1402" s="8" t="s">
        <v>3683</v>
      </c>
      <c r="E1402" s="8" t="s">
        <v>68</v>
      </c>
      <c r="F1402" s="8" t="s">
        <v>69</v>
      </c>
      <c r="G1402" s="8" t="s">
        <v>189</v>
      </c>
      <c r="H1402" s="8" t="s">
        <v>190</v>
      </c>
      <c r="I1402" s="8" t="s">
        <v>4970</v>
      </c>
      <c r="J1402" s="10">
        <v>285</v>
      </c>
      <c r="K1402" s="11">
        <v>480.36</v>
      </c>
      <c r="L1402" s="11">
        <v>729.54</v>
      </c>
      <c r="M1402" s="11">
        <v>207918.9</v>
      </c>
      <c r="N1402" s="11">
        <v>136902.6</v>
      </c>
      <c r="O1402" s="11">
        <f>CleanedData[[#This Row],[Total Sales ($)]]-CleanedData[[#This Row],[Total Cost ($)]]</f>
        <v>71016.299999999988</v>
      </c>
      <c r="P1402" s="12">
        <f>CleanedData[[#This Row],[Profit ($)]]/CleanedData[[#This Row],[Total Sales ($)]]</f>
        <v>0.34155769388930007</v>
      </c>
      <c r="Q1402" s="8" t="s">
        <v>95</v>
      </c>
      <c r="R1402" s="8" t="s">
        <v>32</v>
      </c>
      <c r="S1402" s="8" t="b">
        <f>_xlfn.SINGLE(CleanedData[[#This Row],[Delivery Status]])="Late"</f>
        <v>1</v>
      </c>
      <c r="T1402" s="10">
        <v>8</v>
      </c>
      <c r="U1402" s="8" t="s">
        <v>86</v>
      </c>
      <c r="V1402" s="10">
        <v>2592</v>
      </c>
      <c r="W1402" s="10">
        <v>11</v>
      </c>
      <c r="X1402" s="12">
        <v>3.8596491228070101E-2</v>
      </c>
      <c r="Y1402" s="8" t="b">
        <f>CleanedData[[#This Row],[Ship Date]]&lt;CleanedData[[#This Row],[Order Date]]</f>
        <v>0</v>
      </c>
      <c r="Z1402" s="10">
        <f>YEAR(CleanedData[[#This Row],[Order Date]])</f>
        <v>2023</v>
      </c>
      <c r="AA1402" s="8">
        <f>MONTH(CleanedData[[#This Row],[Order Date]])</f>
        <v>5</v>
      </c>
    </row>
    <row r="1403" spans="1:27" x14ac:dyDescent="0.35">
      <c r="A1403" s="8" t="s">
        <v>3684</v>
      </c>
      <c r="B1403" s="9">
        <v>45050</v>
      </c>
      <c r="C1403" s="9">
        <v>45172</v>
      </c>
      <c r="D1403" s="8" t="s">
        <v>3685</v>
      </c>
      <c r="E1403" s="8" t="s">
        <v>58</v>
      </c>
      <c r="F1403" s="8" t="s">
        <v>122</v>
      </c>
      <c r="G1403" s="8" t="s">
        <v>50</v>
      </c>
      <c r="H1403" s="8" t="s">
        <v>734</v>
      </c>
      <c r="I1403" s="8" t="s">
        <v>4975</v>
      </c>
      <c r="J1403" s="10">
        <v>42</v>
      </c>
      <c r="K1403" s="11">
        <v>394.41</v>
      </c>
      <c r="L1403" s="11">
        <v>637.57000000000005</v>
      </c>
      <c r="M1403" s="11">
        <v>26777.94</v>
      </c>
      <c r="N1403" s="11">
        <v>16565.22</v>
      </c>
      <c r="O1403" s="11">
        <f>CleanedData[[#This Row],[Total Sales ($)]]-CleanedData[[#This Row],[Total Cost ($)]]</f>
        <v>10212.719999999998</v>
      </c>
      <c r="P1403" s="12">
        <f>CleanedData[[#This Row],[Profit ($)]]/CleanedData[[#This Row],[Total Sales ($)]]</f>
        <v>0.38138557334880868</v>
      </c>
      <c r="Q1403" s="8" t="s">
        <v>42</v>
      </c>
      <c r="R1403" s="8" t="s">
        <v>63</v>
      </c>
      <c r="S1403" s="8" t="b">
        <f>_xlfn.SINGLE(CleanedData[[#This Row],[Delivery Status]])="Late"</f>
        <v>0</v>
      </c>
      <c r="T1403" s="10">
        <v>3</v>
      </c>
      <c r="U1403" s="8" t="s">
        <v>53</v>
      </c>
      <c r="V1403" s="10">
        <v>638</v>
      </c>
      <c r="W1403" s="10">
        <v>0</v>
      </c>
      <c r="X1403" s="12">
        <v>0</v>
      </c>
      <c r="Y1403" s="8" t="b">
        <f>CleanedData[[#This Row],[Ship Date]]&lt;CleanedData[[#This Row],[Order Date]]</f>
        <v>0</v>
      </c>
      <c r="Z1403" s="10">
        <f>YEAR(CleanedData[[#This Row],[Order Date]])</f>
        <v>2023</v>
      </c>
      <c r="AA1403" s="8">
        <f>MONTH(CleanedData[[#This Row],[Order Date]])</f>
        <v>5</v>
      </c>
    </row>
    <row r="1404" spans="1:27" x14ac:dyDescent="0.35">
      <c r="A1404" s="8" t="s">
        <v>3686</v>
      </c>
      <c r="B1404" s="9">
        <v>45003</v>
      </c>
      <c r="C1404" s="9">
        <v>45089</v>
      </c>
      <c r="D1404" s="8" t="s">
        <v>3687</v>
      </c>
      <c r="E1404" s="8" t="s">
        <v>68</v>
      </c>
      <c r="F1404" s="8" t="s">
        <v>249</v>
      </c>
      <c r="G1404" s="8" t="s">
        <v>93</v>
      </c>
      <c r="H1404" s="8" t="s">
        <v>140</v>
      </c>
      <c r="I1404" s="8" t="s">
        <v>4970</v>
      </c>
      <c r="J1404" s="10">
        <v>324</v>
      </c>
      <c r="K1404" s="11">
        <v>969.84</v>
      </c>
      <c r="L1404" s="11">
        <v>1242.3499999999999</v>
      </c>
      <c r="M1404" s="11">
        <v>402521.4</v>
      </c>
      <c r="N1404" s="11">
        <v>314228.15999999997</v>
      </c>
      <c r="O1404" s="11">
        <f>CleanedData[[#This Row],[Total Sales ($)]]-CleanedData[[#This Row],[Total Cost ($)]]</f>
        <v>88293.240000000049</v>
      </c>
      <c r="P1404" s="12">
        <f>CleanedData[[#This Row],[Profit ($)]]/CleanedData[[#This Row],[Total Sales ($)]]</f>
        <v>0.2193504245985432</v>
      </c>
      <c r="Q1404" s="8" t="s">
        <v>31</v>
      </c>
      <c r="R1404" s="8" t="s">
        <v>32</v>
      </c>
      <c r="S1404" s="8" t="b">
        <f>_xlfn.SINGLE(CleanedData[[#This Row],[Delivery Status]])="Late"</f>
        <v>1</v>
      </c>
      <c r="T1404" s="10">
        <v>15</v>
      </c>
      <c r="U1404" s="8" t="s">
        <v>86</v>
      </c>
      <c r="V1404" s="10">
        <v>2723</v>
      </c>
      <c r="W1404" s="10">
        <v>12</v>
      </c>
      <c r="X1404" s="12">
        <v>3.7037037037037E-2</v>
      </c>
      <c r="Y1404" s="8" t="b">
        <f>CleanedData[[#This Row],[Ship Date]]&lt;CleanedData[[#This Row],[Order Date]]</f>
        <v>0</v>
      </c>
      <c r="Z1404" s="10">
        <f>YEAR(CleanedData[[#This Row],[Order Date]])</f>
        <v>2023</v>
      </c>
      <c r="AA1404" s="8">
        <f>MONTH(CleanedData[[#This Row],[Order Date]])</f>
        <v>3</v>
      </c>
    </row>
    <row r="1405" spans="1:27" x14ac:dyDescent="0.35">
      <c r="A1405" s="8" t="s">
        <v>3688</v>
      </c>
      <c r="B1405" s="9">
        <v>45196</v>
      </c>
      <c r="C1405" s="9">
        <v>45135</v>
      </c>
      <c r="D1405" s="8" t="s">
        <v>3689</v>
      </c>
      <c r="E1405" s="8" t="s">
        <v>58</v>
      </c>
      <c r="F1405" s="8" t="s">
        <v>417</v>
      </c>
      <c r="G1405" s="8" t="s">
        <v>217</v>
      </c>
      <c r="H1405" s="8" t="s">
        <v>292</v>
      </c>
      <c r="I1405" s="8" t="s">
        <v>4970</v>
      </c>
      <c r="J1405" s="10">
        <v>455</v>
      </c>
      <c r="K1405" s="11">
        <v>481.48</v>
      </c>
      <c r="L1405" s="11">
        <v>671.21</v>
      </c>
      <c r="M1405" s="11">
        <v>305400.55</v>
      </c>
      <c r="N1405" s="11">
        <v>219073.4</v>
      </c>
      <c r="O1405" s="11">
        <f>CleanedData[[#This Row],[Total Sales ($)]]-CleanedData[[#This Row],[Total Cost ($)]]</f>
        <v>86327.15</v>
      </c>
      <c r="P1405" s="12">
        <f>CleanedData[[#This Row],[Profit ($)]]/CleanedData[[#This Row],[Total Sales ($)]]</f>
        <v>0.28266861339968119</v>
      </c>
      <c r="Q1405" s="8" t="s">
        <v>52</v>
      </c>
      <c r="R1405" s="8" t="s">
        <v>32</v>
      </c>
      <c r="S1405" s="8" t="b">
        <f>_xlfn.SINGLE(CleanedData[[#This Row],[Delivery Status]])="Late"</f>
        <v>1</v>
      </c>
      <c r="T1405" s="10">
        <v>7</v>
      </c>
      <c r="U1405" s="8" t="s">
        <v>158</v>
      </c>
      <c r="V1405" s="10">
        <v>2851</v>
      </c>
      <c r="W1405" s="10">
        <v>1</v>
      </c>
      <c r="X1405" s="12">
        <v>2.1978021978020998E-3</v>
      </c>
      <c r="Y1405" s="8" t="b">
        <f>CleanedData[[#This Row],[Ship Date]]&lt;CleanedData[[#This Row],[Order Date]]</f>
        <v>1</v>
      </c>
      <c r="Z1405" s="10">
        <f>YEAR(CleanedData[[#This Row],[Order Date]])</f>
        <v>2023</v>
      </c>
      <c r="AA1405" s="8">
        <f>MONTH(CleanedData[[#This Row],[Order Date]])</f>
        <v>9</v>
      </c>
    </row>
    <row r="1406" spans="1:27" x14ac:dyDescent="0.35">
      <c r="A1406" s="8" t="s">
        <v>3690</v>
      </c>
      <c r="B1406" s="9">
        <v>44990</v>
      </c>
      <c r="C1406" s="9">
        <v>45188</v>
      </c>
      <c r="D1406" s="8" t="s">
        <v>3691</v>
      </c>
      <c r="E1406" s="8" t="s">
        <v>100</v>
      </c>
      <c r="F1406" s="8" t="s">
        <v>238</v>
      </c>
      <c r="G1406" s="8" t="s">
        <v>70</v>
      </c>
      <c r="H1406" s="8" t="s">
        <v>822</v>
      </c>
      <c r="I1406" s="8" t="s">
        <v>4974</v>
      </c>
      <c r="J1406" s="10">
        <v>294</v>
      </c>
      <c r="K1406" s="11">
        <v>874.12</v>
      </c>
      <c r="L1406" s="11">
        <v>1003.97</v>
      </c>
      <c r="M1406" s="11">
        <v>295167.18</v>
      </c>
      <c r="N1406" s="11">
        <v>256991.28</v>
      </c>
      <c r="O1406" s="11">
        <f>CleanedData[[#This Row],[Total Sales ($)]]-CleanedData[[#This Row],[Total Cost ($)]]</f>
        <v>38175.899999999994</v>
      </c>
      <c r="P1406" s="12">
        <f>CleanedData[[#This Row],[Profit ($)]]/CleanedData[[#This Row],[Total Sales ($)]]</f>
        <v>0.12933653396017808</v>
      </c>
      <c r="Q1406" s="8" t="s">
        <v>42</v>
      </c>
      <c r="R1406" s="8" t="s">
        <v>32</v>
      </c>
      <c r="S1406" s="8" t="b">
        <f>_xlfn.SINGLE(CleanedData[[#This Row],[Delivery Status]])="Late"</f>
        <v>1</v>
      </c>
      <c r="T1406" s="10">
        <v>10</v>
      </c>
      <c r="U1406" s="8" t="s">
        <v>33</v>
      </c>
      <c r="V1406" s="10">
        <v>1528</v>
      </c>
      <c r="W1406" s="10">
        <v>8</v>
      </c>
      <c r="X1406" s="12">
        <v>2.7210884353741398E-2</v>
      </c>
      <c r="Y1406" s="8" t="b">
        <f>CleanedData[[#This Row],[Ship Date]]&lt;CleanedData[[#This Row],[Order Date]]</f>
        <v>0</v>
      </c>
      <c r="Z1406" s="10">
        <f>YEAR(CleanedData[[#This Row],[Order Date]])</f>
        <v>2023</v>
      </c>
      <c r="AA1406" s="8">
        <f>MONTH(CleanedData[[#This Row],[Order Date]])</f>
        <v>3</v>
      </c>
    </row>
    <row r="1407" spans="1:27" x14ac:dyDescent="0.35">
      <c r="A1407" s="8" t="s">
        <v>3692</v>
      </c>
      <c r="B1407" s="9">
        <v>45201</v>
      </c>
      <c r="C1407" s="9">
        <v>45175</v>
      </c>
      <c r="D1407" s="8" t="s">
        <v>3694</v>
      </c>
      <c r="E1407" s="8" t="s">
        <v>26</v>
      </c>
      <c r="F1407" s="8" t="s">
        <v>27</v>
      </c>
      <c r="G1407" s="8" t="s">
        <v>129</v>
      </c>
      <c r="H1407" s="8" t="s">
        <v>152</v>
      </c>
      <c r="I1407" s="8" t="s">
        <v>4977</v>
      </c>
      <c r="J1407" s="10">
        <v>93</v>
      </c>
      <c r="K1407" s="11">
        <v>701.54</v>
      </c>
      <c r="L1407" s="11">
        <v>921.12</v>
      </c>
      <c r="M1407" s="11">
        <v>85664.16</v>
      </c>
      <c r="N1407" s="11">
        <v>65243.22</v>
      </c>
      <c r="O1407" s="11">
        <f>CleanedData[[#This Row],[Total Sales ($)]]-CleanedData[[#This Row],[Total Cost ($)]]</f>
        <v>20420.940000000002</v>
      </c>
      <c r="P1407" s="12">
        <f>CleanedData[[#This Row],[Profit ($)]]/CleanedData[[#This Row],[Total Sales ($)]]</f>
        <v>0.23838370679173182</v>
      </c>
      <c r="Q1407" s="8" t="s">
        <v>31</v>
      </c>
      <c r="R1407" s="8" t="s">
        <v>32</v>
      </c>
      <c r="S1407" s="8" t="b">
        <f>_xlfn.SINGLE(CleanedData[[#This Row],[Delivery Status]])="Late"</f>
        <v>1</v>
      </c>
      <c r="T1407" s="10">
        <v>15</v>
      </c>
      <c r="U1407" s="8" t="s">
        <v>33</v>
      </c>
      <c r="V1407" s="10">
        <v>4276</v>
      </c>
      <c r="W1407" s="10">
        <v>3</v>
      </c>
      <c r="X1407" s="12">
        <v>3.2258064516128997E-2</v>
      </c>
      <c r="Y1407" s="8" t="b">
        <f>CleanedData[[#This Row],[Ship Date]]&lt;CleanedData[[#This Row],[Order Date]]</f>
        <v>1</v>
      </c>
      <c r="Z1407" s="10">
        <f>YEAR(CleanedData[[#This Row],[Order Date]])</f>
        <v>2023</v>
      </c>
      <c r="AA1407" s="8">
        <f>MONTH(CleanedData[[#This Row],[Order Date]])</f>
        <v>10</v>
      </c>
    </row>
    <row r="1408" spans="1:27" x14ac:dyDescent="0.35">
      <c r="A1408" s="8" t="s">
        <v>3695</v>
      </c>
      <c r="B1408" s="9">
        <v>45217</v>
      </c>
      <c r="C1408" s="9">
        <v>45062</v>
      </c>
      <c r="D1408" s="8" t="s">
        <v>3696</v>
      </c>
      <c r="E1408" s="8" t="s">
        <v>100</v>
      </c>
      <c r="F1408" s="8" t="s">
        <v>330</v>
      </c>
      <c r="G1408" s="8" t="s">
        <v>28</v>
      </c>
      <c r="H1408" s="8" t="s">
        <v>579</v>
      </c>
      <c r="I1408" s="8" t="s">
        <v>4977</v>
      </c>
      <c r="J1408" s="10">
        <v>634</v>
      </c>
      <c r="K1408" s="11">
        <v>552.52</v>
      </c>
      <c r="L1408" s="11">
        <v>763.62</v>
      </c>
      <c r="M1408" s="11">
        <v>484135.08</v>
      </c>
      <c r="N1408" s="11">
        <v>350297.68</v>
      </c>
      <c r="O1408" s="11">
        <f>CleanedData[[#This Row],[Total Sales ($)]]-CleanedData[[#This Row],[Total Cost ($)]]</f>
        <v>133837.40000000002</v>
      </c>
      <c r="P1408" s="12">
        <f>CleanedData[[#This Row],[Profit ($)]]/CleanedData[[#This Row],[Total Sales ($)]]</f>
        <v>0.27644640004190568</v>
      </c>
      <c r="Q1408" s="8" t="s">
        <v>31</v>
      </c>
      <c r="R1408" s="8" t="s">
        <v>63</v>
      </c>
      <c r="S1408" s="8" t="b">
        <f>_xlfn.SINGLE(CleanedData[[#This Row],[Delivery Status]])="Late"</f>
        <v>0</v>
      </c>
      <c r="T1408" s="10">
        <v>1</v>
      </c>
      <c r="U1408" s="8" t="s">
        <v>112</v>
      </c>
      <c r="V1408" s="10">
        <v>1066</v>
      </c>
      <c r="W1408" s="10">
        <v>18</v>
      </c>
      <c r="X1408" s="12">
        <v>2.8391167192429002E-2</v>
      </c>
      <c r="Y1408" s="8" t="b">
        <f>CleanedData[[#This Row],[Ship Date]]&lt;CleanedData[[#This Row],[Order Date]]</f>
        <v>1</v>
      </c>
      <c r="Z1408" s="10">
        <f>YEAR(CleanedData[[#This Row],[Order Date]])</f>
        <v>2023</v>
      </c>
      <c r="AA1408" s="8">
        <f>MONTH(CleanedData[[#This Row],[Order Date]])</f>
        <v>10</v>
      </c>
    </row>
    <row r="1409" spans="1:27" x14ac:dyDescent="0.35">
      <c r="A1409" s="8" t="s">
        <v>3697</v>
      </c>
      <c r="B1409" s="9">
        <v>45429</v>
      </c>
      <c r="C1409" s="9">
        <v>45652</v>
      </c>
      <c r="D1409" s="8" t="s">
        <v>3698</v>
      </c>
      <c r="E1409" s="8" t="s">
        <v>26</v>
      </c>
      <c r="F1409" s="8" t="s">
        <v>4972</v>
      </c>
      <c r="G1409" s="8" t="s">
        <v>39</v>
      </c>
      <c r="H1409" s="8" t="s">
        <v>527</v>
      </c>
      <c r="I1409" s="8" t="s">
        <v>4974</v>
      </c>
      <c r="J1409" s="10">
        <v>195</v>
      </c>
      <c r="K1409" s="11">
        <v>1077.1400000000001</v>
      </c>
      <c r="L1409" s="11">
        <v>1263.58</v>
      </c>
      <c r="M1409" s="11">
        <v>246398.1</v>
      </c>
      <c r="N1409" s="11">
        <v>210042.3</v>
      </c>
      <c r="O1409" s="11">
        <f>CleanedData[[#This Row],[Total Sales ($)]]-CleanedData[[#This Row],[Total Cost ($)]]</f>
        <v>36355.800000000017</v>
      </c>
      <c r="P1409" s="12">
        <f>CleanedData[[#This Row],[Profit ($)]]/CleanedData[[#This Row],[Total Sales ($)]]</f>
        <v>0.14754902736668837</v>
      </c>
      <c r="Q1409" s="8" t="s">
        <v>95</v>
      </c>
      <c r="R1409" s="8" t="s">
        <v>32</v>
      </c>
      <c r="S1409" s="8" t="b">
        <f>_xlfn.SINGLE(CleanedData[[#This Row],[Delivery Status]])="Late"</f>
        <v>1</v>
      </c>
      <c r="T1409" s="10">
        <v>9</v>
      </c>
      <c r="U1409" s="8" t="s">
        <v>53</v>
      </c>
      <c r="V1409" s="10">
        <v>1469</v>
      </c>
      <c r="W1409" s="10">
        <v>2</v>
      </c>
      <c r="X1409" s="12">
        <v>1.0256410256410199E-2</v>
      </c>
      <c r="Y1409" s="8" t="b">
        <f>CleanedData[[#This Row],[Ship Date]]&lt;CleanedData[[#This Row],[Order Date]]</f>
        <v>0</v>
      </c>
      <c r="Z1409" s="10">
        <f>YEAR(CleanedData[[#This Row],[Order Date]])</f>
        <v>2024</v>
      </c>
      <c r="AA1409" s="8">
        <f>MONTH(CleanedData[[#This Row],[Order Date]])</f>
        <v>5</v>
      </c>
    </row>
    <row r="1410" spans="1:27" x14ac:dyDescent="0.35">
      <c r="A1410" s="8" t="s">
        <v>3699</v>
      </c>
      <c r="B1410" s="9">
        <v>45093</v>
      </c>
      <c r="C1410" s="9">
        <v>45166</v>
      </c>
      <c r="D1410" s="8" t="s">
        <v>1178</v>
      </c>
      <c r="E1410" s="8" t="s">
        <v>26</v>
      </c>
      <c r="F1410" s="8" t="s">
        <v>38</v>
      </c>
      <c r="G1410" s="8" t="s">
        <v>78</v>
      </c>
      <c r="H1410" s="8" t="s">
        <v>840</v>
      </c>
      <c r="I1410" s="8" t="s">
        <v>4969</v>
      </c>
      <c r="J1410" s="10">
        <v>727</v>
      </c>
      <c r="K1410" s="11">
        <v>161.6</v>
      </c>
      <c r="L1410" s="11">
        <v>254.46</v>
      </c>
      <c r="M1410" s="11">
        <v>184992.42</v>
      </c>
      <c r="N1410" s="11">
        <v>117483.2</v>
      </c>
      <c r="O1410" s="11">
        <f>CleanedData[[#This Row],[Total Sales ($)]]-CleanedData[[#This Row],[Total Cost ($)]]</f>
        <v>67509.220000000016</v>
      </c>
      <c r="P1410" s="12">
        <f>CleanedData[[#This Row],[Profit ($)]]/CleanedData[[#This Row],[Total Sales ($)]]</f>
        <v>0.36492965495559232</v>
      </c>
      <c r="Q1410" s="8" t="s">
        <v>95</v>
      </c>
      <c r="R1410" s="8" t="s">
        <v>32</v>
      </c>
      <c r="S1410" s="8" t="b">
        <f>_xlfn.SINGLE(CleanedData[[#This Row],[Delivery Status]])="Late"</f>
        <v>1</v>
      </c>
      <c r="T1410" s="10">
        <v>13</v>
      </c>
      <c r="U1410" s="8" t="s">
        <v>86</v>
      </c>
      <c r="V1410" s="10">
        <v>4843</v>
      </c>
      <c r="W1410" s="10">
        <v>18</v>
      </c>
      <c r="X1410" s="12">
        <v>2.4759284731774401E-2</v>
      </c>
      <c r="Y1410" s="8" t="b">
        <f>CleanedData[[#This Row],[Ship Date]]&lt;CleanedData[[#This Row],[Order Date]]</f>
        <v>0</v>
      </c>
      <c r="Z1410" s="10">
        <f>YEAR(CleanedData[[#This Row],[Order Date]])</f>
        <v>2023</v>
      </c>
      <c r="AA1410" s="8">
        <f>MONTH(CleanedData[[#This Row],[Order Date]])</f>
        <v>6</v>
      </c>
    </row>
    <row r="1411" spans="1:27" x14ac:dyDescent="0.35">
      <c r="A1411" s="8" t="s">
        <v>3700</v>
      </c>
      <c r="B1411" s="9">
        <v>45001</v>
      </c>
      <c r="C1411" s="9">
        <v>45084</v>
      </c>
      <c r="D1411" s="8" t="s">
        <v>3701</v>
      </c>
      <c r="E1411" s="8" t="s">
        <v>48</v>
      </c>
      <c r="F1411" s="8" t="s">
        <v>270</v>
      </c>
      <c r="G1411" s="8" t="s">
        <v>129</v>
      </c>
      <c r="H1411" s="8" t="s">
        <v>168</v>
      </c>
      <c r="I1411" s="8" t="s">
        <v>4967</v>
      </c>
      <c r="J1411" s="10">
        <v>454</v>
      </c>
      <c r="K1411" s="11">
        <v>215.98</v>
      </c>
      <c r="L1411" s="11">
        <v>347.14</v>
      </c>
      <c r="M1411" s="11">
        <v>157601.56</v>
      </c>
      <c r="N1411" s="11">
        <v>98054.92</v>
      </c>
      <c r="O1411" s="11">
        <f>CleanedData[[#This Row],[Total Sales ($)]]-CleanedData[[#This Row],[Total Cost ($)]]</f>
        <v>59546.64</v>
      </c>
      <c r="P1411" s="12">
        <f>CleanedData[[#This Row],[Profit ($)]]/CleanedData[[#This Row],[Total Sales ($)]]</f>
        <v>0.37783027020798526</v>
      </c>
      <c r="Q1411" s="8" t="s">
        <v>42</v>
      </c>
      <c r="R1411" s="8" t="s">
        <v>63</v>
      </c>
      <c r="S1411" s="8" t="b">
        <f>_xlfn.SINGLE(CleanedData[[#This Row],[Delivery Status]])="Late"</f>
        <v>0</v>
      </c>
      <c r="T1411" s="10">
        <v>4</v>
      </c>
      <c r="U1411" s="8" t="s">
        <v>53</v>
      </c>
      <c r="V1411" s="10">
        <v>3631</v>
      </c>
      <c r="W1411" s="10">
        <v>5</v>
      </c>
      <c r="X1411" s="12">
        <v>1.1013215859030799E-2</v>
      </c>
      <c r="Y1411" s="8" t="b">
        <f>CleanedData[[#This Row],[Ship Date]]&lt;CleanedData[[#This Row],[Order Date]]</f>
        <v>0</v>
      </c>
      <c r="Z1411" s="10">
        <f>YEAR(CleanedData[[#This Row],[Order Date]])</f>
        <v>2023</v>
      </c>
      <c r="AA1411" s="8">
        <f>MONTH(CleanedData[[#This Row],[Order Date]])</f>
        <v>3</v>
      </c>
    </row>
    <row r="1412" spans="1:27" x14ac:dyDescent="0.35">
      <c r="A1412" s="8" t="s">
        <v>3702</v>
      </c>
      <c r="B1412" s="9">
        <v>45195</v>
      </c>
      <c r="C1412" s="9">
        <v>45129</v>
      </c>
      <c r="D1412" s="8" t="s">
        <v>3703</v>
      </c>
      <c r="E1412" s="8" t="s">
        <v>26</v>
      </c>
      <c r="F1412" s="8" t="s">
        <v>228</v>
      </c>
      <c r="G1412" s="8" t="s">
        <v>129</v>
      </c>
      <c r="H1412" s="8" t="s">
        <v>345</v>
      </c>
      <c r="I1412" s="8" t="s">
        <v>4973</v>
      </c>
      <c r="J1412" s="10">
        <v>603</v>
      </c>
      <c r="K1412" s="11">
        <v>248.05</v>
      </c>
      <c r="L1412" s="11">
        <v>383.95</v>
      </c>
      <c r="M1412" s="11">
        <v>231521.85</v>
      </c>
      <c r="N1412" s="11">
        <v>149574.15</v>
      </c>
      <c r="O1412" s="11">
        <f>CleanedData[[#This Row],[Total Sales ($)]]-CleanedData[[#This Row],[Total Cost ($)]]</f>
        <v>81947.700000000012</v>
      </c>
      <c r="P1412" s="12">
        <f>CleanedData[[#This Row],[Profit ($)]]/CleanedData[[#This Row],[Total Sales ($)]]</f>
        <v>0.35395233754395106</v>
      </c>
      <c r="Q1412" s="8" t="s">
        <v>31</v>
      </c>
      <c r="R1412" s="8" t="s">
        <v>63</v>
      </c>
      <c r="S1412" s="8" t="b">
        <f>_xlfn.SINGLE(CleanedData[[#This Row],[Delivery Status]])="Late"</f>
        <v>0</v>
      </c>
      <c r="T1412" s="10">
        <v>5</v>
      </c>
      <c r="U1412" s="8" t="s">
        <v>86</v>
      </c>
      <c r="V1412" s="10">
        <v>1961</v>
      </c>
      <c r="W1412" s="10">
        <v>23</v>
      </c>
      <c r="X1412" s="12">
        <v>3.8142620232172401E-2</v>
      </c>
      <c r="Y1412" s="8" t="b">
        <f>CleanedData[[#This Row],[Ship Date]]&lt;CleanedData[[#This Row],[Order Date]]</f>
        <v>1</v>
      </c>
      <c r="Z1412" s="10">
        <f>YEAR(CleanedData[[#This Row],[Order Date]])</f>
        <v>2023</v>
      </c>
      <c r="AA1412" s="8">
        <f>MONTH(CleanedData[[#This Row],[Order Date]])</f>
        <v>9</v>
      </c>
    </row>
    <row r="1413" spans="1:27" x14ac:dyDescent="0.35">
      <c r="A1413" s="8" t="s">
        <v>3704</v>
      </c>
      <c r="B1413" s="9">
        <v>45554</v>
      </c>
      <c r="C1413" s="9">
        <v>45339</v>
      </c>
      <c r="D1413" s="8" t="s">
        <v>3705</v>
      </c>
      <c r="E1413" s="8" t="s">
        <v>48</v>
      </c>
      <c r="F1413" s="8" t="s">
        <v>49</v>
      </c>
      <c r="G1413" s="8" t="s">
        <v>28</v>
      </c>
      <c r="H1413" s="8" t="s">
        <v>507</v>
      </c>
      <c r="I1413" s="8" t="s">
        <v>4969</v>
      </c>
      <c r="J1413" s="10">
        <v>718</v>
      </c>
      <c r="K1413" s="11">
        <v>141.65</v>
      </c>
      <c r="L1413" s="11">
        <v>210.53</v>
      </c>
      <c r="M1413" s="11">
        <v>151160.54</v>
      </c>
      <c r="N1413" s="11">
        <v>101704.7</v>
      </c>
      <c r="O1413" s="11">
        <f>CleanedData[[#This Row],[Total Sales ($)]]-CleanedData[[#This Row],[Total Cost ($)]]</f>
        <v>49455.840000000011</v>
      </c>
      <c r="P1413" s="12">
        <f>CleanedData[[#This Row],[Profit ($)]]/CleanedData[[#This Row],[Total Sales ($)]]</f>
        <v>0.3271742744501972</v>
      </c>
      <c r="Q1413" s="8" t="s">
        <v>52</v>
      </c>
      <c r="R1413" s="8" t="s">
        <v>32</v>
      </c>
      <c r="S1413" s="8" t="b">
        <f>_xlfn.SINGLE(CleanedData[[#This Row],[Delivery Status]])="Late"</f>
        <v>1</v>
      </c>
      <c r="T1413" s="10">
        <v>10</v>
      </c>
      <c r="U1413" s="8" t="s">
        <v>158</v>
      </c>
      <c r="V1413" s="10">
        <v>3066</v>
      </c>
      <c r="W1413" s="10">
        <v>2</v>
      </c>
      <c r="X1413" s="12">
        <v>2.7855153203341998E-3</v>
      </c>
      <c r="Y1413" s="8" t="b">
        <f>CleanedData[[#This Row],[Ship Date]]&lt;CleanedData[[#This Row],[Order Date]]</f>
        <v>1</v>
      </c>
      <c r="Z1413" s="10">
        <f>YEAR(CleanedData[[#This Row],[Order Date]])</f>
        <v>2024</v>
      </c>
      <c r="AA1413" s="8">
        <f>MONTH(CleanedData[[#This Row],[Order Date]])</f>
        <v>9</v>
      </c>
    </row>
    <row r="1414" spans="1:27" x14ac:dyDescent="0.35">
      <c r="A1414" s="8" t="s">
        <v>3706</v>
      </c>
      <c r="B1414" s="9">
        <v>45405</v>
      </c>
      <c r="C1414" s="9">
        <v>45632</v>
      </c>
      <c r="D1414" s="8" t="s">
        <v>3708</v>
      </c>
      <c r="E1414" s="8" t="s">
        <v>58</v>
      </c>
      <c r="F1414" s="8" t="s">
        <v>116</v>
      </c>
      <c r="G1414" s="8" t="s">
        <v>78</v>
      </c>
      <c r="H1414" s="8" t="s">
        <v>178</v>
      </c>
      <c r="I1414" s="8" t="s">
        <v>4979</v>
      </c>
      <c r="J1414" s="10">
        <v>277</v>
      </c>
      <c r="K1414" s="11">
        <v>375.57</v>
      </c>
      <c r="L1414" s="11">
        <v>566.74</v>
      </c>
      <c r="M1414" s="11">
        <v>156986.98000000001</v>
      </c>
      <c r="N1414" s="11">
        <v>104032.89</v>
      </c>
      <c r="O1414" s="11">
        <f>CleanedData[[#This Row],[Total Sales ($)]]-CleanedData[[#This Row],[Total Cost ($)]]</f>
        <v>52954.090000000011</v>
      </c>
      <c r="P1414" s="12">
        <f>CleanedData[[#This Row],[Profit ($)]]/CleanedData[[#This Row],[Total Sales ($)]]</f>
        <v>0.3373151709778735</v>
      </c>
      <c r="Q1414" s="8" t="s">
        <v>42</v>
      </c>
      <c r="R1414" s="8" t="s">
        <v>63</v>
      </c>
      <c r="S1414" s="8" t="b">
        <f>_xlfn.SINGLE(CleanedData[[#This Row],[Delivery Status]])="Late"</f>
        <v>0</v>
      </c>
      <c r="T1414" s="10">
        <v>4</v>
      </c>
      <c r="U1414" s="8" t="s">
        <v>33</v>
      </c>
      <c r="V1414" s="10">
        <v>1274</v>
      </c>
      <c r="W1414" s="10">
        <v>13</v>
      </c>
      <c r="X1414" s="12">
        <v>4.6931407942238199E-2</v>
      </c>
      <c r="Y1414" s="8" t="b">
        <f>CleanedData[[#This Row],[Ship Date]]&lt;CleanedData[[#This Row],[Order Date]]</f>
        <v>0</v>
      </c>
      <c r="Z1414" s="10">
        <f>YEAR(CleanedData[[#This Row],[Order Date]])</f>
        <v>2024</v>
      </c>
      <c r="AA1414" s="8">
        <f>MONTH(CleanedData[[#This Row],[Order Date]])</f>
        <v>4</v>
      </c>
    </row>
    <row r="1415" spans="1:27" x14ac:dyDescent="0.35">
      <c r="A1415" s="8" t="s">
        <v>2359</v>
      </c>
      <c r="B1415" s="9">
        <v>45209</v>
      </c>
      <c r="C1415" s="9">
        <v>45103</v>
      </c>
      <c r="D1415" s="8" t="s">
        <v>2360</v>
      </c>
      <c r="E1415" s="8" t="s">
        <v>26</v>
      </c>
      <c r="F1415" s="8" t="s">
        <v>92</v>
      </c>
      <c r="G1415" s="8" t="s">
        <v>50</v>
      </c>
      <c r="H1415" s="8" t="s">
        <v>135</v>
      </c>
      <c r="I1415" s="8" t="s">
        <v>4979</v>
      </c>
      <c r="J1415" s="10">
        <v>484</v>
      </c>
      <c r="K1415" s="11">
        <v>688.96</v>
      </c>
      <c r="L1415" s="11">
        <v>833.51</v>
      </c>
      <c r="M1415" s="11">
        <v>403418.84</v>
      </c>
      <c r="N1415" s="11">
        <v>333456.64000000001</v>
      </c>
      <c r="O1415" s="11">
        <f>CleanedData[[#This Row],[Total Sales ($)]]-CleanedData[[#This Row],[Total Cost ($)]]</f>
        <v>69962.200000000012</v>
      </c>
      <c r="P1415" s="12">
        <f>CleanedData[[#This Row],[Profit ($)]]/CleanedData[[#This Row],[Total Sales ($)]]</f>
        <v>0.17342323427433387</v>
      </c>
      <c r="Q1415" s="8" t="s">
        <v>31</v>
      </c>
      <c r="R1415" s="8" t="s">
        <v>32</v>
      </c>
      <c r="S1415" s="8" t="b">
        <f>_xlfn.SINGLE(CleanedData[[#This Row],[Delivery Status]])="Late"</f>
        <v>1</v>
      </c>
      <c r="T1415" s="10">
        <v>11</v>
      </c>
      <c r="U1415" s="8" t="s">
        <v>43</v>
      </c>
      <c r="V1415" s="10">
        <v>2501.41</v>
      </c>
      <c r="W1415" s="10">
        <v>8</v>
      </c>
      <c r="X1415" s="12">
        <v>1.6528925619834701E-2</v>
      </c>
      <c r="Y1415" s="8" t="b">
        <f>CleanedData[[#This Row],[Ship Date]]&lt;CleanedData[[#This Row],[Order Date]]</f>
        <v>1</v>
      </c>
      <c r="Z1415" s="10">
        <f>YEAR(CleanedData[[#This Row],[Order Date]])</f>
        <v>2023</v>
      </c>
      <c r="AA1415" s="8">
        <f>MONTH(CleanedData[[#This Row],[Order Date]])</f>
        <v>10</v>
      </c>
    </row>
    <row r="1416" spans="1:27" x14ac:dyDescent="0.35">
      <c r="A1416" s="8" t="s">
        <v>3710</v>
      </c>
      <c r="B1416" s="9">
        <v>45449</v>
      </c>
      <c r="C1416" s="9">
        <v>45422</v>
      </c>
      <c r="D1416" s="8" t="s">
        <v>3284</v>
      </c>
      <c r="E1416" s="8" t="s">
        <v>48</v>
      </c>
      <c r="F1416" s="8" t="s">
        <v>223</v>
      </c>
      <c r="G1416" s="8" t="s">
        <v>70</v>
      </c>
      <c r="H1416" s="8" t="s">
        <v>84</v>
      </c>
      <c r="I1416" s="8" t="s">
        <v>4977</v>
      </c>
      <c r="J1416" s="10">
        <v>466</v>
      </c>
      <c r="K1416" s="11">
        <v>636.67999999999995</v>
      </c>
      <c r="L1416" s="11">
        <v>850.22</v>
      </c>
      <c r="M1416" s="11">
        <v>396202.52</v>
      </c>
      <c r="N1416" s="11">
        <v>296692.88</v>
      </c>
      <c r="O1416" s="11">
        <f>CleanedData[[#This Row],[Total Sales ($)]]-CleanedData[[#This Row],[Total Cost ($)]]</f>
        <v>99509.640000000014</v>
      </c>
      <c r="P1416" s="12">
        <f>CleanedData[[#This Row],[Profit ($)]]/CleanedData[[#This Row],[Total Sales ($)]]</f>
        <v>0.25115852367622499</v>
      </c>
      <c r="Q1416" s="8" t="s">
        <v>31</v>
      </c>
      <c r="R1416" s="8" t="s">
        <v>63</v>
      </c>
      <c r="S1416" s="8" t="b">
        <f>_xlfn.SINGLE(CleanedData[[#This Row],[Delivery Status]])="Late"</f>
        <v>0</v>
      </c>
      <c r="T1416" s="10">
        <v>1</v>
      </c>
      <c r="U1416" s="8" t="s">
        <v>33</v>
      </c>
      <c r="V1416" s="10">
        <v>2127</v>
      </c>
      <c r="W1416" s="10">
        <v>12</v>
      </c>
      <c r="X1416" s="12">
        <v>2.57510729613733E-2</v>
      </c>
      <c r="Y1416" s="8" t="b">
        <f>CleanedData[[#This Row],[Ship Date]]&lt;CleanedData[[#This Row],[Order Date]]</f>
        <v>1</v>
      </c>
      <c r="Z1416" s="10">
        <f>YEAR(CleanedData[[#This Row],[Order Date]])</f>
        <v>2024</v>
      </c>
      <c r="AA1416" s="8">
        <f>MONTH(CleanedData[[#This Row],[Order Date]])</f>
        <v>6</v>
      </c>
    </row>
    <row r="1417" spans="1:27" x14ac:dyDescent="0.35">
      <c r="A1417" s="8" t="s">
        <v>3712</v>
      </c>
      <c r="B1417" s="9">
        <v>44933</v>
      </c>
      <c r="C1417" s="9">
        <v>45095</v>
      </c>
      <c r="D1417" s="8" t="s">
        <v>1963</v>
      </c>
      <c r="E1417" s="8" t="s">
        <v>58</v>
      </c>
      <c r="F1417" s="8" t="s">
        <v>417</v>
      </c>
      <c r="G1417" s="8" t="s">
        <v>129</v>
      </c>
      <c r="H1417" s="8" t="s">
        <v>152</v>
      </c>
      <c r="I1417" s="8" t="s">
        <v>4979</v>
      </c>
      <c r="J1417" s="10">
        <v>252</v>
      </c>
      <c r="K1417" s="11">
        <v>187.89</v>
      </c>
      <c r="L1417" s="11">
        <v>253.56</v>
      </c>
      <c r="M1417" s="11">
        <v>63897.120000000003</v>
      </c>
      <c r="N1417" s="11">
        <v>47348.28</v>
      </c>
      <c r="O1417" s="11">
        <f>CleanedData[[#This Row],[Total Sales ($)]]-CleanedData[[#This Row],[Total Cost ($)]]</f>
        <v>16548.840000000004</v>
      </c>
      <c r="P1417" s="12">
        <f>CleanedData[[#This Row],[Profit ($)]]/CleanedData[[#This Row],[Total Sales ($)]]</f>
        <v>0.25899195456696644</v>
      </c>
      <c r="Q1417" s="8" t="s">
        <v>95</v>
      </c>
      <c r="R1417" s="8" t="s">
        <v>32</v>
      </c>
      <c r="S1417" s="8" t="b">
        <f>_xlfn.SINGLE(CleanedData[[#This Row],[Delivery Status]])="Late"</f>
        <v>1</v>
      </c>
      <c r="T1417" s="10">
        <v>15</v>
      </c>
      <c r="U1417" s="8" t="s">
        <v>33</v>
      </c>
      <c r="V1417" s="10">
        <v>3388</v>
      </c>
      <c r="W1417" s="10">
        <v>6</v>
      </c>
      <c r="X1417" s="12">
        <v>2.3809523809523801E-2</v>
      </c>
      <c r="Y1417" s="8" t="b">
        <f>CleanedData[[#This Row],[Ship Date]]&lt;CleanedData[[#This Row],[Order Date]]</f>
        <v>0</v>
      </c>
      <c r="Z1417" s="10">
        <f>YEAR(CleanedData[[#This Row],[Order Date]])</f>
        <v>2023</v>
      </c>
      <c r="AA1417" s="8">
        <f>MONTH(CleanedData[[#This Row],[Order Date]])</f>
        <v>1</v>
      </c>
    </row>
    <row r="1418" spans="1:27" x14ac:dyDescent="0.35">
      <c r="A1418" s="8" t="s">
        <v>3713</v>
      </c>
      <c r="B1418" s="9">
        <v>45097</v>
      </c>
      <c r="C1418" s="9">
        <v>45154</v>
      </c>
      <c r="D1418" s="8" t="s">
        <v>3714</v>
      </c>
      <c r="E1418" s="8" t="s">
        <v>26</v>
      </c>
      <c r="F1418" s="8" t="s">
        <v>92</v>
      </c>
      <c r="G1418" s="8" t="s">
        <v>93</v>
      </c>
      <c r="H1418" s="8" t="s">
        <v>184</v>
      </c>
      <c r="I1418" s="8" t="s">
        <v>4978</v>
      </c>
      <c r="J1418" s="10">
        <v>385</v>
      </c>
      <c r="K1418" s="11">
        <v>397.45</v>
      </c>
      <c r="L1418" s="11">
        <v>527.08000000000004</v>
      </c>
      <c r="M1418" s="11">
        <v>202925.8</v>
      </c>
      <c r="N1418" s="11">
        <v>153018.25</v>
      </c>
      <c r="O1418" s="11">
        <f>CleanedData[[#This Row],[Total Sales ($)]]-CleanedData[[#This Row],[Total Cost ($)]]</f>
        <v>49907.549999999988</v>
      </c>
      <c r="P1418" s="12">
        <f>CleanedData[[#This Row],[Profit ($)]]/CleanedData[[#This Row],[Total Sales ($)]]</f>
        <v>0.24593989527206492</v>
      </c>
      <c r="Q1418" s="8" t="s">
        <v>95</v>
      </c>
      <c r="R1418" s="8" t="s">
        <v>63</v>
      </c>
      <c r="S1418" s="8" t="b">
        <f>_xlfn.SINGLE(CleanedData[[#This Row],[Delivery Status]])="Late"</f>
        <v>0</v>
      </c>
      <c r="T1418" s="10">
        <v>3</v>
      </c>
      <c r="U1418" s="8" t="s">
        <v>53</v>
      </c>
      <c r="V1418" s="10">
        <v>3386</v>
      </c>
      <c r="W1418" s="10">
        <v>5</v>
      </c>
      <c r="X1418" s="12">
        <v>1.2987012987012899E-2</v>
      </c>
      <c r="Y1418" s="8" t="b">
        <f>CleanedData[[#This Row],[Ship Date]]&lt;CleanedData[[#This Row],[Order Date]]</f>
        <v>0</v>
      </c>
      <c r="Z1418" s="10">
        <f>YEAR(CleanedData[[#This Row],[Order Date]])</f>
        <v>2023</v>
      </c>
      <c r="AA1418" s="8">
        <f>MONTH(CleanedData[[#This Row],[Order Date]])</f>
        <v>6</v>
      </c>
    </row>
    <row r="1419" spans="1:27" x14ac:dyDescent="0.35">
      <c r="A1419" s="8" t="s">
        <v>3715</v>
      </c>
      <c r="B1419" s="9">
        <v>45183</v>
      </c>
      <c r="C1419" s="9">
        <v>45264</v>
      </c>
      <c r="D1419" s="8" t="s">
        <v>3716</v>
      </c>
      <c r="E1419" s="8" t="s">
        <v>58</v>
      </c>
      <c r="F1419" s="8" t="s">
        <v>116</v>
      </c>
      <c r="G1419" s="8" t="s">
        <v>189</v>
      </c>
      <c r="H1419" s="8" t="s">
        <v>271</v>
      </c>
      <c r="I1419" s="8" t="s">
        <v>4968</v>
      </c>
      <c r="J1419" s="10">
        <v>658</v>
      </c>
      <c r="K1419" s="11">
        <v>86.5</v>
      </c>
      <c r="L1419" s="11">
        <v>103.84</v>
      </c>
      <c r="M1419" s="11">
        <v>68326.720000000001</v>
      </c>
      <c r="N1419" s="11">
        <v>56917</v>
      </c>
      <c r="O1419" s="11">
        <f>CleanedData[[#This Row],[Total Sales ($)]]-CleanedData[[#This Row],[Total Cost ($)]]</f>
        <v>11409.720000000001</v>
      </c>
      <c r="P1419" s="12">
        <f>CleanedData[[#This Row],[Profit ($)]]/CleanedData[[#This Row],[Total Sales ($)]]</f>
        <v>0.16698767334360556</v>
      </c>
      <c r="Q1419" s="8" t="s">
        <v>42</v>
      </c>
      <c r="R1419" s="8" t="s">
        <v>32</v>
      </c>
      <c r="S1419" s="8" t="b">
        <f>_xlfn.SINGLE(CleanedData[[#This Row],[Delivery Status]])="Late"</f>
        <v>1</v>
      </c>
      <c r="T1419" s="10">
        <v>9</v>
      </c>
      <c r="U1419" s="8" t="s">
        <v>112</v>
      </c>
      <c r="V1419" s="10">
        <v>1008</v>
      </c>
      <c r="W1419" s="10">
        <v>23</v>
      </c>
      <c r="X1419" s="12">
        <v>3.4954407294832797E-2</v>
      </c>
      <c r="Y1419" s="8" t="b">
        <f>CleanedData[[#This Row],[Ship Date]]&lt;CleanedData[[#This Row],[Order Date]]</f>
        <v>0</v>
      </c>
      <c r="Z1419" s="10">
        <f>YEAR(CleanedData[[#This Row],[Order Date]])</f>
        <v>2023</v>
      </c>
      <c r="AA1419" s="8">
        <f>MONTH(CleanedData[[#This Row],[Order Date]])</f>
        <v>9</v>
      </c>
    </row>
    <row r="1420" spans="1:27" x14ac:dyDescent="0.35">
      <c r="A1420" s="8" t="s">
        <v>3717</v>
      </c>
      <c r="B1420" s="9">
        <v>45238</v>
      </c>
      <c r="C1420" s="9">
        <v>44959</v>
      </c>
      <c r="D1420" s="8" t="s">
        <v>1258</v>
      </c>
      <c r="E1420" s="8" t="s">
        <v>48</v>
      </c>
      <c r="F1420" s="8" t="s">
        <v>281</v>
      </c>
      <c r="G1420" s="8" t="s">
        <v>93</v>
      </c>
      <c r="H1420" s="8" t="s">
        <v>1442</v>
      </c>
      <c r="I1420" s="8" t="s">
        <v>4968</v>
      </c>
      <c r="J1420" s="10">
        <v>701</v>
      </c>
      <c r="K1420" s="11">
        <v>67.02</v>
      </c>
      <c r="L1420" s="11">
        <v>95.94</v>
      </c>
      <c r="M1420" s="11">
        <v>67253.94</v>
      </c>
      <c r="N1420" s="11">
        <v>46981.02</v>
      </c>
      <c r="O1420" s="11">
        <f>CleanedData[[#This Row],[Total Sales ($)]]-CleanedData[[#This Row],[Total Cost ($)]]</f>
        <v>20272.920000000006</v>
      </c>
      <c r="P1420" s="12">
        <f>CleanedData[[#This Row],[Profit ($)]]/CleanedData[[#This Row],[Total Sales ($)]]</f>
        <v>0.30143839899937469</v>
      </c>
      <c r="Q1420" s="8" t="s">
        <v>52</v>
      </c>
      <c r="R1420" s="8" t="s">
        <v>63</v>
      </c>
      <c r="S1420" s="8" t="b">
        <f>_xlfn.SINGLE(CleanedData[[#This Row],[Delivery Status]])="Late"</f>
        <v>0</v>
      </c>
      <c r="T1420" s="10">
        <v>5</v>
      </c>
      <c r="U1420" s="8" t="s">
        <v>86</v>
      </c>
      <c r="V1420" s="10">
        <v>3879</v>
      </c>
      <c r="W1420" s="10">
        <v>34</v>
      </c>
      <c r="X1420" s="12">
        <v>4.8502139800285303E-2</v>
      </c>
      <c r="Y1420" s="8" t="b">
        <f>CleanedData[[#This Row],[Ship Date]]&lt;CleanedData[[#This Row],[Order Date]]</f>
        <v>1</v>
      </c>
      <c r="Z1420" s="10">
        <f>YEAR(CleanedData[[#This Row],[Order Date]])</f>
        <v>2023</v>
      </c>
      <c r="AA1420" s="8">
        <f>MONTH(CleanedData[[#This Row],[Order Date]])</f>
        <v>11</v>
      </c>
    </row>
    <row r="1421" spans="1:27" x14ac:dyDescent="0.35">
      <c r="A1421" s="8" t="s">
        <v>3718</v>
      </c>
      <c r="B1421" s="9">
        <v>45134</v>
      </c>
      <c r="C1421" s="9">
        <v>45086</v>
      </c>
      <c r="D1421" s="8" t="s">
        <v>3719</v>
      </c>
      <c r="E1421" s="8" t="s">
        <v>100</v>
      </c>
      <c r="F1421" s="8" t="s">
        <v>106</v>
      </c>
      <c r="G1421" s="8" t="s">
        <v>217</v>
      </c>
      <c r="H1421" s="8" t="s">
        <v>335</v>
      </c>
      <c r="I1421" s="8" t="s">
        <v>4976</v>
      </c>
      <c r="J1421" s="10">
        <v>444</v>
      </c>
      <c r="K1421" s="11">
        <v>514.21</v>
      </c>
      <c r="L1421" s="11">
        <v>741.81</v>
      </c>
      <c r="M1421" s="11">
        <v>329363.64</v>
      </c>
      <c r="N1421" s="11">
        <v>228309.24</v>
      </c>
      <c r="O1421" s="11">
        <f>CleanedData[[#This Row],[Total Sales ($)]]-CleanedData[[#This Row],[Total Cost ($)]]</f>
        <v>101054.40000000002</v>
      </c>
      <c r="P1421" s="12">
        <f>CleanedData[[#This Row],[Profit ($)]]/CleanedData[[#This Row],[Total Sales ($)]]</f>
        <v>0.30681710950243329</v>
      </c>
      <c r="Q1421" s="8" t="s">
        <v>52</v>
      </c>
      <c r="R1421" s="8" t="s">
        <v>32</v>
      </c>
      <c r="S1421" s="8" t="b">
        <f>_xlfn.SINGLE(CleanedData[[#This Row],[Delivery Status]])="Late"</f>
        <v>1</v>
      </c>
      <c r="T1421" s="10">
        <v>14</v>
      </c>
      <c r="U1421" s="8" t="s">
        <v>112</v>
      </c>
      <c r="V1421" s="10">
        <v>4376</v>
      </c>
      <c r="W1421" s="10">
        <v>17</v>
      </c>
      <c r="X1421" s="12">
        <v>3.8288288288288203E-2</v>
      </c>
      <c r="Y1421" s="8" t="b">
        <f>CleanedData[[#This Row],[Ship Date]]&lt;CleanedData[[#This Row],[Order Date]]</f>
        <v>1</v>
      </c>
      <c r="Z1421" s="10">
        <f>YEAR(CleanedData[[#This Row],[Order Date]])</f>
        <v>2023</v>
      </c>
      <c r="AA1421" s="8">
        <f>MONTH(CleanedData[[#This Row],[Order Date]])</f>
        <v>7</v>
      </c>
    </row>
    <row r="1422" spans="1:27" x14ac:dyDescent="0.35">
      <c r="A1422" s="8" t="s">
        <v>3720</v>
      </c>
      <c r="B1422" s="9">
        <v>45040</v>
      </c>
      <c r="C1422" s="9">
        <v>45204</v>
      </c>
      <c r="D1422" s="8" t="s">
        <v>3721</v>
      </c>
      <c r="E1422" s="8" t="s">
        <v>68</v>
      </c>
      <c r="F1422" s="8" t="s">
        <v>163</v>
      </c>
      <c r="G1422" s="8" t="s">
        <v>28</v>
      </c>
      <c r="H1422" s="8" t="s">
        <v>111</v>
      </c>
      <c r="I1422" s="8" t="s">
        <v>4968</v>
      </c>
      <c r="J1422" s="10">
        <v>730</v>
      </c>
      <c r="K1422" s="11">
        <v>637.03</v>
      </c>
      <c r="L1422" s="11">
        <v>785.73</v>
      </c>
      <c r="M1422" s="11">
        <v>573582.9</v>
      </c>
      <c r="N1422" s="11">
        <v>465031.9</v>
      </c>
      <c r="O1422" s="11">
        <f>CleanedData[[#This Row],[Total Sales ($)]]-CleanedData[[#This Row],[Total Cost ($)]]</f>
        <v>108551</v>
      </c>
      <c r="P1422" s="12">
        <f>CleanedData[[#This Row],[Profit ($)]]/CleanedData[[#This Row],[Total Sales ($)]]</f>
        <v>0.18925076043933667</v>
      </c>
      <c r="Q1422" s="8" t="s">
        <v>52</v>
      </c>
      <c r="R1422" s="8" t="s">
        <v>32</v>
      </c>
      <c r="S1422" s="8" t="b">
        <f>_xlfn.SINGLE(CleanedData[[#This Row],[Delivery Status]])="Late"</f>
        <v>1</v>
      </c>
      <c r="T1422" s="10">
        <v>7</v>
      </c>
      <c r="U1422" s="8" t="s">
        <v>33</v>
      </c>
      <c r="V1422" s="10">
        <v>104</v>
      </c>
      <c r="W1422" s="10">
        <v>6</v>
      </c>
      <c r="X1422" s="12">
        <v>8.2191780821917002E-3</v>
      </c>
      <c r="Y1422" s="8" t="b">
        <f>CleanedData[[#This Row],[Ship Date]]&lt;CleanedData[[#This Row],[Order Date]]</f>
        <v>0</v>
      </c>
      <c r="Z1422" s="10">
        <f>YEAR(CleanedData[[#This Row],[Order Date]])</f>
        <v>2023</v>
      </c>
      <c r="AA1422" s="8">
        <f>MONTH(CleanedData[[#This Row],[Order Date]])</f>
        <v>4</v>
      </c>
    </row>
    <row r="1423" spans="1:27" x14ac:dyDescent="0.35">
      <c r="A1423" s="8" t="s">
        <v>3722</v>
      </c>
      <c r="B1423" s="9">
        <v>45605</v>
      </c>
      <c r="C1423" s="9">
        <v>45617</v>
      </c>
      <c r="D1423" s="8" t="s">
        <v>3724</v>
      </c>
      <c r="E1423" s="8" t="s">
        <v>100</v>
      </c>
      <c r="F1423" s="8" t="s">
        <v>106</v>
      </c>
      <c r="G1423" s="8" t="s">
        <v>50</v>
      </c>
      <c r="H1423" s="8" t="s">
        <v>117</v>
      </c>
      <c r="I1423" s="8" t="s">
        <v>4967</v>
      </c>
      <c r="J1423" s="10">
        <v>671</v>
      </c>
      <c r="K1423" s="11">
        <v>450.58</v>
      </c>
      <c r="L1423" s="11">
        <v>695.53</v>
      </c>
      <c r="M1423" s="11">
        <v>466700.63</v>
      </c>
      <c r="N1423" s="11">
        <v>302339.18</v>
      </c>
      <c r="O1423" s="11">
        <f>CleanedData[[#This Row],[Total Sales ($)]]-CleanedData[[#This Row],[Total Cost ($)]]</f>
        <v>164361.45000000001</v>
      </c>
      <c r="P1423" s="12">
        <f>CleanedData[[#This Row],[Profit ($)]]/CleanedData[[#This Row],[Total Sales ($)]]</f>
        <v>0.35217747616925227</v>
      </c>
      <c r="Q1423" s="8" t="s">
        <v>52</v>
      </c>
      <c r="R1423" s="8" t="s">
        <v>32</v>
      </c>
      <c r="S1423" s="8" t="b">
        <f>_xlfn.SINGLE(CleanedData[[#This Row],[Delivery Status]])="Late"</f>
        <v>1</v>
      </c>
      <c r="T1423" s="10">
        <v>15</v>
      </c>
      <c r="U1423" s="8" t="s">
        <v>158</v>
      </c>
      <c r="V1423" s="10">
        <v>1066</v>
      </c>
      <c r="W1423" s="10">
        <v>19</v>
      </c>
      <c r="X1423" s="12">
        <v>2.83159463487332E-2</v>
      </c>
      <c r="Y1423" s="8" t="b">
        <f>CleanedData[[#This Row],[Ship Date]]&lt;CleanedData[[#This Row],[Order Date]]</f>
        <v>0</v>
      </c>
      <c r="Z1423" s="10">
        <f>YEAR(CleanedData[[#This Row],[Order Date]])</f>
        <v>2024</v>
      </c>
      <c r="AA1423" s="8">
        <f>MONTH(CleanedData[[#This Row],[Order Date]])</f>
        <v>11</v>
      </c>
    </row>
    <row r="1424" spans="1:27" x14ac:dyDescent="0.35">
      <c r="A1424" s="8" t="s">
        <v>3725</v>
      </c>
      <c r="B1424" s="9">
        <v>45058</v>
      </c>
      <c r="C1424" s="9">
        <v>44965</v>
      </c>
      <c r="D1424" s="8" t="s">
        <v>3726</v>
      </c>
      <c r="E1424" s="8" t="s">
        <v>58</v>
      </c>
      <c r="F1424" s="8" t="s">
        <v>59</v>
      </c>
      <c r="G1424" s="8" t="s">
        <v>60</v>
      </c>
      <c r="H1424" s="8" t="s">
        <v>61</v>
      </c>
      <c r="I1424" s="8" t="s">
        <v>4979</v>
      </c>
      <c r="J1424" s="10">
        <v>777</v>
      </c>
      <c r="K1424" s="11">
        <v>239.91</v>
      </c>
      <c r="L1424" s="11">
        <v>339.36</v>
      </c>
      <c r="M1424" s="11">
        <v>263682.71999999997</v>
      </c>
      <c r="N1424" s="11">
        <v>186410.07</v>
      </c>
      <c r="O1424" s="11">
        <f>CleanedData[[#This Row],[Total Sales ($)]]-CleanedData[[#This Row],[Total Cost ($)]]</f>
        <v>77272.649999999965</v>
      </c>
      <c r="P1424" s="12">
        <f>CleanedData[[#This Row],[Profit ($)]]/CleanedData[[#This Row],[Total Sales ($)]]</f>
        <v>0.29305162659123046</v>
      </c>
      <c r="Q1424" s="8" t="s">
        <v>31</v>
      </c>
      <c r="R1424" s="8" t="s">
        <v>63</v>
      </c>
      <c r="S1424" s="8" t="b">
        <f>_xlfn.SINGLE(CleanedData[[#This Row],[Delivery Status]])="Late"</f>
        <v>0</v>
      </c>
      <c r="T1424" s="10">
        <v>1</v>
      </c>
      <c r="U1424" s="8" t="s">
        <v>43</v>
      </c>
      <c r="V1424" s="10">
        <v>4396</v>
      </c>
      <c r="W1424" s="10">
        <v>20</v>
      </c>
      <c r="X1424" s="12">
        <v>2.57400257400257E-2</v>
      </c>
      <c r="Y1424" s="8" t="b">
        <f>CleanedData[[#This Row],[Ship Date]]&lt;CleanedData[[#This Row],[Order Date]]</f>
        <v>1</v>
      </c>
      <c r="Z1424" s="10">
        <f>YEAR(CleanedData[[#This Row],[Order Date]])</f>
        <v>2023</v>
      </c>
      <c r="AA1424" s="8">
        <f>MONTH(CleanedData[[#This Row],[Order Date]])</f>
        <v>5</v>
      </c>
    </row>
    <row r="1425" spans="1:27" x14ac:dyDescent="0.35">
      <c r="A1425" s="8" t="s">
        <v>3727</v>
      </c>
      <c r="B1425" s="9">
        <v>45172</v>
      </c>
      <c r="C1425" s="9">
        <v>45271</v>
      </c>
      <c r="D1425" s="8" t="s">
        <v>3728</v>
      </c>
      <c r="E1425" s="8" t="s">
        <v>100</v>
      </c>
      <c r="F1425" s="8" t="s">
        <v>101</v>
      </c>
      <c r="G1425" s="8" t="s">
        <v>129</v>
      </c>
      <c r="H1425" s="8" t="s">
        <v>520</v>
      </c>
      <c r="I1425" s="8" t="s">
        <v>4977</v>
      </c>
      <c r="J1425" s="10">
        <v>377</v>
      </c>
      <c r="K1425" s="11">
        <v>1096.99</v>
      </c>
      <c r="L1425" s="11">
        <v>1709.47</v>
      </c>
      <c r="M1425" s="11">
        <v>644470.18999999994</v>
      </c>
      <c r="N1425" s="11">
        <v>413565.23</v>
      </c>
      <c r="O1425" s="11">
        <f>CleanedData[[#This Row],[Total Sales ($)]]-CleanedData[[#This Row],[Total Cost ($)]]</f>
        <v>230904.95999999996</v>
      </c>
      <c r="P1425" s="12">
        <f>CleanedData[[#This Row],[Profit ($)]]/CleanedData[[#This Row],[Total Sales ($)]]</f>
        <v>0.3582864864548661</v>
      </c>
      <c r="Q1425" s="8" t="s">
        <v>95</v>
      </c>
      <c r="R1425" s="8" t="s">
        <v>32</v>
      </c>
      <c r="S1425" s="8" t="b">
        <f>_xlfn.SINGLE(CleanedData[[#This Row],[Delivery Status]])="Late"</f>
        <v>1</v>
      </c>
      <c r="T1425" s="10">
        <v>9</v>
      </c>
      <c r="U1425" s="8" t="s">
        <v>33</v>
      </c>
      <c r="V1425" s="10">
        <v>3627</v>
      </c>
      <c r="W1425" s="10">
        <v>1</v>
      </c>
      <c r="X1425" s="12">
        <v>2.6525198938992002E-3</v>
      </c>
      <c r="Y1425" s="8" t="b">
        <f>CleanedData[[#This Row],[Ship Date]]&lt;CleanedData[[#This Row],[Order Date]]</f>
        <v>0</v>
      </c>
      <c r="Z1425" s="10">
        <f>YEAR(CleanedData[[#This Row],[Order Date]])</f>
        <v>2023</v>
      </c>
      <c r="AA1425" s="8">
        <f>MONTH(CleanedData[[#This Row],[Order Date]])</f>
        <v>9</v>
      </c>
    </row>
    <row r="1426" spans="1:27" x14ac:dyDescent="0.35">
      <c r="A1426" s="8" t="s">
        <v>3729</v>
      </c>
      <c r="B1426" s="9">
        <v>45581</v>
      </c>
      <c r="C1426" s="9">
        <v>45557</v>
      </c>
      <c r="D1426" s="8" t="s">
        <v>3731</v>
      </c>
      <c r="E1426" s="8" t="s">
        <v>48</v>
      </c>
      <c r="F1426" s="8" t="s">
        <v>223</v>
      </c>
      <c r="G1426" s="8" t="s">
        <v>189</v>
      </c>
      <c r="H1426" s="8" t="s">
        <v>311</v>
      </c>
      <c r="I1426" s="8" t="s">
        <v>4977</v>
      </c>
      <c r="J1426" s="10">
        <v>231</v>
      </c>
      <c r="K1426" s="11">
        <v>1008.37</v>
      </c>
      <c r="L1426" s="11">
        <v>1229.82</v>
      </c>
      <c r="M1426" s="11">
        <v>284088.42</v>
      </c>
      <c r="N1426" s="11">
        <v>232933.47</v>
      </c>
      <c r="O1426" s="11">
        <f>CleanedData[[#This Row],[Total Sales ($)]]-CleanedData[[#This Row],[Total Cost ($)]]</f>
        <v>51154.949999999983</v>
      </c>
      <c r="P1426" s="12">
        <f>CleanedData[[#This Row],[Profit ($)]]/CleanedData[[#This Row],[Total Sales ($)]]</f>
        <v>0.18006700167504183</v>
      </c>
      <c r="Q1426" s="8" t="s">
        <v>95</v>
      </c>
      <c r="R1426" s="8" t="s">
        <v>63</v>
      </c>
      <c r="S1426" s="8" t="b">
        <f>_xlfn.SINGLE(CleanedData[[#This Row],[Delivery Status]])="Late"</f>
        <v>0</v>
      </c>
      <c r="T1426" s="10">
        <v>5</v>
      </c>
      <c r="U1426" s="8" t="s">
        <v>112</v>
      </c>
      <c r="V1426" s="10">
        <v>1847</v>
      </c>
      <c r="W1426" s="10">
        <v>2</v>
      </c>
      <c r="X1426" s="12">
        <v>8.6580086580086008E-3</v>
      </c>
      <c r="Y1426" s="8" t="b">
        <f>CleanedData[[#This Row],[Ship Date]]&lt;CleanedData[[#This Row],[Order Date]]</f>
        <v>1</v>
      </c>
      <c r="Z1426" s="10">
        <f>YEAR(CleanedData[[#This Row],[Order Date]])</f>
        <v>2024</v>
      </c>
      <c r="AA1426" s="8">
        <f>MONTH(CleanedData[[#This Row],[Order Date]])</f>
        <v>10</v>
      </c>
    </row>
    <row r="1427" spans="1:27" x14ac:dyDescent="0.35">
      <c r="A1427" s="8" t="s">
        <v>3732</v>
      </c>
      <c r="B1427" s="9">
        <v>45490</v>
      </c>
      <c r="C1427" s="9">
        <v>45538</v>
      </c>
      <c r="D1427" s="8" t="s">
        <v>3734</v>
      </c>
      <c r="E1427" s="8" t="s">
        <v>26</v>
      </c>
      <c r="F1427" s="8" t="s">
        <v>27</v>
      </c>
      <c r="G1427" s="8" t="s">
        <v>189</v>
      </c>
      <c r="H1427" s="8" t="s">
        <v>311</v>
      </c>
      <c r="I1427" s="8" t="s">
        <v>4969</v>
      </c>
      <c r="J1427" s="10">
        <v>707</v>
      </c>
      <c r="K1427" s="11">
        <v>310.06</v>
      </c>
      <c r="L1427" s="11">
        <v>454.32</v>
      </c>
      <c r="M1427" s="11">
        <v>321204.24</v>
      </c>
      <c r="N1427" s="11">
        <v>219212.42</v>
      </c>
      <c r="O1427" s="11">
        <f>CleanedData[[#This Row],[Total Sales ($)]]-CleanedData[[#This Row],[Total Cost ($)]]</f>
        <v>101991.81999999998</v>
      </c>
      <c r="P1427" s="12">
        <f>CleanedData[[#This Row],[Profit ($)]]/CleanedData[[#This Row],[Total Sales ($)]]</f>
        <v>0.31752949462933611</v>
      </c>
      <c r="Q1427" s="8" t="s">
        <v>95</v>
      </c>
      <c r="R1427" s="8" t="s">
        <v>63</v>
      </c>
      <c r="S1427" s="8" t="b">
        <f>_xlfn.SINGLE(CleanedData[[#This Row],[Delivery Status]])="Late"</f>
        <v>0</v>
      </c>
      <c r="T1427" s="10">
        <v>4</v>
      </c>
      <c r="U1427" s="8" t="s">
        <v>33</v>
      </c>
      <c r="V1427" s="10">
        <v>4296</v>
      </c>
      <c r="W1427" s="10">
        <v>14</v>
      </c>
      <c r="X1427" s="12">
        <v>1.9801980198019799E-2</v>
      </c>
      <c r="Y1427" s="8" t="b">
        <f>CleanedData[[#This Row],[Ship Date]]&lt;CleanedData[[#This Row],[Order Date]]</f>
        <v>0</v>
      </c>
      <c r="Z1427" s="10">
        <f>YEAR(CleanedData[[#This Row],[Order Date]])</f>
        <v>2024</v>
      </c>
      <c r="AA1427" s="8">
        <f>MONTH(CleanedData[[#This Row],[Order Date]])</f>
        <v>7</v>
      </c>
    </row>
    <row r="1428" spans="1:27" x14ac:dyDescent="0.35">
      <c r="A1428" s="8" t="s">
        <v>3735</v>
      </c>
      <c r="B1428" s="9">
        <v>44990</v>
      </c>
      <c r="C1428" s="9">
        <v>44946</v>
      </c>
      <c r="D1428" s="8" t="s">
        <v>3736</v>
      </c>
      <c r="E1428" s="8" t="s">
        <v>48</v>
      </c>
      <c r="F1428" s="8" t="s">
        <v>281</v>
      </c>
      <c r="G1428" s="8" t="s">
        <v>93</v>
      </c>
      <c r="H1428" s="8" t="s">
        <v>140</v>
      </c>
      <c r="I1428" s="8" t="s">
        <v>4967</v>
      </c>
      <c r="J1428" s="10">
        <v>-1</v>
      </c>
      <c r="K1428" s="11">
        <v>409.17</v>
      </c>
      <c r="L1428" s="11">
        <v>493.69</v>
      </c>
      <c r="M1428" s="11">
        <v>140207.96</v>
      </c>
      <c r="N1428" s="11">
        <v>116204.28</v>
      </c>
      <c r="O1428" s="11">
        <f>CleanedData[[#This Row],[Total Sales ($)]]-CleanedData[[#This Row],[Total Cost ($)]]</f>
        <v>24003.679999999993</v>
      </c>
      <c r="P1428" s="12">
        <f>CleanedData[[#This Row],[Profit ($)]]/CleanedData[[#This Row],[Total Sales ($)]]</f>
        <v>0.17120055095302716</v>
      </c>
      <c r="Q1428" s="8" t="s">
        <v>52</v>
      </c>
      <c r="R1428" s="8" t="s">
        <v>32</v>
      </c>
      <c r="S1428" s="8" t="b">
        <f>_xlfn.SINGLE(CleanedData[[#This Row],[Delivery Status]])="Late"</f>
        <v>1</v>
      </c>
      <c r="T1428" s="10">
        <v>10</v>
      </c>
      <c r="U1428" s="8" t="s">
        <v>158</v>
      </c>
      <c r="V1428" s="10">
        <v>3880</v>
      </c>
      <c r="W1428" s="10">
        <v>6</v>
      </c>
      <c r="X1428" s="12"/>
      <c r="Y1428" s="8" t="b">
        <f>CleanedData[[#This Row],[Ship Date]]&lt;CleanedData[[#This Row],[Order Date]]</f>
        <v>1</v>
      </c>
      <c r="Z1428" s="10">
        <f>YEAR(CleanedData[[#This Row],[Order Date]])</f>
        <v>2023</v>
      </c>
      <c r="AA1428" s="8">
        <f>MONTH(CleanedData[[#This Row],[Order Date]])</f>
        <v>3</v>
      </c>
    </row>
    <row r="1429" spans="1:27" x14ac:dyDescent="0.35">
      <c r="A1429" s="8" t="s">
        <v>3737</v>
      </c>
      <c r="B1429" s="9">
        <v>45248</v>
      </c>
      <c r="C1429" s="9">
        <v>44947</v>
      </c>
      <c r="D1429" s="8" t="s">
        <v>3738</v>
      </c>
      <c r="E1429" s="8" t="s">
        <v>48</v>
      </c>
      <c r="F1429" s="8" t="s">
        <v>49</v>
      </c>
      <c r="G1429" s="8" t="s">
        <v>78</v>
      </c>
      <c r="H1429" s="8" t="s">
        <v>79</v>
      </c>
      <c r="I1429" s="8" t="s">
        <v>4970</v>
      </c>
      <c r="J1429" s="10">
        <v>115</v>
      </c>
      <c r="K1429" s="11">
        <v>451.18</v>
      </c>
      <c r="L1429" s="11">
        <v>548.29999999999995</v>
      </c>
      <c r="M1429" s="11">
        <v>63054.5</v>
      </c>
      <c r="N1429" s="11">
        <v>51885.7</v>
      </c>
      <c r="O1429" s="11">
        <f>CleanedData[[#This Row],[Total Sales ($)]]-CleanedData[[#This Row],[Total Cost ($)]]</f>
        <v>11168.800000000003</v>
      </c>
      <c r="P1429" s="12">
        <f>CleanedData[[#This Row],[Profit ($)]]/CleanedData[[#This Row],[Total Sales ($)]]</f>
        <v>0.1771293087725698</v>
      </c>
      <c r="Q1429" s="8" t="s">
        <v>52</v>
      </c>
      <c r="R1429" s="8" t="s">
        <v>32</v>
      </c>
      <c r="S1429" s="8" t="b">
        <f>_xlfn.SINGLE(CleanedData[[#This Row],[Delivery Status]])="Late"</f>
        <v>1</v>
      </c>
      <c r="T1429" s="10">
        <v>6</v>
      </c>
      <c r="U1429" s="8" t="s">
        <v>112</v>
      </c>
      <c r="V1429" s="10">
        <v>2744</v>
      </c>
      <c r="W1429" s="10">
        <v>1</v>
      </c>
      <c r="X1429" s="12">
        <v>8.6956521739130002E-3</v>
      </c>
      <c r="Y1429" s="8" t="b">
        <f>CleanedData[[#This Row],[Ship Date]]&lt;CleanedData[[#This Row],[Order Date]]</f>
        <v>1</v>
      </c>
      <c r="Z1429" s="10">
        <f>YEAR(CleanedData[[#This Row],[Order Date]])</f>
        <v>2023</v>
      </c>
      <c r="AA1429" s="8">
        <f>MONTH(CleanedData[[#This Row],[Order Date]])</f>
        <v>11</v>
      </c>
    </row>
    <row r="1430" spans="1:27" x14ac:dyDescent="0.35">
      <c r="A1430" s="8" t="s">
        <v>3739</v>
      </c>
      <c r="B1430" s="9">
        <v>45525</v>
      </c>
      <c r="C1430" s="9">
        <v>45369</v>
      </c>
      <c r="D1430" s="8" t="s">
        <v>3741</v>
      </c>
      <c r="E1430" s="8" t="s">
        <v>100</v>
      </c>
      <c r="F1430" s="8" t="s">
        <v>106</v>
      </c>
      <c r="G1430" s="8" t="s">
        <v>28</v>
      </c>
      <c r="H1430" s="8" t="s">
        <v>674</v>
      </c>
      <c r="I1430" s="8" t="s">
        <v>4973</v>
      </c>
      <c r="J1430" s="10">
        <v>732</v>
      </c>
      <c r="K1430" s="11">
        <v>50.19</v>
      </c>
      <c r="L1430" s="11">
        <v>65.540000000000006</v>
      </c>
      <c r="M1430" s="11">
        <v>47975.28</v>
      </c>
      <c r="N1430" s="11">
        <v>36739.08</v>
      </c>
      <c r="O1430" s="11">
        <f>CleanedData[[#This Row],[Total Sales ($)]]-CleanedData[[#This Row],[Total Cost ($)]]</f>
        <v>11236.199999999997</v>
      </c>
      <c r="P1430" s="12">
        <f>CleanedData[[#This Row],[Profit ($)]]/CleanedData[[#This Row],[Total Sales ($)]]</f>
        <v>0.23420811718034781</v>
      </c>
      <c r="Q1430" s="8" t="s">
        <v>52</v>
      </c>
      <c r="R1430" s="8" t="s">
        <v>32</v>
      </c>
      <c r="S1430" s="8" t="b">
        <f>_xlfn.SINGLE(CleanedData[[#This Row],[Delivery Status]])="Late"</f>
        <v>1</v>
      </c>
      <c r="T1430" s="10">
        <v>13</v>
      </c>
      <c r="U1430" s="8" t="s">
        <v>86</v>
      </c>
      <c r="V1430" s="10">
        <v>1392</v>
      </c>
      <c r="W1430" s="10">
        <v>17</v>
      </c>
      <c r="X1430" s="12">
        <v>2.3224043715846899E-2</v>
      </c>
      <c r="Y1430" s="8" t="b">
        <f>CleanedData[[#This Row],[Ship Date]]&lt;CleanedData[[#This Row],[Order Date]]</f>
        <v>1</v>
      </c>
      <c r="Z1430" s="10">
        <f>YEAR(CleanedData[[#This Row],[Order Date]])</f>
        <v>2024</v>
      </c>
      <c r="AA1430" s="8">
        <f>MONTH(CleanedData[[#This Row],[Order Date]])</f>
        <v>8</v>
      </c>
    </row>
    <row r="1431" spans="1:27" x14ac:dyDescent="0.35">
      <c r="A1431" s="8" t="s">
        <v>3742</v>
      </c>
      <c r="B1431" s="9">
        <v>45363</v>
      </c>
      <c r="C1431" s="9">
        <v>45346</v>
      </c>
      <c r="D1431" s="8" t="s">
        <v>3744</v>
      </c>
      <c r="E1431" s="8" t="s">
        <v>68</v>
      </c>
      <c r="F1431" s="8" t="s">
        <v>163</v>
      </c>
      <c r="G1431" s="8" t="s">
        <v>50</v>
      </c>
      <c r="H1431" s="8" t="s">
        <v>173</v>
      </c>
      <c r="I1431" s="8" t="s">
        <v>4978</v>
      </c>
      <c r="J1431" s="10">
        <v>273</v>
      </c>
      <c r="K1431" s="11">
        <v>1137.56</v>
      </c>
      <c r="L1431" s="11">
        <v>1395.53</v>
      </c>
      <c r="M1431" s="11">
        <v>380979.69</v>
      </c>
      <c r="N1431" s="11">
        <v>310553.88</v>
      </c>
      <c r="O1431" s="11">
        <f>CleanedData[[#This Row],[Total Sales ($)]]-CleanedData[[#This Row],[Total Cost ($)]]</f>
        <v>70425.81</v>
      </c>
      <c r="P1431" s="12">
        <f>CleanedData[[#This Row],[Profit ($)]]/CleanedData[[#This Row],[Total Sales ($)]]</f>
        <v>0.18485449972411913</v>
      </c>
      <c r="Q1431" s="8" t="s">
        <v>52</v>
      </c>
      <c r="R1431" s="8" t="s">
        <v>32</v>
      </c>
      <c r="S1431" s="8" t="b">
        <f>_xlfn.SINGLE(CleanedData[[#This Row],[Delivery Status]])="Late"</f>
        <v>1</v>
      </c>
      <c r="T1431" s="10">
        <v>12</v>
      </c>
      <c r="U1431" s="8" t="s">
        <v>86</v>
      </c>
      <c r="V1431" s="10">
        <v>2356</v>
      </c>
      <c r="W1431" s="10">
        <v>3</v>
      </c>
      <c r="X1431" s="12">
        <v>1.09890109890109E-2</v>
      </c>
      <c r="Y1431" s="8" t="b">
        <f>CleanedData[[#This Row],[Ship Date]]&lt;CleanedData[[#This Row],[Order Date]]</f>
        <v>1</v>
      </c>
      <c r="Z1431" s="10">
        <f>YEAR(CleanedData[[#This Row],[Order Date]])</f>
        <v>2024</v>
      </c>
      <c r="AA1431" s="8">
        <f>MONTH(CleanedData[[#This Row],[Order Date]])</f>
        <v>3</v>
      </c>
    </row>
    <row r="1432" spans="1:27" x14ac:dyDescent="0.35">
      <c r="A1432" s="8" t="s">
        <v>3745</v>
      </c>
      <c r="B1432" s="9">
        <v>45146</v>
      </c>
      <c r="C1432" s="9">
        <v>45171</v>
      </c>
      <c r="D1432" s="8" t="s">
        <v>2532</v>
      </c>
      <c r="E1432" s="8" t="s">
        <v>58</v>
      </c>
      <c r="F1432" s="8" t="s">
        <v>259</v>
      </c>
      <c r="G1432" s="8" t="s">
        <v>189</v>
      </c>
      <c r="H1432" s="8" t="s">
        <v>437</v>
      </c>
      <c r="I1432" s="8" t="s">
        <v>4968</v>
      </c>
      <c r="J1432" s="10">
        <v>704</v>
      </c>
      <c r="K1432" s="11">
        <v>260.25</v>
      </c>
      <c r="L1432" s="11">
        <v>337.9</v>
      </c>
      <c r="M1432" s="11">
        <v>237881.60000000001</v>
      </c>
      <c r="N1432" s="11">
        <v>183216</v>
      </c>
      <c r="O1432" s="11">
        <f>CleanedData[[#This Row],[Total Sales ($)]]-CleanedData[[#This Row],[Total Cost ($)]]</f>
        <v>54665.600000000006</v>
      </c>
      <c r="P1432" s="12">
        <f>CleanedData[[#This Row],[Profit ($)]]/CleanedData[[#This Row],[Total Sales ($)]]</f>
        <v>0.22980171648416695</v>
      </c>
      <c r="Q1432" s="8" t="s">
        <v>52</v>
      </c>
      <c r="R1432" s="8" t="s">
        <v>63</v>
      </c>
      <c r="S1432" s="8" t="b">
        <f>_xlfn.SINGLE(CleanedData[[#This Row],[Delivery Status]])="Late"</f>
        <v>0</v>
      </c>
      <c r="T1432" s="10">
        <v>4</v>
      </c>
      <c r="U1432" s="8" t="s">
        <v>86</v>
      </c>
      <c r="V1432" s="10">
        <v>1737</v>
      </c>
      <c r="W1432" s="10">
        <v>4</v>
      </c>
      <c r="X1432" s="12">
        <v>5.6818181818180996E-3</v>
      </c>
      <c r="Y1432" s="8" t="b">
        <f>CleanedData[[#This Row],[Ship Date]]&lt;CleanedData[[#This Row],[Order Date]]</f>
        <v>0</v>
      </c>
      <c r="Z1432" s="10">
        <f>YEAR(CleanedData[[#This Row],[Order Date]])</f>
        <v>2023</v>
      </c>
      <c r="AA1432" s="8">
        <f>MONTH(CleanedData[[#This Row],[Order Date]])</f>
        <v>8</v>
      </c>
    </row>
    <row r="1433" spans="1:27" x14ac:dyDescent="0.35">
      <c r="A1433" s="8" t="s">
        <v>3746</v>
      </c>
      <c r="B1433" s="9">
        <v>45008</v>
      </c>
      <c r="C1433" s="9">
        <v>45111</v>
      </c>
      <c r="D1433" s="8" t="s">
        <v>3747</v>
      </c>
      <c r="E1433" s="8" t="s">
        <v>58</v>
      </c>
      <c r="F1433" s="8" t="s">
        <v>122</v>
      </c>
      <c r="G1433" s="8" t="s">
        <v>217</v>
      </c>
      <c r="H1433" s="8" t="s">
        <v>292</v>
      </c>
      <c r="I1433" s="8" t="s">
        <v>4973</v>
      </c>
      <c r="J1433" s="10">
        <v>688</v>
      </c>
      <c r="K1433" s="11">
        <v>769.28</v>
      </c>
      <c r="L1433" s="11">
        <v>905.19</v>
      </c>
      <c r="M1433" s="11">
        <v>622770.72</v>
      </c>
      <c r="N1433" s="11">
        <v>529264.64000000001</v>
      </c>
      <c r="O1433" s="11">
        <f>CleanedData[[#This Row],[Total Sales ($)]]-CleanedData[[#This Row],[Total Cost ($)]]</f>
        <v>93506.079999999958</v>
      </c>
      <c r="P1433" s="12">
        <f>CleanedData[[#This Row],[Profit ($)]]/CleanedData[[#This Row],[Total Sales ($)]]</f>
        <v>0.15014527336802214</v>
      </c>
      <c r="Q1433" s="8" t="s">
        <v>52</v>
      </c>
      <c r="R1433" s="8" t="s">
        <v>32</v>
      </c>
      <c r="S1433" s="8" t="b">
        <f>_xlfn.SINGLE(CleanedData[[#This Row],[Delivery Status]])="Late"</f>
        <v>1</v>
      </c>
      <c r="T1433" s="10">
        <v>14</v>
      </c>
      <c r="U1433" s="8" t="s">
        <v>43</v>
      </c>
      <c r="V1433" s="10">
        <v>1500</v>
      </c>
      <c r="W1433" s="10">
        <v>8</v>
      </c>
      <c r="X1433" s="12">
        <v>1.1627906976744099E-2</v>
      </c>
      <c r="Y1433" s="8" t="b">
        <f>CleanedData[[#This Row],[Ship Date]]&lt;CleanedData[[#This Row],[Order Date]]</f>
        <v>0</v>
      </c>
      <c r="Z1433" s="10">
        <f>YEAR(CleanedData[[#This Row],[Order Date]])</f>
        <v>2023</v>
      </c>
      <c r="AA1433" s="8">
        <f>MONTH(CleanedData[[#This Row],[Order Date]])</f>
        <v>3</v>
      </c>
    </row>
    <row r="1434" spans="1:27" x14ac:dyDescent="0.35">
      <c r="A1434" s="8" t="s">
        <v>3748</v>
      </c>
      <c r="B1434" s="9">
        <v>45387</v>
      </c>
      <c r="C1434" s="9">
        <v>45372</v>
      </c>
      <c r="D1434" s="8" t="s">
        <v>3749</v>
      </c>
      <c r="E1434" s="8" t="s">
        <v>58</v>
      </c>
      <c r="F1434" s="8" t="s">
        <v>116</v>
      </c>
      <c r="G1434" s="8" t="s">
        <v>60</v>
      </c>
      <c r="H1434" s="8" t="s">
        <v>780</v>
      </c>
      <c r="I1434" s="8" t="s">
        <v>4971</v>
      </c>
      <c r="J1434" s="10">
        <v>457</v>
      </c>
      <c r="K1434" s="11">
        <v>155.58000000000001</v>
      </c>
      <c r="L1434" s="11">
        <v>192.72</v>
      </c>
      <c r="M1434" s="11">
        <v>88073.04</v>
      </c>
      <c r="N1434" s="11">
        <v>71100.06</v>
      </c>
      <c r="O1434" s="11">
        <f>CleanedData[[#This Row],[Total Sales ($)]]-CleanedData[[#This Row],[Total Cost ($)]]</f>
        <v>16972.979999999996</v>
      </c>
      <c r="P1434" s="12">
        <f>CleanedData[[#This Row],[Profit ($)]]/CleanedData[[#This Row],[Total Sales ($)]]</f>
        <v>0.19271481942714816</v>
      </c>
      <c r="Q1434" s="8" t="s">
        <v>42</v>
      </c>
      <c r="R1434" s="8" t="s">
        <v>32</v>
      </c>
      <c r="S1434" s="8" t="b">
        <f>_xlfn.SINGLE(CleanedData[[#This Row],[Delivery Status]])="Late"</f>
        <v>1</v>
      </c>
      <c r="T1434" s="10">
        <v>11</v>
      </c>
      <c r="U1434" s="8" t="s">
        <v>158</v>
      </c>
      <c r="V1434" s="10">
        <v>2081</v>
      </c>
      <c r="W1434" s="10">
        <v>14</v>
      </c>
      <c r="X1434" s="12">
        <v>3.06345733041575E-2</v>
      </c>
      <c r="Y1434" s="8" t="b">
        <f>CleanedData[[#This Row],[Ship Date]]&lt;CleanedData[[#This Row],[Order Date]]</f>
        <v>1</v>
      </c>
      <c r="Z1434" s="10">
        <f>YEAR(CleanedData[[#This Row],[Order Date]])</f>
        <v>2024</v>
      </c>
      <c r="AA1434" s="8">
        <f>MONTH(CleanedData[[#This Row],[Order Date]])</f>
        <v>4</v>
      </c>
    </row>
    <row r="1435" spans="1:27" x14ac:dyDescent="0.35">
      <c r="A1435" s="8" t="s">
        <v>3750</v>
      </c>
      <c r="B1435" s="9">
        <v>45017</v>
      </c>
      <c r="C1435" s="9">
        <v>45131</v>
      </c>
      <c r="D1435" s="8" t="s">
        <v>3751</v>
      </c>
      <c r="E1435" s="8" t="s">
        <v>68</v>
      </c>
      <c r="F1435" s="8" t="s">
        <v>276</v>
      </c>
      <c r="G1435" s="8" t="s">
        <v>28</v>
      </c>
      <c r="H1435" s="8" t="s">
        <v>714</v>
      </c>
      <c r="I1435" s="8" t="s">
        <v>4971</v>
      </c>
      <c r="J1435" s="10">
        <v>778</v>
      </c>
      <c r="K1435" s="11">
        <v>498.83</v>
      </c>
      <c r="L1435" s="11">
        <v>753.54</v>
      </c>
      <c r="M1435" s="11">
        <v>586254.12</v>
      </c>
      <c r="N1435" s="11">
        <v>388089.74</v>
      </c>
      <c r="O1435" s="11">
        <f>CleanedData[[#This Row],[Total Sales ($)]]-CleanedData[[#This Row],[Total Cost ($)]]</f>
        <v>198164.38</v>
      </c>
      <c r="P1435" s="12">
        <f>CleanedData[[#This Row],[Profit ($)]]/CleanedData[[#This Row],[Total Sales ($)]]</f>
        <v>0.33801788889773604</v>
      </c>
      <c r="Q1435" s="8" t="s">
        <v>42</v>
      </c>
      <c r="R1435" s="8" t="s">
        <v>32</v>
      </c>
      <c r="S1435" s="8" t="b">
        <f>_xlfn.SINGLE(CleanedData[[#This Row],[Delivery Status]])="Late"</f>
        <v>1</v>
      </c>
      <c r="T1435" s="10">
        <v>13</v>
      </c>
      <c r="U1435" s="8" t="s">
        <v>43</v>
      </c>
      <c r="V1435" s="10">
        <v>3167</v>
      </c>
      <c r="W1435" s="10">
        <v>23</v>
      </c>
      <c r="X1435" s="12">
        <v>2.9562982005141299E-2</v>
      </c>
      <c r="Y1435" s="8" t="b">
        <f>CleanedData[[#This Row],[Ship Date]]&lt;CleanedData[[#This Row],[Order Date]]</f>
        <v>0</v>
      </c>
      <c r="Z1435" s="10">
        <f>YEAR(CleanedData[[#This Row],[Order Date]])</f>
        <v>2023</v>
      </c>
      <c r="AA1435" s="8">
        <f>MONTH(CleanedData[[#This Row],[Order Date]])</f>
        <v>4</v>
      </c>
    </row>
    <row r="1436" spans="1:27" x14ac:dyDescent="0.35">
      <c r="A1436" s="8" t="s">
        <v>3752</v>
      </c>
      <c r="B1436" s="9">
        <v>45213</v>
      </c>
      <c r="C1436" s="9">
        <v>44964</v>
      </c>
      <c r="D1436" s="8" t="s">
        <v>708</v>
      </c>
      <c r="E1436" s="8" t="s">
        <v>26</v>
      </c>
      <c r="F1436" s="8" t="s">
        <v>92</v>
      </c>
      <c r="G1436" s="8" t="s">
        <v>93</v>
      </c>
      <c r="H1436" s="8" t="s">
        <v>1442</v>
      </c>
      <c r="I1436" s="8" t="s">
        <v>4967</v>
      </c>
      <c r="J1436" s="10">
        <v>509</v>
      </c>
      <c r="K1436" s="11">
        <v>1127.3900000000001</v>
      </c>
      <c r="L1436" s="11">
        <v>1343.66</v>
      </c>
      <c r="M1436" s="11">
        <v>683922.94</v>
      </c>
      <c r="N1436" s="11">
        <v>573841.51</v>
      </c>
      <c r="O1436" s="11">
        <f>CleanedData[[#This Row],[Total Sales ($)]]-CleanedData[[#This Row],[Total Cost ($)]]</f>
        <v>110081.42999999993</v>
      </c>
      <c r="P1436" s="12">
        <f>CleanedData[[#This Row],[Profit ($)]]/CleanedData[[#This Row],[Total Sales ($)]]</f>
        <v>0.16095589658098022</v>
      </c>
      <c r="Q1436" s="8" t="s">
        <v>95</v>
      </c>
      <c r="R1436" s="8" t="s">
        <v>63</v>
      </c>
      <c r="S1436" s="8" t="b">
        <f>_xlfn.SINGLE(CleanedData[[#This Row],[Delivery Status]])="Late"</f>
        <v>0</v>
      </c>
      <c r="T1436" s="10">
        <v>2</v>
      </c>
      <c r="U1436" s="8" t="s">
        <v>158</v>
      </c>
      <c r="V1436" s="10">
        <v>814</v>
      </c>
      <c r="W1436" s="10">
        <v>6</v>
      </c>
      <c r="X1436" s="12">
        <v>1.17878192534381E-2</v>
      </c>
      <c r="Y1436" s="8" t="b">
        <f>CleanedData[[#This Row],[Ship Date]]&lt;CleanedData[[#This Row],[Order Date]]</f>
        <v>1</v>
      </c>
      <c r="Z1436" s="10">
        <f>YEAR(CleanedData[[#This Row],[Order Date]])</f>
        <v>2023</v>
      </c>
      <c r="AA1436" s="8">
        <f>MONTH(CleanedData[[#This Row],[Order Date]])</f>
        <v>10</v>
      </c>
    </row>
    <row r="1437" spans="1:27" x14ac:dyDescent="0.35">
      <c r="A1437" s="8" t="s">
        <v>3753</v>
      </c>
      <c r="B1437" s="9">
        <v>45021</v>
      </c>
      <c r="C1437" s="9">
        <v>45166</v>
      </c>
      <c r="D1437" s="8" t="s">
        <v>3755</v>
      </c>
      <c r="E1437" s="8" t="s">
        <v>58</v>
      </c>
      <c r="F1437" s="8" t="s">
        <v>417</v>
      </c>
      <c r="G1437" s="8" t="s">
        <v>39</v>
      </c>
      <c r="H1437" s="8" t="s">
        <v>527</v>
      </c>
      <c r="I1437" s="8" t="s">
        <v>4976</v>
      </c>
      <c r="J1437" s="10">
        <v>499</v>
      </c>
      <c r="K1437" s="11">
        <v>172.14</v>
      </c>
      <c r="L1437" s="11">
        <v>276.44</v>
      </c>
      <c r="M1437" s="11">
        <v>137943.56</v>
      </c>
      <c r="N1437" s="11">
        <v>85897.86</v>
      </c>
      <c r="O1437" s="11">
        <f>CleanedData[[#This Row],[Total Sales ($)]]-CleanedData[[#This Row],[Total Cost ($)]]</f>
        <v>52045.7</v>
      </c>
      <c r="P1437" s="12">
        <f>CleanedData[[#This Row],[Profit ($)]]/CleanedData[[#This Row],[Total Sales ($)]]</f>
        <v>0.37729706265374041</v>
      </c>
      <c r="Q1437" s="8" t="s">
        <v>52</v>
      </c>
      <c r="R1437" s="8" t="s">
        <v>32</v>
      </c>
      <c r="S1437" s="8" t="b">
        <f>_xlfn.SINGLE(CleanedData[[#This Row],[Delivery Status]])="Late"</f>
        <v>1</v>
      </c>
      <c r="T1437" s="10">
        <v>15</v>
      </c>
      <c r="U1437" s="8" t="s">
        <v>53</v>
      </c>
      <c r="V1437" s="10">
        <v>3383</v>
      </c>
      <c r="W1437" s="10">
        <v>15</v>
      </c>
      <c r="X1437" s="12">
        <v>3.0060120240480898E-2</v>
      </c>
      <c r="Y1437" s="8" t="b">
        <f>CleanedData[[#This Row],[Ship Date]]&lt;CleanedData[[#This Row],[Order Date]]</f>
        <v>0</v>
      </c>
      <c r="Z1437" s="10">
        <f>YEAR(CleanedData[[#This Row],[Order Date]])</f>
        <v>2023</v>
      </c>
      <c r="AA1437" s="8">
        <f>MONTH(CleanedData[[#This Row],[Order Date]])</f>
        <v>4</v>
      </c>
    </row>
    <row r="1438" spans="1:27" x14ac:dyDescent="0.35">
      <c r="A1438" s="8" t="s">
        <v>3756</v>
      </c>
      <c r="B1438" s="9">
        <v>45600</v>
      </c>
      <c r="C1438" s="9">
        <v>45574</v>
      </c>
      <c r="D1438" s="8" t="s">
        <v>3757</v>
      </c>
      <c r="E1438" s="8" t="s">
        <v>48</v>
      </c>
      <c r="F1438" s="8" t="s">
        <v>49</v>
      </c>
      <c r="G1438" s="8" t="s">
        <v>217</v>
      </c>
      <c r="H1438" s="8" t="s">
        <v>340</v>
      </c>
      <c r="I1438" s="8" t="s">
        <v>4973</v>
      </c>
      <c r="J1438" s="10">
        <v>456</v>
      </c>
      <c r="K1438" s="11">
        <v>536.59</v>
      </c>
      <c r="L1438" s="11">
        <v>741</v>
      </c>
      <c r="M1438" s="11">
        <v>337896</v>
      </c>
      <c r="N1438" s="11">
        <v>244685.04</v>
      </c>
      <c r="O1438" s="11">
        <f>CleanedData[[#This Row],[Total Sales ($)]]-CleanedData[[#This Row],[Total Cost ($)]]</f>
        <v>93210.959999999992</v>
      </c>
      <c r="P1438" s="12">
        <f>CleanedData[[#This Row],[Profit ($)]]/CleanedData[[#This Row],[Total Sales ($)]]</f>
        <v>0.27585695006747635</v>
      </c>
      <c r="Q1438" s="8" t="s">
        <v>52</v>
      </c>
      <c r="R1438" s="8" t="s">
        <v>63</v>
      </c>
      <c r="S1438" s="8" t="b">
        <f>_xlfn.SINGLE(CleanedData[[#This Row],[Delivery Status]])="Late"</f>
        <v>0</v>
      </c>
      <c r="T1438" s="10">
        <v>3</v>
      </c>
      <c r="U1438" s="8" t="s">
        <v>86</v>
      </c>
      <c r="V1438" s="10">
        <v>1993</v>
      </c>
      <c r="W1438" s="10">
        <v>19</v>
      </c>
      <c r="X1438" s="12">
        <v>4.1666666666666602E-2</v>
      </c>
      <c r="Y1438" s="8" t="b">
        <f>CleanedData[[#This Row],[Ship Date]]&lt;CleanedData[[#This Row],[Order Date]]</f>
        <v>1</v>
      </c>
      <c r="Z1438" s="10">
        <f>YEAR(CleanedData[[#This Row],[Order Date]])</f>
        <v>2024</v>
      </c>
      <c r="AA1438" s="8">
        <f>MONTH(CleanedData[[#This Row],[Order Date]])</f>
        <v>11</v>
      </c>
    </row>
    <row r="1439" spans="1:27" x14ac:dyDescent="0.35">
      <c r="A1439" s="8" t="s">
        <v>3758</v>
      </c>
      <c r="B1439" s="9">
        <v>45025</v>
      </c>
      <c r="C1439" s="9">
        <v>45270</v>
      </c>
      <c r="D1439" s="8" t="s">
        <v>3759</v>
      </c>
      <c r="E1439" s="8" t="s">
        <v>68</v>
      </c>
      <c r="F1439" s="8" t="s">
        <v>163</v>
      </c>
      <c r="G1439" s="8" t="s">
        <v>39</v>
      </c>
      <c r="H1439" s="8" t="s">
        <v>147</v>
      </c>
      <c r="I1439" s="8" t="s">
        <v>4968</v>
      </c>
      <c r="J1439" s="10">
        <v>202</v>
      </c>
      <c r="K1439" s="11">
        <v>1038.57</v>
      </c>
      <c r="L1439" s="11">
        <v>1391.35</v>
      </c>
      <c r="M1439" s="11">
        <v>281052.7</v>
      </c>
      <c r="N1439" s="11">
        <v>209791.14</v>
      </c>
      <c r="O1439" s="11">
        <f>CleanedData[[#This Row],[Total Sales ($)]]-CleanedData[[#This Row],[Total Cost ($)]]</f>
        <v>71261.56</v>
      </c>
      <c r="P1439" s="12">
        <f>CleanedData[[#This Row],[Profit ($)]]/CleanedData[[#This Row],[Total Sales ($)]]</f>
        <v>0.25355230531498185</v>
      </c>
      <c r="Q1439" s="8" t="s">
        <v>31</v>
      </c>
      <c r="R1439" s="8" t="s">
        <v>63</v>
      </c>
      <c r="S1439" s="8" t="b">
        <f>_xlfn.SINGLE(CleanedData[[#This Row],[Delivery Status]])="Late"</f>
        <v>0</v>
      </c>
      <c r="T1439" s="10">
        <v>3</v>
      </c>
      <c r="U1439" s="8" t="s">
        <v>33</v>
      </c>
      <c r="V1439" s="10">
        <v>1148</v>
      </c>
      <c r="W1439" s="10">
        <v>6</v>
      </c>
      <c r="X1439" s="12">
        <v>2.9702970297029702E-2</v>
      </c>
      <c r="Y1439" s="8" t="b">
        <f>CleanedData[[#This Row],[Ship Date]]&lt;CleanedData[[#This Row],[Order Date]]</f>
        <v>0</v>
      </c>
      <c r="Z1439" s="10">
        <f>YEAR(CleanedData[[#This Row],[Order Date]])</f>
        <v>2023</v>
      </c>
      <c r="AA1439" s="8">
        <f>MONTH(CleanedData[[#This Row],[Order Date]])</f>
        <v>4</v>
      </c>
    </row>
    <row r="1440" spans="1:27" x14ac:dyDescent="0.35">
      <c r="A1440" s="8" t="s">
        <v>3760</v>
      </c>
      <c r="B1440" s="9">
        <v>45209</v>
      </c>
      <c r="C1440" s="9">
        <v>45139</v>
      </c>
      <c r="D1440" s="8" t="s">
        <v>3761</v>
      </c>
      <c r="E1440" s="8" t="s">
        <v>68</v>
      </c>
      <c r="F1440" s="8" t="s">
        <v>276</v>
      </c>
      <c r="G1440" s="8" t="s">
        <v>217</v>
      </c>
      <c r="H1440" s="8" t="s">
        <v>292</v>
      </c>
      <c r="I1440" s="8" t="s">
        <v>4977</v>
      </c>
      <c r="J1440" s="10">
        <v>429</v>
      </c>
      <c r="K1440" s="11">
        <v>1147.48</v>
      </c>
      <c r="L1440" s="11">
        <v>1445.7</v>
      </c>
      <c r="M1440" s="11">
        <v>620205.30000000005</v>
      </c>
      <c r="N1440" s="11">
        <v>492268.92</v>
      </c>
      <c r="O1440" s="11">
        <f>CleanedData[[#This Row],[Total Sales ($)]]-CleanedData[[#This Row],[Total Cost ($)]]</f>
        <v>127936.38000000006</v>
      </c>
      <c r="P1440" s="12">
        <f>CleanedData[[#This Row],[Profit ($)]]/CleanedData[[#This Row],[Total Sales ($)]]</f>
        <v>0.20628069447326564</v>
      </c>
      <c r="Q1440" s="8" t="s">
        <v>42</v>
      </c>
      <c r="R1440" s="8" t="s">
        <v>32</v>
      </c>
      <c r="S1440" s="8" t="b">
        <f>_xlfn.SINGLE(CleanedData[[#This Row],[Delivery Status]])="Late"</f>
        <v>1</v>
      </c>
      <c r="T1440" s="10">
        <v>8</v>
      </c>
      <c r="U1440" s="8" t="s">
        <v>158</v>
      </c>
      <c r="V1440" s="10">
        <v>3187</v>
      </c>
      <c r="W1440" s="10">
        <v>13</v>
      </c>
      <c r="X1440" s="12">
        <v>3.03030303030303E-2</v>
      </c>
      <c r="Y1440" s="8" t="b">
        <f>CleanedData[[#This Row],[Ship Date]]&lt;CleanedData[[#This Row],[Order Date]]</f>
        <v>1</v>
      </c>
      <c r="Z1440" s="10">
        <f>YEAR(CleanedData[[#This Row],[Order Date]])</f>
        <v>2023</v>
      </c>
      <c r="AA1440" s="8">
        <f>MONTH(CleanedData[[#This Row],[Order Date]])</f>
        <v>10</v>
      </c>
    </row>
    <row r="1441" spans="1:27" x14ac:dyDescent="0.35">
      <c r="A1441" s="8" t="s">
        <v>3762</v>
      </c>
      <c r="B1441" s="9">
        <v>45073</v>
      </c>
      <c r="C1441" s="9">
        <v>45172</v>
      </c>
      <c r="D1441" s="8" t="s">
        <v>3763</v>
      </c>
      <c r="E1441" s="8" t="s">
        <v>26</v>
      </c>
      <c r="F1441" s="8" t="s">
        <v>92</v>
      </c>
      <c r="G1441" s="8" t="s">
        <v>189</v>
      </c>
      <c r="H1441" s="8" t="s">
        <v>437</v>
      </c>
      <c r="I1441" s="8" t="s">
        <v>4973</v>
      </c>
      <c r="J1441" s="10">
        <v>605</v>
      </c>
      <c r="K1441" s="11">
        <v>658.91</v>
      </c>
      <c r="L1441" s="11">
        <v>910.51</v>
      </c>
      <c r="M1441" s="11">
        <v>550858.55000000005</v>
      </c>
      <c r="N1441" s="11">
        <v>398640.55</v>
      </c>
      <c r="O1441" s="11">
        <f>CleanedData[[#This Row],[Total Sales ($)]]-CleanedData[[#This Row],[Total Cost ($)]]</f>
        <v>152218.00000000006</v>
      </c>
      <c r="P1441" s="12">
        <f>CleanedData[[#This Row],[Profit ($)]]/CleanedData[[#This Row],[Total Sales ($)]]</f>
        <v>0.27632865097582682</v>
      </c>
      <c r="Q1441" s="8" t="s">
        <v>95</v>
      </c>
      <c r="R1441" s="8" t="s">
        <v>63</v>
      </c>
      <c r="S1441" s="8" t="b">
        <f>_xlfn.SINGLE(CleanedData[[#This Row],[Delivery Status]])="Late"</f>
        <v>0</v>
      </c>
      <c r="T1441" s="10">
        <v>3</v>
      </c>
      <c r="U1441" s="8" t="s">
        <v>43</v>
      </c>
      <c r="V1441" s="10">
        <v>4338</v>
      </c>
      <c r="W1441" s="10">
        <v>10</v>
      </c>
      <c r="X1441" s="12">
        <v>1.6528925619834701E-2</v>
      </c>
      <c r="Y1441" s="8" t="b">
        <f>CleanedData[[#This Row],[Ship Date]]&lt;CleanedData[[#This Row],[Order Date]]</f>
        <v>0</v>
      </c>
      <c r="Z1441" s="10">
        <f>YEAR(CleanedData[[#This Row],[Order Date]])</f>
        <v>2023</v>
      </c>
      <c r="AA1441" s="8">
        <f>MONTH(CleanedData[[#This Row],[Order Date]])</f>
        <v>5</v>
      </c>
    </row>
    <row r="1442" spans="1:27" x14ac:dyDescent="0.35">
      <c r="A1442" s="8" t="s">
        <v>3764</v>
      </c>
      <c r="B1442" s="9">
        <v>45226</v>
      </c>
      <c r="C1442" s="9">
        <v>45250</v>
      </c>
      <c r="D1442" s="8" t="s">
        <v>3765</v>
      </c>
      <c r="E1442" s="8" t="s">
        <v>68</v>
      </c>
      <c r="F1442" s="8" t="s">
        <v>146</v>
      </c>
      <c r="G1442" s="8" t="s">
        <v>78</v>
      </c>
      <c r="H1442" s="8" t="s">
        <v>425</v>
      </c>
      <c r="I1442" s="8" t="s">
        <v>4978</v>
      </c>
      <c r="J1442" s="10">
        <v>471</v>
      </c>
      <c r="K1442" s="11">
        <v>1018.89</v>
      </c>
      <c r="L1442" s="11">
        <v>1597.99</v>
      </c>
      <c r="M1442" s="11">
        <v>752653.29</v>
      </c>
      <c r="N1442" s="11">
        <v>479897.19</v>
      </c>
      <c r="O1442" s="11">
        <f>CleanedData[[#This Row],[Total Sales ($)]]-CleanedData[[#This Row],[Total Cost ($)]]</f>
        <v>272756.10000000003</v>
      </c>
      <c r="P1442" s="12">
        <f>CleanedData[[#This Row],[Profit ($)]]/CleanedData[[#This Row],[Total Sales ($)]]</f>
        <v>0.36239275589959891</v>
      </c>
      <c r="Q1442" s="8" t="s">
        <v>95</v>
      </c>
      <c r="R1442" s="8" t="s">
        <v>32</v>
      </c>
      <c r="S1442" s="8" t="b">
        <f>_xlfn.SINGLE(CleanedData[[#This Row],[Delivery Status]])="Late"</f>
        <v>1</v>
      </c>
      <c r="T1442" s="10">
        <v>12</v>
      </c>
      <c r="U1442" s="8" t="s">
        <v>158</v>
      </c>
      <c r="V1442" s="10">
        <v>178</v>
      </c>
      <c r="W1442" s="10">
        <v>8</v>
      </c>
      <c r="X1442" s="12">
        <v>1.6985138004246201E-2</v>
      </c>
      <c r="Y1442" s="8" t="b">
        <f>CleanedData[[#This Row],[Ship Date]]&lt;CleanedData[[#This Row],[Order Date]]</f>
        <v>0</v>
      </c>
      <c r="Z1442" s="10">
        <f>YEAR(CleanedData[[#This Row],[Order Date]])</f>
        <v>2023</v>
      </c>
      <c r="AA1442" s="8">
        <f>MONTH(CleanedData[[#This Row],[Order Date]])</f>
        <v>10</v>
      </c>
    </row>
    <row r="1443" spans="1:27" x14ac:dyDescent="0.35">
      <c r="A1443" s="8" t="s">
        <v>3766</v>
      </c>
      <c r="B1443" s="9">
        <v>45546</v>
      </c>
      <c r="C1443" s="9">
        <v>45558</v>
      </c>
      <c r="D1443" s="8" t="s">
        <v>3768</v>
      </c>
      <c r="E1443" s="8" t="s">
        <v>26</v>
      </c>
      <c r="F1443" s="8" t="s">
        <v>3037</v>
      </c>
      <c r="G1443" s="8" t="s">
        <v>50</v>
      </c>
      <c r="H1443" s="8" t="s">
        <v>117</v>
      </c>
      <c r="I1443" s="8" t="s">
        <v>4968</v>
      </c>
      <c r="J1443" s="10">
        <v>16</v>
      </c>
      <c r="K1443" s="11">
        <v>962.97</v>
      </c>
      <c r="L1443" s="11">
        <v>1388.31</v>
      </c>
      <c r="M1443" s="11">
        <v>22212.959999999999</v>
      </c>
      <c r="N1443" s="11">
        <v>15407.52</v>
      </c>
      <c r="O1443" s="11">
        <f>CleanedData[[#This Row],[Total Sales ($)]]-CleanedData[[#This Row],[Total Cost ($)]]</f>
        <v>6805.4399999999987</v>
      </c>
      <c r="P1443" s="12">
        <f>CleanedData[[#This Row],[Profit ($)]]/CleanedData[[#This Row],[Total Sales ($)]]</f>
        <v>0.30637249605635625</v>
      </c>
      <c r="Q1443" s="8" t="s">
        <v>31</v>
      </c>
      <c r="R1443" s="8" t="s">
        <v>63</v>
      </c>
      <c r="S1443" s="8" t="b">
        <f>_xlfn.SINGLE(CleanedData[[#This Row],[Delivery Status]])="Late"</f>
        <v>0</v>
      </c>
      <c r="T1443" s="10">
        <v>2</v>
      </c>
      <c r="U1443" s="8" t="s">
        <v>112</v>
      </c>
      <c r="V1443" s="10">
        <v>3095</v>
      </c>
      <c r="W1443" s="10">
        <v>0</v>
      </c>
      <c r="X1443" s="12">
        <v>0</v>
      </c>
      <c r="Y1443" s="8" t="b">
        <f>CleanedData[[#This Row],[Ship Date]]&lt;CleanedData[[#This Row],[Order Date]]</f>
        <v>0</v>
      </c>
      <c r="Z1443" s="10">
        <f>YEAR(CleanedData[[#This Row],[Order Date]])</f>
        <v>2024</v>
      </c>
      <c r="AA1443" s="8">
        <f>MONTH(CleanedData[[#This Row],[Order Date]])</f>
        <v>9</v>
      </c>
    </row>
    <row r="1444" spans="1:27" x14ac:dyDescent="0.35">
      <c r="A1444" s="8" t="s">
        <v>3769</v>
      </c>
      <c r="B1444" s="9">
        <v>45255</v>
      </c>
      <c r="C1444" s="9">
        <v>45244</v>
      </c>
      <c r="D1444" s="8" t="s">
        <v>3770</v>
      </c>
      <c r="E1444" s="8" t="s">
        <v>100</v>
      </c>
      <c r="F1444" s="8" t="s">
        <v>101</v>
      </c>
      <c r="G1444" s="8" t="s">
        <v>50</v>
      </c>
      <c r="H1444" s="8" t="s">
        <v>260</v>
      </c>
      <c r="I1444" s="8" t="s">
        <v>4969</v>
      </c>
      <c r="J1444" s="10">
        <v>499</v>
      </c>
      <c r="K1444" s="11">
        <v>1000.07</v>
      </c>
      <c r="L1444" s="11">
        <v>1368.94</v>
      </c>
      <c r="M1444" s="11">
        <v>683101.06</v>
      </c>
      <c r="N1444" s="11">
        <v>499034.93</v>
      </c>
      <c r="O1444" s="11">
        <f>CleanedData[[#This Row],[Total Sales ($)]]-CleanedData[[#This Row],[Total Cost ($)]]</f>
        <v>184066.13000000006</v>
      </c>
      <c r="P1444" s="12">
        <f>CleanedData[[#This Row],[Profit ($)]]/CleanedData[[#This Row],[Total Sales ($)]]</f>
        <v>0.26945665989743894</v>
      </c>
      <c r="Q1444" s="8" t="s">
        <v>31</v>
      </c>
      <c r="R1444" s="8" t="s">
        <v>63</v>
      </c>
      <c r="S1444" s="8" t="b">
        <f>_xlfn.SINGLE(CleanedData[[#This Row],[Delivery Status]])="Late"</f>
        <v>0</v>
      </c>
      <c r="T1444" s="10">
        <v>2</v>
      </c>
      <c r="U1444" s="8" t="s">
        <v>33</v>
      </c>
      <c r="V1444" s="10">
        <v>3140</v>
      </c>
      <c r="W1444" s="10">
        <v>7</v>
      </c>
      <c r="X1444" s="12">
        <v>1.40280561122244E-2</v>
      </c>
      <c r="Y1444" s="8" t="b">
        <f>CleanedData[[#This Row],[Ship Date]]&lt;CleanedData[[#This Row],[Order Date]]</f>
        <v>1</v>
      </c>
      <c r="Z1444" s="10">
        <f>YEAR(CleanedData[[#This Row],[Order Date]])</f>
        <v>2023</v>
      </c>
      <c r="AA1444" s="8">
        <f>MONTH(CleanedData[[#This Row],[Order Date]])</f>
        <v>11</v>
      </c>
    </row>
    <row r="1445" spans="1:27" x14ac:dyDescent="0.35">
      <c r="A1445" s="8" t="s">
        <v>3771</v>
      </c>
      <c r="B1445" s="9">
        <v>45020</v>
      </c>
      <c r="C1445" s="9">
        <v>45219</v>
      </c>
      <c r="D1445" s="8" t="s">
        <v>3772</v>
      </c>
      <c r="E1445" s="8" t="s">
        <v>68</v>
      </c>
      <c r="F1445" s="8" t="s">
        <v>249</v>
      </c>
      <c r="G1445" s="8" t="s">
        <v>217</v>
      </c>
      <c r="H1445" s="8" t="s">
        <v>684</v>
      </c>
      <c r="I1445" s="8" t="s">
        <v>4977</v>
      </c>
      <c r="J1445" s="10">
        <v>357</v>
      </c>
      <c r="K1445" s="11">
        <v>968.01</v>
      </c>
      <c r="L1445" s="11">
        <v>1176.78</v>
      </c>
      <c r="M1445" s="11">
        <v>420110.46</v>
      </c>
      <c r="N1445" s="11">
        <v>345579.57</v>
      </c>
      <c r="O1445" s="11">
        <f>CleanedData[[#This Row],[Total Sales ($)]]-CleanedData[[#This Row],[Total Cost ($)]]</f>
        <v>74530.890000000014</v>
      </c>
      <c r="P1445" s="12">
        <f>CleanedData[[#This Row],[Profit ($)]]/CleanedData[[#This Row],[Total Sales ($)]]</f>
        <v>0.17740784173762303</v>
      </c>
      <c r="Q1445" s="8" t="s">
        <v>42</v>
      </c>
      <c r="R1445" s="8" t="s">
        <v>63</v>
      </c>
      <c r="S1445" s="8" t="b">
        <f>_xlfn.SINGLE(CleanedData[[#This Row],[Delivery Status]])="Late"</f>
        <v>0</v>
      </c>
      <c r="T1445" s="10">
        <v>2</v>
      </c>
      <c r="U1445" s="8" t="s">
        <v>112</v>
      </c>
      <c r="V1445" s="10">
        <v>3244</v>
      </c>
      <c r="W1445" s="10">
        <v>14</v>
      </c>
      <c r="X1445" s="12">
        <v>3.9215686274509803E-2</v>
      </c>
      <c r="Y1445" s="8" t="b">
        <f>CleanedData[[#This Row],[Ship Date]]&lt;CleanedData[[#This Row],[Order Date]]</f>
        <v>0</v>
      </c>
      <c r="Z1445" s="10">
        <f>YEAR(CleanedData[[#This Row],[Order Date]])</f>
        <v>2023</v>
      </c>
      <c r="AA1445" s="8">
        <f>MONTH(CleanedData[[#This Row],[Order Date]])</f>
        <v>4</v>
      </c>
    </row>
    <row r="1446" spans="1:27" x14ac:dyDescent="0.35">
      <c r="A1446" s="8" t="s">
        <v>3773</v>
      </c>
      <c r="B1446" s="9">
        <v>45003</v>
      </c>
      <c r="C1446" s="9">
        <v>45216</v>
      </c>
      <c r="D1446" s="8" t="s">
        <v>3774</v>
      </c>
      <c r="E1446" s="8" t="s">
        <v>26</v>
      </c>
      <c r="F1446" s="8" t="s">
        <v>27</v>
      </c>
      <c r="G1446" s="8" t="s">
        <v>50</v>
      </c>
      <c r="H1446" s="8" t="s">
        <v>135</v>
      </c>
      <c r="I1446" s="8" t="s">
        <v>4976</v>
      </c>
      <c r="J1446" s="10">
        <v>601</v>
      </c>
      <c r="K1446" s="11">
        <v>657.17</v>
      </c>
      <c r="L1446" s="11">
        <v>753.63</v>
      </c>
      <c r="M1446" s="11">
        <v>452931.63</v>
      </c>
      <c r="N1446" s="11">
        <v>394959.17</v>
      </c>
      <c r="O1446" s="11">
        <f>CleanedData[[#This Row],[Total Sales ($)]]-CleanedData[[#This Row],[Total Cost ($)]]</f>
        <v>57972.460000000021</v>
      </c>
      <c r="P1446" s="12">
        <f>CleanedData[[#This Row],[Profit ($)]]/CleanedData[[#This Row],[Total Sales ($)]]</f>
        <v>0.12799384313257173</v>
      </c>
      <c r="Q1446" s="8" t="s">
        <v>42</v>
      </c>
      <c r="R1446" s="8" t="s">
        <v>63</v>
      </c>
      <c r="S1446" s="8" t="b">
        <f>_xlfn.SINGLE(CleanedData[[#This Row],[Delivery Status]])="Late"</f>
        <v>0</v>
      </c>
      <c r="T1446" s="10">
        <v>4</v>
      </c>
      <c r="U1446" s="8" t="s">
        <v>158</v>
      </c>
      <c r="V1446" s="10">
        <v>4394</v>
      </c>
      <c r="W1446" s="10">
        <v>11</v>
      </c>
      <c r="X1446" s="12">
        <v>1.83028286189683E-2</v>
      </c>
      <c r="Y1446" s="8" t="b">
        <f>CleanedData[[#This Row],[Ship Date]]&lt;CleanedData[[#This Row],[Order Date]]</f>
        <v>0</v>
      </c>
      <c r="Z1446" s="10">
        <f>YEAR(CleanedData[[#This Row],[Order Date]])</f>
        <v>2023</v>
      </c>
      <c r="AA1446" s="8">
        <f>MONTH(CleanedData[[#This Row],[Order Date]])</f>
        <v>3</v>
      </c>
    </row>
    <row r="1447" spans="1:27" x14ac:dyDescent="0.35">
      <c r="A1447" s="8" t="s">
        <v>3775</v>
      </c>
      <c r="B1447" s="9">
        <v>45036</v>
      </c>
      <c r="C1447" s="9">
        <v>45187</v>
      </c>
      <c r="D1447" s="8" t="s">
        <v>3776</v>
      </c>
      <c r="E1447" s="8" t="s">
        <v>68</v>
      </c>
      <c r="F1447" s="8" t="s">
        <v>276</v>
      </c>
      <c r="G1447" s="8" t="s">
        <v>189</v>
      </c>
      <c r="H1447" s="8" t="s">
        <v>360</v>
      </c>
      <c r="I1447" s="8" t="s">
        <v>4973</v>
      </c>
      <c r="J1447" s="10">
        <v>392</v>
      </c>
      <c r="K1447" s="11">
        <v>557.51</v>
      </c>
      <c r="L1447" s="11">
        <v>757.16</v>
      </c>
      <c r="M1447" s="11">
        <v>296806.71999999997</v>
      </c>
      <c r="N1447" s="11">
        <v>218543.92</v>
      </c>
      <c r="O1447" s="11">
        <f>CleanedData[[#This Row],[Total Sales ($)]]-CleanedData[[#This Row],[Total Cost ($)]]</f>
        <v>78262.799999999959</v>
      </c>
      <c r="P1447" s="12">
        <f>CleanedData[[#This Row],[Profit ($)]]/CleanedData[[#This Row],[Total Sales ($)]]</f>
        <v>0.26368270907073793</v>
      </c>
      <c r="Q1447" s="8" t="s">
        <v>95</v>
      </c>
      <c r="R1447" s="8" t="s">
        <v>32</v>
      </c>
      <c r="S1447" s="8" t="b">
        <f>_xlfn.SINGLE(CleanedData[[#This Row],[Delivery Status]])="Late"</f>
        <v>1</v>
      </c>
      <c r="T1447" s="10">
        <v>12</v>
      </c>
      <c r="U1447" s="8" t="s">
        <v>33</v>
      </c>
      <c r="V1447" s="10">
        <v>1233</v>
      </c>
      <c r="W1447" s="10">
        <v>17</v>
      </c>
      <c r="X1447" s="12">
        <v>4.3367346938775503E-2</v>
      </c>
      <c r="Y1447" s="8" t="b">
        <f>CleanedData[[#This Row],[Ship Date]]&lt;CleanedData[[#This Row],[Order Date]]</f>
        <v>0</v>
      </c>
      <c r="Z1447" s="10">
        <f>YEAR(CleanedData[[#This Row],[Order Date]])</f>
        <v>2023</v>
      </c>
      <c r="AA1447" s="8">
        <f>MONTH(CleanedData[[#This Row],[Order Date]])</f>
        <v>4</v>
      </c>
    </row>
    <row r="1448" spans="1:27" x14ac:dyDescent="0.35">
      <c r="A1448" s="8" t="s">
        <v>3777</v>
      </c>
      <c r="B1448" s="9">
        <v>45257</v>
      </c>
      <c r="C1448" s="9">
        <v>45212</v>
      </c>
      <c r="D1448" s="8" t="s">
        <v>3778</v>
      </c>
      <c r="E1448" s="8" t="s">
        <v>26</v>
      </c>
      <c r="F1448" s="8" t="s">
        <v>77</v>
      </c>
      <c r="G1448" s="8" t="s">
        <v>70</v>
      </c>
      <c r="H1448" s="8" t="s">
        <v>84</v>
      </c>
      <c r="I1448" s="8" t="s">
        <v>4974</v>
      </c>
      <c r="J1448" s="10">
        <v>593</v>
      </c>
      <c r="K1448" s="11">
        <v>265.98</v>
      </c>
      <c r="L1448" s="11"/>
      <c r="M1448" s="11">
        <v>206583.41</v>
      </c>
      <c r="N1448" s="11">
        <v>157726.14000000001</v>
      </c>
      <c r="O1448" s="11">
        <f>CleanedData[[#This Row],[Total Sales ($)]]-CleanedData[[#This Row],[Total Cost ($)]]</f>
        <v>48857.26999999999</v>
      </c>
      <c r="P1448" s="12">
        <f>CleanedData[[#This Row],[Profit ($)]]/CleanedData[[#This Row],[Total Sales ($)]]</f>
        <v>0.23650142090306278</v>
      </c>
      <c r="Q1448" s="8" t="s">
        <v>31</v>
      </c>
      <c r="R1448" s="8" t="s">
        <v>32</v>
      </c>
      <c r="S1448" s="8" t="b">
        <f>_xlfn.SINGLE(CleanedData[[#This Row],[Delivery Status]])="Late"</f>
        <v>1</v>
      </c>
      <c r="T1448" s="10">
        <v>9</v>
      </c>
      <c r="U1448" s="8" t="s">
        <v>158</v>
      </c>
      <c r="V1448" s="10">
        <v>785</v>
      </c>
      <c r="W1448" s="10">
        <v>1</v>
      </c>
      <c r="X1448" s="12">
        <v>1.6863406408094E-3</v>
      </c>
      <c r="Y1448" s="8" t="b">
        <f>CleanedData[[#This Row],[Ship Date]]&lt;CleanedData[[#This Row],[Order Date]]</f>
        <v>1</v>
      </c>
      <c r="Z1448" s="10">
        <f>YEAR(CleanedData[[#This Row],[Order Date]])</f>
        <v>2023</v>
      </c>
      <c r="AA1448" s="8">
        <f>MONTH(CleanedData[[#This Row],[Order Date]])</f>
        <v>11</v>
      </c>
    </row>
    <row r="1449" spans="1:27" x14ac:dyDescent="0.35">
      <c r="A1449" s="8" t="s">
        <v>3780</v>
      </c>
      <c r="B1449" s="9">
        <v>45117</v>
      </c>
      <c r="C1449" s="9">
        <v>45092</v>
      </c>
      <c r="D1449" s="8" t="s">
        <v>2512</v>
      </c>
      <c r="E1449" s="8" t="s">
        <v>58</v>
      </c>
      <c r="F1449" s="8" t="s">
        <v>259</v>
      </c>
      <c r="G1449" s="8" t="s">
        <v>217</v>
      </c>
      <c r="H1449" s="8" t="s">
        <v>218</v>
      </c>
      <c r="I1449" s="8" t="s">
        <v>4967</v>
      </c>
      <c r="J1449" s="10">
        <v>717</v>
      </c>
      <c r="K1449" s="11">
        <v>352.9</v>
      </c>
      <c r="L1449" s="11">
        <v>579.62</v>
      </c>
      <c r="M1449" s="11">
        <v>415587.54</v>
      </c>
      <c r="N1449" s="11">
        <v>253029.3</v>
      </c>
      <c r="O1449" s="11">
        <f>CleanedData[[#This Row],[Total Sales ($)]]-CleanedData[[#This Row],[Total Cost ($)]]</f>
        <v>162558.24</v>
      </c>
      <c r="P1449" s="12">
        <f>CleanedData[[#This Row],[Profit ($)]]/CleanedData[[#This Row],[Total Sales ($)]]</f>
        <v>0.39115282426417308</v>
      </c>
      <c r="Q1449" s="8" t="s">
        <v>52</v>
      </c>
      <c r="R1449" s="8" t="s">
        <v>32</v>
      </c>
      <c r="S1449" s="8" t="b">
        <f>_xlfn.SINGLE(CleanedData[[#This Row],[Delivery Status]])="Late"</f>
        <v>1</v>
      </c>
      <c r="T1449" s="10">
        <v>12</v>
      </c>
      <c r="U1449" s="8" t="s">
        <v>43</v>
      </c>
      <c r="V1449" s="10">
        <v>3093</v>
      </c>
      <c r="W1449" s="10">
        <v>16</v>
      </c>
      <c r="X1449" s="12">
        <v>2.2315202231520202E-2</v>
      </c>
      <c r="Y1449" s="8" t="b">
        <f>CleanedData[[#This Row],[Ship Date]]&lt;CleanedData[[#This Row],[Order Date]]</f>
        <v>1</v>
      </c>
      <c r="Z1449" s="10">
        <f>YEAR(CleanedData[[#This Row],[Order Date]])</f>
        <v>2023</v>
      </c>
      <c r="AA1449" s="8">
        <f>MONTH(CleanedData[[#This Row],[Order Date]])</f>
        <v>7</v>
      </c>
    </row>
    <row r="1450" spans="1:27" x14ac:dyDescent="0.35">
      <c r="A1450" s="8" t="s">
        <v>3781</v>
      </c>
      <c r="B1450" s="9">
        <v>45024</v>
      </c>
      <c r="C1450" s="9">
        <v>45132</v>
      </c>
      <c r="D1450" s="8" t="s">
        <v>3782</v>
      </c>
      <c r="E1450" s="8" t="s">
        <v>68</v>
      </c>
      <c r="F1450" s="8" t="s">
        <v>69</v>
      </c>
      <c r="G1450" s="8" t="s">
        <v>78</v>
      </c>
      <c r="H1450" s="8" t="s">
        <v>79</v>
      </c>
      <c r="I1450" s="8" t="s">
        <v>4968</v>
      </c>
      <c r="J1450" s="10">
        <v>195</v>
      </c>
      <c r="K1450" s="11">
        <v>125.93</v>
      </c>
      <c r="L1450" s="11">
        <v>169.9</v>
      </c>
      <c r="M1450" s="11">
        <v>33130.5</v>
      </c>
      <c r="N1450" s="11">
        <v>24556.35</v>
      </c>
      <c r="O1450" s="11">
        <f>CleanedData[[#This Row],[Total Sales ($)]]-CleanedData[[#This Row],[Total Cost ($)]]</f>
        <v>8574.1500000000015</v>
      </c>
      <c r="P1450" s="12">
        <f>CleanedData[[#This Row],[Profit ($)]]/CleanedData[[#This Row],[Total Sales ($)]]</f>
        <v>0.2587992937021778</v>
      </c>
      <c r="Q1450" s="8" t="s">
        <v>31</v>
      </c>
      <c r="R1450" s="8" t="s">
        <v>32</v>
      </c>
      <c r="S1450" s="8" t="b">
        <f>_xlfn.SINGLE(CleanedData[[#This Row],[Delivery Status]])="Late"</f>
        <v>1</v>
      </c>
      <c r="T1450" s="10">
        <v>8</v>
      </c>
      <c r="U1450" s="8" t="s">
        <v>33</v>
      </c>
      <c r="V1450" s="10">
        <v>3929</v>
      </c>
      <c r="W1450" s="10">
        <v>8</v>
      </c>
      <c r="X1450" s="12">
        <v>4.1025641025640998E-2</v>
      </c>
      <c r="Y1450" s="8" t="b">
        <f>CleanedData[[#This Row],[Ship Date]]&lt;CleanedData[[#This Row],[Order Date]]</f>
        <v>0</v>
      </c>
      <c r="Z1450" s="10">
        <f>YEAR(CleanedData[[#This Row],[Order Date]])</f>
        <v>2023</v>
      </c>
      <c r="AA1450" s="8">
        <f>MONTH(CleanedData[[#This Row],[Order Date]])</f>
        <v>4</v>
      </c>
    </row>
    <row r="1451" spans="1:27" x14ac:dyDescent="0.35">
      <c r="A1451" s="8" t="s">
        <v>3783</v>
      </c>
      <c r="B1451" s="9">
        <v>45049</v>
      </c>
      <c r="C1451" s="9">
        <v>45263</v>
      </c>
      <c r="D1451" s="8" t="s">
        <v>1418</v>
      </c>
      <c r="E1451" s="8" t="s">
        <v>48</v>
      </c>
      <c r="F1451" s="8" t="s">
        <v>270</v>
      </c>
      <c r="G1451" s="8" t="s">
        <v>217</v>
      </c>
      <c r="H1451" s="8" t="s">
        <v>335</v>
      </c>
      <c r="I1451" s="8" t="s">
        <v>4976</v>
      </c>
      <c r="J1451" s="10">
        <v>696</v>
      </c>
      <c r="K1451" s="11">
        <v>967.64</v>
      </c>
      <c r="L1451" s="11">
        <v>1147.44</v>
      </c>
      <c r="M1451" s="11">
        <v>798618.24</v>
      </c>
      <c r="N1451" s="11">
        <v>673477.44</v>
      </c>
      <c r="O1451" s="11">
        <f>CleanedData[[#This Row],[Total Sales ($)]]-CleanedData[[#This Row],[Total Cost ($)]]</f>
        <v>125140.80000000005</v>
      </c>
      <c r="P1451" s="12">
        <f>CleanedData[[#This Row],[Profit ($)]]/CleanedData[[#This Row],[Total Sales ($)]]</f>
        <v>0.15669664644774461</v>
      </c>
      <c r="Q1451" s="8" t="s">
        <v>95</v>
      </c>
      <c r="R1451" s="8" t="s">
        <v>63</v>
      </c>
      <c r="S1451" s="8" t="b">
        <f>_xlfn.SINGLE(CleanedData[[#This Row],[Delivery Status]])="Late"</f>
        <v>0</v>
      </c>
      <c r="T1451" s="10">
        <v>5</v>
      </c>
      <c r="U1451" s="8" t="s">
        <v>158</v>
      </c>
      <c r="V1451" s="10">
        <v>3590</v>
      </c>
      <c r="W1451" s="10">
        <v>29</v>
      </c>
      <c r="X1451" s="12">
        <v>4.1666666666666602E-2</v>
      </c>
      <c r="Y1451" s="8" t="b">
        <f>CleanedData[[#This Row],[Ship Date]]&lt;CleanedData[[#This Row],[Order Date]]</f>
        <v>0</v>
      </c>
      <c r="Z1451" s="10">
        <f>YEAR(CleanedData[[#This Row],[Order Date]])</f>
        <v>2023</v>
      </c>
      <c r="AA1451" s="8">
        <f>MONTH(CleanedData[[#This Row],[Order Date]])</f>
        <v>5</v>
      </c>
    </row>
    <row r="1452" spans="1:27" x14ac:dyDescent="0.35">
      <c r="A1452" s="8" t="s">
        <v>3784</v>
      </c>
      <c r="B1452" s="9">
        <v>45122</v>
      </c>
      <c r="C1452" s="9">
        <v>45108</v>
      </c>
      <c r="D1452" s="8" t="s">
        <v>3785</v>
      </c>
      <c r="E1452" s="8" t="s">
        <v>58</v>
      </c>
      <c r="F1452" s="8" t="s">
        <v>417</v>
      </c>
      <c r="G1452" s="8" t="s">
        <v>70</v>
      </c>
      <c r="H1452" s="8" t="s">
        <v>384</v>
      </c>
      <c r="I1452" s="8" t="s">
        <v>4977</v>
      </c>
      <c r="J1452" s="10">
        <v>621</v>
      </c>
      <c r="K1452" s="11">
        <v>389.89</v>
      </c>
      <c r="L1452" s="11">
        <v>454.62</v>
      </c>
      <c r="M1452" s="11">
        <v>282319.02</v>
      </c>
      <c r="N1452" s="11">
        <v>242121.69</v>
      </c>
      <c r="O1452" s="11">
        <f>CleanedData[[#This Row],[Total Sales ($)]]-CleanedData[[#This Row],[Total Cost ($)]]</f>
        <v>40197.330000000016</v>
      </c>
      <c r="P1452" s="12">
        <f>CleanedData[[#This Row],[Profit ($)]]/CleanedData[[#This Row],[Total Sales ($)]]</f>
        <v>0.1423826492455238</v>
      </c>
      <c r="Q1452" s="8" t="s">
        <v>95</v>
      </c>
      <c r="R1452" s="8" t="s">
        <v>32</v>
      </c>
      <c r="S1452" s="8" t="b">
        <f>_xlfn.SINGLE(CleanedData[[#This Row],[Delivery Status]])="Late"</f>
        <v>1</v>
      </c>
      <c r="T1452" s="10">
        <v>15</v>
      </c>
      <c r="U1452" s="8" t="s">
        <v>43</v>
      </c>
      <c r="V1452" s="10">
        <v>726</v>
      </c>
      <c r="W1452" s="10">
        <v>16</v>
      </c>
      <c r="X1452" s="12">
        <v>2.5764895330112701E-2</v>
      </c>
      <c r="Y1452" s="8" t="b">
        <f>CleanedData[[#This Row],[Ship Date]]&lt;CleanedData[[#This Row],[Order Date]]</f>
        <v>1</v>
      </c>
      <c r="Z1452" s="10">
        <f>YEAR(CleanedData[[#This Row],[Order Date]])</f>
        <v>2023</v>
      </c>
      <c r="AA1452" s="8">
        <f>MONTH(CleanedData[[#This Row],[Order Date]])</f>
        <v>7</v>
      </c>
    </row>
    <row r="1453" spans="1:27" x14ac:dyDescent="0.35">
      <c r="A1453" s="8" t="s">
        <v>3786</v>
      </c>
      <c r="B1453" s="9">
        <v>45254</v>
      </c>
      <c r="C1453" s="9">
        <v>45099</v>
      </c>
      <c r="D1453" s="8" t="s">
        <v>3787</v>
      </c>
      <c r="E1453" s="8" t="s">
        <v>100</v>
      </c>
      <c r="F1453" s="8" t="s">
        <v>101</v>
      </c>
      <c r="G1453" s="8" t="s">
        <v>129</v>
      </c>
      <c r="H1453" s="8" t="s">
        <v>130</v>
      </c>
      <c r="I1453" s="8" t="s">
        <v>4975</v>
      </c>
      <c r="J1453" s="10">
        <v>789</v>
      </c>
      <c r="K1453" s="11">
        <v>353.62</v>
      </c>
      <c r="L1453" s="11">
        <v>409.26</v>
      </c>
      <c r="M1453" s="11">
        <v>322906.14</v>
      </c>
      <c r="N1453" s="11">
        <v>279006.18</v>
      </c>
      <c r="O1453" s="11">
        <f>CleanedData[[#This Row],[Total Sales ($)]]-CleanedData[[#This Row],[Total Cost ($)]]</f>
        <v>43899.960000000021</v>
      </c>
      <c r="P1453" s="12">
        <f>CleanedData[[#This Row],[Profit ($)]]/CleanedData[[#This Row],[Total Sales ($)]]</f>
        <v>0.1359526951082442</v>
      </c>
      <c r="Q1453" s="8" t="s">
        <v>52</v>
      </c>
      <c r="R1453" s="8" t="s">
        <v>32</v>
      </c>
      <c r="S1453" s="8" t="b">
        <f>_xlfn.SINGLE(CleanedData[[#This Row],[Delivery Status]])="Late"</f>
        <v>1</v>
      </c>
      <c r="T1453" s="10">
        <v>6</v>
      </c>
      <c r="U1453" s="8" t="s">
        <v>43</v>
      </c>
      <c r="V1453" s="10">
        <v>2632</v>
      </c>
      <c r="W1453" s="10">
        <v>12</v>
      </c>
      <c r="X1453" s="12">
        <v>1.52091254752851E-2</v>
      </c>
      <c r="Y1453" s="8" t="b">
        <f>CleanedData[[#This Row],[Ship Date]]&lt;CleanedData[[#This Row],[Order Date]]</f>
        <v>1</v>
      </c>
      <c r="Z1453" s="10">
        <f>YEAR(CleanedData[[#This Row],[Order Date]])</f>
        <v>2023</v>
      </c>
      <c r="AA1453" s="8">
        <f>MONTH(CleanedData[[#This Row],[Order Date]])</f>
        <v>11</v>
      </c>
    </row>
    <row r="1454" spans="1:27" x14ac:dyDescent="0.35">
      <c r="A1454" s="8" t="s">
        <v>3788</v>
      </c>
      <c r="B1454" s="9">
        <v>44932</v>
      </c>
      <c r="C1454" s="9">
        <v>44963</v>
      </c>
      <c r="D1454" s="8" t="s">
        <v>3789</v>
      </c>
      <c r="E1454" s="8" t="s">
        <v>68</v>
      </c>
      <c r="F1454" s="8" t="s">
        <v>163</v>
      </c>
      <c r="G1454" s="8" t="s">
        <v>93</v>
      </c>
      <c r="H1454" s="8" t="s">
        <v>485</v>
      </c>
      <c r="I1454" s="8" t="s">
        <v>4978</v>
      </c>
      <c r="J1454" s="10">
        <v>16</v>
      </c>
      <c r="K1454" s="11">
        <v>590.24</v>
      </c>
      <c r="L1454" s="11">
        <v>919.54</v>
      </c>
      <c r="M1454" s="11">
        <v>14712.64</v>
      </c>
      <c r="N1454" s="11">
        <v>9443.84</v>
      </c>
      <c r="O1454" s="11">
        <f>CleanedData[[#This Row],[Total Sales ($)]]-CleanedData[[#This Row],[Total Cost ($)]]</f>
        <v>5268.7999999999993</v>
      </c>
      <c r="P1454" s="12">
        <f>CleanedData[[#This Row],[Profit ($)]]/CleanedData[[#This Row],[Total Sales ($)]]</f>
        <v>0.35811383952845982</v>
      </c>
      <c r="Q1454" s="8" t="s">
        <v>52</v>
      </c>
      <c r="R1454" s="8" t="s">
        <v>63</v>
      </c>
      <c r="S1454" s="8" t="b">
        <f>_xlfn.SINGLE(CleanedData[[#This Row],[Delivery Status]])="Late"</f>
        <v>0</v>
      </c>
      <c r="T1454" s="10">
        <v>2</v>
      </c>
      <c r="U1454" s="8" t="s">
        <v>33</v>
      </c>
      <c r="V1454" s="10">
        <v>4475</v>
      </c>
      <c r="W1454" s="10">
        <v>1</v>
      </c>
      <c r="X1454" s="12">
        <v>6.25E-2</v>
      </c>
      <c r="Y1454" s="8" t="b">
        <f>CleanedData[[#This Row],[Ship Date]]&lt;CleanedData[[#This Row],[Order Date]]</f>
        <v>0</v>
      </c>
      <c r="Z1454" s="10">
        <f>YEAR(CleanedData[[#This Row],[Order Date]])</f>
        <v>2023</v>
      </c>
      <c r="AA1454" s="8">
        <f>MONTH(CleanedData[[#This Row],[Order Date]])</f>
        <v>1</v>
      </c>
    </row>
    <row r="1455" spans="1:27" x14ac:dyDescent="0.35">
      <c r="A1455" s="8" t="s">
        <v>3790</v>
      </c>
      <c r="B1455" s="9">
        <v>45020</v>
      </c>
      <c r="C1455" s="9">
        <v>45254</v>
      </c>
      <c r="D1455" s="8" t="s">
        <v>3791</v>
      </c>
      <c r="E1455" s="8" t="s">
        <v>68</v>
      </c>
      <c r="F1455" s="8" t="s">
        <v>249</v>
      </c>
      <c r="G1455" s="8" t="s">
        <v>50</v>
      </c>
      <c r="H1455" s="8" t="s">
        <v>282</v>
      </c>
      <c r="I1455" s="8" t="s">
        <v>4967</v>
      </c>
      <c r="J1455" s="10">
        <v>170</v>
      </c>
      <c r="K1455" s="11">
        <v>23.72</v>
      </c>
      <c r="L1455" s="11">
        <v>27.41</v>
      </c>
      <c r="M1455" s="11">
        <v>4659.7</v>
      </c>
      <c r="N1455" s="11">
        <v>4032.4</v>
      </c>
      <c r="O1455" s="11">
        <f>CleanedData[[#This Row],[Total Sales ($)]]-CleanedData[[#This Row],[Total Cost ($)]]</f>
        <v>627.29999999999973</v>
      </c>
      <c r="P1455" s="12">
        <f>CleanedData[[#This Row],[Profit ($)]]/CleanedData[[#This Row],[Total Sales ($)]]</f>
        <v>0.13462240058372851</v>
      </c>
      <c r="Q1455" s="8" t="s">
        <v>31</v>
      </c>
      <c r="R1455" s="8" t="s">
        <v>32</v>
      </c>
      <c r="S1455" s="8" t="b">
        <f>_xlfn.SINGLE(CleanedData[[#This Row],[Delivery Status]])="Late"</f>
        <v>1</v>
      </c>
      <c r="T1455" s="10">
        <v>10</v>
      </c>
      <c r="U1455" s="8" t="s">
        <v>158</v>
      </c>
      <c r="V1455" s="10">
        <v>1517</v>
      </c>
      <c r="W1455" s="10">
        <v>2</v>
      </c>
      <c r="X1455" s="12">
        <v>1.1764705882352899E-2</v>
      </c>
      <c r="Y1455" s="8" t="b">
        <f>CleanedData[[#This Row],[Ship Date]]&lt;CleanedData[[#This Row],[Order Date]]</f>
        <v>0</v>
      </c>
      <c r="Z1455" s="10">
        <f>YEAR(CleanedData[[#This Row],[Order Date]])</f>
        <v>2023</v>
      </c>
      <c r="AA1455" s="8">
        <f>MONTH(CleanedData[[#This Row],[Order Date]])</f>
        <v>4</v>
      </c>
    </row>
    <row r="1456" spans="1:27" x14ac:dyDescent="0.35">
      <c r="A1456" s="8" t="s">
        <v>3792</v>
      </c>
      <c r="B1456" s="9">
        <v>45269</v>
      </c>
      <c r="C1456" s="9">
        <v>45118</v>
      </c>
      <c r="D1456" s="8" t="s">
        <v>2760</v>
      </c>
      <c r="E1456" s="8" t="s">
        <v>100</v>
      </c>
      <c r="F1456" s="8" t="s">
        <v>238</v>
      </c>
      <c r="G1456" s="8" t="s">
        <v>50</v>
      </c>
      <c r="H1456" s="8" t="s">
        <v>260</v>
      </c>
      <c r="I1456" s="8" t="s">
        <v>4979</v>
      </c>
      <c r="J1456" s="10">
        <v>117</v>
      </c>
      <c r="K1456" s="11">
        <v>30.89</v>
      </c>
      <c r="L1456" s="11">
        <v>42.35</v>
      </c>
      <c r="M1456" s="11">
        <v>4954.95</v>
      </c>
      <c r="N1456" s="11">
        <v>3614.13</v>
      </c>
      <c r="O1456" s="11">
        <f>CleanedData[[#This Row],[Total Sales ($)]]-CleanedData[[#This Row],[Total Cost ($)]]</f>
        <v>1340.8199999999997</v>
      </c>
      <c r="P1456" s="12">
        <f>CleanedData[[#This Row],[Profit ($)]]/CleanedData[[#This Row],[Total Sales ($)]]</f>
        <v>0.27060212514757964</v>
      </c>
      <c r="Q1456" s="8" t="s">
        <v>52</v>
      </c>
      <c r="R1456" s="8" t="s">
        <v>63</v>
      </c>
      <c r="S1456" s="8" t="b">
        <f>_xlfn.SINGLE(CleanedData[[#This Row],[Delivery Status]])="Late"</f>
        <v>0</v>
      </c>
      <c r="T1456" s="10">
        <v>2</v>
      </c>
      <c r="U1456" s="8" t="s">
        <v>86</v>
      </c>
      <c r="V1456" s="10">
        <v>704</v>
      </c>
      <c r="W1456" s="10">
        <v>1</v>
      </c>
      <c r="X1456" s="12">
        <v>8.5470085470084993E-3</v>
      </c>
      <c r="Y1456" s="8" t="b">
        <f>CleanedData[[#This Row],[Ship Date]]&lt;CleanedData[[#This Row],[Order Date]]</f>
        <v>1</v>
      </c>
      <c r="Z1456" s="10">
        <f>YEAR(CleanedData[[#This Row],[Order Date]])</f>
        <v>2023</v>
      </c>
      <c r="AA1456" s="8">
        <f>MONTH(CleanedData[[#This Row],[Order Date]])</f>
        <v>12</v>
      </c>
    </row>
    <row r="1457" spans="1:27" x14ac:dyDescent="0.35">
      <c r="A1457" s="8" t="s">
        <v>3793</v>
      </c>
      <c r="B1457" s="9">
        <v>45050</v>
      </c>
      <c r="C1457" s="9">
        <v>45044</v>
      </c>
      <c r="D1457" s="8" t="s">
        <v>3794</v>
      </c>
      <c r="E1457" s="8" t="s">
        <v>58</v>
      </c>
      <c r="F1457" s="8" t="s">
        <v>59</v>
      </c>
      <c r="G1457" s="8" t="s">
        <v>78</v>
      </c>
      <c r="H1457" s="8" t="s">
        <v>123</v>
      </c>
      <c r="I1457" s="8" t="s">
        <v>4976</v>
      </c>
      <c r="J1457" s="10">
        <v>744</v>
      </c>
      <c r="K1457" s="11">
        <v>297.13</v>
      </c>
      <c r="L1457" s="11">
        <v>400.2</v>
      </c>
      <c r="M1457" s="11">
        <v>297748.8</v>
      </c>
      <c r="N1457" s="11">
        <v>221064.72</v>
      </c>
      <c r="O1457" s="11">
        <f>CleanedData[[#This Row],[Total Sales ($)]]-CleanedData[[#This Row],[Total Cost ($)]]</f>
        <v>76684.079999999987</v>
      </c>
      <c r="P1457" s="12">
        <f>CleanedData[[#This Row],[Profit ($)]]/CleanedData[[#This Row],[Total Sales ($)]]</f>
        <v>0.25754622688655671</v>
      </c>
      <c r="Q1457" s="8" t="s">
        <v>52</v>
      </c>
      <c r="R1457" s="8" t="s">
        <v>32</v>
      </c>
      <c r="S1457" s="8" t="b">
        <f>_xlfn.SINGLE(CleanedData[[#This Row],[Delivery Status]])="Late"</f>
        <v>1</v>
      </c>
      <c r="T1457" s="10">
        <v>12</v>
      </c>
      <c r="U1457" s="8" t="s">
        <v>43</v>
      </c>
      <c r="V1457" s="10">
        <v>4287</v>
      </c>
      <c r="W1457" s="10">
        <v>25</v>
      </c>
      <c r="X1457" s="12">
        <v>3.36021505376344E-2</v>
      </c>
      <c r="Y1457" s="8" t="b">
        <f>CleanedData[[#This Row],[Ship Date]]&lt;CleanedData[[#This Row],[Order Date]]</f>
        <v>1</v>
      </c>
      <c r="Z1457" s="10">
        <f>YEAR(CleanedData[[#This Row],[Order Date]])</f>
        <v>2023</v>
      </c>
      <c r="AA1457" s="8">
        <f>MONTH(CleanedData[[#This Row],[Order Date]])</f>
        <v>5</v>
      </c>
    </row>
    <row r="1458" spans="1:27" x14ac:dyDescent="0.35">
      <c r="A1458" s="8" t="s">
        <v>3795</v>
      </c>
      <c r="B1458" s="9">
        <v>45044</v>
      </c>
      <c r="C1458" s="9">
        <v>45084</v>
      </c>
      <c r="D1458" s="8" t="s">
        <v>1029</v>
      </c>
      <c r="E1458" s="8" t="s">
        <v>100</v>
      </c>
      <c r="F1458" s="8" t="s">
        <v>238</v>
      </c>
      <c r="G1458" s="8" t="s">
        <v>60</v>
      </c>
      <c r="H1458" s="8" t="s">
        <v>265</v>
      </c>
      <c r="I1458" s="8" t="s">
        <v>4976</v>
      </c>
      <c r="J1458" s="10">
        <v>709</v>
      </c>
      <c r="K1458" s="11">
        <v>1154.78</v>
      </c>
      <c r="L1458" s="11">
        <v>1893.93</v>
      </c>
      <c r="M1458" s="11">
        <v>1342796.37</v>
      </c>
      <c r="N1458" s="11">
        <v>818739.02</v>
      </c>
      <c r="O1458" s="11">
        <f>CleanedData[[#This Row],[Total Sales ($)]]-CleanedData[[#This Row],[Total Cost ($)]]</f>
        <v>524057.35000000009</v>
      </c>
      <c r="P1458" s="12">
        <f>CleanedData[[#This Row],[Profit ($)]]/CleanedData[[#This Row],[Total Sales ($)]]</f>
        <v>0.39027313575475336</v>
      </c>
      <c r="Q1458" s="8" t="s">
        <v>52</v>
      </c>
      <c r="R1458" s="8" t="s">
        <v>32</v>
      </c>
      <c r="S1458" s="8" t="b">
        <f>_xlfn.SINGLE(CleanedData[[#This Row],[Delivery Status]])="Late"</f>
        <v>1</v>
      </c>
      <c r="T1458" s="10">
        <v>13</v>
      </c>
      <c r="U1458" s="8" t="s">
        <v>53</v>
      </c>
      <c r="V1458" s="10">
        <v>4067</v>
      </c>
      <c r="W1458" s="10">
        <v>5</v>
      </c>
      <c r="X1458" s="12">
        <v>7.0521861777150001E-3</v>
      </c>
      <c r="Y1458" s="8" t="b">
        <f>CleanedData[[#This Row],[Ship Date]]&lt;CleanedData[[#This Row],[Order Date]]</f>
        <v>0</v>
      </c>
      <c r="Z1458" s="10">
        <f>YEAR(CleanedData[[#This Row],[Order Date]])</f>
        <v>2023</v>
      </c>
      <c r="AA1458" s="8">
        <f>MONTH(CleanedData[[#This Row],[Order Date]])</f>
        <v>4</v>
      </c>
    </row>
    <row r="1459" spans="1:27" x14ac:dyDescent="0.35">
      <c r="A1459" s="8" t="s">
        <v>3796</v>
      </c>
      <c r="B1459" s="9">
        <v>45365</v>
      </c>
      <c r="C1459" s="9">
        <v>45539</v>
      </c>
      <c r="D1459" s="8" t="s">
        <v>3797</v>
      </c>
      <c r="E1459" s="8" t="s">
        <v>100</v>
      </c>
      <c r="F1459" s="8" t="s">
        <v>330</v>
      </c>
      <c r="G1459" s="8" t="s">
        <v>93</v>
      </c>
      <c r="H1459" s="8" t="s">
        <v>1442</v>
      </c>
      <c r="I1459" s="8" t="s">
        <v>4968</v>
      </c>
      <c r="J1459" s="10">
        <v>216</v>
      </c>
      <c r="K1459" s="11">
        <v>724.14</v>
      </c>
      <c r="L1459" s="11">
        <v>909.25</v>
      </c>
      <c r="M1459" s="11">
        <v>196398</v>
      </c>
      <c r="N1459" s="11">
        <v>156414.24</v>
      </c>
      <c r="O1459" s="11">
        <f>CleanedData[[#This Row],[Total Sales ($)]]-CleanedData[[#This Row],[Total Cost ($)]]</f>
        <v>39983.760000000009</v>
      </c>
      <c r="P1459" s="12">
        <f>CleanedData[[#This Row],[Profit ($)]]/CleanedData[[#This Row],[Total Sales ($)]]</f>
        <v>0.20358537255980208</v>
      </c>
      <c r="Q1459" s="8" t="s">
        <v>95</v>
      </c>
      <c r="R1459" s="8" t="s">
        <v>32</v>
      </c>
      <c r="S1459" s="8" t="b">
        <f>_xlfn.SINGLE(CleanedData[[#This Row],[Delivery Status]])="Late"</f>
        <v>1</v>
      </c>
      <c r="T1459" s="10">
        <v>7</v>
      </c>
      <c r="U1459" s="8" t="s">
        <v>43</v>
      </c>
      <c r="V1459" s="10">
        <v>2504</v>
      </c>
      <c r="W1459" s="10">
        <v>7</v>
      </c>
      <c r="X1459" s="12">
        <v>3.2407407407407399E-2</v>
      </c>
      <c r="Y1459" s="8" t="b">
        <f>CleanedData[[#This Row],[Ship Date]]&lt;CleanedData[[#This Row],[Order Date]]</f>
        <v>0</v>
      </c>
      <c r="Z1459" s="10">
        <f>YEAR(CleanedData[[#This Row],[Order Date]])</f>
        <v>2024</v>
      </c>
      <c r="AA1459" s="8">
        <f>MONTH(CleanedData[[#This Row],[Order Date]])</f>
        <v>3</v>
      </c>
    </row>
    <row r="1460" spans="1:27" x14ac:dyDescent="0.35">
      <c r="A1460" s="8" t="s">
        <v>3798</v>
      </c>
      <c r="B1460" s="9">
        <v>45299</v>
      </c>
      <c r="C1460" s="9">
        <v>45648</v>
      </c>
      <c r="D1460" s="8" t="s">
        <v>2446</v>
      </c>
      <c r="E1460" s="8" t="s">
        <v>58</v>
      </c>
      <c r="F1460" s="8" t="s">
        <v>116</v>
      </c>
      <c r="G1460" s="8" t="s">
        <v>93</v>
      </c>
      <c r="H1460" s="8" t="s">
        <v>184</v>
      </c>
      <c r="I1460" s="8" t="s">
        <v>4975</v>
      </c>
      <c r="J1460" s="10">
        <v>215</v>
      </c>
      <c r="K1460" s="11">
        <v>1098.94</v>
      </c>
      <c r="L1460" s="11">
        <v>1518.26</v>
      </c>
      <c r="M1460" s="11">
        <v>326425.90000000002</v>
      </c>
      <c r="N1460" s="11">
        <v>236272.1</v>
      </c>
      <c r="O1460" s="11">
        <f>CleanedData[[#This Row],[Total Sales ($)]]-CleanedData[[#This Row],[Total Cost ($)]]</f>
        <v>90153.800000000017</v>
      </c>
      <c r="P1460" s="12">
        <f>CleanedData[[#This Row],[Profit ($)]]/CleanedData[[#This Row],[Total Sales ($)]]</f>
        <v>0.27618457971625415</v>
      </c>
      <c r="Q1460" s="8" t="s">
        <v>52</v>
      </c>
      <c r="R1460" s="8" t="s">
        <v>63</v>
      </c>
      <c r="S1460" s="8" t="b">
        <f>_xlfn.SINGLE(CleanedData[[#This Row],[Delivery Status]])="Late"</f>
        <v>0</v>
      </c>
      <c r="T1460" s="10">
        <v>1</v>
      </c>
      <c r="U1460" s="8" t="s">
        <v>112</v>
      </c>
      <c r="V1460" s="10">
        <v>3364</v>
      </c>
      <c r="W1460" s="10">
        <v>0</v>
      </c>
      <c r="X1460" s="12">
        <v>0</v>
      </c>
      <c r="Y1460" s="8" t="b">
        <f>CleanedData[[#This Row],[Ship Date]]&lt;CleanedData[[#This Row],[Order Date]]</f>
        <v>0</v>
      </c>
      <c r="Z1460" s="10">
        <f>YEAR(CleanedData[[#This Row],[Order Date]])</f>
        <v>2024</v>
      </c>
      <c r="AA1460" s="8">
        <f>MONTH(CleanedData[[#This Row],[Order Date]])</f>
        <v>1</v>
      </c>
    </row>
    <row r="1461" spans="1:27" x14ac:dyDescent="0.35">
      <c r="A1461" s="8" t="s">
        <v>3799</v>
      </c>
      <c r="B1461" s="9">
        <v>45039</v>
      </c>
      <c r="C1461" s="9">
        <v>44960</v>
      </c>
      <c r="D1461" s="8" t="s">
        <v>3800</v>
      </c>
      <c r="E1461" s="8" t="s">
        <v>100</v>
      </c>
      <c r="F1461" s="8" t="s">
        <v>538</v>
      </c>
      <c r="G1461" s="8" t="s">
        <v>129</v>
      </c>
      <c r="H1461" s="8" t="s">
        <v>345</v>
      </c>
      <c r="I1461" s="8" t="s">
        <v>4973</v>
      </c>
      <c r="J1461" s="10">
        <v>517</v>
      </c>
      <c r="K1461" s="11">
        <v>143.91</v>
      </c>
      <c r="L1461" s="11">
        <v>213.63</v>
      </c>
      <c r="M1461" s="11">
        <v>110446.71</v>
      </c>
      <c r="N1461" s="11">
        <v>74401.47</v>
      </c>
      <c r="O1461" s="11">
        <f>CleanedData[[#This Row],[Total Sales ($)]]-CleanedData[[#This Row],[Total Cost ($)]]</f>
        <v>36045.240000000005</v>
      </c>
      <c r="P1461" s="12">
        <f>CleanedData[[#This Row],[Profit ($)]]/CleanedData[[#This Row],[Total Sales ($)]]</f>
        <v>0.32635865749192533</v>
      </c>
      <c r="Q1461" s="8" t="s">
        <v>42</v>
      </c>
      <c r="R1461" s="8" t="s">
        <v>32</v>
      </c>
      <c r="S1461" s="8" t="b">
        <f>_xlfn.SINGLE(CleanedData[[#This Row],[Delivery Status]])="Late"</f>
        <v>1</v>
      </c>
      <c r="T1461" s="10">
        <v>13</v>
      </c>
      <c r="U1461" s="8" t="s">
        <v>86</v>
      </c>
      <c r="V1461" s="10">
        <v>4357</v>
      </c>
      <c r="W1461" s="10">
        <v>10</v>
      </c>
      <c r="X1461" s="12">
        <v>1.9342359767891601E-2</v>
      </c>
      <c r="Y1461" s="8" t="b">
        <f>CleanedData[[#This Row],[Ship Date]]&lt;CleanedData[[#This Row],[Order Date]]</f>
        <v>1</v>
      </c>
      <c r="Z1461" s="10">
        <f>YEAR(CleanedData[[#This Row],[Order Date]])</f>
        <v>2023</v>
      </c>
      <c r="AA1461" s="8">
        <f>MONTH(CleanedData[[#This Row],[Order Date]])</f>
        <v>4</v>
      </c>
    </row>
    <row r="1462" spans="1:27" x14ac:dyDescent="0.35">
      <c r="A1462" s="8" t="s">
        <v>3801</v>
      </c>
      <c r="B1462" s="9">
        <v>45108</v>
      </c>
      <c r="C1462" s="9">
        <v>44965</v>
      </c>
      <c r="D1462" s="8" t="s">
        <v>3802</v>
      </c>
      <c r="E1462" s="8" t="s">
        <v>100</v>
      </c>
      <c r="F1462" s="8" t="s">
        <v>538</v>
      </c>
      <c r="G1462" s="8" t="s">
        <v>28</v>
      </c>
      <c r="H1462" s="8" t="s">
        <v>29</v>
      </c>
      <c r="I1462" s="8" t="s">
        <v>4990</v>
      </c>
      <c r="J1462" s="10">
        <v>724</v>
      </c>
      <c r="K1462" s="11">
        <v>965.51</v>
      </c>
      <c r="L1462" s="11">
        <v>1435.18</v>
      </c>
      <c r="M1462" s="11">
        <v>1039070.32</v>
      </c>
      <c r="N1462" s="11">
        <v>699029.24</v>
      </c>
      <c r="O1462" s="11">
        <f>CleanedData[[#This Row],[Total Sales ($)]]-CleanedData[[#This Row],[Total Cost ($)]]</f>
        <v>340041.07999999996</v>
      </c>
      <c r="P1462" s="12">
        <f>CleanedData[[#This Row],[Profit ($)]]/CleanedData[[#This Row],[Total Sales ($)]]</f>
        <v>0.32725511782494182</v>
      </c>
      <c r="Q1462" s="8" t="s">
        <v>31</v>
      </c>
      <c r="R1462" s="8" t="s">
        <v>32</v>
      </c>
      <c r="S1462" s="8" t="b">
        <f>_xlfn.SINGLE(CleanedData[[#This Row],[Delivery Status]])="Late"</f>
        <v>1</v>
      </c>
      <c r="T1462" s="10">
        <v>14</v>
      </c>
      <c r="U1462" s="8" t="s">
        <v>86</v>
      </c>
      <c r="V1462" s="10">
        <v>2973</v>
      </c>
      <c r="W1462" s="10">
        <v>19</v>
      </c>
      <c r="X1462" s="12">
        <v>2.6243093922651901E-2</v>
      </c>
      <c r="Y1462" s="8" t="b">
        <f>CleanedData[[#This Row],[Ship Date]]&lt;CleanedData[[#This Row],[Order Date]]</f>
        <v>1</v>
      </c>
      <c r="Z1462" s="10">
        <f>YEAR(CleanedData[[#This Row],[Order Date]])</f>
        <v>2023</v>
      </c>
      <c r="AA1462" s="8">
        <f>MONTH(CleanedData[[#This Row],[Order Date]])</f>
        <v>7</v>
      </c>
    </row>
    <row r="1463" spans="1:27" x14ac:dyDescent="0.35">
      <c r="A1463" s="8" t="s">
        <v>3803</v>
      </c>
      <c r="B1463" s="9">
        <v>45252</v>
      </c>
      <c r="C1463" s="9">
        <v>45152</v>
      </c>
      <c r="D1463" s="8" t="s">
        <v>3804</v>
      </c>
      <c r="E1463" s="8" t="s">
        <v>26</v>
      </c>
      <c r="F1463" s="8" t="s">
        <v>77</v>
      </c>
      <c r="G1463" s="8" t="s">
        <v>39</v>
      </c>
      <c r="H1463" s="8" t="s">
        <v>664</v>
      </c>
      <c r="I1463" s="8" t="s">
        <v>4971</v>
      </c>
      <c r="J1463" s="10">
        <v>519</v>
      </c>
      <c r="K1463" s="11">
        <v>159.66</v>
      </c>
      <c r="L1463" s="11">
        <v>197.97</v>
      </c>
      <c r="M1463" s="11">
        <v>102746.43</v>
      </c>
      <c r="N1463" s="11">
        <v>82863.539999999994</v>
      </c>
      <c r="O1463" s="11">
        <f>CleanedData[[#This Row],[Total Sales ($)]]-CleanedData[[#This Row],[Total Cost ($)]]</f>
        <v>19882.89</v>
      </c>
      <c r="P1463" s="12">
        <f>CleanedData[[#This Row],[Profit ($)]]/CleanedData[[#This Row],[Total Sales ($)]]</f>
        <v>0.19351416881345659</v>
      </c>
      <c r="Q1463" s="8" t="s">
        <v>95</v>
      </c>
      <c r="R1463" s="8" t="s">
        <v>63</v>
      </c>
      <c r="S1463" s="8" t="b">
        <f>_xlfn.SINGLE(CleanedData[[#This Row],[Delivery Status]])="Late"</f>
        <v>0</v>
      </c>
      <c r="T1463" s="10">
        <v>4</v>
      </c>
      <c r="U1463" s="8" t="s">
        <v>158</v>
      </c>
      <c r="V1463" s="10">
        <v>3904</v>
      </c>
      <c r="W1463" s="10">
        <v>3</v>
      </c>
      <c r="X1463" s="12">
        <v>5.7803468208091997E-3</v>
      </c>
      <c r="Y1463" s="8" t="b">
        <f>CleanedData[[#This Row],[Ship Date]]&lt;CleanedData[[#This Row],[Order Date]]</f>
        <v>1</v>
      </c>
      <c r="Z1463" s="10">
        <f>YEAR(CleanedData[[#This Row],[Order Date]])</f>
        <v>2023</v>
      </c>
      <c r="AA1463" s="8">
        <f>MONTH(CleanedData[[#This Row],[Order Date]])</f>
        <v>11</v>
      </c>
    </row>
    <row r="1464" spans="1:27" x14ac:dyDescent="0.35">
      <c r="A1464" s="8" t="s">
        <v>3805</v>
      </c>
      <c r="B1464" s="9">
        <v>45493</v>
      </c>
      <c r="C1464" s="9">
        <v>45305</v>
      </c>
      <c r="D1464" s="8" t="s">
        <v>3806</v>
      </c>
      <c r="E1464" s="8" t="s">
        <v>26</v>
      </c>
      <c r="F1464" s="8" t="s">
        <v>38</v>
      </c>
      <c r="G1464" s="8" t="s">
        <v>78</v>
      </c>
      <c r="H1464" s="8" t="s">
        <v>425</v>
      </c>
      <c r="I1464" s="8" t="s">
        <v>4978</v>
      </c>
      <c r="J1464" s="10">
        <v>85</v>
      </c>
      <c r="K1464" s="11">
        <v>25.74</v>
      </c>
      <c r="L1464" s="11">
        <v>40.57</v>
      </c>
      <c r="M1464" s="11">
        <v>3448.45</v>
      </c>
      <c r="N1464" s="11">
        <v>2187.9</v>
      </c>
      <c r="O1464" s="11">
        <f>CleanedData[[#This Row],[Total Sales ($)]]-CleanedData[[#This Row],[Total Cost ($)]]</f>
        <v>1260.5499999999997</v>
      </c>
      <c r="P1464" s="12">
        <f>CleanedData[[#This Row],[Profit ($)]]/CleanedData[[#This Row],[Total Sales ($)]]</f>
        <v>0.36554104017747097</v>
      </c>
      <c r="Q1464" s="8" t="s">
        <v>42</v>
      </c>
      <c r="R1464" s="8" t="s">
        <v>32</v>
      </c>
      <c r="S1464" s="8" t="b">
        <f>_xlfn.SINGLE(CleanedData[[#This Row],[Delivery Status]])="Late"</f>
        <v>1</v>
      </c>
      <c r="T1464" s="10">
        <v>13</v>
      </c>
      <c r="U1464" s="8" t="s">
        <v>43</v>
      </c>
      <c r="V1464" s="10">
        <v>3069</v>
      </c>
      <c r="W1464" s="10">
        <v>1</v>
      </c>
      <c r="X1464" s="12">
        <v>1.1764705882352899E-2</v>
      </c>
      <c r="Y1464" s="8" t="b">
        <f>CleanedData[[#This Row],[Ship Date]]&lt;CleanedData[[#This Row],[Order Date]]</f>
        <v>1</v>
      </c>
      <c r="Z1464" s="10">
        <f>YEAR(CleanedData[[#This Row],[Order Date]])</f>
        <v>2024</v>
      </c>
      <c r="AA1464" s="8">
        <f>MONTH(CleanedData[[#This Row],[Order Date]])</f>
        <v>7</v>
      </c>
    </row>
    <row r="1465" spans="1:27" x14ac:dyDescent="0.35">
      <c r="A1465" s="8" t="s">
        <v>3807</v>
      </c>
      <c r="B1465" s="9">
        <v>45244</v>
      </c>
      <c r="C1465" s="9">
        <v>45035</v>
      </c>
      <c r="D1465" s="8" t="s">
        <v>3808</v>
      </c>
      <c r="E1465" s="8" t="s">
        <v>26</v>
      </c>
      <c r="F1465" s="8" t="s">
        <v>77</v>
      </c>
      <c r="G1465" s="8" t="s">
        <v>78</v>
      </c>
      <c r="H1465" s="8" t="s">
        <v>79</v>
      </c>
      <c r="I1465" s="8" t="s">
        <v>4977</v>
      </c>
      <c r="J1465" s="10">
        <v>79</v>
      </c>
      <c r="K1465" s="11">
        <v>163.04</v>
      </c>
      <c r="L1465" s="11">
        <v>207.91</v>
      </c>
      <c r="M1465" s="11">
        <v>16424.89</v>
      </c>
      <c r="N1465" s="11">
        <v>12880.16</v>
      </c>
      <c r="O1465" s="11">
        <f>CleanedData[[#This Row],[Total Sales ($)]]-CleanedData[[#This Row],[Total Cost ($)]]</f>
        <v>3544.7299999999996</v>
      </c>
      <c r="P1465" s="12">
        <f>CleanedData[[#This Row],[Profit ($)]]/CleanedData[[#This Row],[Total Sales ($)]]</f>
        <v>0.21581453513539511</v>
      </c>
      <c r="Q1465" s="8" t="s">
        <v>31</v>
      </c>
      <c r="R1465" s="8" t="s">
        <v>32</v>
      </c>
      <c r="S1465" s="8" t="b">
        <f>_xlfn.SINGLE(CleanedData[[#This Row],[Delivery Status]])="Late"</f>
        <v>1</v>
      </c>
      <c r="T1465" s="10">
        <v>11</v>
      </c>
      <c r="U1465" s="8" t="s">
        <v>43</v>
      </c>
      <c r="V1465" s="10">
        <v>1169</v>
      </c>
      <c r="W1465" s="10">
        <v>2</v>
      </c>
      <c r="X1465" s="12">
        <v>2.53164556962025E-2</v>
      </c>
      <c r="Y1465" s="8" t="b">
        <f>CleanedData[[#This Row],[Ship Date]]&lt;CleanedData[[#This Row],[Order Date]]</f>
        <v>1</v>
      </c>
      <c r="Z1465" s="10">
        <f>YEAR(CleanedData[[#This Row],[Order Date]])</f>
        <v>2023</v>
      </c>
      <c r="AA1465" s="8">
        <f>MONTH(CleanedData[[#This Row],[Order Date]])</f>
        <v>11</v>
      </c>
    </row>
    <row r="1466" spans="1:27" x14ac:dyDescent="0.35">
      <c r="A1466" s="8" t="s">
        <v>3809</v>
      </c>
      <c r="B1466" s="9">
        <v>44995</v>
      </c>
      <c r="C1466" s="9">
        <v>45205</v>
      </c>
      <c r="D1466" s="8" t="s">
        <v>3810</v>
      </c>
      <c r="E1466" s="8" t="s">
        <v>100</v>
      </c>
      <c r="F1466" s="8" t="s">
        <v>330</v>
      </c>
      <c r="G1466" s="8" t="s">
        <v>60</v>
      </c>
      <c r="H1466" s="8" t="s">
        <v>164</v>
      </c>
      <c r="I1466" s="8" t="s">
        <v>4979</v>
      </c>
      <c r="J1466" s="10">
        <v>263</v>
      </c>
      <c r="K1466" s="11">
        <v>218.28</v>
      </c>
      <c r="L1466" s="11">
        <v>332.28</v>
      </c>
      <c r="M1466" s="11">
        <v>87389.64</v>
      </c>
      <c r="N1466" s="11">
        <v>57407.64</v>
      </c>
      <c r="O1466" s="11">
        <f>CleanedData[[#This Row],[Total Sales ($)]]-CleanedData[[#This Row],[Total Cost ($)]]</f>
        <v>29982</v>
      </c>
      <c r="P1466" s="12">
        <f>CleanedData[[#This Row],[Profit ($)]]/CleanedData[[#This Row],[Total Sales ($)]]</f>
        <v>0.3430841459010473</v>
      </c>
      <c r="Q1466" s="8" t="s">
        <v>52</v>
      </c>
      <c r="R1466" s="8" t="s">
        <v>32</v>
      </c>
      <c r="S1466" s="8" t="b">
        <f>_xlfn.SINGLE(CleanedData[[#This Row],[Delivery Status]])="Late"</f>
        <v>1</v>
      </c>
      <c r="T1466" s="10">
        <v>12</v>
      </c>
      <c r="U1466" s="8" t="s">
        <v>33</v>
      </c>
      <c r="V1466" s="10">
        <v>4063</v>
      </c>
      <c r="W1466" s="10">
        <v>2</v>
      </c>
      <c r="X1466" s="12">
        <v>7.6045627376424996E-3</v>
      </c>
      <c r="Y1466" s="8" t="b">
        <f>CleanedData[[#This Row],[Ship Date]]&lt;CleanedData[[#This Row],[Order Date]]</f>
        <v>0</v>
      </c>
      <c r="Z1466" s="10">
        <f>YEAR(CleanedData[[#This Row],[Order Date]])</f>
        <v>2023</v>
      </c>
      <c r="AA1466" s="8">
        <f>MONTH(CleanedData[[#This Row],[Order Date]])</f>
        <v>3</v>
      </c>
    </row>
    <row r="1467" spans="1:27" x14ac:dyDescent="0.35">
      <c r="A1467" s="8" t="s">
        <v>3811</v>
      </c>
      <c r="B1467" s="9">
        <v>45204</v>
      </c>
      <c r="C1467" s="9">
        <v>45144</v>
      </c>
      <c r="D1467" s="8" t="s">
        <v>3812</v>
      </c>
      <c r="E1467" s="8" t="s">
        <v>58</v>
      </c>
      <c r="F1467" s="8" t="s">
        <v>59</v>
      </c>
      <c r="G1467" s="8" t="s">
        <v>93</v>
      </c>
      <c r="H1467" s="8" t="s">
        <v>302</v>
      </c>
      <c r="I1467" s="8" t="s">
        <v>4974</v>
      </c>
      <c r="J1467" s="10">
        <v>391</v>
      </c>
      <c r="K1467" s="11">
        <v>1012.03</v>
      </c>
      <c r="L1467" s="11">
        <v>1458.13</v>
      </c>
      <c r="M1467" s="11">
        <v>570128.82999999996</v>
      </c>
      <c r="N1467" s="11">
        <v>395703.73</v>
      </c>
      <c r="O1467" s="11">
        <f>CleanedData[[#This Row],[Total Sales ($)]]-CleanedData[[#This Row],[Total Cost ($)]]</f>
        <v>174425.09999999998</v>
      </c>
      <c r="P1467" s="12">
        <f>CleanedData[[#This Row],[Profit ($)]]/CleanedData[[#This Row],[Total Sales ($)]]</f>
        <v>0.3059397996063451</v>
      </c>
      <c r="Q1467" s="8" t="s">
        <v>52</v>
      </c>
      <c r="R1467" s="8" t="s">
        <v>63</v>
      </c>
      <c r="S1467" s="8" t="b">
        <f>_xlfn.SINGLE(CleanedData[[#This Row],[Delivery Status]])="Late"</f>
        <v>0</v>
      </c>
      <c r="T1467" s="10">
        <v>1</v>
      </c>
      <c r="U1467" s="8" t="s">
        <v>112</v>
      </c>
      <c r="V1467" s="10">
        <v>4562</v>
      </c>
      <c r="W1467" s="10">
        <v>14</v>
      </c>
      <c r="X1467" s="12">
        <v>3.5805626598465402E-2</v>
      </c>
      <c r="Y1467" s="8" t="b">
        <f>CleanedData[[#This Row],[Ship Date]]&lt;CleanedData[[#This Row],[Order Date]]</f>
        <v>1</v>
      </c>
      <c r="Z1467" s="10">
        <f>YEAR(CleanedData[[#This Row],[Order Date]])</f>
        <v>2023</v>
      </c>
      <c r="AA1467" s="8">
        <f>MONTH(CleanedData[[#This Row],[Order Date]])</f>
        <v>10</v>
      </c>
    </row>
    <row r="1468" spans="1:27" x14ac:dyDescent="0.35">
      <c r="A1468" s="8" t="s">
        <v>3813</v>
      </c>
      <c r="B1468" s="9">
        <v>45583</v>
      </c>
      <c r="C1468" s="9">
        <v>45434</v>
      </c>
      <c r="D1468" s="8" t="s">
        <v>3815</v>
      </c>
      <c r="E1468" s="8" t="s">
        <v>68</v>
      </c>
      <c r="F1468" s="8" t="s">
        <v>69</v>
      </c>
      <c r="G1468" s="8" t="s">
        <v>93</v>
      </c>
      <c r="H1468" s="8" t="s">
        <v>94</v>
      </c>
      <c r="I1468" s="8" t="s">
        <v>4969</v>
      </c>
      <c r="J1468" s="10">
        <v>800</v>
      </c>
      <c r="K1468" s="11">
        <v>688.43</v>
      </c>
      <c r="L1468" s="11">
        <v>854.85</v>
      </c>
      <c r="M1468" s="11">
        <v>683880</v>
      </c>
      <c r="N1468" s="11">
        <v>550744</v>
      </c>
      <c r="O1468" s="11">
        <f>CleanedData[[#This Row],[Total Sales ($)]]-CleanedData[[#This Row],[Total Cost ($)]]</f>
        <v>133136</v>
      </c>
      <c r="P1468" s="12">
        <f>CleanedData[[#This Row],[Profit ($)]]/CleanedData[[#This Row],[Total Sales ($)]]</f>
        <v>0.19467742878867639</v>
      </c>
      <c r="Q1468" s="8" t="s">
        <v>52</v>
      </c>
      <c r="R1468" s="8" t="s">
        <v>63</v>
      </c>
      <c r="S1468" s="8" t="b">
        <f>_xlfn.SINGLE(CleanedData[[#This Row],[Delivery Status]])="Late"</f>
        <v>0</v>
      </c>
      <c r="T1468" s="10">
        <v>3</v>
      </c>
      <c r="U1468" s="8" t="s">
        <v>43</v>
      </c>
      <c r="V1468" s="10">
        <v>4690</v>
      </c>
      <c r="W1468" s="10">
        <v>38</v>
      </c>
      <c r="X1468" s="12">
        <v>4.7500000000000001E-2</v>
      </c>
      <c r="Y1468" s="8" t="b">
        <f>CleanedData[[#This Row],[Ship Date]]&lt;CleanedData[[#This Row],[Order Date]]</f>
        <v>1</v>
      </c>
      <c r="Z1468" s="10">
        <f>YEAR(CleanedData[[#This Row],[Order Date]])</f>
        <v>2024</v>
      </c>
      <c r="AA1468" s="8">
        <f>MONTH(CleanedData[[#This Row],[Order Date]])</f>
        <v>10</v>
      </c>
    </row>
    <row r="1469" spans="1:27" x14ac:dyDescent="0.35">
      <c r="A1469" s="8" t="s">
        <v>3816</v>
      </c>
      <c r="B1469" s="9">
        <v>45154</v>
      </c>
      <c r="C1469" s="9">
        <v>45051</v>
      </c>
      <c r="D1469" s="8" t="s">
        <v>3817</v>
      </c>
      <c r="E1469" s="8" t="s">
        <v>58</v>
      </c>
      <c r="F1469" s="8" t="s">
        <v>259</v>
      </c>
      <c r="G1469" s="8" t="s">
        <v>39</v>
      </c>
      <c r="H1469" s="8" t="s">
        <v>147</v>
      </c>
      <c r="I1469" s="8" t="s">
        <v>4973</v>
      </c>
      <c r="J1469" s="10">
        <v>739</v>
      </c>
      <c r="K1469" s="11">
        <v>531.99</v>
      </c>
      <c r="L1469" s="11">
        <v>609.9</v>
      </c>
      <c r="M1469" s="11">
        <v>450716.1</v>
      </c>
      <c r="N1469" s="11">
        <v>393140.61</v>
      </c>
      <c r="O1469" s="11">
        <f>CleanedData[[#This Row],[Total Sales ($)]]-CleanedData[[#This Row],[Total Cost ($)]]</f>
        <v>57575.489999999991</v>
      </c>
      <c r="P1469" s="12">
        <f>CleanedData[[#This Row],[Profit ($)]]/CleanedData[[#This Row],[Total Sales ($)]]</f>
        <v>0.12774225282833249</v>
      </c>
      <c r="Q1469" s="8" t="s">
        <v>42</v>
      </c>
      <c r="R1469" s="8" t="s">
        <v>32</v>
      </c>
      <c r="S1469" s="8" t="b">
        <f>_xlfn.SINGLE(CleanedData[[#This Row],[Delivery Status]])="Late"</f>
        <v>1</v>
      </c>
      <c r="T1469" s="10">
        <v>7</v>
      </c>
      <c r="U1469" s="8" t="s">
        <v>53</v>
      </c>
      <c r="V1469" s="10">
        <v>1317</v>
      </c>
      <c r="W1469" s="10">
        <v>34</v>
      </c>
      <c r="X1469" s="12">
        <v>4.6008119079837602E-2</v>
      </c>
      <c r="Y1469" s="8" t="b">
        <f>CleanedData[[#This Row],[Ship Date]]&lt;CleanedData[[#This Row],[Order Date]]</f>
        <v>1</v>
      </c>
      <c r="Z1469" s="10">
        <f>YEAR(CleanedData[[#This Row],[Order Date]])</f>
        <v>2023</v>
      </c>
      <c r="AA1469" s="8">
        <f>MONTH(CleanedData[[#This Row],[Order Date]])</f>
        <v>8</v>
      </c>
    </row>
    <row r="1470" spans="1:27" x14ac:dyDescent="0.35">
      <c r="A1470" s="8" t="s">
        <v>3818</v>
      </c>
      <c r="B1470" s="9">
        <v>45388</v>
      </c>
      <c r="C1470" s="9">
        <v>45508</v>
      </c>
      <c r="D1470" s="8" t="s">
        <v>3820</v>
      </c>
      <c r="E1470" s="8" t="s">
        <v>26</v>
      </c>
      <c r="F1470" s="8" t="s">
        <v>77</v>
      </c>
      <c r="G1470" s="8" t="s">
        <v>93</v>
      </c>
      <c r="H1470" s="8" t="s">
        <v>184</v>
      </c>
      <c r="I1470" s="8" t="s">
        <v>4970</v>
      </c>
      <c r="J1470" s="10">
        <v>362</v>
      </c>
      <c r="K1470" s="11">
        <v>1092.67</v>
      </c>
      <c r="L1470" s="11">
        <v>1277.6099999999999</v>
      </c>
      <c r="M1470" s="11">
        <v>462494.82</v>
      </c>
      <c r="N1470" s="11">
        <v>395546.54</v>
      </c>
      <c r="O1470" s="11">
        <f>CleanedData[[#This Row],[Total Sales ($)]]-CleanedData[[#This Row],[Total Cost ($)]]</f>
        <v>66948.280000000028</v>
      </c>
      <c r="P1470" s="12">
        <f>CleanedData[[#This Row],[Profit ($)]]/CleanedData[[#This Row],[Total Sales ($)]]</f>
        <v>0.14475465909001969</v>
      </c>
      <c r="Q1470" s="8" t="s">
        <v>42</v>
      </c>
      <c r="R1470" s="8" t="s">
        <v>32</v>
      </c>
      <c r="S1470" s="8" t="b">
        <f>_xlfn.SINGLE(CleanedData[[#This Row],[Delivery Status]])="Late"</f>
        <v>1</v>
      </c>
      <c r="T1470" s="10">
        <v>7</v>
      </c>
      <c r="U1470" s="8" t="s">
        <v>158</v>
      </c>
      <c r="V1470" s="10">
        <v>2248</v>
      </c>
      <c r="W1470" s="10">
        <v>11</v>
      </c>
      <c r="X1470" s="12">
        <v>3.0386740331491701E-2</v>
      </c>
      <c r="Y1470" s="8" t="b">
        <f>CleanedData[[#This Row],[Ship Date]]&lt;CleanedData[[#This Row],[Order Date]]</f>
        <v>0</v>
      </c>
      <c r="Z1470" s="10">
        <f>YEAR(CleanedData[[#This Row],[Order Date]])</f>
        <v>2024</v>
      </c>
      <c r="AA1470" s="8">
        <f>MONTH(CleanedData[[#This Row],[Order Date]])</f>
        <v>4</v>
      </c>
    </row>
    <row r="1471" spans="1:27" x14ac:dyDescent="0.35">
      <c r="A1471" s="8" t="s">
        <v>3821</v>
      </c>
      <c r="B1471" s="9">
        <v>45183</v>
      </c>
      <c r="C1471" s="9">
        <v>45231</v>
      </c>
      <c r="D1471" s="8" t="s">
        <v>3822</v>
      </c>
      <c r="E1471" s="8" t="s">
        <v>58</v>
      </c>
      <c r="F1471" s="8" t="s">
        <v>116</v>
      </c>
      <c r="G1471" s="8" t="s">
        <v>50</v>
      </c>
      <c r="H1471" s="8" t="s">
        <v>135</v>
      </c>
      <c r="I1471" s="8" t="s">
        <v>4977</v>
      </c>
      <c r="J1471" s="10">
        <v>277</v>
      </c>
      <c r="K1471" s="11">
        <v>460.73</v>
      </c>
      <c r="L1471" s="11">
        <v>529.42999999999995</v>
      </c>
      <c r="M1471" s="11">
        <v>146652.10999999999</v>
      </c>
      <c r="N1471" s="11">
        <v>127622.21</v>
      </c>
      <c r="O1471" s="11">
        <f>CleanedData[[#This Row],[Total Sales ($)]]-CleanedData[[#This Row],[Total Cost ($)]]</f>
        <v>19029.89999999998</v>
      </c>
      <c r="P1471" s="12">
        <f>CleanedData[[#This Row],[Profit ($)]]/CleanedData[[#This Row],[Total Sales ($)]]</f>
        <v>0.12976219707987824</v>
      </c>
      <c r="Q1471" s="8" t="s">
        <v>31</v>
      </c>
      <c r="R1471" s="8" t="s">
        <v>63</v>
      </c>
      <c r="S1471" s="8" t="b">
        <f>_xlfn.SINGLE(CleanedData[[#This Row],[Delivery Status]])="Late"</f>
        <v>0</v>
      </c>
      <c r="T1471" s="10">
        <v>1</v>
      </c>
      <c r="U1471" s="8" t="s">
        <v>43</v>
      </c>
      <c r="V1471" s="10">
        <v>3375</v>
      </c>
      <c r="W1471" s="10">
        <v>8</v>
      </c>
      <c r="X1471" s="12">
        <v>2.8880866425992701E-2</v>
      </c>
      <c r="Y1471" s="8" t="b">
        <f>CleanedData[[#This Row],[Ship Date]]&lt;CleanedData[[#This Row],[Order Date]]</f>
        <v>0</v>
      </c>
      <c r="Z1471" s="10">
        <f>YEAR(CleanedData[[#This Row],[Order Date]])</f>
        <v>2023</v>
      </c>
      <c r="AA1471" s="8">
        <f>MONTH(CleanedData[[#This Row],[Order Date]])</f>
        <v>9</v>
      </c>
    </row>
    <row r="1472" spans="1:27" x14ac:dyDescent="0.35">
      <c r="A1472" s="8" t="s">
        <v>3823</v>
      </c>
      <c r="B1472" s="9">
        <v>45318</v>
      </c>
      <c r="C1472" s="9">
        <v>45605</v>
      </c>
      <c r="D1472" s="8" t="s">
        <v>3772</v>
      </c>
      <c r="E1472" s="8" t="s">
        <v>58</v>
      </c>
      <c r="F1472" s="8" t="s">
        <v>59</v>
      </c>
      <c r="G1472" s="8" t="s">
        <v>129</v>
      </c>
      <c r="H1472" s="8" t="s">
        <v>704</v>
      </c>
      <c r="I1472" s="8" t="s">
        <v>4976</v>
      </c>
      <c r="J1472" s="10">
        <v>327</v>
      </c>
      <c r="K1472" s="11">
        <v>179.63</v>
      </c>
      <c r="L1472" s="11">
        <v>213.57</v>
      </c>
      <c r="M1472" s="11">
        <v>69837.39</v>
      </c>
      <c r="N1472" s="11">
        <v>58739.01</v>
      </c>
      <c r="O1472" s="11">
        <f>CleanedData[[#This Row],[Total Sales ($)]]-CleanedData[[#This Row],[Total Cost ($)]]</f>
        <v>11098.379999999997</v>
      </c>
      <c r="P1472" s="12">
        <f>CleanedData[[#This Row],[Profit ($)]]/CleanedData[[#This Row],[Total Sales ($)]]</f>
        <v>0.15891745095284915</v>
      </c>
      <c r="Q1472" s="8" t="s">
        <v>31</v>
      </c>
      <c r="R1472" s="8" t="s">
        <v>32</v>
      </c>
      <c r="S1472" s="8" t="b">
        <f>_xlfn.SINGLE(CleanedData[[#This Row],[Delivery Status]])="Late"</f>
        <v>1</v>
      </c>
      <c r="T1472" s="10">
        <v>11</v>
      </c>
      <c r="U1472" s="8" t="s">
        <v>53</v>
      </c>
      <c r="V1472" s="10">
        <v>1579</v>
      </c>
      <c r="W1472" s="10">
        <v>8</v>
      </c>
      <c r="X1472" s="12">
        <v>2.4464831804281301E-2</v>
      </c>
      <c r="Y1472" s="8" t="b">
        <f>CleanedData[[#This Row],[Ship Date]]&lt;CleanedData[[#This Row],[Order Date]]</f>
        <v>0</v>
      </c>
      <c r="Z1472" s="10">
        <f>YEAR(CleanedData[[#This Row],[Order Date]])</f>
        <v>2024</v>
      </c>
      <c r="AA1472" s="8">
        <f>MONTH(CleanedData[[#This Row],[Order Date]])</f>
        <v>1</v>
      </c>
    </row>
    <row r="1473" spans="1:27" x14ac:dyDescent="0.35">
      <c r="A1473" s="8" t="s">
        <v>3825</v>
      </c>
      <c r="B1473" s="9">
        <v>45172</v>
      </c>
      <c r="C1473" s="9">
        <v>45081</v>
      </c>
      <c r="D1473" s="8" t="s">
        <v>2714</v>
      </c>
      <c r="E1473" s="8" t="s">
        <v>58</v>
      </c>
      <c r="F1473" s="8" t="s">
        <v>59</v>
      </c>
      <c r="G1473" s="8" t="s">
        <v>129</v>
      </c>
      <c r="H1473" s="8" t="s">
        <v>152</v>
      </c>
      <c r="I1473" s="8" t="s">
        <v>4968</v>
      </c>
      <c r="J1473" s="10">
        <v>754</v>
      </c>
      <c r="K1473" s="11">
        <v>1051.32</v>
      </c>
      <c r="L1473" s="11">
        <v>1541.15</v>
      </c>
      <c r="M1473" s="11">
        <v>1162027.1000000001</v>
      </c>
      <c r="N1473" s="11">
        <v>792695.28</v>
      </c>
      <c r="O1473" s="11">
        <f>CleanedData[[#This Row],[Total Sales ($)]]-CleanedData[[#This Row],[Total Cost ($)]]</f>
        <v>369331.82000000007</v>
      </c>
      <c r="P1473" s="12">
        <f>CleanedData[[#This Row],[Profit ($)]]/CleanedData[[#This Row],[Total Sales ($)]]</f>
        <v>0.31783408493657339</v>
      </c>
      <c r="Q1473" s="8" t="s">
        <v>95</v>
      </c>
      <c r="R1473" s="8" t="s">
        <v>32</v>
      </c>
      <c r="S1473" s="8" t="b">
        <f>_xlfn.SINGLE(CleanedData[[#This Row],[Delivery Status]])="Late"</f>
        <v>1</v>
      </c>
      <c r="T1473" s="10">
        <v>9</v>
      </c>
      <c r="U1473" s="8" t="s">
        <v>86</v>
      </c>
      <c r="V1473" s="10">
        <v>107</v>
      </c>
      <c r="W1473" s="10">
        <v>33</v>
      </c>
      <c r="X1473" s="12">
        <v>4.3766578249336802E-2</v>
      </c>
      <c r="Y1473" s="8" t="b">
        <f>CleanedData[[#This Row],[Ship Date]]&lt;CleanedData[[#This Row],[Order Date]]</f>
        <v>1</v>
      </c>
      <c r="Z1473" s="10">
        <f>YEAR(CleanedData[[#This Row],[Order Date]])</f>
        <v>2023</v>
      </c>
      <c r="AA1473" s="8">
        <f>MONTH(CleanedData[[#This Row],[Order Date]])</f>
        <v>9</v>
      </c>
    </row>
    <row r="1474" spans="1:27" x14ac:dyDescent="0.35">
      <c r="A1474" s="8" t="s">
        <v>3827</v>
      </c>
      <c r="B1474" s="9">
        <v>44999</v>
      </c>
      <c r="C1474" s="9">
        <v>44969</v>
      </c>
      <c r="D1474" s="8" t="s">
        <v>3828</v>
      </c>
      <c r="E1474" s="8" t="s">
        <v>68</v>
      </c>
      <c r="F1474" s="8" t="s">
        <v>249</v>
      </c>
      <c r="G1474" s="8" t="s">
        <v>93</v>
      </c>
      <c r="H1474" s="8" t="s">
        <v>94</v>
      </c>
      <c r="I1474" s="8" t="s">
        <v>4973</v>
      </c>
      <c r="J1474" s="10">
        <v>48</v>
      </c>
      <c r="K1474" s="11">
        <v>574.13</v>
      </c>
      <c r="L1474" s="11">
        <v>704.27</v>
      </c>
      <c r="M1474" s="11">
        <v>33804.959999999999</v>
      </c>
      <c r="N1474" s="11">
        <v>27558.240000000002</v>
      </c>
      <c r="O1474" s="11">
        <f>CleanedData[[#This Row],[Total Sales ($)]]-CleanedData[[#This Row],[Total Cost ($)]]</f>
        <v>6246.7199999999975</v>
      </c>
      <c r="P1474" s="12">
        <f>CleanedData[[#This Row],[Profit ($)]]/CleanedData[[#This Row],[Total Sales ($)]]</f>
        <v>0.18478708449884271</v>
      </c>
      <c r="Q1474" s="8" t="s">
        <v>31</v>
      </c>
      <c r="R1474" s="8" t="s">
        <v>32</v>
      </c>
      <c r="S1474" s="8" t="b">
        <f>_xlfn.SINGLE(CleanedData[[#This Row],[Delivery Status]])="Late"</f>
        <v>1</v>
      </c>
      <c r="T1474" s="10">
        <v>15</v>
      </c>
      <c r="U1474" s="8" t="s">
        <v>158</v>
      </c>
      <c r="V1474" s="10">
        <v>4723</v>
      </c>
      <c r="W1474" s="10">
        <v>2</v>
      </c>
      <c r="X1474" s="12">
        <v>4.1666666666666602E-2</v>
      </c>
      <c r="Y1474" s="8" t="b">
        <f>CleanedData[[#This Row],[Ship Date]]&lt;CleanedData[[#This Row],[Order Date]]</f>
        <v>1</v>
      </c>
      <c r="Z1474" s="10">
        <f>YEAR(CleanedData[[#This Row],[Order Date]])</f>
        <v>2023</v>
      </c>
      <c r="AA1474" s="8">
        <f>MONTH(CleanedData[[#This Row],[Order Date]])</f>
        <v>3</v>
      </c>
    </row>
    <row r="1475" spans="1:27" x14ac:dyDescent="0.35">
      <c r="A1475" s="8" t="s">
        <v>3829</v>
      </c>
      <c r="B1475" s="9">
        <v>45300</v>
      </c>
      <c r="C1475" s="9">
        <v>45294</v>
      </c>
      <c r="D1475" s="8" t="s">
        <v>3830</v>
      </c>
      <c r="E1475" s="8" t="s">
        <v>100</v>
      </c>
      <c r="F1475" s="8" t="s">
        <v>101</v>
      </c>
      <c r="G1475" s="8" t="s">
        <v>70</v>
      </c>
      <c r="H1475" s="8" t="s">
        <v>623</v>
      </c>
      <c r="I1475" s="8" t="s">
        <v>4971</v>
      </c>
      <c r="J1475" s="10">
        <v>652</v>
      </c>
      <c r="K1475" s="11">
        <v>176.94</v>
      </c>
      <c r="L1475" s="11">
        <v>272.14999999999998</v>
      </c>
      <c r="M1475" s="11">
        <v>177441.8</v>
      </c>
      <c r="N1475" s="11">
        <v>115364.88</v>
      </c>
      <c r="O1475" s="11">
        <f>CleanedData[[#This Row],[Total Sales ($)]]-CleanedData[[#This Row],[Total Cost ($)]]</f>
        <v>62076.919999999984</v>
      </c>
      <c r="P1475" s="12">
        <f>CleanedData[[#This Row],[Profit ($)]]/CleanedData[[#This Row],[Total Sales ($)]]</f>
        <v>0.34984383611978681</v>
      </c>
      <c r="Q1475" s="8" t="s">
        <v>52</v>
      </c>
      <c r="R1475" s="8" t="s">
        <v>32</v>
      </c>
      <c r="S1475" s="8" t="b">
        <f>_xlfn.SINGLE(CleanedData[[#This Row],[Delivery Status]])="Late"</f>
        <v>1</v>
      </c>
      <c r="T1475" s="10">
        <v>8</v>
      </c>
      <c r="U1475" s="8" t="s">
        <v>33</v>
      </c>
      <c r="V1475" s="10">
        <v>1076</v>
      </c>
      <c r="W1475" s="10">
        <v>3</v>
      </c>
      <c r="X1475" s="12">
        <v>4.6012269938649998E-3</v>
      </c>
      <c r="Y1475" s="8" t="b">
        <f>CleanedData[[#This Row],[Ship Date]]&lt;CleanedData[[#This Row],[Order Date]]</f>
        <v>1</v>
      </c>
      <c r="Z1475" s="10">
        <f>YEAR(CleanedData[[#This Row],[Order Date]])</f>
        <v>2024</v>
      </c>
      <c r="AA1475" s="8">
        <f>MONTH(CleanedData[[#This Row],[Order Date]])</f>
        <v>1</v>
      </c>
    </row>
    <row r="1476" spans="1:27" x14ac:dyDescent="0.35">
      <c r="A1476" s="8" t="s">
        <v>3831</v>
      </c>
      <c r="B1476" s="9">
        <v>45008</v>
      </c>
      <c r="C1476" s="9">
        <v>45123</v>
      </c>
      <c r="D1476" s="8" t="s">
        <v>237</v>
      </c>
      <c r="E1476" s="8" t="s">
        <v>68</v>
      </c>
      <c r="F1476" s="8" t="s">
        <v>146</v>
      </c>
      <c r="G1476" s="8" t="s">
        <v>60</v>
      </c>
      <c r="H1476" s="8" t="s">
        <v>164</v>
      </c>
      <c r="I1476" s="8" t="s">
        <v>4971</v>
      </c>
      <c r="J1476" s="10">
        <v>564</v>
      </c>
      <c r="K1476" s="11">
        <v>552.83000000000004</v>
      </c>
      <c r="L1476" s="11">
        <v>757.82</v>
      </c>
      <c r="M1476" s="11">
        <v>427410.48</v>
      </c>
      <c r="N1476" s="11">
        <v>311796.12</v>
      </c>
      <c r="O1476" s="11">
        <f>CleanedData[[#This Row],[Total Sales ($)]]-CleanedData[[#This Row],[Total Cost ($)]]</f>
        <v>115614.35999999999</v>
      </c>
      <c r="P1476" s="12">
        <f>CleanedData[[#This Row],[Profit ($)]]/CleanedData[[#This Row],[Total Sales ($)]]</f>
        <v>0.27049959093188353</v>
      </c>
      <c r="Q1476" s="8" t="s">
        <v>95</v>
      </c>
      <c r="R1476" s="8" t="s">
        <v>32</v>
      </c>
      <c r="S1476" s="8" t="b">
        <f>_xlfn.SINGLE(CleanedData[[#This Row],[Delivery Status]])="Late"</f>
        <v>1</v>
      </c>
      <c r="T1476" s="10">
        <v>10</v>
      </c>
      <c r="U1476" s="8" t="s">
        <v>43</v>
      </c>
      <c r="V1476" s="10">
        <v>3655</v>
      </c>
      <c r="W1476" s="10">
        <v>26</v>
      </c>
      <c r="X1476" s="12">
        <v>4.6099290780141799E-2</v>
      </c>
      <c r="Y1476" s="8" t="b">
        <f>CleanedData[[#This Row],[Ship Date]]&lt;CleanedData[[#This Row],[Order Date]]</f>
        <v>0</v>
      </c>
      <c r="Z1476" s="10">
        <f>YEAR(CleanedData[[#This Row],[Order Date]])</f>
        <v>2023</v>
      </c>
      <c r="AA1476" s="8">
        <f>MONTH(CleanedData[[#This Row],[Order Date]])</f>
        <v>3</v>
      </c>
    </row>
    <row r="1477" spans="1:27" x14ac:dyDescent="0.35">
      <c r="A1477" s="8" t="s">
        <v>3832</v>
      </c>
      <c r="B1477" s="9">
        <v>45211</v>
      </c>
      <c r="C1477" s="9">
        <v>45187</v>
      </c>
      <c r="D1477" s="8" t="s">
        <v>3833</v>
      </c>
      <c r="E1477" s="8" t="s">
        <v>100</v>
      </c>
      <c r="F1477" s="8" t="s">
        <v>238</v>
      </c>
      <c r="G1477" s="8" t="s">
        <v>217</v>
      </c>
      <c r="H1477" s="8" t="s">
        <v>218</v>
      </c>
      <c r="I1477" s="8" t="s">
        <v>4976</v>
      </c>
      <c r="J1477" s="10">
        <v>43</v>
      </c>
      <c r="K1477" s="11">
        <v>17.32</v>
      </c>
      <c r="L1477" s="11">
        <v>27.29</v>
      </c>
      <c r="M1477" s="11">
        <v>1173.47</v>
      </c>
      <c r="N1477" s="11">
        <v>744.76</v>
      </c>
      <c r="O1477" s="11">
        <f>CleanedData[[#This Row],[Total Sales ($)]]-CleanedData[[#This Row],[Total Cost ($)]]</f>
        <v>428.71000000000004</v>
      </c>
      <c r="P1477" s="12">
        <f>CleanedData[[#This Row],[Profit ($)]]/CleanedData[[#This Row],[Total Sales ($)]]</f>
        <v>0.36533528765115431</v>
      </c>
      <c r="Q1477" s="8" t="s">
        <v>31</v>
      </c>
      <c r="R1477" s="8" t="s">
        <v>32</v>
      </c>
      <c r="S1477" s="8" t="b">
        <f>_xlfn.SINGLE(CleanedData[[#This Row],[Delivery Status]])="Late"</f>
        <v>1</v>
      </c>
      <c r="T1477" s="10">
        <v>11</v>
      </c>
      <c r="U1477" s="8" t="s">
        <v>33</v>
      </c>
      <c r="V1477" s="10">
        <v>1037</v>
      </c>
      <c r="W1477" s="10">
        <v>0</v>
      </c>
      <c r="X1477" s="12">
        <v>0</v>
      </c>
      <c r="Y1477" s="8" t="b">
        <f>CleanedData[[#This Row],[Ship Date]]&lt;CleanedData[[#This Row],[Order Date]]</f>
        <v>1</v>
      </c>
      <c r="Z1477" s="10">
        <f>YEAR(CleanedData[[#This Row],[Order Date]])</f>
        <v>2023</v>
      </c>
      <c r="AA1477" s="8">
        <f>MONTH(CleanedData[[#This Row],[Order Date]])</f>
        <v>10</v>
      </c>
    </row>
    <row r="1478" spans="1:27" x14ac:dyDescent="0.35">
      <c r="A1478" s="8" t="s">
        <v>3834</v>
      </c>
      <c r="B1478" s="9">
        <v>44993</v>
      </c>
      <c r="C1478" s="9">
        <v>45009</v>
      </c>
      <c r="D1478" s="8" t="s">
        <v>3835</v>
      </c>
      <c r="E1478" s="8" t="s">
        <v>26</v>
      </c>
      <c r="F1478" s="8" t="s">
        <v>77</v>
      </c>
      <c r="G1478" s="8" t="s">
        <v>189</v>
      </c>
      <c r="H1478" s="8" t="s">
        <v>271</v>
      </c>
      <c r="I1478" s="8" t="s">
        <v>4967</v>
      </c>
      <c r="J1478" s="10">
        <v>690</v>
      </c>
      <c r="K1478" s="11">
        <v>209.05</v>
      </c>
      <c r="L1478" s="11">
        <v>306.73</v>
      </c>
      <c r="M1478" s="11">
        <v>211643.7</v>
      </c>
      <c r="N1478" s="11">
        <v>144244.5</v>
      </c>
      <c r="O1478" s="11">
        <f>CleanedData[[#This Row],[Total Sales ($)]]-CleanedData[[#This Row],[Total Cost ($)]]</f>
        <v>67399.200000000012</v>
      </c>
      <c r="P1478" s="12">
        <f>CleanedData[[#This Row],[Profit ($)]]/CleanedData[[#This Row],[Total Sales ($)]]</f>
        <v>0.31845597104945722</v>
      </c>
      <c r="Q1478" s="8" t="s">
        <v>52</v>
      </c>
      <c r="R1478" s="8" t="s">
        <v>32</v>
      </c>
      <c r="S1478" s="8" t="b">
        <f>_xlfn.SINGLE(CleanedData[[#This Row],[Delivery Status]])="Late"</f>
        <v>1</v>
      </c>
      <c r="T1478" s="10">
        <v>6</v>
      </c>
      <c r="U1478" s="8" t="s">
        <v>43</v>
      </c>
      <c r="V1478" s="10">
        <v>1915</v>
      </c>
      <c r="W1478" s="10">
        <v>33</v>
      </c>
      <c r="X1478" s="12">
        <v>4.7826086956521699E-2</v>
      </c>
      <c r="Y1478" s="8" t="b">
        <f>CleanedData[[#This Row],[Ship Date]]&lt;CleanedData[[#This Row],[Order Date]]</f>
        <v>0</v>
      </c>
      <c r="Z1478" s="10">
        <f>YEAR(CleanedData[[#This Row],[Order Date]])</f>
        <v>2023</v>
      </c>
      <c r="AA1478" s="8">
        <f>MONTH(CleanedData[[#This Row],[Order Date]])</f>
        <v>3</v>
      </c>
    </row>
    <row r="1479" spans="1:27" x14ac:dyDescent="0.35">
      <c r="A1479" s="8" t="s">
        <v>3836</v>
      </c>
      <c r="B1479" s="9">
        <v>45079</v>
      </c>
      <c r="C1479" s="9">
        <v>45048</v>
      </c>
      <c r="D1479" s="8" t="s">
        <v>3837</v>
      </c>
      <c r="E1479" s="8" t="s">
        <v>26</v>
      </c>
      <c r="F1479" s="8" t="s">
        <v>228</v>
      </c>
      <c r="G1479" s="8" t="s">
        <v>50</v>
      </c>
      <c r="H1479" s="8" t="s">
        <v>107</v>
      </c>
      <c r="I1479" s="8" t="s">
        <v>4974</v>
      </c>
      <c r="J1479" s="10">
        <v>30</v>
      </c>
      <c r="K1479" s="11">
        <v>352.47</v>
      </c>
      <c r="L1479" s="11">
        <v>446.37</v>
      </c>
      <c r="M1479" s="11">
        <v>13391.1</v>
      </c>
      <c r="N1479" s="11">
        <v>10574.1</v>
      </c>
      <c r="O1479" s="11">
        <f>CleanedData[[#This Row],[Total Sales ($)]]-CleanedData[[#This Row],[Total Cost ($)]]</f>
        <v>2817</v>
      </c>
      <c r="P1479" s="12">
        <f>CleanedData[[#This Row],[Profit ($)]]/CleanedData[[#This Row],[Total Sales ($)]]</f>
        <v>0.2103635997042812</v>
      </c>
      <c r="Q1479" s="8" t="s">
        <v>31</v>
      </c>
      <c r="R1479" s="8" t="s">
        <v>63</v>
      </c>
      <c r="S1479" s="8" t="b">
        <f>_xlfn.SINGLE(CleanedData[[#This Row],[Delivery Status]])="Late"</f>
        <v>0</v>
      </c>
      <c r="T1479" s="10">
        <v>2</v>
      </c>
      <c r="U1479" s="8" t="s">
        <v>112</v>
      </c>
      <c r="V1479" s="10">
        <v>1094</v>
      </c>
      <c r="W1479" s="10">
        <v>1</v>
      </c>
      <c r="X1479" s="12">
        <v>3.3333333333333298E-2</v>
      </c>
      <c r="Y1479" s="8" t="b">
        <f>CleanedData[[#This Row],[Ship Date]]&lt;CleanedData[[#This Row],[Order Date]]</f>
        <v>1</v>
      </c>
      <c r="Z1479" s="10">
        <f>YEAR(CleanedData[[#This Row],[Order Date]])</f>
        <v>2023</v>
      </c>
      <c r="AA1479" s="8">
        <f>MONTH(CleanedData[[#This Row],[Order Date]])</f>
        <v>6</v>
      </c>
    </row>
    <row r="1480" spans="1:27" x14ac:dyDescent="0.35">
      <c r="A1480" s="8" t="s">
        <v>3838</v>
      </c>
      <c r="B1480" s="9">
        <v>45447</v>
      </c>
      <c r="C1480" s="9">
        <v>45453</v>
      </c>
      <c r="D1480" s="8" t="s">
        <v>1920</v>
      </c>
      <c r="E1480" s="8" t="s">
        <v>100</v>
      </c>
      <c r="F1480" s="8" t="s">
        <v>538</v>
      </c>
      <c r="G1480" s="8" t="s">
        <v>70</v>
      </c>
      <c r="H1480" s="8" t="s">
        <v>239</v>
      </c>
      <c r="I1480" s="8" t="s">
        <v>4974</v>
      </c>
      <c r="J1480" s="10">
        <v>511</v>
      </c>
      <c r="K1480" s="11">
        <v>985.97</v>
      </c>
      <c r="L1480" s="11">
        <v>1218.1300000000001</v>
      </c>
      <c r="M1480" s="11">
        <v>622464.43000000005</v>
      </c>
      <c r="N1480" s="11">
        <v>503830.67</v>
      </c>
      <c r="O1480" s="11">
        <f>CleanedData[[#This Row],[Total Sales ($)]]-CleanedData[[#This Row],[Total Cost ($)]]</f>
        <v>118633.76000000007</v>
      </c>
      <c r="P1480" s="12">
        <f>CleanedData[[#This Row],[Profit ($)]]/CleanedData[[#This Row],[Total Sales ($)]]</f>
        <v>0.19058721154556585</v>
      </c>
      <c r="Q1480" s="8" t="s">
        <v>31</v>
      </c>
      <c r="R1480" s="8" t="s">
        <v>63</v>
      </c>
      <c r="S1480" s="8" t="b">
        <f>_xlfn.SINGLE(CleanedData[[#This Row],[Delivery Status]])="Late"</f>
        <v>0</v>
      </c>
      <c r="T1480" s="10">
        <v>4</v>
      </c>
      <c r="U1480" s="8" t="s">
        <v>43</v>
      </c>
      <c r="V1480" s="10">
        <v>248</v>
      </c>
      <c r="W1480" s="10">
        <v>17</v>
      </c>
      <c r="X1480" s="12">
        <v>3.3268101761252403E-2</v>
      </c>
      <c r="Y1480" s="8" t="b">
        <f>CleanedData[[#This Row],[Ship Date]]&lt;CleanedData[[#This Row],[Order Date]]</f>
        <v>0</v>
      </c>
      <c r="Z1480" s="10">
        <f>YEAR(CleanedData[[#This Row],[Order Date]])</f>
        <v>2024</v>
      </c>
      <c r="AA1480" s="8">
        <f>MONTH(CleanedData[[#This Row],[Order Date]])</f>
        <v>6</v>
      </c>
    </row>
    <row r="1481" spans="1:27" x14ac:dyDescent="0.35">
      <c r="A1481" s="8" t="s">
        <v>3841</v>
      </c>
      <c r="B1481" s="9">
        <v>45043</v>
      </c>
      <c r="C1481" s="9">
        <v>45201</v>
      </c>
      <c r="D1481" s="8" t="s">
        <v>3842</v>
      </c>
      <c r="E1481" s="8" t="s">
        <v>58</v>
      </c>
      <c r="F1481" s="8" t="s">
        <v>116</v>
      </c>
      <c r="G1481" s="8" t="s">
        <v>39</v>
      </c>
      <c r="H1481" s="8" t="s">
        <v>647</v>
      </c>
      <c r="I1481" s="8" t="s">
        <v>4973</v>
      </c>
      <c r="J1481" s="10">
        <v>764</v>
      </c>
      <c r="K1481" s="11">
        <v>79.069999999999993</v>
      </c>
      <c r="L1481" s="11">
        <v>111.34</v>
      </c>
      <c r="M1481" s="11">
        <v>85063.76</v>
      </c>
      <c r="N1481" s="11">
        <v>60409.48</v>
      </c>
      <c r="O1481" s="11">
        <f>CleanedData[[#This Row],[Total Sales ($)]]-CleanedData[[#This Row],[Total Cost ($)]]</f>
        <v>24654.279999999992</v>
      </c>
      <c r="P1481" s="12">
        <f>CleanedData[[#This Row],[Profit ($)]]/CleanedData[[#This Row],[Total Sales ($)]]</f>
        <v>0.28983294413508165</v>
      </c>
      <c r="Q1481" s="8" t="s">
        <v>42</v>
      </c>
      <c r="R1481" s="8" t="s">
        <v>32</v>
      </c>
      <c r="S1481" s="8" t="b">
        <f>_xlfn.SINGLE(CleanedData[[#This Row],[Delivery Status]])="Late"</f>
        <v>1</v>
      </c>
      <c r="T1481" s="10">
        <v>15</v>
      </c>
      <c r="U1481" s="8" t="s">
        <v>53</v>
      </c>
      <c r="V1481" s="10">
        <v>645</v>
      </c>
      <c r="W1481" s="10">
        <v>23</v>
      </c>
      <c r="X1481" s="12">
        <v>3.01047120418848E-2</v>
      </c>
      <c r="Y1481" s="8" t="b">
        <f>CleanedData[[#This Row],[Ship Date]]&lt;CleanedData[[#This Row],[Order Date]]</f>
        <v>0</v>
      </c>
      <c r="Z1481" s="10">
        <f>YEAR(CleanedData[[#This Row],[Order Date]])</f>
        <v>2023</v>
      </c>
      <c r="AA1481" s="8">
        <f>MONTH(CleanedData[[#This Row],[Order Date]])</f>
        <v>4</v>
      </c>
    </row>
    <row r="1482" spans="1:27" x14ac:dyDescent="0.35">
      <c r="A1482" s="8" t="s">
        <v>3843</v>
      </c>
      <c r="B1482" s="9">
        <v>45003</v>
      </c>
      <c r="C1482" s="9">
        <v>45001</v>
      </c>
      <c r="D1482" s="8" t="s">
        <v>3844</v>
      </c>
      <c r="E1482" s="8" t="s">
        <v>58</v>
      </c>
      <c r="F1482" s="8" t="s">
        <v>116</v>
      </c>
      <c r="G1482" s="8" t="s">
        <v>217</v>
      </c>
      <c r="H1482" s="8" t="s">
        <v>340</v>
      </c>
      <c r="I1482" s="8" t="s">
        <v>4974</v>
      </c>
      <c r="J1482" s="10">
        <v>558</v>
      </c>
      <c r="K1482" s="11">
        <v>135.47</v>
      </c>
      <c r="L1482" s="11">
        <v>201.87</v>
      </c>
      <c r="M1482" s="11">
        <v>112643.46</v>
      </c>
      <c r="N1482" s="11">
        <v>75592.259999999995</v>
      </c>
      <c r="O1482" s="11">
        <f>CleanedData[[#This Row],[Total Sales ($)]]-CleanedData[[#This Row],[Total Cost ($)]]</f>
        <v>37051.200000000012</v>
      </c>
      <c r="P1482" s="12">
        <f>CleanedData[[#This Row],[Profit ($)]]/CleanedData[[#This Row],[Total Sales ($)]]</f>
        <v>0.32892455540694515</v>
      </c>
      <c r="Q1482" s="8" t="s">
        <v>42</v>
      </c>
      <c r="R1482" s="8" t="s">
        <v>32</v>
      </c>
      <c r="S1482" s="8" t="b">
        <f>_xlfn.SINGLE(CleanedData[[#This Row],[Delivery Status]])="Late"</f>
        <v>1</v>
      </c>
      <c r="T1482" s="10">
        <v>7</v>
      </c>
      <c r="U1482" s="8" t="s">
        <v>158</v>
      </c>
      <c r="V1482" s="10">
        <v>4726</v>
      </c>
      <c r="W1482" s="10">
        <v>5</v>
      </c>
      <c r="X1482" s="12">
        <v>8.9605734767024998E-3</v>
      </c>
      <c r="Y1482" s="8" t="b">
        <f>CleanedData[[#This Row],[Ship Date]]&lt;CleanedData[[#This Row],[Order Date]]</f>
        <v>1</v>
      </c>
      <c r="Z1482" s="10">
        <f>YEAR(CleanedData[[#This Row],[Order Date]])</f>
        <v>2023</v>
      </c>
      <c r="AA1482" s="8">
        <f>MONTH(CleanedData[[#This Row],[Order Date]])</f>
        <v>3</v>
      </c>
    </row>
    <row r="1483" spans="1:27" x14ac:dyDescent="0.35">
      <c r="A1483" s="8" t="s">
        <v>3845</v>
      </c>
      <c r="B1483" s="9">
        <v>45200</v>
      </c>
      <c r="C1483" s="9">
        <v>44972</v>
      </c>
      <c r="D1483" s="8" t="s">
        <v>3846</v>
      </c>
      <c r="E1483" s="8" t="s">
        <v>68</v>
      </c>
      <c r="F1483" s="8" t="s">
        <v>276</v>
      </c>
      <c r="G1483" s="8" t="s">
        <v>93</v>
      </c>
      <c r="H1483" s="8" t="s">
        <v>643</v>
      </c>
      <c r="I1483" s="8" t="s">
        <v>4969</v>
      </c>
      <c r="J1483" s="10">
        <v>137</v>
      </c>
      <c r="K1483" s="11">
        <v>1171.8399999999999</v>
      </c>
      <c r="L1483" s="11">
        <v>1774.11</v>
      </c>
      <c r="M1483" s="11">
        <v>243053.07</v>
      </c>
      <c r="N1483" s="11">
        <v>160542.07999999999</v>
      </c>
      <c r="O1483" s="11">
        <f>CleanedData[[#This Row],[Total Sales ($)]]-CleanedData[[#This Row],[Total Cost ($)]]</f>
        <v>82510.99000000002</v>
      </c>
      <c r="P1483" s="12">
        <f>CleanedData[[#This Row],[Profit ($)]]/CleanedData[[#This Row],[Total Sales ($)]]</f>
        <v>0.33947725902001574</v>
      </c>
      <c r="Q1483" s="8" t="s">
        <v>42</v>
      </c>
      <c r="R1483" s="8" t="s">
        <v>63</v>
      </c>
      <c r="S1483" s="8" t="b">
        <f>_xlfn.SINGLE(CleanedData[[#This Row],[Delivery Status]])="Late"</f>
        <v>0</v>
      </c>
      <c r="T1483" s="10">
        <v>4</v>
      </c>
      <c r="U1483" s="8" t="s">
        <v>158</v>
      </c>
      <c r="V1483" s="10">
        <v>4880</v>
      </c>
      <c r="W1483" s="10">
        <v>2</v>
      </c>
      <c r="X1483" s="12">
        <v>1.4598540145985399E-2</v>
      </c>
      <c r="Y1483" s="8" t="b">
        <f>CleanedData[[#This Row],[Ship Date]]&lt;CleanedData[[#This Row],[Order Date]]</f>
        <v>1</v>
      </c>
      <c r="Z1483" s="10">
        <f>YEAR(CleanedData[[#This Row],[Order Date]])</f>
        <v>2023</v>
      </c>
      <c r="AA1483" s="8">
        <f>MONTH(CleanedData[[#This Row],[Order Date]])</f>
        <v>10</v>
      </c>
    </row>
    <row r="1484" spans="1:27" x14ac:dyDescent="0.35">
      <c r="A1484" s="8" t="s">
        <v>3847</v>
      </c>
      <c r="B1484" s="9">
        <v>45377</v>
      </c>
      <c r="C1484" s="9">
        <v>45505</v>
      </c>
      <c r="D1484" s="8" t="s">
        <v>3848</v>
      </c>
      <c r="E1484" s="8" t="s">
        <v>58</v>
      </c>
      <c r="F1484" s="8" t="s">
        <v>259</v>
      </c>
      <c r="G1484" s="8" t="s">
        <v>70</v>
      </c>
      <c r="H1484" s="8" t="s">
        <v>822</v>
      </c>
      <c r="I1484" s="8" t="s">
        <v>4975</v>
      </c>
      <c r="J1484" s="10">
        <v>585</v>
      </c>
      <c r="K1484" s="11">
        <v>300.92</v>
      </c>
      <c r="L1484" s="11">
        <v>387.38</v>
      </c>
      <c r="M1484" s="11">
        <v>226617.3</v>
      </c>
      <c r="N1484" s="11">
        <v>176038.2</v>
      </c>
      <c r="O1484" s="11">
        <f>CleanedData[[#This Row],[Total Sales ($)]]-CleanedData[[#This Row],[Total Cost ($)]]</f>
        <v>50579.099999999977</v>
      </c>
      <c r="P1484" s="12">
        <f>CleanedData[[#This Row],[Profit ($)]]/CleanedData[[#This Row],[Total Sales ($)]]</f>
        <v>0.22319169807424225</v>
      </c>
      <c r="Q1484" s="8" t="s">
        <v>95</v>
      </c>
      <c r="R1484" s="8" t="s">
        <v>32</v>
      </c>
      <c r="S1484" s="8" t="b">
        <f>_xlfn.SINGLE(CleanedData[[#This Row],[Delivery Status]])="Late"</f>
        <v>1</v>
      </c>
      <c r="T1484" s="10">
        <v>15</v>
      </c>
      <c r="U1484" s="8" t="s">
        <v>53</v>
      </c>
      <c r="V1484" s="10">
        <v>731</v>
      </c>
      <c r="W1484" s="10">
        <v>19</v>
      </c>
      <c r="X1484" s="12">
        <v>3.2478632478632398E-2</v>
      </c>
      <c r="Y1484" s="8" t="b">
        <f>CleanedData[[#This Row],[Ship Date]]&lt;CleanedData[[#This Row],[Order Date]]</f>
        <v>0</v>
      </c>
      <c r="Z1484" s="10">
        <f>YEAR(CleanedData[[#This Row],[Order Date]])</f>
        <v>2024</v>
      </c>
      <c r="AA1484" s="8">
        <f>MONTH(CleanedData[[#This Row],[Order Date]])</f>
        <v>3</v>
      </c>
    </row>
    <row r="1485" spans="1:27" x14ac:dyDescent="0.35">
      <c r="A1485" s="8" t="s">
        <v>3849</v>
      </c>
      <c r="B1485" s="9">
        <v>44976</v>
      </c>
      <c r="C1485" s="9">
        <v>44969</v>
      </c>
      <c r="D1485" s="8" t="s">
        <v>3850</v>
      </c>
      <c r="E1485" s="8" t="s">
        <v>58</v>
      </c>
      <c r="F1485" s="8" t="s">
        <v>429</v>
      </c>
      <c r="G1485" s="8" t="s">
        <v>70</v>
      </c>
      <c r="H1485" s="8" t="s">
        <v>1019</v>
      </c>
      <c r="I1485" s="8" t="s">
        <v>4976</v>
      </c>
      <c r="J1485" s="10">
        <v>126</v>
      </c>
      <c r="K1485" s="11">
        <v>910.96</v>
      </c>
      <c r="L1485" s="11">
        <v>1303.05</v>
      </c>
      <c r="M1485" s="11">
        <v>164184.29999999999</v>
      </c>
      <c r="N1485" s="11">
        <v>114780.96</v>
      </c>
      <c r="O1485" s="11">
        <f>CleanedData[[#This Row],[Total Sales ($)]]-CleanedData[[#This Row],[Total Cost ($)]]</f>
        <v>49403.339999999982</v>
      </c>
      <c r="P1485" s="12">
        <f>CleanedData[[#This Row],[Profit ($)]]/CleanedData[[#This Row],[Total Sales ($)]]</f>
        <v>0.30090173055523572</v>
      </c>
      <c r="Q1485" s="8" t="s">
        <v>52</v>
      </c>
      <c r="R1485" s="8" t="s">
        <v>32</v>
      </c>
      <c r="S1485" s="8" t="b">
        <f>_xlfn.SINGLE(CleanedData[[#This Row],[Delivery Status]])="Late"</f>
        <v>1</v>
      </c>
      <c r="T1485" s="10">
        <v>15</v>
      </c>
      <c r="U1485" s="8" t="s">
        <v>53</v>
      </c>
      <c r="V1485" s="10">
        <v>4936</v>
      </c>
      <c r="W1485" s="10">
        <v>2</v>
      </c>
      <c r="X1485" s="12">
        <v>1.5873015873015799E-2</v>
      </c>
      <c r="Y1485" s="8" t="b">
        <f>CleanedData[[#This Row],[Ship Date]]&lt;CleanedData[[#This Row],[Order Date]]</f>
        <v>1</v>
      </c>
      <c r="Z1485" s="10">
        <f>YEAR(CleanedData[[#This Row],[Order Date]])</f>
        <v>2023</v>
      </c>
      <c r="AA1485" s="8">
        <f>MONTH(CleanedData[[#This Row],[Order Date]])</f>
        <v>2</v>
      </c>
    </row>
    <row r="1486" spans="1:27" x14ac:dyDescent="0.35">
      <c r="A1486" s="8" t="s">
        <v>3851</v>
      </c>
      <c r="B1486" s="9">
        <v>45370</v>
      </c>
      <c r="C1486" s="9">
        <v>45590</v>
      </c>
      <c r="D1486" s="8" t="s">
        <v>3852</v>
      </c>
      <c r="E1486" s="8" t="s">
        <v>4972</v>
      </c>
      <c r="F1486" s="8" t="s">
        <v>106</v>
      </c>
      <c r="G1486" s="8" t="s">
        <v>60</v>
      </c>
      <c r="H1486" s="8" t="s">
        <v>229</v>
      </c>
      <c r="I1486" s="8" t="s">
        <v>4973</v>
      </c>
      <c r="J1486" s="10">
        <v>368</v>
      </c>
      <c r="K1486" s="11">
        <v>997.8</v>
      </c>
      <c r="L1486" s="11">
        <v>1179.94</v>
      </c>
      <c r="M1486" s="11">
        <v>434217.92</v>
      </c>
      <c r="N1486" s="11">
        <v>367190.4</v>
      </c>
      <c r="O1486" s="11">
        <f>CleanedData[[#This Row],[Total Sales ($)]]-CleanedData[[#This Row],[Total Cost ($)]]</f>
        <v>67027.51999999996</v>
      </c>
      <c r="P1486" s="12">
        <f>CleanedData[[#This Row],[Profit ($)]]/CleanedData[[#This Row],[Total Sales ($)]]</f>
        <v>0.15436378120921393</v>
      </c>
      <c r="Q1486" s="8" t="s">
        <v>42</v>
      </c>
      <c r="R1486" s="8" t="s">
        <v>32</v>
      </c>
      <c r="S1486" s="8" t="b">
        <f>_xlfn.SINGLE(CleanedData[[#This Row],[Delivery Status]])="Late"</f>
        <v>1</v>
      </c>
      <c r="T1486" s="10">
        <v>11</v>
      </c>
      <c r="U1486" s="8" t="s">
        <v>43</v>
      </c>
      <c r="V1486" s="10">
        <v>2435</v>
      </c>
      <c r="W1486" s="10">
        <v>5</v>
      </c>
      <c r="X1486" s="12">
        <v>1.3586956521739101E-2</v>
      </c>
      <c r="Y1486" s="8" t="b">
        <f>CleanedData[[#This Row],[Ship Date]]&lt;CleanedData[[#This Row],[Order Date]]</f>
        <v>0</v>
      </c>
      <c r="Z1486" s="10">
        <f>YEAR(CleanedData[[#This Row],[Order Date]])</f>
        <v>2024</v>
      </c>
      <c r="AA1486" s="8">
        <f>MONTH(CleanedData[[#This Row],[Order Date]])</f>
        <v>3</v>
      </c>
    </row>
    <row r="1487" spans="1:27" x14ac:dyDescent="0.35">
      <c r="A1487" s="8" t="s">
        <v>3854</v>
      </c>
      <c r="B1487" s="9">
        <v>45000</v>
      </c>
      <c r="C1487" s="9">
        <v>44984</v>
      </c>
      <c r="D1487" s="8" t="s">
        <v>3855</v>
      </c>
      <c r="E1487" s="8" t="s">
        <v>100</v>
      </c>
      <c r="F1487" s="8" t="s">
        <v>238</v>
      </c>
      <c r="G1487" s="8" t="s">
        <v>189</v>
      </c>
      <c r="H1487" s="8" t="s">
        <v>369</v>
      </c>
      <c r="I1487" s="8" t="s">
        <v>4969</v>
      </c>
      <c r="J1487" s="10">
        <v>667</v>
      </c>
      <c r="K1487" s="11">
        <v>1104.96</v>
      </c>
      <c r="L1487" s="11">
        <v>1572.68</v>
      </c>
      <c r="M1487" s="11">
        <v>1048977.56</v>
      </c>
      <c r="N1487" s="11">
        <v>737008.32</v>
      </c>
      <c r="O1487" s="11">
        <f>CleanedData[[#This Row],[Total Sales ($)]]-CleanedData[[#This Row],[Total Cost ($)]]</f>
        <v>311969.24000000011</v>
      </c>
      <c r="P1487" s="12">
        <f>CleanedData[[#This Row],[Profit ($)]]/CleanedData[[#This Row],[Total Sales ($)]]</f>
        <v>0.29740315893888147</v>
      </c>
      <c r="Q1487" s="8" t="s">
        <v>95</v>
      </c>
      <c r="R1487" s="8" t="s">
        <v>32</v>
      </c>
      <c r="S1487" s="8" t="b">
        <f>_xlfn.SINGLE(CleanedData[[#This Row],[Delivery Status]])="Late"</f>
        <v>1</v>
      </c>
      <c r="T1487" s="10">
        <v>8</v>
      </c>
      <c r="U1487" s="8" t="s">
        <v>53</v>
      </c>
      <c r="V1487" s="10">
        <v>651</v>
      </c>
      <c r="W1487" s="10">
        <v>18</v>
      </c>
      <c r="X1487" s="12">
        <v>2.6986506746626601E-2</v>
      </c>
      <c r="Y1487" s="8" t="b">
        <f>CleanedData[[#This Row],[Ship Date]]&lt;CleanedData[[#This Row],[Order Date]]</f>
        <v>1</v>
      </c>
      <c r="Z1487" s="10">
        <f>YEAR(CleanedData[[#This Row],[Order Date]])</f>
        <v>2023</v>
      </c>
      <c r="AA1487" s="8">
        <f>MONTH(CleanedData[[#This Row],[Order Date]])</f>
        <v>3</v>
      </c>
    </row>
    <row r="1488" spans="1:27" x14ac:dyDescent="0.35">
      <c r="A1488" s="8" t="s">
        <v>3856</v>
      </c>
      <c r="B1488" s="9">
        <v>45515</v>
      </c>
      <c r="C1488" s="9">
        <v>45007</v>
      </c>
      <c r="D1488" s="8" t="s">
        <v>3858</v>
      </c>
      <c r="E1488" s="8" t="s">
        <v>48</v>
      </c>
      <c r="F1488" s="8" t="s">
        <v>49</v>
      </c>
      <c r="G1488" s="8" t="s">
        <v>28</v>
      </c>
      <c r="H1488" s="8" t="s">
        <v>507</v>
      </c>
      <c r="I1488" s="8" t="s">
        <v>4969</v>
      </c>
      <c r="J1488" s="10">
        <v>449</v>
      </c>
      <c r="K1488" s="11">
        <v>1033.76</v>
      </c>
      <c r="L1488" s="11">
        <v>1404.11</v>
      </c>
      <c r="M1488" s="11">
        <v>630445.39</v>
      </c>
      <c r="N1488" s="11">
        <v>464158.24</v>
      </c>
      <c r="O1488" s="11">
        <f>CleanedData[[#This Row],[Total Sales ($)]]-CleanedData[[#This Row],[Total Cost ($)]]</f>
        <v>166287.15000000002</v>
      </c>
      <c r="P1488" s="12">
        <f>CleanedData[[#This Row],[Profit ($)]]/CleanedData[[#This Row],[Total Sales ($)]]</f>
        <v>0.26376138621617967</v>
      </c>
      <c r="Q1488" s="8" t="s">
        <v>95</v>
      </c>
      <c r="R1488" s="8" t="s">
        <v>63</v>
      </c>
      <c r="S1488" s="8" t="b">
        <f>_xlfn.SINGLE(CleanedData[[#This Row],[Delivery Status]])="Late"</f>
        <v>0</v>
      </c>
      <c r="T1488" s="10">
        <v>13</v>
      </c>
      <c r="U1488" s="8" t="s">
        <v>33</v>
      </c>
      <c r="V1488" s="10">
        <v>4761</v>
      </c>
      <c r="W1488" s="10">
        <v>21</v>
      </c>
      <c r="X1488" s="12">
        <v>4.6770601336302897E-2</v>
      </c>
      <c r="Y1488" s="8" t="b">
        <f>CleanedData[[#This Row],[Ship Date]]&lt;CleanedData[[#This Row],[Order Date]]</f>
        <v>1</v>
      </c>
      <c r="Z1488" s="10">
        <f>YEAR(CleanedData[[#This Row],[Order Date]])</f>
        <v>2024</v>
      </c>
      <c r="AA1488" s="8">
        <f>MONTH(CleanedData[[#This Row],[Order Date]])</f>
        <v>8</v>
      </c>
    </row>
    <row r="1489" spans="1:27" x14ac:dyDescent="0.35">
      <c r="A1489" s="8" t="s">
        <v>3859</v>
      </c>
      <c r="B1489" s="9">
        <v>45008</v>
      </c>
      <c r="C1489" s="9">
        <v>45105</v>
      </c>
      <c r="D1489" s="8" t="s">
        <v>3860</v>
      </c>
      <c r="E1489" s="8" t="s">
        <v>58</v>
      </c>
      <c r="F1489" s="8" t="s">
        <v>59</v>
      </c>
      <c r="G1489" s="8" t="s">
        <v>93</v>
      </c>
      <c r="H1489" s="8" t="s">
        <v>302</v>
      </c>
      <c r="I1489" s="8" t="s">
        <v>4979</v>
      </c>
      <c r="J1489" s="10">
        <v>59</v>
      </c>
      <c r="K1489" s="11">
        <v>860.96</v>
      </c>
      <c r="L1489" s="11">
        <v>1346.16</v>
      </c>
      <c r="M1489" s="11">
        <v>79423.44</v>
      </c>
      <c r="N1489" s="11">
        <v>50796.639999999999</v>
      </c>
      <c r="O1489" s="11">
        <f>CleanedData[[#This Row],[Total Sales ($)]]-CleanedData[[#This Row],[Total Cost ($)]]</f>
        <v>28626.800000000003</v>
      </c>
      <c r="P1489" s="12">
        <f>CleanedData[[#This Row],[Profit ($)]]/CleanedData[[#This Row],[Total Sales ($)]]</f>
        <v>0.36043263802222619</v>
      </c>
      <c r="Q1489" s="8" t="s">
        <v>42</v>
      </c>
      <c r="R1489" s="8" t="s">
        <v>32</v>
      </c>
      <c r="S1489" s="8" t="b">
        <f>_xlfn.SINGLE(CleanedData[[#This Row],[Delivery Status]])="Late"</f>
        <v>1</v>
      </c>
      <c r="T1489" s="10">
        <v>12</v>
      </c>
      <c r="U1489" s="8" t="s">
        <v>43</v>
      </c>
      <c r="V1489" s="10">
        <v>3756</v>
      </c>
      <c r="W1489" s="10">
        <v>0</v>
      </c>
      <c r="X1489" s="12">
        <v>0</v>
      </c>
      <c r="Y1489" s="8" t="b">
        <f>CleanedData[[#This Row],[Ship Date]]&lt;CleanedData[[#This Row],[Order Date]]</f>
        <v>0</v>
      </c>
      <c r="Z1489" s="10">
        <f>YEAR(CleanedData[[#This Row],[Order Date]])</f>
        <v>2023</v>
      </c>
      <c r="AA1489" s="8">
        <f>MONTH(CleanedData[[#This Row],[Order Date]])</f>
        <v>3</v>
      </c>
    </row>
    <row r="1490" spans="1:27" x14ac:dyDescent="0.35">
      <c r="A1490" s="8" t="s">
        <v>3861</v>
      </c>
      <c r="B1490" s="9">
        <v>45000</v>
      </c>
      <c r="C1490" s="9">
        <v>45054</v>
      </c>
      <c r="D1490" s="8" t="s">
        <v>3862</v>
      </c>
      <c r="E1490" s="8" t="s">
        <v>68</v>
      </c>
      <c r="F1490" s="8" t="s">
        <v>163</v>
      </c>
      <c r="G1490" s="8" t="s">
        <v>28</v>
      </c>
      <c r="H1490" s="8" t="s">
        <v>579</v>
      </c>
      <c r="I1490" s="8" t="s">
        <v>4979</v>
      </c>
      <c r="J1490" s="10">
        <v>369</v>
      </c>
      <c r="K1490" s="11">
        <v>1000.72</v>
      </c>
      <c r="L1490" s="11">
        <v>1332.06</v>
      </c>
      <c r="M1490" s="11">
        <v>491530.14</v>
      </c>
      <c r="N1490" s="11">
        <v>369265.68</v>
      </c>
      <c r="O1490" s="11">
        <f>CleanedData[[#This Row],[Total Sales ($)]]-CleanedData[[#This Row],[Total Cost ($)]]</f>
        <v>122264.46000000002</v>
      </c>
      <c r="P1490" s="12">
        <f>CleanedData[[#This Row],[Profit ($)]]/CleanedData[[#This Row],[Total Sales ($)]]</f>
        <v>0.2487425491344234</v>
      </c>
      <c r="Q1490" s="8" t="s">
        <v>42</v>
      </c>
      <c r="R1490" s="8" t="s">
        <v>32</v>
      </c>
      <c r="S1490" s="8" t="b">
        <f>_xlfn.SINGLE(CleanedData[[#This Row],[Delivery Status]])="Late"</f>
        <v>1</v>
      </c>
      <c r="T1490" s="10">
        <v>11</v>
      </c>
      <c r="U1490" s="8" t="s">
        <v>43</v>
      </c>
      <c r="V1490" s="10">
        <v>1017</v>
      </c>
      <c r="W1490" s="10">
        <v>10</v>
      </c>
      <c r="X1490" s="12">
        <v>2.7100271002710001E-2</v>
      </c>
      <c r="Y1490" s="8" t="b">
        <f>CleanedData[[#This Row],[Ship Date]]&lt;CleanedData[[#This Row],[Order Date]]</f>
        <v>0</v>
      </c>
      <c r="Z1490" s="10">
        <f>YEAR(CleanedData[[#This Row],[Order Date]])</f>
        <v>2023</v>
      </c>
      <c r="AA1490" s="8">
        <f>MONTH(CleanedData[[#This Row],[Order Date]])</f>
        <v>3</v>
      </c>
    </row>
    <row r="1491" spans="1:27" x14ac:dyDescent="0.35">
      <c r="A1491" s="8" t="s">
        <v>3198</v>
      </c>
      <c r="B1491" s="9">
        <v>45017</v>
      </c>
      <c r="C1491" s="9">
        <v>44997</v>
      </c>
      <c r="D1491" s="8" t="s">
        <v>3162</v>
      </c>
      <c r="E1491" s="8" t="s">
        <v>100</v>
      </c>
      <c r="F1491" s="8" t="s">
        <v>101</v>
      </c>
      <c r="G1491" s="8" t="s">
        <v>70</v>
      </c>
      <c r="H1491" s="8" t="s">
        <v>84</v>
      </c>
      <c r="I1491" s="8" t="s">
        <v>4970</v>
      </c>
      <c r="J1491" s="10">
        <v>574</v>
      </c>
      <c r="K1491" s="11">
        <v>1034.93</v>
      </c>
      <c r="L1491" s="11">
        <v>1188.4100000000001</v>
      </c>
      <c r="M1491" s="11">
        <v>682147.34</v>
      </c>
      <c r="N1491" s="11">
        <v>594049.81999999995</v>
      </c>
      <c r="O1491" s="11">
        <f>CleanedData[[#This Row],[Total Sales ($)]]-CleanedData[[#This Row],[Total Cost ($)]]</f>
        <v>88097.520000000019</v>
      </c>
      <c r="P1491" s="12">
        <f>CleanedData[[#This Row],[Profit ($)]]/CleanedData[[#This Row],[Total Sales ($)]]</f>
        <v>0.12914734813742734</v>
      </c>
      <c r="Q1491" s="8" t="s">
        <v>95</v>
      </c>
      <c r="R1491" s="8" t="s">
        <v>63</v>
      </c>
      <c r="S1491" s="8" t="b">
        <f>_xlfn.SINGLE(CleanedData[[#This Row],[Delivery Status]])="Late"</f>
        <v>0</v>
      </c>
      <c r="T1491" s="10">
        <v>5</v>
      </c>
      <c r="U1491" s="8" t="s">
        <v>53</v>
      </c>
      <c r="V1491" s="10">
        <v>934</v>
      </c>
      <c r="W1491" s="10">
        <v>1</v>
      </c>
      <c r="X1491" s="12">
        <v>1.7421602787455999E-3</v>
      </c>
      <c r="Y1491" s="8" t="b">
        <f>CleanedData[[#This Row],[Ship Date]]&lt;CleanedData[[#This Row],[Order Date]]</f>
        <v>1</v>
      </c>
      <c r="Z1491" s="10">
        <f>YEAR(CleanedData[[#This Row],[Order Date]])</f>
        <v>2023</v>
      </c>
      <c r="AA1491" s="8">
        <f>MONTH(CleanedData[[#This Row],[Order Date]])</f>
        <v>4</v>
      </c>
    </row>
    <row r="1492" spans="1:27" x14ac:dyDescent="0.35">
      <c r="A1492" s="8" t="s">
        <v>3863</v>
      </c>
      <c r="B1492" s="9">
        <v>45156</v>
      </c>
      <c r="C1492" s="9">
        <v>45248</v>
      </c>
      <c r="D1492" s="8" t="s">
        <v>3864</v>
      </c>
      <c r="E1492" s="8" t="s">
        <v>58</v>
      </c>
      <c r="F1492" s="8" t="s">
        <v>417</v>
      </c>
      <c r="G1492" s="8" t="s">
        <v>39</v>
      </c>
      <c r="H1492" s="8" t="s">
        <v>527</v>
      </c>
      <c r="I1492" s="8" t="s">
        <v>4979</v>
      </c>
      <c r="J1492" s="10">
        <v>406</v>
      </c>
      <c r="K1492" s="11">
        <v>972.97</v>
      </c>
      <c r="L1492" s="11">
        <v>1570.42</v>
      </c>
      <c r="M1492" s="11">
        <v>637590.52</v>
      </c>
      <c r="N1492" s="11">
        <v>395025.82</v>
      </c>
      <c r="O1492" s="11">
        <f>CleanedData[[#This Row],[Total Sales ($)]]-CleanedData[[#This Row],[Total Cost ($)]]</f>
        <v>242564.7</v>
      </c>
      <c r="P1492" s="12">
        <f>CleanedData[[#This Row],[Profit ($)]]/CleanedData[[#This Row],[Total Sales ($)]]</f>
        <v>0.38043962761554234</v>
      </c>
      <c r="Q1492" s="8" t="s">
        <v>52</v>
      </c>
      <c r="R1492" s="8" t="s">
        <v>32</v>
      </c>
      <c r="S1492" s="8" t="b">
        <f>_xlfn.SINGLE(CleanedData[[#This Row],[Delivery Status]])="Late"</f>
        <v>1</v>
      </c>
      <c r="T1492" s="10">
        <v>7</v>
      </c>
      <c r="U1492" s="8" t="s">
        <v>33</v>
      </c>
      <c r="V1492" s="10">
        <v>4390</v>
      </c>
      <c r="W1492" s="10">
        <v>2</v>
      </c>
      <c r="X1492" s="12">
        <v>4.9261083743842001E-3</v>
      </c>
      <c r="Y1492" s="8" t="b">
        <f>CleanedData[[#This Row],[Ship Date]]&lt;CleanedData[[#This Row],[Order Date]]</f>
        <v>0</v>
      </c>
      <c r="Z1492" s="10">
        <f>YEAR(CleanedData[[#This Row],[Order Date]])</f>
        <v>2023</v>
      </c>
      <c r="AA1492" s="8">
        <f>MONTH(CleanedData[[#This Row],[Order Date]])</f>
        <v>8</v>
      </c>
    </row>
    <row r="1493" spans="1:27" x14ac:dyDescent="0.35">
      <c r="A1493" s="8" t="s">
        <v>3865</v>
      </c>
      <c r="B1493" s="9">
        <v>44981</v>
      </c>
      <c r="C1493" s="9">
        <v>45109</v>
      </c>
      <c r="D1493" s="8" t="s">
        <v>3866</v>
      </c>
      <c r="E1493" s="8" t="s">
        <v>100</v>
      </c>
      <c r="F1493" s="8" t="s">
        <v>106</v>
      </c>
      <c r="G1493" s="8" t="s">
        <v>50</v>
      </c>
      <c r="H1493" s="8" t="s">
        <v>51</v>
      </c>
      <c r="I1493" s="8" t="s">
        <v>4975</v>
      </c>
      <c r="J1493" s="10">
        <v>342</v>
      </c>
      <c r="K1493" s="11">
        <v>866.6</v>
      </c>
      <c r="L1493" s="11">
        <v>1067.94</v>
      </c>
      <c r="M1493" s="11">
        <v>365235.48</v>
      </c>
      <c r="N1493" s="11">
        <v>296377.2</v>
      </c>
      <c r="O1493" s="11">
        <f>CleanedData[[#This Row],[Total Sales ($)]]-CleanedData[[#This Row],[Total Cost ($)]]</f>
        <v>68858.27999999997</v>
      </c>
      <c r="P1493" s="12">
        <f>CleanedData[[#This Row],[Profit ($)]]/CleanedData[[#This Row],[Total Sales ($)]]</f>
        <v>0.18853119089087395</v>
      </c>
      <c r="Q1493" s="8" t="s">
        <v>52</v>
      </c>
      <c r="R1493" s="8" t="s">
        <v>63</v>
      </c>
      <c r="S1493" s="8" t="b">
        <f>_xlfn.SINGLE(CleanedData[[#This Row],[Delivery Status]])="Late"</f>
        <v>0</v>
      </c>
      <c r="T1493" s="10">
        <v>5</v>
      </c>
      <c r="U1493" s="8" t="s">
        <v>158</v>
      </c>
      <c r="V1493" s="10">
        <v>4907</v>
      </c>
      <c r="W1493" s="10">
        <v>0</v>
      </c>
      <c r="X1493" s="12">
        <v>0</v>
      </c>
      <c r="Y1493" s="8" t="b">
        <f>CleanedData[[#This Row],[Ship Date]]&lt;CleanedData[[#This Row],[Order Date]]</f>
        <v>0</v>
      </c>
      <c r="Z1493" s="10">
        <f>YEAR(CleanedData[[#This Row],[Order Date]])</f>
        <v>2023</v>
      </c>
      <c r="AA1493" s="8">
        <f>MONTH(CleanedData[[#This Row],[Order Date]])</f>
        <v>2</v>
      </c>
    </row>
    <row r="1494" spans="1:27" x14ac:dyDescent="0.35">
      <c r="A1494" s="8" t="s">
        <v>3867</v>
      </c>
      <c r="B1494" s="9">
        <v>45150</v>
      </c>
      <c r="C1494" s="9">
        <v>45140</v>
      </c>
      <c r="D1494" s="8" t="s">
        <v>3868</v>
      </c>
      <c r="E1494" s="8" t="s">
        <v>68</v>
      </c>
      <c r="F1494" s="8" t="s">
        <v>146</v>
      </c>
      <c r="G1494" s="8" t="s">
        <v>129</v>
      </c>
      <c r="H1494" s="8" t="s">
        <v>704</v>
      </c>
      <c r="I1494" s="8" t="s">
        <v>4976</v>
      </c>
      <c r="J1494" s="10">
        <v>683</v>
      </c>
      <c r="K1494" s="11">
        <v>91.83</v>
      </c>
      <c r="L1494" s="11">
        <v>133.5</v>
      </c>
      <c r="M1494" s="11">
        <v>91180.5</v>
      </c>
      <c r="N1494" s="11">
        <v>62719.89</v>
      </c>
      <c r="O1494" s="11">
        <f>CleanedData[[#This Row],[Total Sales ($)]]-CleanedData[[#This Row],[Total Cost ($)]]</f>
        <v>28460.61</v>
      </c>
      <c r="P1494" s="12">
        <f>CleanedData[[#This Row],[Profit ($)]]/CleanedData[[#This Row],[Total Sales ($)]]</f>
        <v>0.31213483146067417</v>
      </c>
      <c r="Q1494" s="8" t="s">
        <v>52</v>
      </c>
      <c r="R1494" s="8" t="s">
        <v>32</v>
      </c>
      <c r="S1494" s="8" t="b">
        <f>_xlfn.SINGLE(CleanedData[[#This Row],[Delivery Status]])="Late"</f>
        <v>1</v>
      </c>
      <c r="T1494" s="10">
        <v>7</v>
      </c>
      <c r="U1494" s="8" t="s">
        <v>53</v>
      </c>
      <c r="V1494" s="10">
        <v>4065</v>
      </c>
      <c r="W1494" s="10">
        <v>3</v>
      </c>
      <c r="X1494" s="12">
        <v>4.3923865300145998E-3</v>
      </c>
      <c r="Y1494" s="8" t="b">
        <f>CleanedData[[#This Row],[Ship Date]]&lt;CleanedData[[#This Row],[Order Date]]</f>
        <v>1</v>
      </c>
      <c r="Z1494" s="10">
        <f>YEAR(CleanedData[[#This Row],[Order Date]])</f>
        <v>2023</v>
      </c>
      <c r="AA1494" s="8">
        <f>MONTH(CleanedData[[#This Row],[Order Date]])</f>
        <v>8</v>
      </c>
    </row>
    <row r="1495" spans="1:27" x14ac:dyDescent="0.35">
      <c r="A1495" s="8" t="s">
        <v>3870</v>
      </c>
      <c r="B1495" s="9">
        <v>45489</v>
      </c>
      <c r="C1495" s="9">
        <v>45554</v>
      </c>
      <c r="D1495" s="8" t="s">
        <v>3871</v>
      </c>
      <c r="E1495" s="8" t="s">
        <v>48</v>
      </c>
      <c r="F1495" s="8" t="s">
        <v>49</v>
      </c>
      <c r="G1495" s="8" t="s">
        <v>217</v>
      </c>
      <c r="H1495" s="8" t="s">
        <v>524</v>
      </c>
      <c r="I1495" s="8" t="s">
        <v>4973</v>
      </c>
      <c r="J1495" s="10">
        <v>206</v>
      </c>
      <c r="K1495" s="11">
        <v>466.88</v>
      </c>
      <c r="L1495" s="11">
        <v>614.25</v>
      </c>
      <c r="M1495" s="11">
        <v>126535.5</v>
      </c>
      <c r="N1495" s="11">
        <v>96177.279999999999</v>
      </c>
      <c r="O1495" s="11">
        <f>CleanedData[[#This Row],[Total Sales ($)]]-CleanedData[[#This Row],[Total Cost ($)]]</f>
        <v>30358.22</v>
      </c>
      <c r="P1495" s="12">
        <f>CleanedData[[#This Row],[Profit ($)]]/CleanedData[[#This Row],[Total Sales ($)]]</f>
        <v>0.23991859991859993</v>
      </c>
      <c r="Q1495" s="8" t="s">
        <v>31</v>
      </c>
      <c r="R1495" s="8" t="s">
        <v>63</v>
      </c>
      <c r="S1495" s="8" t="b">
        <f>_xlfn.SINGLE(CleanedData[[#This Row],[Delivery Status]])="Late"</f>
        <v>0</v>
      </c>
      <c r="T1495" s="10">
        <v>1</v>
      </c>
      <c r="U1495" s="8" t="s">
        <v>43</v>
      </c>
      <c r="V1495" s="10">
        <v>1562</v>
      </c>
      <c r="W1495" s="10">
        <v>4</v>
      </c>
      <c r="X1495" s="12">
        <v>1.94174757281553E-2</v>
      </c>
      <c r="Y1495" s="8" t="b">
        <f>CleanedData[[#This Row],[Ship Date]]&lt;CleanedData[[#This Row],[Order Date]]</f>
        <v>0</v>
      </c>
      <c r="Z1495" s="10">
        <f>YEAR(CleanedData[[#This Row],[Order Date]])</f>
        <v>2024</v>
      </c>
      <c r="AA1495" s="8">
        <f>MONTH(CleanedData[[#This Row],[Order Date]])</f>
        <v>7</v>
      </c>
    </row>
    <row r="1496" spans="1:27" x14ac:dyDescent="0.35">
      <c r="A1496" s="8" t="s">
        <v>3872</v>
      </c>
      <c r="B1496" s="9">
        <v>45073</v>
      </c>
      <c r="C1496" s="9">
        <v>45224</v>
      </c>
      <c r="D1496" s="8" t="s">
        <v>2955</v>
      </c>
      <c r="E1496" s="8" t="s">
        <v>48</v>
      </c>
      <c r="F1496" s="8" t="s">
        <v>270</v>
      </c>
      <c r="G1496" s="8" t="s">
        <v>60</v>
      </c>
      <c r="H1496" s="8" t="s">
        <v>834</v>
      </c>
      <c r="I1496" s="8" t="s">
        <v>4975</v>
      </c>
      <c r="J1496" s="10">
        <v>114</v>
      </c>
      <c r="K1496" s="11">
        <v>730.92</v>
      </c>
      <c r="L1496" s="11">
        <v>1076.98</v>
      </c>
      <c r="M1496" s="11">
        <v>122775.72</v>
      </c>
      <c r="N1496" s="11">
        <v>83324.88</v>
      </c>
      <c r="O1496" s="11">
        <f>CleanedData[[#This Row],[Total Sales ($)]]-CleanedData[[#This Row],[Total Cost ($)]]</f>
        <v>39450.839999999997</v>
      </c>
      <c r="P1496" s="12">
        <f>CleanedData[[#This Row],[Profit ($)]]/CleanedData[[#This Row],[Total Sales ($)]]</f>
        <v>0.32132444427937379</v>
      </c>
      <c r="Q1496" s="8" t="s">
        <v>52</v>
      </c>
      <c r="R1496" s="8" t="s">
        <v>32</v>
      </c>
      <c r="S1496" s="8" t="b">
        <f>_xlfn.SINGLE(CleanedData[[#This Row],[Delivery Status]])="Late"</f>
        <v>1</v>
      </c>
      <c r="T1496" s="10">
        <v>11</v>
      </c>
      <c r="U1496" s="8" t="s">
        <v>43</v>
      </c>
      <c r="V1496" s="10">
        <v>4694</v>
      </c>
      <c r="W1496" s="10">
        <v>1</v>
      </c>
      <c r="X1496" s="12">
        <v>8.7719298245613996E-3</v>
      </c>
      <c r="Y1496" s="8" t="b">
        <f>CleanedData[[#This Row],[Ship Date]]&lt;CleanedData[[#This Row],[Order Date]]</f>
        <v>0</v>
      </c>
      <c r="Z1496" s="10">
        <f>YEAR(CleanedData[[#This Row],[Order Date]])</f>
        <v>2023</v>
      </c>
      <c r="AA1496" s="8">
        <f>MONTH(CleanedData[[#This Row],[Order Date]])</f>
        <v>5</v>
      </c>
    </row>
    <row r="1497" spans="1:27" x14ac:dyDescent="0.35">
      <c r="A1497" s="8" t="s">
        <v>3873</v>
      </c>
      <c r="B1497" s="9">
        <v>45151</v>
      </c>
      <c r="C1497" s="9">
        <v>44992</v>
      </c>
      <c r="D1497" s="8" t="s">
        <v>3874</v>
      </c>
      <c r="E1497" s="8" t="s">
        <v>48</v>
      </c>
      <c r="F1497" s="8" t="s">
        <v>49</v>
      </c>
      <c r="G1497" s="8" t="s">
        <v>93</v>
      </c>
      <c r="H1497" s="8" t="s">
        <v>1442</v>
      </c>
      <c r="I1497" s="8" t="s">
        <v>4967</v>
      </c>
      <c r="J1497" s="10">
        <v>607</v>
      </c>
      <c r="K1497" s="11">
        <v>1048.81</v>
      </c>
      <c r="L1497" s="11">
        <v>1512.32</v>
      </c>
      <c r="M1497" s="11">
        <v>917978.24</v>
      </c>
      <c r="N1497" s="11">
        <v>636627.67000000004</v>
      </c>
      <c r="O1497" s="11">
        <f>CleanedData[[#This Row],[Total Sales ($)]]-CleanedData[[#This Row],[Total Cost ($)]]</f>
        <v>281350.56999999995</v>
      </c>
      <c r="P1497" s="12">
        <f>CleanedData[[#This Row],[Profit ($)]]/CleanedData[[#This Row],[Total Sales ($)]]</f>
        <v>0.30648936732966564</v>
      </c>
      <c r="Q1497" s="8" t="s">
        <v>31</v>
      </c>
      <c r="R1497" s="8" t="s">
        <v>63</v>
      </c>
      <c r="S1497" s="8" t="b">
        <f>_xlfn.SINGLE(CleanedData[[#This Row],[Delivery Status]])="Late"</f>
        <v>0</v>
      </c>
      <c r="T1497" s="10">
        <v>15</v>
      </c>
      <c r="U1497" s="8" t="s">
        <v>53</v>
      </c>
      <c r="V1497" s="10">
        <v>4364</v>
      </c>
      <c r="W1497" s="10">
        <v>2</v>
      </c>
      <c r="X1497" s="12">
        <v>3.2948929159801999E-3</v>
      </c>
      <c r="Y1497" s="8" t="b">
        <f>CleanedData[[#This Row],[Ship Date]]&lt;CleanedData[[#This Row],[Order Date]]</f>
        <v>1</v>
      </c>
      <c r="Z1497" s="10">
        <f>YEAR(CleanedData[[#This Row],[Order Date]])</f>
        <v>2023</v>
      </c>
      <c r="AA1497" s="8">
        <f>MONTH(CleanedData[[#This Row],[Order Date]])</f>
        <v>8</v>
      </c>
    </row>
    <row r="1498" spans="1:27" x14ac:dyDescent="0.35">
      <c r="A1498" s="8" t="s">
        <v>3875</v>
      </c>
      <c r="B1498" s="9">
        <v>45431</v>
      </c>
      <c r="C1498" s="9">
        <v>45581</v>
      </c>
      <c r="D1498" s="8" t="s">
        <v>3876</v>
      </c>
      <c r="E1498" s="8" t="s">
        <v>26</v>
      </c>
      <c r="F1498" s="8" t="s">
        <v>38</v>
      </c>
      <c r="G1498" s="8" t="s">
        <v>217</v>
      </c>
      <c r="H1498" s="8" t="s">
        <v>218</v>
      </c>
      <c r="I1498" s="8" t="s">
        <v>4978</v>
      </c>
      <c r="J1498" s="10">
        <v>557</v>
      </c>
      <c r="K1498" s="11">
        <v>401.24</v>
      </c>
      <c r="L1498" s="11">
        <v>481.8</v>
      </c>
      <c r="M1498" s="11">
        <v>268362.59999999998</v>
      </c>
      <c r="N1498" s="11">
        <v>223490.68</v>
      </c>
      <c r="O1498" s="11">
        <f>CleanedData[[#This Row],[Total Sales ($)]]-CleanedData[[#This Row],[Total Cost ($)]]</f>
        <v>44871.919999999984</v>
      </c>
      <c r="P1498" s="12">
        <f>CleanedData[[#This Row],[Profit ($)]]/CleanedData[[#This Row],[Total Sales ($)]]</f>
        <v>0.16720630967206304</v>
      </c>
      <c r="Q1498" s="8" t="s">
        <v>52</v>
      </c>
      <c r="R1498" s="8" t="s">
        <v>63</v>
      </c>
      <c r="S1498" s="8" t="b">
        <f>_xlfn.SINGLE(CleanedData[[#This Row],[Delivery Status]])="Late"</f>
        <v>0</v>
      </c>
      <c r="T1498" s="10">
        <v>2</v>
      </c>
      <c r="U1498" s="8" t="s">
        <v>43</v>
      </c>
      <c r="V1498" s="10">
        <v>1938</v>
      </c>
      <c r="W1498" s="10">
        <v>9</v>
      </c>
      <c r="X1498" s="12">
        <v>1.61579892280071E-2</v>
      </c>
      <c r="Y1498" s="8" t="b">
        <f>CleanedData[[#This Row],[Ship Date]]&lt;CleanedData[[#This Row],[Order Date]]</f>
        <v>0</v>
      </c>
      <c r="Z1498" s="10">
        <f>YEAR(CleanedData[[#This Row],[Order Date]])</f>
        <v>2024</v>
      </c>
      <c r="AA1498" s="8">
        <f>MONTH(CleanedData[[#This Row],[Order Date]])</f>
        <v>5</v>
      </c>
    </row>
    <row r="1499" spans="1:27" x14ac:dyDescent="0.35">
      <c r="A1499" s="8" t="s">
        <v>3877</v>
      </c>
      <c r="B1499" s="9">
        <v>45173</v>
      </c>
      <c r="C1499" s="9">
        <v>45078</v>
      </c>
      <c r="D1499" s="8" t="s">
        <v>3878</v>
      </c>
      <c r="E1499" s="8" t="s">
        <v>100</v>
      </c>
      <c r="F1499" s="8" t="s">
        <v>238</v>
      </c>
      <c r="G1499" s="8" t="s">
        <v>217</v>
      </c>
      <c r="H1499" s="8" t="s">
        <v>218</v>
      </c>
      <c r="I1499" s="8" t="s">
        <v>4977</v>
      </c>
      <c r="J1499" s="10">
        <v>439</v>
      </c>
      <c r="K1499" s="11">
        <v>69.23</v>
      </c>
      <c r="L1499" s="11">
        <v>78.81</v>
      </c>
      <c r="M1499" s="11">
        <v>34597.589999999997</v>
      </c>
      <c r="N1499" s="11">
        <v>30391.97</v>
      </c>
      <c r="O1499" s="11">
        <f>CleanedData[[#This Row],[Total Sales ($)]]-CleanedData[[#This Row],[Total Cost ($)]]</f>
        <v>4205.6199999999953</v>
      </c>
      <c r="P1499" s="12">
        <f>CleanedData[[#This Row],[Profit ($)]]/CleanedData[[#This Row],[Total Sales ($)]]</f>
        <v>0.12155817789620595</v>
      </c>
      <c r="Q1499" s="8" t="s">
        <v>52</v>
      </c>
      <c r="R1499" s="8" t="s">
        <v>32</v>
      </c>
      <c r="S1499" s="8" t="b">
        <f>_xlfn.SINGLE(CleanedData[[#This Row],[Delivery Status]])="Late"</f>
        <v>1</v>
      </c>
      <c r="T1499" s="10">
        <v>9</v>
      </c>
      <c r="U1499" s="8" t="s">
        <v>158</v>
      </c>
      <c r="V1499" s="10">
        <v>4843</v>
      </c>
      <c r="W1499" s="10">
        <v>21</v>
      </c>
      <c r="X1499" s="12">
        <v>4.7835990888382598E-2</v>
      </c>
      <c r="Y1499" s="8" t="b">
        <f>CleanedData[[#This Row],[Ship Date]]&lt;CleanedData[[#This Row],[Order Date]]</f>
        <v>1</v>
      </c>
      <c r="Z1499" s="10">
        <f>YEAR(CleanedData[[#This Row],[Order Date]])</f>
        <v>2023</v>
      </c>
      <c r="AA1499" s="8">
        <f>MONTH(CleanedData[[#This Row],[Order Date]])</f>
        <v>9</v>
      </c>
    </row>
    <row r="1500" spans="1:27" x14ac:dyDescent="0.35">
      <c r="A1500" s="8" t="s">
        <v>3879</v>
      </c>
      <c r="B1500" s="9">
        <v>45391</v>
      </c>
      <c r="C1500" s="9">
        <v>45231</v>
      </c>
      <c r="D1500" s="8" t="s">
        <v>3880</v>
      </c>
      <c r="E1500" s="8" t="s">
        <v>48</v>
      </c>
      <c r="F1500" s="8" t="s">
        <v>49</v>
      </c>
      <c r="G1500" s="8" t="s">
        <v>93</v>
      </c>
      <c r="H1500" s="8" t="s">
        <v>302</v>
      </c>
      <c r="I1500" s="8" t="s">
        <v>4978</v>
      </c>
      <c r="J1500" s="10">
        <v>644</v>
      </c>
      <c r="K1500" s="11">
        <v>839.33</v>
      </c>
      <c r="L1500" s="11">
        <v>981.24</v>
      </c>
      <c r="M1500" s="11">
        <v>631918.56000000006</v>
      </c>
      <c r="N1500" s="11">
        <v>540528.52</v>
      </c>
      <c r="O1500" s="11">
        <f>CleanedData[[#This Row],[Total Sales ($)]]-CleanedData[[#This Row],[Total Cost ($)]]</f>
        <v>91390.040000000037</v>
      </c>
      <c r="P1500" s="12">
        <f>CleanedData[[#This Row],[Profit ($)]]/CleanedData[[#This Row],[Total Sales ($)]]</f>
        <v>0.1446231299172476</v>
      </c>
      <c r="Q1500" s="8" t="s">
        <v>52</v>
      </c>
      <c r="R1500" s="8" t="s">
        <v>63</v>
      </c>
      <c r="S1500" s="8" t="b">
        <f>_xlfn.SINGLE(CleanedData[[#This Row],[Delivery Status]])="Late"</f>
        <v>0</v>
      </c>
      <c r="T1500" s="10">
        <v>5</v>
      </c>
      <c r="U1500" s="8" t="s">
        <v>86</v>
      </c>
      <c r="V1500" s="10">
        <v>4901</v>
      </c>
      <c r="W1500" s="10">
        <v>6</v>
      </c>
      <c r="X1500" s="12">
        <v>9.3167701863354005E-3</v>
      </c>
      <c r="Y1500" s="8" t="b">
        <f>CleanedData[[#This Row],[Ship Date]]&lt;CleanedData[[#This Row],[Order Date]]</f>
        <v>1</v>
      </c>
      <c r="Z1500" s="10">
        <f>YEAR(CleanedData[[#This Row],[Order Date]])</f>
        <v>2024</v>
      </c>
      <c r="AA1500" s="8">
        <f>MONTH(CleanedData[[#This Row],[Order Date]])</f>
        <v>4</v>
      </c>
    </row>
    <row r="1501" spans="1:27" x14ac:dyDescent="0.35">
      <c r="A1501" s="8" t="s">
        <v>3881</v>
      </c>
      <c r="B1501" s="9">
        <v>44989</v>
      </c>
      <c r="C1501" s="9">
        <v>45220</v>
      </c>
      <c r="D1501" s="8" t="s">
        <v>3882</v>
      </c>
      <c r="E1501" s="8" t="s">
        <v>68</v>
      </c>
      <c r="F1501" s="8" t="s">
        <v>276</v>
      </c>
      <c r="G1501" s="8" t="s">
        <v>39</v>
      </c>
      <c r="H1501" s="8" t="s">
        <v>147</v>
      </c>
      <c r="I1501" s="8" t="s">
        <v>4971</v>
      </c>
      <c r="J1501" s="10">
        <v>591</v>
      </c>
      <c r="K1501" s="11">
        <v>715.84</v>
      </c>
      <c r="L1501" s="11">
        <v>961.8</v>
      </c>
      <c r="M1501" s="11">
        <v>568423.80000000005</v>
      </c>
      <c r="N1501" s="11">
        <v>423061.44</v>
      </c>
      <c r="O1501" s="11">
        <f>CleanedData[[#This Row],[Total Sales ($)]]-CleanedData[[#This Row],[Total Cost ($)]]</f>
        <v>145362.36000000004</v>
      </c>
      <c r="P1501" s="12">
        <f>CleanedData[[#This Row],[Profit ($)]]/CleanedData[[#This Row],[Total Sales ($)]]</f>
        <v>0.25572884175504268</v>
      </c>
      <c r="Q1501" s="8" t="s">
        <v>31</v>
      </c>
      <c r="R1501" s="8" t="s">
        <v>63</v>
      </c>
      <c r="S1501" s="8" t="b">
        <f>_xlfn.SINGLE(CleanedData[[#This Row],[Delivery Status]])="Late"</f>
        <v>0</v>
      </c>
      <c r="T1501" s="10">
        <v>3</v>
      </c>
      <c r="U1501" s="8" t="s">
        <v>53</v>
      </c>
      <c r="V1501" s="10">
        <v>3651</v>
      </c>
      <c r="W1501" s="10">
        <v>16</v>
      </c>
      <c r="X1501" s="12">
        <v>2.7072758037225E-2</v>
      </c>
      <c r="Y1501" s="8" t="b">
        <f>CleanedData[[#This Row],[Ship Date]]&lt;CleanedData[[#This Row],[Order Date]]</f>
        <v>0</v>
      </c>
      <c r="Z1501" s="10">
        <f>YEAR(CleanedData[[#This Row],[Order Date]])</f>
        <v>2023</v>
      </c>
      <c r="AA1501" s="8">
        <f>MONTH(CleanedData[[#This Row],[Order Date]])</f>
        <v>3</v>
      </c>
    </row>
    <row r="1502" spans="1:27" x14ac:dyDescent="0.35">
      <c r="A1502" s="8" t="s">
        <v>3883</v>
      </c>
      <c r="B1502" s="9">
        <v>45042</v>
      </c>
      <c r="C1502" s="9">
        <v>45195</v>
      </c>
      <c r="D1502" s="8" t="s">
        <v>3884</v>
      </c>
      <c r="E1502" s="8" t="s">
        <v>58</v>
      </c>
      <c r="F1502" s="8" t="s">
        <v>417</v>
      </c>
      <c r="G1502" s="8" t="s">
        <v>217</v>
      </c>
      <c r="H1502" s="8" t="s">
        <v>725</v>
      </c>
      <c r="I1502" s="8" t="s">
        <v>4967</v>
      </c>
      <c r="J1502" s="10">
        <v>227</v>
      </c>
      <c r="K1502" s="11">
        <v>357.09</v>
      </c>
      <c r="L1502" s="11">
        <v>432.54</v>
      </c>
      <c r="M1502" s="11">
        <v>98186.58</v>
      </c>
      <c r="N1502" s="11">
        <v>81059.429999999993</v>
      </c>
      <c r="O1502" s="11">
        <f>CleanedData[[#This Row],[Total Sales ($)]]-CleanedData[[#This Row],[Total Cost ($)]]</f>
        <v>17127.150000000009</v>
      </c>
      <c r="P1502" s="12">
        <f>CleanedData[[#This Row],[Profit ($)]]/CleanedData[[#This Row],[Total Sales ($)]]</f>
        <v>0.17443473435982809</v>
      </c>
      <c r="Q1502" s="8" t="s">
        <v>95</v>
      </c>
      <c r="R1502" s="8" t="s">
        <v>63</v>
      </c>
      <c r="S1502" s="8" t="b">
        <f>_xlfn.SINGLE(CleanedData[[#This Row],[Delivery Status]])="Late"</f>
        <v>0</v>
      </c>
      <c r="T1502" s="10">
        <v>5</v>
      </c>
      <c r="U1502" s="8" t="s">
        <v>86</v>
      </c>
      <c r="V1502" s="10">
        <v>4718</v>
      </c>
      <c r="W1502" s="10">
        <v>11</v>
      </c>
      <c r="X1502" s="12">
        <v>4.8458149779735601E-2</v>
      </c>
      <c r="Y1502" s="8" t="b">
        <f>CleanedData[[#This Row],[Ship Date]]&lt;CleanedData[[#This Row],[Order Date]]</f>
        <v>0</v>
      </c>
      <c r="Z1502" s="10">
        <f>YEAR(CleanedData[[#This Row],[Order Date]])</f>
        <v>2023</v>
      </c>
      <c r="AA1502" s="8">
        <f>MONTH(CleanedData[[#This Row],[Order Date]])</f>
        <v>4</v>
      </c>
    </row>
    <row r="1503" spans="1:27" x14ac:dyDescent="0.35">
      <c r="A1503" s="8" t="s">
        <v>3885</v>
      </c>
      <c r="B1503" s="9">
        <v>45480</v>
      </c>
      <c r="C1503" s="9">
        <v>45635</v>
      </c>
      <c r="D1503" s="8" t="s">
        <v>411</v>
      </c>
      <c r="E1503" s="8" t="s">
        <v>26</v>
      </c>
      <c r="F1503" s="8" t="s">
        <v>2240</v>
      </c>
      <c r="G1503" s="8" t="s">
        <v>129</v>
      </c>
      <c r="H1503" s="8" t="s">
        <v>130</v>
      </c>
      <c r="I1503" s="8" t="s">
        <v>4967</v>
      </c>
      <c r="J1503" s="10">
        <v>422</v>
      </c>
      <c r="K1503" s="11">
        <v>1151.31</v>
      </c>
      <c r="L1503" s="11">
        <v>1429.86</v>
      </c>
      <c r="M1503" s="11">
        <v>603400.92000000004</v>
      </c>
      <c r="N1503" s="11">
        <v>485852.82</v>
      </c>
      <c r="O1503" s="11">
        <f>CleanedData[[#This Row],[Total Sales ($)]]-CleanedData[[#This Row],[Total Cost ($)]]</f>
        <v>117548.10000000003</v>
      </c>
      <c r="P1503" s="12">
        <f>CleanedData[[#This Row],[Profit ($)]]/CleanedData[[#This Row],[Total Sales ($)]]</f>
        <v>0.19480928202761114</v>
      </c>
      <c r="Q1503" s="8" t="s">
        <v>95</v>
      </c>
      <c r="R1503" s="8" t="s">
        <v>63</v>
      </c>
      <c r="S1503" s="8" t="b">
        <f>_xlfn.SINGLE(CleanedData[[#This Row],[Delivery Status]])="Late"</f>
        <v>0</v>
      </c>
      <c r="T1503" s="10">
        <v>3</v>
      </c>
      <c r="U1503" s="8" t="s">
        <v>158</v>
      </c>
      <c r="V1503" s="10">
        <v>462</v>
      </c>
      <c r="W1503" s="10">
        <v>2</v>
      </c>
      <c r="X1503" s="12">
        <v>4.7393364928909002E-3</v>
      </c>
      <c r="Y1503" s="8" t="b">
        <f>CleanedData[[#This Row],[Ship Date]]&lt;CleanedData[[#This Row],[Order Date]]</f>
        <v>0</v>
      </c>
      <c r="Z1503" s="10">
        <f>YEAR(CleanedData[[#This Row],[Order Date]])</f>
        <v>2024</v>
      </c>
      <c r="AA1503" s="8">
        <f>MONTH(CleanedData[[#This Row],[Order Date]])</f>
        <v>7</v>
      </c>
    </row>
    <row r="1504" spans="1:27" x14ac:dyDescent="0.35">
      <c r="A1504" s="8" t="s">
        <v>3886</v>
      </c>
      <c r="B1504" s="9">
        <v>45416</v>
      </c>
      <c r="C1504" s="9">
        <v>45406</v>
      </c>
      <c r="D1504" s="8" t="s">
        <v>3888</v>
      </c>
      <c r="E1504" s="8" t="s">
        <v>68</v>
      </c>
      <c r="F1504" s="8" t="s">
        <v>163</v>
      </c>
      <c r="G1504" s="8" t="s">
        <v>70</v>
      </c>
      <c r="H1504" s="8" t="s">
        <v>822</v>
      </c>
      <c r="I1504" s="8" t="s">
        <v>4978</v>
      </c>
      <c r="J1504" s="10">
        <v>26</v>
      </c>
      <c r="K1504" s="11">
        <v>958.88</v>
      </c>
      <c r="L1504" s="11">
        <v>1370.02</v>
      </c>
      <c r="M1504" s="11">
        <v>35620.519999999997</v>
      </c>
      <c r="N1504" s="11">
        <v>24930.880000000001</v>
      </c>
      <c r="O1504" s="11">
        <f>CleanedData[[#This Row],[Total Sales ($)]]-CleanedData[[#This Row],[Total Cost ($)]]</f>
        <v>10689.639999999996</v>
      </c>
      <c r="P1504" s="12">
        <f>CleanedData[[#This Row],[Profit ($)]]/CleanedData[[#This Row],[Total Sales ($)]]</f>
        <v>0.30009780879111247</v>
      </c>
      <c r="Q1504" s="8" t="s">
        <v>95</v>
      </c>
      <c r="R1504" s="8" t="s">
        <v>63</v>
      </c>
      <c r="S1504" s="8" t="b">
        <f>_xlfn.SINGLE(CleanedData[[#This Row],[Delivery Status]])="Late"</f>
        <v>0</v>
      </c>
      <c r="T1504" s="10">
        <v>1</v>
      </c>
      <c r="U1504" s="8" t="s">
        <v>43</v>
      </c>
      <c r="V1504" s="10">
        <v>3571</v>
      </c>
      <c r="W1504" s="10">
        <v>0</v>
      </c>
      <c r="X1504" s="12">
        <v>0</v>
      </c>
      <c r="Y1504" s="8" t="b">
        <f>CleanedData[[#This Row],[Ship Date]]&lt;CleanedData[[#This Row],[Order Date]]</f>
        <v>1</v>
      </c>
      <c r="Z1504" s="10">
        <f>YEAR(CleanedData[[#This Row],[Order Date]])</f>
        <v>2024</v>
      </c>
      <c r="AA1504" s="8">
        <f>MONTH(CleanedData[[#This Row],[Order Date]])</f>
        <v>5</v>
      </c>
    </row>
    <row r="1505" spans="1:27" x14ac:dyDescent="0.35">
      <c r="A1505" s="8" t="s">
        <v>3889</v>
      </c>
      <c r="B1505" s="9">
        <v>45092</v>
      </c>
      <c r="C1505" s="9">
        <v>45246</v>
      </c>
      <c r="D1505" s="8" t="s">
        <v>3890</v>
      </c>
      <c r="E1505" s="8" t="s">
        <v>48</v>
      </c>
      <c r="F1505" s="8" t="s">
        <v>49</v>
      </c>
      <c r="G1505" s="8" t="s">
        <v>70</v>
      </c>
      <c r="H1505" s="8" t="s">
        <v>623</v>
      </c>
      <c r="I1505" s="8" t="s">
        <v>4978</v>
      </c>
      <c r="J1505" s="10">
        <v>237</v>
      </c>
      <c r="K1505" s="11">
        <v>340.7</v>
      </c>
      <c r="L1505" s="11">
        <v>429.86</v>
      </c>
      <c r="M1505" s="11">
        <v>101876.82</v>
      </c>
      <c r="N1505" s="11">
        <v>80745.899999999994</v>
      </c>
      <c r="O1505" s="11">
        <f>CleanedData[[#This Row],[Total Sales ($)]]-CleanedData[[#This Row],[Total Cost ($)]]</f>
        <v>21130.920000000013</v>
      </c>
      <c r="P1505" s="12">
        <f>CleanedData[[#This Row],[Profit ($)]]/CleanedData[[#This Row],[Total Sales ($)]]</f>
        <v>0.20741636811985309</v>
      </c>
      <c r="Q1505" s="8" t="s">
        <v>31</v>
      </c>
      <c r="R1505" s="8" t="s">
        <v>32</v>
      </c>
      <c r="S1505" s="8" t="b">
        <f>_xlfn.SINGLE(CleanedData[[#This Row],[Delivery Status]])="Late"</f>
        <v>1</v>
      </c>
      <c r="T1505" s="10">
        <v>8</v>
      </c>
      <c r="U1505" s="8" t="s">
        <v>86</v>
      </c>
      <c r="V1505" s="10">
        <v>4364</v>
      </c>
      <c r="W1505" s="10">
        <v>0</v>
      </c>
      <c r="X1505" s="12">
        <v>0</v>
      </c>
      <c r="Y1505" s="8" t="b">
        <f>CleanedData[[#This Row],[Ship Date]]&lt;CleanedData[[#This Row],[Order Date]]</f>
        <v>0</v>
      </c>
      <c r="Z1505" s="10">
        <f>YEAR(CleanedData[[#This Row],[Order Date]])</f>
        <v>2023</v>
      </c>
      <c r="AA1505" s="8">
        <f>MONTH(CleanedData[[#This Row],[Order Date]])</f>
        <v>6</v>
      </c>
    </row>
    <row r="1506" spans="1:27" x14ac:dyDescent="0.35">
      <c r="A1506" s="8" t="s">
        <v>3891</v>
      </c>
      <c r="B1506" s="9">
        <v>45307</v>
      </c>
      <c r="C1506" s="9">
        <v>45641</v>
      </c>
      <c r="D1506" s="8" t="s">
        <v>3171</v>
      </c>
      <c r="E1506" s="8" t="s">
        <v>58</v>
      </c>
      <c r="F1506" s="8" t="s">
        <v>116</v>
      </c>
      <c r="G1506" s="8" t="s">
        <v>217</v>
      </c>
      <c r="H1506" s="8" t="s">
        <v>218</v>
      </c>
      <c r="I1506" s="8" t="s">
        <v>4968</v>
      </c>
      <c r="J1506" s="10">
        <v>32</v>
      </c>
      <c r="K1506" s="11">
        <v>1054.9100000000001</v>
      </c>
      <c r="L1506" s="11">
        <v>1371.43</v>
      </c>
      <c r="M1506" s="11">
        <v>43885.760000000002</v>
      </c>
      <c r="N1506" s="11">
        <v>33757.120000000003</v>
      </c>
      <c r="O1506" s="11">
        <f>CleanedData[[#This Row],[Total Sales ($)]]-CleanedData[[#This Row],[Total Cost ($)]]</f>
        <v>10128.64</v>
      </c>
      <c r="P1506" s="12">
        <f>CleanedData[[#This Row],[Profit ($)]]/CleanedData[[#This Row],[Total Sales ($)]]</f>
        <v>0.23079559292125734</v>
      </c>
      <c r="Q1506" s="8" t="s">
        <v>31</v>
      </c>
      <c r="R1506" s="8" t="s">
        <v>32</v>
      </c>
      <c r="S1506" s="8" t="b">
        <f>_xlfn.SINGLE(CleanedData[[#This Row],[Delivery Status]])="Late"</f>
        <v>1</v>
      </c>
      <c r="T1506" s="10">
        <v>15</v>
      </c>
      <c r="U1506" s="8" t="s">
        <v>43</v>
      </c>
      <c r="V1506" s="10">
        <v>3083</v>
      </c>
      <c r="W1506" s="10">
        <v>0</v>
      </c>
      <c r="X1506" s="12">
        <v>0</v>
      </c>
      <c r="Y1506" s="8" t="b">
        <f>CleanedData[[#This Row],[Ship Date]]&lt;CleanedData[[#This Row],[Order Date]]</f>
        <v>0</v>
      </c>
      <c r="Z1506" s="10">
        <f>YEAR(CleanedData[[#This Row],[Order Date]])</f>
        <v>2024</v>
      </c>
      <c r="AA1506" s="8">
        <f>MONTH(CleanedData[[#This Row],[Order Date]])</f>
        <v>1</v>
      </c>
    </row>
    <row r="1507" spans="1:27" x14ac:dyDescent="0.35">
      <c r="A1507" s="8" t="s">
        <v>3893</v>
      </c>
      <c r="B1507" s="9">
        <v>45348</v>
      </c>
      <c r="C1507" s="9">
        <v>45526</v>
      </c>
      <c r="D1507" s="8" t="s">
        <v>3894</v>
      </c>
      <c r="E1507" s="8" t="s">
        <v>48</v>
      </c>
      <c r="F1507" s="8" t="s">
        <v>183</v>
      </c>
      <c r="G1507" s="8" t="s">
        <v>217</v>
      </c>
      <c r="H1507" s="8" t="s">
        <v>335</v>
      </c>
      <c r="I1507" s="8" t="s">
        <v>4968</v>
      </c>
      <c r="J1507" s="10">
        <v>-1</v>
      </c>
      <c r="K1507" s="11">
        <v>829.42</v>
      </c>
      <c r="L1507" s="11">
        <v>1225.6099999999999</v>
      </c>
      <c r="M1507" s="11">
        <v>919207.5</v>
      </c>
      <c r="N1507" s="11">
        <v>622065</v>
      </c>
      <c r="O1507" s="11">
        <f>CleanedData[[#This Row],[Total Sales ($)]]-CleanedData[[#This Row],[Total Cost ($)]]</f>
        <v>297142.5</v>
      </c>
      <c r="P1507" s="12">
        <f>CleanedData[[#This Row],[Profit ($)]]/CleanedData[[#This Row],[Total Sales ($)]]</f>
        <v>0.32325943815732572</v>
      </c>
      <c r="Q1507" s="8" t="s">
        <v>52</v>
      </c>
      <c r="R1507" s="8" t="s">
        <v>63</v>
      </c>
      <c r="S1507" s="8" t="b">
        <f>_xlfn.SINGLE(CleanedData[[#This Row],[Delivery Status]])="Late"</f>
        <v>0</v>
      </c>
      <c r="T1507" s="10">
        <v>2</v>
      </c>
      <c r="U1507" s="8" t="s">
        <v>86</v>
      </c>
      <c r="V1507" s="10">
        <v>1582</v>
      </c>
      <c r="W1507" s="10">
        <v>7</v>
      </c>
      <c r="X1507" s="12"/>
      <c r="Y1507" s="8" t="b">
        <f>CleanedData[[#This Row],[Ship Date]]&lt;CleanedData[[#This Row],[Order Date]]</f>
        <v>0</v>
      </c>
      <c r="Z1507" s="10">
        <f>YEAR(CleanedData[[#This Row],[Order Date]])</f>
        <v>2024</v>
      </c>
      <c r="AA1507" s="8">
        <f>MONTH(CleanedData[[#This Row],[Order Date]])</f>
        <v>2</v>
      </c>
    </row>
    <row r="1508" spans="1:27" x14ac:dyDescent="0.35">
      <c r="A1508" s="8" t="s">
        <v>3895</v>
      </c>
      <c r="B1508" s="9">
        <v>45298</v>
      </c>
      <c r="C1508" s="9">
        <v>45525</v>
      </c>
      <c r="D1508" s="8" t="s">
        <v>3897</v>
      </c>
      <c r="E1508" s="8" t="s">
        <v>100</v>
      </c>
      <c r="F1508" s="8" t="s">
        <v>4972</v>
      </c>
      <c r="G1508" s="8" t="s">
        <v>60</v>
      </c>
      <c r="H1508" s="8" t="s">
        <v>164</v>
      </c>
      <c r="I1508" s="8" t="s">
        <v>4967</v>
      </c>
      <c r="J1508" s="10">
        <v>602</v>
      </c>
      <c r="K1508" s="11">
        <v>591.52</v>
      </c>
      <c r="L1508" s="11">
        <v>787.38</v>
      </c>
      <c r="M1508" s="11">
        <v>474002.76</v>
      </c>
      <c r="N1508" s="11">
        <v>356095.04</v>
      </c>
      <c r="O1508" s="11">
        <f>CleanedData[[#This Row],[Total Sales ($)]]-CleanedData[[#This Row],[Total Cost ($)]]</f>
        <v>117907.72000000003</v>
      </c>
      <c r="P1508" s="12">
        <f>CleanedData[[#This Row],[Profit ($)]]/CleanedData[[#This Row],[Total Sales ($)]]</f>
        <v>0.24874901572303088</v>
      </c>
      <c r="Q1508" s="8" t="s">
        <v>52</v>
      </c>
      <c r="R1508" s="8" t="s">
        <v>32</v>
      </c>
      <c r="S1508" s="8" t="b">
        <f>_xlfn.SINGLE(CleanedData[[#This Row],[Delivery Status]])="Late"</f>
        <v>1</v>
      </c>
      <c r="T1508" s="10">
        <v>6</v>
      </c>
      <c r="U1508" s="8" t="s">
        <v>33</v>
      </c>
      <c r="V1508" s="10">
        <v>4915</v>
      </c>
      <c r="W1508" s="10">
        <v>22</v>
      </c>
      <c r="X1508" s="12">
        <v>3.6544850498338798E-2</v>
      </c>
      <c r="Y1508" s="8" t="b">
        <f>CleanedData[[#This Row],[Ship Date]]&lt;CleanedData[[#This Row],[Order Date]]</f>
        <v>0</v>
      </c>
      <c r="Z1508" s="10">
        <f>YEAR(CleanedData[[#This Row],[Order Date]])</f>
        <v>2024</v>
      </c>
      <c r="AA1508" s="8">
        <f>MONTH(CleanedData[[#This Row],[Order Date]])</f>
        <v>1</v>
      </c>
    </row>
    <row r="1509" spans="1:27" x14ac:dyDescent="0.35">
      <c r="A1509" s="8" t="s">
        <v>3898</v>
      </c>
      <c r="B1509" s="9">
        <v>45139</v>
      </c>
      <c r="C1509" s="9">
        <v>45251</v>
      </c>
      <c r="D1509" s="8" t="s">
        <v>1405</v>
      </c>
      <c r="E1509" s="8" t="s">
        <v>48</v>
      </c>
      <c r="F1509" s="8" t="s">
        <v>281</v>
      </c>
      <c r="G1509" s="8" t="s">
        <v>217</v>
      </c>
      <c r="H1509" s="8" t="s">
        <v>335</v>
      </c>
      <c r="I1509" s="8" t="s">
        <v>4978</v>
      </c>
      <c r="J1509" s="10">
        <v>436</v>
      </c>
      <c r="K1509" s="11">
        <v>0</v>
      </c>
      <c r="L1509" s="11">
        <v>123.03</v>
      </c>
      <c r="M1509" s="11">
        <v>53641.08</v>
      </c>
      <c r="N1509" s="11">
        <v>34757.919999999998</v>
      </c>
      <c r="O1509" s="11">
        <f>CleanedData[[#This Row],[Total Sales ($)]]-CleanedData[[#This Row],[Total Cost ($)]]</f>
        <v>18883.160000000003</v>
      </c>
      <c r="P1509" s="12">
        <f>CleanedData[[#This Row],[Profit ($)]]/CleanedData[[#This Row],[Total Sales ($)]]</f>
        <v>0.35202796066000169</v>
      </c>
      <c r="Q1509" s="8" t="s">
        <v>52</v>
      </c>
      <c r="R1509" s="8" t="s">
        <v>32</v>
      </c>
      <c r="S1509" s="8" t="b">
        <f>_xlfn.SINGLE(CleanedData[[#This Row],[Delivery Status]])="Late"</f>
        <v>1</v>
      </c>
      <c r="T1509" s="10">
        <v>10</v>
      </c>
      <c r="U1509" s="8" t="s">
        <v>53</v>
      </c>
      <c r="V1509" s="10">
        <v>327</v>
      </c>
      <c r="W1509" s="10">
        <v>6</v>
      </c>
      <c r="X1509" s="12">
        <v>1.37614678899082E-2</v>
      </c>
      <c r="Y1509" s="8" t="b">
        <f>CleanedData[[#This Row],[Ship Date]]&lt;CleanedData[[#This Row],[Order Date]]</f>
        <v>0</v>
      </c>
      <c r="Z1509" s="10">
        <f>YEAR(CleanedData[[#This Row],[Order Date]])</f>
        <v>2023</v>
      </c>
      <c r="AA1509" s="8">
        <f>MONTH(CleanedData[[#This Row],[Order Date]])</f>
        <v>8</v>
      </c>
    </row>
    <row r="1510" spans="1:27" x14ac:dyDescent="0.35">
      <c r="A1510" s="8" t="s">
        <v>3899</v>
      </c>
      <c r="B1510" s="9">
        <v>45153</v>
      </c>
      <c r="C1510" s="9">
        <v>45029</v>
      </c>
      <c r="D1510" s="8" t="s">
        <v>3900</v>
      </c>
      <c r="E1510" s="8" t="s">
        <v>100</v>
      </c>
      <c r="F1510" s="8" t="s">
        <v>538</v>
      </c>
      <c r="G1510" s="8" t="s">
        <v>129</v>
      </c>
      <c r="H1510" s="8" t="s">
        <v>152</v>
      </c>
      <c r="I1510" s="8" t="s">
        <v>4979</v>
      </c>
      <c r="J1510" s="10">
        <v>507</v>
      </c>
      <c r="K1510" s="11">
        <v>346.91</v>
      </c>
      <c r="L1510" s="11">
        <v>479.72</v>
      </c>
      <c r="M1510" s="11">
        <v>243218.04</v>
      </c>
      <c r="N1510" s="11">
        <v>175883.37</v>
      </c>
      <c r="O1510" s="11">
        <f>CleanedData[[#This Row],[Total Sales ($)]]-CleanedData[[#This Row],[Total Cost ($)]]</f>
        <v>67334.670000000013</v>
      </c>
      <c r="P1510" s="12">
        <f>CleanedData[[#This Row],[Profit ($)]]/CleanedData[[#This Row],[Total Sales ($)]]</f>
        <v>0.27684899524722761</v>
      </c>
      <c r="Q1510" s="8" t="s">
        <v>52</v>
      </c>
      <c r="R1510" s="8" t="s">
        <v>32</v>
      </c>
      <c r="S1510" s="8" t="b">
        <f>_xlfn.SINGLE(CleanedData[[#This Row],[Delivery Status]])="Late"</f>
        <v>1</v>
      </c>
      <c r="T1510" s="10">
        <v>8</v>
      </c>
      <c r="U1510" s="8" t="s">
        <v>33</v>
      </c>
      <c r="V1510" s="10">
        <v>70</v>
      </c>
      <c r="W1510" s="10">
        <v>22</v>
      </c>
      <c r="X1510" s="12">
        <v>4.33925049309664E-2</v>
      </c>
      <c r="Y1510" s="8" t="b">
        <f>CleanedData[[#This Row],[Ship Date]]&lt;CleanedData[[#This Row],[Order Date]]</f>
        <v>1</v>
      </c>
      <c r="Z1510" s="10">
        <f>YEAR(CleanedData[[#This Row],[Order Date]])</f>
        <v>2023</v>
      </c>
      <c r="AA1510" s="8">
        <f>MONTH(CleanedData[[#This Row],[Order Date]])</f>
        <v>8</v>
      </c>
    </row>
    <row r="1511" spans="1:27" x14ac:dyDescent="0.35">
      <c r="A1511" s="8" t="s">
        <v>3901</v>
      </c>
      <c r="B1511" s="9">
        <v>45220</v>
      </c>
      <c r="C1511" s="9">
        <v>44961</v>
      </c>
      <c r="D1511" s="8" t="s">
        <v>3902</v>
      </c>
      <c r="E1511" s="8" t="s">
        <v>100</v>
      </c>
      <c r="F1511" s="8" t="s">
        <v>101</v>
      </c>
      <c r="G1511" s="8" t="s">
        <v>60</v>
      </c>
      <c r="H1511" s="8" t="s">
        <v>834</v>
      </c>
      <c r="I1511" s="8" t="s">
        <v>4977</v>
      </c>
      <c r="J1511" s="10">
        <v>512</v>
      </c>
      <c r="K1511" s="11">
        <v>239.27</v>
      </c>
      <c r="L1511" s="11">
        <v>376.08</v>
      </c>
      <c r="M1511" s="11">
        <v>192552.95999999999</v>
      </c>
      <c r="N1511" s="11">
        <v>122506.24000000001</v>
      </c>
      <c r="O1511" s="11">
        <f>CleanedData[[#This Row],[Total Sales ($)]]-CleanedData[[#This Row],[Total Cost ($)]]</f>
        <v>70046.719999999987</v>
      </c>
      <c r="P1511" s="12">
        <f>CleanedData[[#This Row],[Profit ($)]]/CleanedData[[#This Row],[Total Sales ($)]]</f>
        <v>0.36377898319506485</v>
      </c>
      <c r="Q1511" s="8" t="s">
        <v>31</v>
      </c>
      <c r="R1511" s="8" t="s">
        <v>32</v>
      </c>
      <c r="S1511" s="8" t="b">
        <f>_xlfn.SINGLE(CleanedData[[#This Row],[Delivery Status]])="Late"</f>
        <v>1</v>
      </c>
      <c r="T1511" s="10">
        <v>12</v>
      </c>
      <c r="U1511" s="8" t="s">
        <v>112</v>
      </c>
      <c r="V1511" s="10">
        <v>948</v>
      </c>
      <c r="W1511" s="10">
        <v>7</v>
      </c>
      <c r="X1511" s="12">
        <v>1.3671875E-2</v>
      </c>
      <c r="Y1511" s="8" t="b">
        <f>CleanedData[[#This Row],[Ship Date]]&lt;CleanedData[[#This Row],[Order Date]]</f>
        <v>1</v>
      </c>
      <c r="Z1511" s="10">
        <f>YEAR(CleanedData[[#This Row],[Order Date]])</f>
        <v>2023</v>
      </c>
      <c r="AA1511" s="8">
        <f>MONTH(CleanedData[[#This Row],[Order Date]])</f>
        <v>10</v>
      </c>
    </row>
    <row r="1512" spans="1:27" x14ac:dyDescent="0.35">
      <c r="A1512" s="8" t="s">
        <v>3903</v>
      </c>
      <c r="B1512" s="9">
        <v>45054</v>
      </c>
      <c r="C1512" s="9">
        <v>45049</v>
      </c>
      <c r="D1512" s="8" t="s">
        <v>3904</v>
      </c>
      <c r="E1512" s="8" t="s">
        <v>26</v>
      </c>
      <c r="F1512" s="8" t="s">
        <v>27</v>
      </c>
      <c r="G1512" s="8" t="s">
        <v>50</v>
      </c>
      <c r="H1512" s="8" t="s">
        <v>107</v>
      </c>
      <c r="I1512" s="8" t="s">
        <v>1335</v>
      </c>
      <c r="J1512" s="10">
        <v>688</v>
      </c>
      <c r="K1512" s="11">
        <v>1012.38</v>
      </c>
      <c r="L1512" s="11">
        <v>1288.6199999999999</v>
      </c>
      <c r="M1512" s="11">
        <v>886570.56</v>
      </c>
      <c r="N1512" s="11">
        <v>696517.44</v>
      </c>
      <c r="O1512" s="11">
        <f>CleanedData[[#This Row],[Total Sales ($)]]-CleanedData[[#This Row],[Total Cost ($)]]</f>
        <v>190053.12000000011</v>
      </c>
      <c r="P1512" s="12">
        <f>CleanedData[[#This Row],[Profit ($)]]/CleanedData[[#This Row],[Total Sales ($)]]</f>
        <v>0.21436885971038797</v>
      </c>
      <c r="Q1512" s="8" t="s">
        <v>52</v>
      </c>
      <c r="R1512" s="8" t="s">
        <v>32</v>
      </c>
      <c r="S1512" s="8" t="b">
        <f>_xlfn.SINGLE(CleanedData[[#This Row],[Delivery Status]])="Late"</f>
        <v>1</v>
      </c>
      <c r="T1512" s="10">
        <v>13</v>
      </c>
      <c r="U1512" s="8" t="s">
        <v>158</v>
      </c>
      <c r="V1512" s="10">
        <v>4640</v>
      </c>
      <c r="W1512" s="10">
        <v>0</v>
      </c>
      <c r="X1512" s="12">
        <v>0</v>
      </c>
      <c r="Y1512" s="8" t="b">
        <f>CleanedData[[#This Row],[Ship Date]]&lt;CleanedData[[#This Row],[Order Date]]</f>
        <v>1</v>
      </c>
      <c r="Z1512" s="10">
        <f>YEAR(CleanedData[[#This Row],[Order Date]])</f>
        <v>2023</v>
      </c>
      <c r="AA1512" s="8">
        <f>MONTH(CleanedData[[#This Row],[Order Date]])</f>
        <v>5</v>
      </c>
    </row>
    <row r="1513" spans="1:27" x14ac:dyDescent="0.35">
      <c r="A1513" s="8" t="s">
        <v>3905</v>
      </c>
      <c r="B1513" s="9">
        <v>45148</v>
      </c>
      <c r="C1513" s="9">
        <v>45087</v>
      </c>
      <c r="D1513" s="8" t="s">
        <v>3907</v>
      </c>
      <c r="E1513" s="8" t="s">
        <v>26</v>
      </c>
      <c r="F1513" s="8" t="s">
        <v>228</v>
      </c>
      <c r="G1513" s="8" t="s">
        <v>60</v>
      </c>
      <c r="H1513" s="8" t="s">
        <v>61</v>
      </c>
      <c r="I1513" s="8" t="s">
        <v>4979</v>
      </c>
      <c r="J1513" s="10">
        <v>196</v>
      </c>
      <c r="K1513" s="11">
        <v>1048.44</v>
      </c>
      <c r="L1513" s="11">
        <v>1646.28</v>
      </c>
      <c r="M1513" s="11">
        <v>322670.88</v>
      </c>
      <c r="N1513" s="11">
        <v>205494.24</v>
      </c>
      <c r="O1513" s="11">
        <f>CleanedData[[#This Row],[Total Sales ($)]]-CleanedData[[#This Row],[Total Cost ($)]]</f>
        <v>117176.64000000001</v>
      </c>
      <c r="P1513" s="12">
        <f>CleanedData[[#This Row],[Profit ($)]]/CleanedData[[#This Row],[Total Sales ($)]]</f>
        <v>0.36314600189518192</v>
      </c>
      <c r="Q1513" s="8" t="s">
        <v>95</v>
      </c>
      <c r="R1513" s="8" t="s">
        <v>32</v>
      </c>
      <c r="S1513" s="8" t="b">
        <f>_xlfn.SINGLE(CleanedData[[#This Row],[Delivery Status]])="Late"</f>
        <v>1</v>
      </c>
      <c r="T1513" s="10">
        <v>10</v>
      </c>
      <c r="U1513" s="8" t="s">
        <v>43</v>
      </c>
      <c r="V1513" s="10">
        <v>1734</v>
      </c>
      <c r="W1513" s="10">
        <v>9</v>
      </c>
      <c r="X1513" s="12">
        <v>4.5918367346938702E-2</v>
      </c>
      <c r="Y1513" s="8" t="b">
        <f>CleanedData[[#This Row],[Ship Date]]&lt;CleanedData[[#This Row],[Order Date]]</f>
        <v>1</v>
      </c>
      <c r="Z1513" s="10">
        <f>YEAR(CleanedData[[#This Row],[Order Date]])</f>
        <v>2023</v>
      </c>
      <c r="AA1513" s="8">
        <f>MONTH(CleanedData[[#This Row],[Order Date]])</f>
        <v>8</v>
      </c>
    </row>
    <row r="1514" spans="1:27" x14ac:dyDescent="0.35">
      <c r="A1514" s="8" t="s">
        <v>3908</v>
      </c>
      <c r="B1514" s="9">
        <v>45212</v>
      </c>
      <c r="C1514" s="9">
        <v>44967</v>
      </c>
      <c r="D1514" s="8" t="s">
        <v>3909</v>
      </c>
      <c r="E1514" s="8" t="s">
        <v>100</v>
      </c>
      <c r="F1514" s="8" t="s">
        <v>538</v>
      </c>
      <c r="G1514" s="8" t="s">
        <v>129</v>
      </c>
      <c r="H1514" s="8" t="s">
        <v>130</v>
      </c>
      <c r="I1514" s="8" t="s">
        <v>4974</v>
      </c>
      <c r="J1514" s="10">
        <v>734</v>
      </c>
      <c r="K1514" s="11">
        <v>850.74</v>
      </c>
      <c r="L1514" s="11">
        <v>1256.1400000000001</v>
      </c>
      <c r="M1514" s="11">
        <v>922006.76</v>
      </c>
      <c r="N1514" s="11">
        <v>624443.16</v>
      </c>
      <c r="O1514" s="11">
        <f>CleanedData[[#This Row],[Total Sales ($)]]-CleanedData[[#This Row],[Total Cost ($)]]</f>
        <v>297563.59999999998</v>
      </c>
      <c r="P1514" s="12">
        <f>CleanedData[[#This Row],[Profit ($)]]/CleanedData[[#This Row],[Total Sales ($)]]</f>
        <v>0.32273472702087347</v>
      </c>
      <c r="Q1514" s="8" t="s">
        <v>52</v>
      </c>
      <c r="R1514" s="8" t="s">
        <v>32</v>
      </c>
      <c r="S1514" s="8" t="b">
        <f>_xlfn.SINGLE(CleanedData[[#This Row],[Delivery Status]])="Late"</f>
        <v>1</v>
      </c>
      <c r="T1514" s="10">
        <v>14</v>
      </c>
      <c r="U1514" s="8" t="s">
        <v>112</v>
      </c>
      <c r="V1514" s="10">
        <v>2864</v>
      </c>
      <c r="W1514" s="10">
        <v>13</v>
      </c>
      <c r="X1514" s="12">
        <v>1.77111716621253E-2</v>
      </c>
      <c r="Y1514" s="8" t="b">
        <f>CleanedData[[#This Row],[Ship Date]]&lt;CleanedData[[#This Row],[Order Date]]</f>
        <v>1</v>
      </c>
      <c r="Z1514" s="10">
        <f>YEAR(CleanedData[[#This Row],[Order Date]])</f>
        <v>2023</v>
      </c>
      <c r="AA1514" s="8">
        <f>MONTH(CleanedData[[#This Row],[Order Date]])</f>
        <v>10</v>
      </c>
    </row>
    <row r="1515" spans="1:27" x14ac:dyDescent="0.35">
      <c r="A1515" s="8" t="s">
        <v>3910</v>
      </c>
      <c r="B1515" s="9">
        <v>45185</v>
      </c>
      <c r="C1515" s="9">
        <v>45072</v>
      </c>
      <c r="D1515" s="8" t="s">
        <v>3911</v>
      </c>
      <c r="E1515" s="8" t="s">
        <v>58</v>
      </c>
      <c r="F1515" s="8" t="s">
        <v>417</v>
      </c>
      <c r="G1515" s="8" t="s">
        <v>78</v>
      </c>
      <c r="H1515" s="8" t="s">
        <v>123</v>
      </c>
      <c r="I1515" s="8" t="s">
        <v>4975</v>
      </c>
      <c r="J1515" s="10">
        <v>612</v>
      </c>
      <c r="K1515" s="11">
        <v>307.08999999999997</v>
      </c>
      <c r="L1515" s="11">
        <v>365.66</v>
      </c>
      <c r="M1515" s="11">
        <v>223783.92</v>
      </c>
      <c r="N1515" s="11">
        <v>187939.08</v>
      </c>
      <c r="O1515" s="11">
        <f>CleanedData[[#This Row],[Total Sales ($)]]-CleanedData[[#This Row],[Total Cost ($)]]</f>
        <v>35844.840000000026</v>
      </c>
      <c r="P1515" s="12">
        <f>CleanedData[[#This Row],[Profit ($)]]/CleanedData[[#This Row],[Total Sales ($)]]</f>
        <v>0.1601761198927967</v>
      </c>
      <c r="Q1515" s="8" t="s">
        <v>52</v>
      </c>
      <c r="R1515" s="8" t="s">
        <v>32</v>
      </c>
      <c r="S1515" s="8" t="b">
        <f>_xlfn.SINGLE(CleanedData[[#This Row],[Delivery Status]])="Late"</f>
        <v>1</v>
      </c>
      <c r="T1515" s="10">
        <v>13</v>
      </c>
      <c r="U1515" s="8" t="s">
        <v>112</v>
      </c>
      <c r="V1515" s="10">
        <v>2088</v>
      </c>
      <c r="W1515" s="10">
        <v>16</v>
      </c>
      <c r="X1515" s="12">
        <v>2.61437908496732E-2</v>
      </c>
      <c r="Y1515" s="8" t="b">
        <f>CleanedData[[#This Row],[Ship Date]]&lt;CleanedData[[#This Row],[Order Date]]</f>
        <v>1</v>
      </c>
      <c r="Z1515" s="10">
        <f>YEAR(CleanedData[[#This Row],[Order Date]])</f>
        <v>2023</v>
      </c>
      <c r="AA1515" s="8">
        <f>MONTH(CleanedData[[#This Row],[Order Date]])</f>
        <v>9</v>
      </c>
    </row>
    <row r="1516" spans="1:27" x14ac:dyDescent="0.35">
      <c r="A1516" s="8" t="s">
        <v>3912</v>
      </c>
      <c r="B1516" s="9">
        <v>44975</v>
      </c>
      <c r="C1516" s="9">
        <v>45225</v>
      </c>
      <c r="D1516" s="8" t="s">
        <v>3913</v>
      </c>
      <c r="E1516" s="8" t="s">
        <v>58</v>
      </c>
      <c r="F1516" s="8" t="s">
        <v>417</v>
      </c>
      <c r="G1516" s="8" t="s">
        <v>28</v>
      </c>
      <c r="H1516" s="8" t="s">
        <v>674</v>
      </c>
      <c r="I1516" s="8" t="s">
        <v>4969</v>
      </c>
      <c r="J1516" s="10">
        <v>703</v>
      </c>
      <c r="K1516" s="11">
        <v>700.93</v>
      </c>
      <c r="L1516" s="11">
        <v>1032.05</v>
      </c>
      <c r="M1516" s="11">
        <v>725531.15</v>
      </c>
      <c r="N1516" s="11">
        <v>492753.79</v>
      </c>
      <c r="O1516" s="11">
        <f>CleanedData[[#This Row],[Total Sales ($)]]-CleanedData[[#This Row],[Total Cost ($)]]</f>
        <v>232777.36000000004</v>
      </c>
      <c r="P1516" s="12">
        <f>CleanedData[[#This Row],[Profit ($)]]/CleanedData[[#This Row],[Total Sales ($)]]</f>
        <v>0.32083716874182455</v>
      </c>
      <c r="Q1516" s="8" t="s">
        <v>31</v>
      </c>
      <c r="R1516" s="8" t="s">
        <v>32</v>
      </c>
      <c r="S1516" s="8" t="b">
        <f>_xlfn.SINGLE(CleanedData[[#This Row],[Delivery Status]])="Late"</f>
        <v>1</v>
      </c>
      <c r="T1516" s="10">
        <v>15</v>
      </c>
      <c r="U1516" s="8" t="s">
        <v>43</v>
      </c>
      <c r="V1516" s="10">
        <v>481</v>
      </c>
      <c r="W1516" s="10">
        <v>19</v>
      </c>
      <c r="X1516" s="12">
        <v>2.7027027027027001E-2</v>
      </c>
      <c r="Y1516" s="8" t="b">
        <f>CleanedData[[#This Row],[Ship Date]]&lt;CleanedData[[#This Row],[Order Date]]</f>
        <v>0</v>
      </c>
      <c r="Z1516" s="10">
        <f>YEAR(CleanedData[[#This Row],[Order Date]])</f>
        <v>2023</v>
      </c>
      <c r="AA1516" s="8">
        <f>MONTH(CleanedData[[#This Row],[Order Date]])</f>
        <v>2</v>
      </c>
    </row>
    <row r="1517" spans="1:27" x14ac:dyDescent="0.35">
      <c r="A1517" s="8" t="s">
        <v>3914</v>
      </c>
      <c r="B1517" s="9">
        <v>45218</v>
      </c>
      <c r="C1517" s="9">
        <v>44972</v>
      </c>
      <c r="D1517" s="8" t="s">
        <v>3915</v>
      </c>
      <c r="E1517" s="8" t="s">
        <v>58</v>
      </c>
      <c r="F1517" s="8" t="s">
        <v>116</v>
      </c>
      <c r="G1517" s="8" t="s">
        <v>189</v>
      </c>
      <c r="H1517" s="8" t="s">
        <v>190</v>
      </c>
      <c r="I1517" s="8" t="s">
        <v>4974</v>
      </c>
      <c r="J1517" s="10">
        <v>203</v>
      </c>
      <c r="K1517" s="11">
        <v>567.23</v>
      </c>
      <c r="L1517" s="11">
        <v>813.03</v>
      </c>
      <c r="M1517" s="11">
        <v>165045.09</v>
      </c>
      <c r="N1517" s="11">
        <v>115147.69</v>
      </c>
      <c r="O1517" s="11">
        <f>CleanedData[[#This Row],[Total Sales ($)]]-CleanedData[[#This Row],[Total Cost ($)]]</f>
        <v>49897.399999999994</v>
      </c>
      <c r="P1517" s="12">
        <f>CleanedData[[#This Row],[Profit ($)]]/CleanedData[[#This Row],[Total Sales ($)]]</f>
        <v>0.30232586743416601</v>
      </c>
      <c r="Q1517" s="8" t="s">
        <v>31</v>
      </c>
      <c r="R1517" s="8" t="s">
        <v>63</v>
      </c>
      <c r="S1517" s="8" t="b">
        <f>_xlfn.SINGLE(CleanedData[[#This Row],[Delivery Status]])="Late"</f>
        <v>0</v>
      </c>
      <c r="T1517" s="10">
        <v>5</v>
      </c>
      <c r="U1517" s="8" t="s">
        <v>158</v>
      </c>
      <c r="V1517" s="10">
        <v>2840</v>
      </c>
      <c r="W1517" s="10">
        <v>2</v>
      </c>
      <c r="X1517" s="12">
        <v>9.8522167487684002E-3</v>
      </c>
      <c r="Y1517" s="8" t="b">
        <f>CleanedData[[#This Row],[Ship Date]]&lt;CleanedData[[#This Row],[Order Date]]</f>
        <v>1</v>
      </c>
      <c r="Z1517" s="10">
        <f>YEAR(CleanedData[[#This Row],[Order Date]])</f>
        <v>2023</v>
      </c>
      <c r="AA1517" s="8">
        <f>MONTH(CleanedData[[#This Row],[Order Date]])</f>
        <v>10</v>
      </c>
    </row>
    <row r="1518" spans="1:27" x14ac:dyDescent="0.35">
      <c r="A1518" s="8" t="s">
        <v>3916</v>
      </c>
      <c r="B1518" s="9">
        <v>45593</v>
      </c>
      <c r="C1518" s="9">
        <v>45361</v>
      </c>
      <c r="D1518" s="8" t="s">
        <v>3917</v>
      </c>
      <c r="E1518" s="8" t="s">
        <v>48</v>
      </c>
      <c r="F1518" s="8" t="s">
        <v>223</v>
      </c>
      <c r="G1518" s="8" t="s">
        <v>60</v>
      </c>
      <c r="H1518" s="8" t="s">
        <v>164</v>
      </c>
      <c r="I1518" s="8" t="s">
        <v>4973</v>
      </c>
      <c r="J1518" s="10">
        <v>588</v>
      </c>
      <c r="K1518" s="11">
        <v>375.41</v>
      </c>
      <c r="L1518" s="11">
        <v>586.1</v>
      </c>
      <c r="M1518" s="11">
        <v>344626.8</v>
      </c>
      <c r="N1518" s="11">
        <v>220741.08</v>
      </c>
      <c r="O1518" s="11">
        <f>CleanedData[[#This Row],[Total Sales ($)]]-CleanedData[[#This Row],[Total Cost ($)]]</f>
        <v>123885.72</v>
      </c>
      <c r="P1518" s="12">
        <f>CleanedData[[#This Row],[Profit ($)]]/CleanedData[[#This Row],[Total Sales ($)]]</f>
        <v>0.35947790479440372</v>
      </c>
      <c r="Q1518" s="8" t="s">
        <v>52</v>
      </c>
      <c r="R1518" s="8" t="s">
        <v>32</v>
      </c>
      <c r="S1518" s="8" t="b">
        <f>_xlfn.SINGLE(CleanedData[[#This Row],[Delivery Status]])="Late"</f>
        <v>1</v>
      </c>
      <c r="T1518" s="10">
        <v>7</v>
      </c>
      <c r="U1518" s="8" t="s">
        <v>112</v>
      </c>
      <c r="V1518" s="10">
        <v>4085</v>
      </c>
      <c r="W1518" s="10">
        <v>17</v>
      </c>
      <c r="X1518" s="12">
        <v>2.8911564625850299E-2</v>
      </c>
      <c r="Y1518" s="8" t="b">
        <f>CleanedData[[#This Row],[Ship Date]]&lt;CleanedData[[#This Row],[Order Date]]</f>
        <v>1</v>
      </c>
      <c r="Z1518" s="10">
        <f>YEAR(CleanedData[[#This Row],[Order Date]])</f>
        <v>2024</v>
      </c>
      <c r="AA1518" s="8">
        <f>MONTH(CleanedData[[#This Row],[Order Date]])</f>
        <v>10</v>
      </c>
    </row>
    <row r="1519" spans="1:27" x14ac:dyDescent="0.35">
      <c r="A1519" s="8" t="s">
        <v>3918</v>
      </c>
      <c r="B1519" s="9">
        <v>45079</v>
      </c>
      <c r="C1519" s="9">
        <v>44951</v>
      </c>
      <c r="D1519" s="8" t="s">
        <v>3919</v>
      </c>
      <c r="E1519" s="8" t="s">
        <v>58</v>
      </c>
      <c r="F1519" s="8" t="s">
        <v>259</v>
      </c>
      <c r="G1519" s="8" t="s">
        <v>60</v>
      </c>
      <c r="H1519" s="8" t="s">
        <v>780</v>
      </c>
      <c r="I1519" s="8" t="s">
        <v>4978</v>
      </c>
      <c r="J1519" s="10">
        <v>655</v>
      </c>
      <c r="K1519" s="11">
        <v>124.91</v>
      </c>
      <c r="L1519" s="11">
        <v>205.91</v>
      </c>
      <c r="M1519" s="11">
        <v>134871.04999999999</v>
      </c>
      <c r="N1519" s="11">
        <v>81816.05</v>
      </c>
      <c r="O1519" s="11">
        <f>CleanedData[[#This Row],[Total Sales ($)]]-CleanedData[[#This Row],[Total Cost ($)]]</f>
        <v>53054.999999999985</v>
      </c>
      <c r="P1519" s="12">
        <f>CleanedData[[#This Row],[Profit ($)]]/CleanedData[[#This Row],[Total Sales ($)]]</f>
        <v>0.393375746685445</v>
      </c>
      <c r="Q1519" s="8" t="s">
        <v>31</v>
      </c>
      <c r="R1519" s="8" t="s">
        <v>63</v>
      </c>
      <c r="S1519" s="8" t="b">
        <f>_xlfn.SINGLE(CleanedData[[#This Row],[Delivery Status]])="Late"</f>
        <v>0</v>
      </c>
      <c r="T1519" s="10">
        <v>2</v>
      </c>
      <c r="U1519" s="8" t="s">
        <v>33</v>
      </c>
      <c r="V1519" s="10">
        <v>848</v>
      </c>
      <c r="W1519" s="10">
        <v>25</v>
      </c>
      <c r="X1519" s="12">
        <v>3.8167938931297697E-2</v>
      </c>
      <c r="Y1519" s="8" t="b">
        <f>CleanedData[[#This Row],[Ship Date]]&lt;CleanedData[[#This Row],[Order Date]]</f>
        <v>1</v>
      </c>
      <c r="Z1519" s="10">
        <f>YEAR(CleanedData[[#This Row],[Order Date]])</f>
        <v>2023</v>
      </c>
      <c r="AA1519" s="8">
        <f>MONTH(CleanedData[[#This Row],[Order Date]])</f>
        <v>6</v>
      </c>
    </row>
    <row r="1520" spans="1:27" x14ac:dyDescent="0.35">
      <c r="A1520" s="8" t="s">
        <v>3920</v>
      </c>
      <c r="B1520" s="9">
        <v>45030</v>
      </c>
      <c r="C1520" s="9">
        <v>45172</v>
      </c>
      <c r="D1520" s="8" t="s">
        <v>3921</v>
      </c>
      <c r="E1520" s="8" t="s">
        <v>58</v>
      </c>
      <c r="F1520" s="8" t="s">
        <v>259</v>
      </c>
      <c r="G1520" s="8" t="s">
        <v>189</v>
      </c>
      <c r="H1520" s="8" t="s">
        <v>369</v>
      </c>
      <c r="I1520" s="8" t="s">
        <v>4968</v>
      </c>
      <c r="J1520" s="10">
        <v>603</v>
      </c>
      <c r="K1520" s="11">
        <v>978.94</v>
      </c>
      <c r="L1520" s="11">
        <v>1503.49</v>
      </c>
      <c r="M1520" s="11">
        <v>906604.47</v>
      </c>
      <c r="N1520" s="11">
        <v>590300.81999999995</v>
      </c>
      <c r="O1520" s="11">
        <f>CleanedData[[#This Row],[Total Sales ($)]]-CleanedData[[#This Row],[Total Cost ($)]]</f>
        <v>316303.65000000002</v>
      </c>
      <c r="P1520" s="12">
        <f>CleanedData[[#This Row],[Profit ($)]]/CleanedData[[#This Row],[Total Sales ($)]]</f>
        <v>0.34888825333058421</v>
      </c>
      <c r="Q1520" s="8" t="s">
        <v>31</v>
      </c>
      <c r="R1520" s="8" t="s">
        <v>32</v>
      </c>
      <c r="S1520" s="8" t="b">
        <f>_xlfn.SINGLE(CleanedData[[#This Row],[Delivery Status]])="Late"</f>
        <v>1</v>
      </c>
      <c r="T1520" s="10">
        <v>12</v>
      </c>
      <c r="U1520" s="8" t="s">
        <v>158</v>
      </c>
      <c r="V1520" s="10">
        <v>3643</v>
      </c>
      <c r="W1520" s="10">
        <v>14</v>
      </c>
      <c r="X1520" s="12">
        <v>2.3217247097844101E-2</v>
      </c>
      <c r="Y1520" s="8" t="b">
        <f>CleanedData[[#This Row],[Ship Date]]&lt;CleanedData[[#This Row],[Order Date]]</f>
        <v>0</v>
      </c>
      <c r="Z1520" s="10">
        <f>YEAR(CleanedData[[#This Row],[Order Date]])</f>
        <v>2023</v>
      </c>
      <c r="AA1520" s="8">
        <f>MONTH(CleanedData[[#This Row],[Order Date]])</f>
        <v>4</v>
      </c>
    </row>
    <row r="1521" spans="1:27" x14ac:dyDescent="0.35">
      <c r="A1521" s="8" t="s">
        <v>3922</v>
      </c>
      <c r="B1521" s="9">
        <v>45499</v>
      </c>
      <c r="C1521" s="9">
        <v>45480</v>
      </c>
      <c r="D1521" s="8" t="s">
        <v>3923</v>
      </c>
      <c r="E1521" s="8" t="s">
        <v>68</v>
      </c>
      <c r="F1521" s="8" t="s">
        <v>276</v>
      </c>
      <c r="G1521" s="8" t="s">
        <v>129</v>
      </c>
      <c r="H1521" s="8" t="s">
        <v>168</v>
      </c>
      <c r="I1521" s="8" t="s">
        <v>4978</v>
      </c>
      <c r="J1521" s="10">
        <v>485</v>
      </c>
      <c r="K1521" s="11">
        <v>1143.01</v>
      </c>
      <c r="L1521" s="11">
        <v>1491.97</v>
      </c>
      <c r="M1521" s="11">
        <v>723605.45</v>
      </c>
      <c r="N1521" s="11">
        <v>554359.85</v>
      </c>
      <c r="O1521" s="11">
        <f>CleanedData[[#This Row],[Total Sales ($)]]-CleanedData[[#This Row],[Total Cost ($)]]</f>
        <v>169245.59999999998</v>
      </c>
      <c r="P1521" s="12">
        <f>CleanedData[[#This Row],[Profit ($)]]/CleanedData[[#This Row],[Total Sales ($)]]</f>
        <v>0.2338921023881177</v>
      </c>
      <c r="Q1521" s="8" t="s">
        <v>31</v>
      </c>
      <c r="R1521" s="8" t="s">
        <v>63</v>
      </c>
      <c r="S1521" s="8" t="b">
        <f>_xlfn.SINGLE(CleanedData[[#This Row],[Delivery Status]])="Late"</f>
        <v>0</v>
      </c>
      <c r="T1521" s="10">
        <v>1</v>
      </c>
      <c r="U1521" s="8" t="s">
        <v>33</v>
      </c>
      <c r="V1521" s="10">
        <v>4549</v>
      </c>
      <c r="W1521" s="10">
        <v>17</v>
      </c>
      <c r="X1521" s="12">
        <v>3.5051546391752501E-2</v>
      </c>
      <c r="Y1521" s="8" t="b">
        <f>CleanedData[[#This Row],[Ship Date]]&lt;CleanedData[[#This Row],[Order Date]]</f>
        <v>1</v>
      </c>
      <c r="Z1521" s="10">
        <f>YEAR(CleanedData[[#This Row],[Order Date]])</f>
        <v>2024</v>
      </c>
      <c r="AA1521" s="8">
        <f>MONTH(CleanedData[[#This Row],[Order Date]])</f>
        <v>7</v>
      </c>
    </row>
    <row r="1522" spans="1:27" x14ac:dyDescent="0.35">
      <c r="A1522" s="8" t="s">
        <v>3924</v>
      </c>
      <c r="B1522" s="9">
        <v>45120</v>
      </c>
      <c r="C1522" s="9">
        <v>44979</v>
      </c>
      <c r="D1522" s="8" t="s">
        <v>3925</v>
      </c>
      <c r="E1522" s="8" t="s">
        <v>48</v>
      </c>
      <c r="F1522" s="8" t="s">
        <v>270</v>
      </c>
      <c r="G1522" s="8" t="s">
        <v>93</v>
      </c>
      <c r="H1522" s="8" t="s">
        <v>1442</v>
      </c>
      <c r="I1522" s="8" t="s">
        <v>4975</v>
      </c>
      <c r="J1522" s="10">
        <v>316</v>
      </c>
      <c r="K1522" s="11">
        <v>844.14</v>
      </c>
      <c r="L1522" s="11">
        <v>1133.3800000000001</v>
      </c>
      <c r="M1522" s="11">
        <v>358148.08</v>
      </c>
      <c r="N1522" s="11">
        <v>266748.24</v>
      </c>
      <c r="O1522" s="11">
        <f>CleanedData[[#This Row],[Total Sales ($)]]-CleanedData[[#This Row],[Total Cost ($)]]</f>
        <v>91399.840000000026</v>
      </c>
      <c r="P1522" s="12">
        <f>CleanedData[[#This Row],[Profit ($)]]/CleanedData[[#This Row],[Total Sales ($)]]</f>
        <v>0.25520125641885338</v>
      </c>
      <c r="Q1522" s="8" t="s">
        <v>42</v>
      </c>
      <c r="R1522" s="8" t="s">
        <v>63</v>
      </c>
      <c r="S1522" s="8" t="b">
        <f>_xlfn.SINGLE(CleanedData[[#This Row],[Delivery Status]])="Late"</f>
        <v>0</v>
      </c>
      <c r="T1522" s="10">
        <v>1</v>
      </c>
      <c r="U1522" s="8" t="s">
        <v>86</v>
      </c>
      <c r="V1522" s="10">
        <v>2516</v>
      </c>
      <c r="W1522" s="10">
        <v>10</v>
      </c>
      <c r="X1522" s="12">
        <v>3.1645569620253097E-2</v>
      </c>
      <c r="Y1522" s="8" t="b">
        <f>CleanedData[[#This Row],[Ship Date]]&lt;CleanedData[[#This Row],[Order Date]]</f>
        <v>1</v>
      </c>
      <c r="Z1522" s="10">
        <f>YEAR(CleanedData[[#This Row],[Order Date]])</f>
        <v>2023</v>
      </c>
      <c r="AA1522" s="8">
        <f>MONTH(CleanedData[[#This Row],[Order Date]])</f>
        <v>7</v>
      </c>
    </row>
    <row r="1523" spans="1:27" x14ac:dyDescent="0.35">
      <c r="A1523" s="8" t="s">
        <v>3926</v>
      </c>
      <c r="B1523" s="9">
        <v>44990</v>
      </c>
      <c r="C1523" s="9">
        <v>45117</v>
      </c>
      <c r="D1523" s="8" t="s">
        <v>3927</v>
      </c>
      <c r="E1523" s="8" t="s">
        <v>26</v>
      </c>
      <c r="F1523" s="8" t="s">
        <v>92</v>
      </c>
      <c r="G1523" s="8" t="s">
        <v>93</v>
      </c>
      <c r="H1523" s="8" t="s">
        <v>184</v>
      </c>
      <c r="I1523" s="8" t="s">
        <v>4967</v>
      </c>
      <c r="J1523" s="10">
        <v>169</v>
      </c>
      <c r="K1523" s="11">
        <v>877.64</v>
      </c>
      <c r="L1523" s="11">
        <v>1378.64</v>
      </c>
      <c r="M1523" s="11">
        <v>232990.16</v>
      </c>
      <c r="N1523" s="11">
        <v>148321.16</v>
      </c>
      <c r="O1523" s="11">
        <f>CleanedData[[#This Row],[Total Sales ($)]]-CleanedData[[#This Row],[Total Cost ($)]]</f>
        <v>84669</v>
      </c>
      <c r="P1523" s="12">
        <f>CleanedData[[#This Row],[Profit ($)]]/CleanedData[[#This Row],[Total Sales ($)]]</f>
        <v>0.36340161318400743</v>
      </c>
      <c r="Q1523" s="8" t="s">
        <v>42</v>
      </c>
      <c r="R1523" s="8" t="s">
        <v>32</v>
      </c>
      <c r="S1523" s="8" t="b">
        <f>_xlfn.SINGLE(CleanedData[[#This Row],[Delivery Status]])="Late"</f>
        <v>1</v>
      </c>
      <c r="T1523" s="10">
        <v>12</v>
      </c>
      <c r="U1523" s="8" t="s">
        <v>43</v>
      </c>
      <c r="V1523" s="10">
        <v>4542</v>
      </c>
      <c r="W1523" s="10">
        <v>5</v>
      </c>
      <c r="X1523" s="12">
        <v>2.9585798816568001E-2</v>
      </c>
      <c r="Y1523" s="8" t="b">
        <f>CleanedData[[#This Row],[Ship Date]]&lt;CleanedData[[#This Row],[Order Date]]</f>
        <v>0</v>
      </c>
      <c r="Z1523" s="10">
        <f>YEAR(CleanedData[[#This Row],[Order Date]])</f>
        <v>2023</v>
      </c>
      <c r="AA1523" s="8">
        <f>MONTH(CleanedData[[#This Row],[Order Date]])</f>
        <v>3</v>
      </c>
    </row>
    <row r="1524" spans="1:27" x14ac:dyDescent="0.35">
      <c r="A1524" s="8" t="s">
        <v>2198</v>
      </c>
      <c r="B1524" s="9">
        <v>44993</v>
      </c>
      <c r="C1524" s="9">
        <v>45281</v>
      </c>
      <c r="D1524" s="8" t="s">
        <v>2200</v>
      </c>
      <c r="E1524" s="8" t="s">
        <v>26</v>
      </c>
      <c r="F1524" s="8" t="s">
        <v>228</v>
      </c>
      <c r="G1524" s="8" t="s">
        <v>217</v>
      </c>
      <c r="H1524" s="8" t="s">
        <v>218</v>
      </c>
      <c r="I1524" s="8" t="s">
        <v>4975</v>
      </c>
      <c r="J1524" s="10">
        <v>279</v>
      </c>
      <c r="K1524" s="11">
        <v>129.93</v>
      </c>
      <c r="L1524" s="11">
        <v>185.42</v>
      </c>
      <c r="M1524" s="11">
        <v>51732.18</v>
      </c>
      <c r="N1524" s="11">
        <v>36250.47</v>
      </c>
      <c r="O1524" s="11">
        <f>CleanedData[[#This Row],[Total Sales ($)]]-CleanedData[[#This Row],[Total Cost ($)]]</f>
        <v>15481.71</v>
      </c>
      <c r="P1524" s="12">
        <f>CleanedData[[#This Row],[Profit ($)]]/CleanedData[[#This Row],[Total Sales ($)]]</f>
        <v>0.29926653003990938</v>
      </c>
      <c r="Q1524" s="8" t="s">
        <v>52</v>
      </c>
      <c r="R1524" s="8" t="s">
        <v>63</v>
      </c>
      <c r="S1524" s="8" t="b">
        <f>_xlfn.SINGLE(CleanedData[[#This Row],[Delivery Status]])="Late"</f>
        <v>0</v>
      </c>
      <c r="T1524" s="10">
        <v>5</v>
      </c>
      <c r="U1524" s="8" t="s">
        <v>33</v>
      </c>
      <c r="V1524" s="10">
        <v>4762</v>
      </c>
      <c r="W1524" s="10">
        <v>4</v>
      </c>
      <c r="X1524" s="12">
        <v>1.4336917562724E-2</v>
      </c>
      <c r="Y1524" s="8" t="b">
        <f>CleanedData[[#This Row],[Ship Date]]&lt;CleanedData[[#This Row],[Order Date]]</f>
        <v>0</v>
      </c>
      <c r="Z1524" s="10">
        <f>YEAR(CleanedData[[#This Row],[Order Date]])</f>
        <v>2023</v>
      </c>
      <c r="AA1524" s="8">
        <f>MONTH(CleanedData[[#This Row],[Order Date]])</f>
        <v>3</v>
      </c>
    </row>
    <row r="1525" spans="1:27" x14ac:dyDescent="0.35">
      <c r="A1525" s="8" t="s">
        <v>3929</v>
      </c>
      <c r="B1525" s="9">
        <v>45271</v>
      </c>
      <c r="C1525" s="9">
        <v>45030</v>
      </c>
      <c r="D1525" s="8" t="s">
        <v>3930</v>
      </c>
      <c r="E1525" s="8" t="s">
        <v>48</v>
      </c>
      <c r="F1525" s="8" t="s">
        <v>223</v>
      </c>
      <c r="G1525" s="8" t="s">
        <v>39</v>
      </c>
      <c r="H1525" s="8" t="s">
        <v>412</v>
      </c>
      <c r="I1525" s="8" t="s">
        <v>4976</v>
      </c>
      <c r="J1525" s="10">
        <v>327</v>
      </c>
      <c r="K1525" s="11">
        <v>263.98</v>
      </c>
      <c r="L1525" s="11">
        <v>351.43</v>
      </c>
      <c r="M1525" s="11">
        <v>114917.61</v>
      </c>
      <c r="N1525" s="11">
        <v>86321.46</v>
      </c>
      <c r="O1525" s="11">
        <f>CleanedData[[#This Row],[Total Sales ($)]]-CleanedData[[#This Row],[Total Cost ($)]]</f>
        <v>28596.149999999994</v>
      </c>
      <c r="P1525" s="12">
        <f>CleanedData[[#This Row],[Profit ($)]]/CleanedData[[#This Row],[Total Sales ($)]]</f>
        <v>0.24884045186808179</v>
      </c>
      <c r="Q1525" s="8" t="s">
        <v>52</v>
      </c>
      <c r="R1525" s="8" t="s">
        <v>32</v>
      </c>
      <c r="S1525" s="8" t="b">
        <f>_xlfn.SINGLE(CleanedData[[#This Row],[Delivery Status]])="Late"</f>
        <v>1</v>
      </c>
      <c r="T1525" s="10">
        <v>13</v>
      </c>
      <c r="U1525" s="8" t="s">
        <v>112</v>
      </c>
      <c r="V1525" s="10">
        <v>789</v>
      </c>
      <c r="W1525" s="10">
        <v>14</v>
      </c>
      <c r="X1525" s="12">
        <v>4.2813455657492297E-2</v>
      </c>
      <c r="Y1525" s="8" t="b">
        <f>CleanedData[[#This Row],[Ship Date]]&lt;CleanedData[[#This Row],[Order Date]]</f>
        <v>1</v>
      </c>
      <c r="Z1525" s="10">
        <f>YEAR(CleanedData[[#This Row],[Order Date]])</f>
        <v>2023</v>
      </c>
      <c r="AA1525" s="8">
        <f>MONTH(CleanedData[[#This Row],[Order Date]])</f>
        <v>12</v>
      </c>
    </row>
    <row r="1526" spans="1:27" x14ac:dyDescent="0.35">
      <c r="A1526" s="8" t="s">
        <v>3931</v>
      </c>
      <c r="B1526" s="9">
        <v>45632</v>
      </c>
      <c r="C1526" s="9">
        <v>45420</v>
      </c>
      <c r="D1526" s="8" t="s">
        <v>3932</v>
      </c>
      <c r="E1526" s="8" t="s">
        <v>48</v>
      </c>
      <c r="F1526" s="8" t="s">
        <v>270</v>
      </c>
      <c r="G1526" s="8" t="s">
        <v>78</v>
      </c>
      <c r="H1526" s="8" t="s">
        <v>178</v>
      </c>
      <c r="I1526" s="8" t="s">
        <v>4970</v>
      </c>
      <c r="J1526" s="10">
        <v>565</v>
      </c>
      <c r="K1526" s="11">
        <v>453.58</v>
      </c>
      <c r="L1526" s="11">
        <v>739.75</v>
      </c>
      <c r="M1526" s="11">
        <v>417958.75</v>
      </c>
      <c r="N1526" s="11">
        <v>256272.7</v>
      </c>
      <c r="O1526" s="11">
        <f>CleanedData[[#This Row],[Total Sales ($)]]-CleanedData[[#This Row],[Total Cost ($)]]</f>
        <v>161686.04999999999</v>
      </c>
      <c r="P1526" s="12">
        <f>CleanedData[[#This Row],[Profit ($)]]/CleanedData[[#This Row],[Total Sales ($)]]</f>
        <v>0.38684690773910102</v>
      </c>
      <c r="Q1526" s="8" t="s">
        <v>95</v>
      </c>
      <c r="R1526" s="8" t="s">
        <v>32</v>
      </c>
      <c r="S1526" s="8" t="b">
        <f>_xlfn.SINGLE(CleanedData[[#This Row],[Delivery Status]])="Late"</f>
        <v>1</v>
      </c>
      <c r="T1526" s="10">
        <v>7</v>
      </c>
      <c r="U1526" s="8" t="s">
        <v>53</v>
      </c>
      <c r="V1526" s="10">
        <v>3788</v>
      </c>
      <c r="W1526" s="10">
        <v>15</v>
      </c>
      <c r="X1526" s="12">
        <v>2.6548672566371601E-2</v>
      </c>
      <c r="Y1526" s="8" t="b">
        <f>CleanedData[[#This Row],[Ship Date]]&lt;CleanedData[[#This Row],[Order Date]]</f>
        <v>1</v>
      </c>
      <c r="Z1526" s="10">
        <f>YEAR(CleanedData[[#This Row],[Order Date]])</f>
        <v>2024</v>
      </c>
      <c r="AA1526" s="8">
        <f>MONTH(CleanedData[[#This Row],[Order Date]])</f>
        <v>12</v>
      </c>
    </row>
    <row r="1527" spans="1:27" x14ac:dyDescent="0.35">
      <c r="A1527" s="8" t="s">
        <v>3933</v>
      </c>
      <c r="B1527" s="9">
        <v>45314</v>
      </c>
      <c r="C1527" s="9">
        <v>45375</v>
      </c>
      <c r="D1527" s="8" t="s">
        <v>3935</v>
      </c>
      <c r="E1527" s="8" t="s">
        <v>100</v>
      </c>
      <c r="F1527" s="8" t="s">
        <v>238</v>
      </c>
      <c r="G1527" s="8" t="s">
        <v>217</v>
      </c>
      <c r="H1527" s="8" t="s">
        <v>684</v>
      </c>
      <c r="I1527" s="8" t="s">
        <v>4970</v>
      </c>
      <c r="J1527" s="10">
        <v>741</v>
      </c>
      <c r="K1527" s="11">
        <v>552.41</v>
      </c>
      <c r="L1527" s="11">
        <v>865.5</v>
      </c>
      <c r="M1527" s="11">
        <v>641335.5</v>
      </c>
      <c r="N1527" s="11">
        <v>409335.81</v>
      </c>
      <c r="O1527" s="11">
        <f>CleanedData[[#This Row],[Total Sales ($)]]-CleanedData[[#This Row],[Total Cost ($)]]</f>
        <v>231999.69</v>
      </c>
      <c r="P1527" s="12">
        <f>CleanedData[[#This Row],[Profit ($)]]/CleanedData[[#This Row],[Total Sales ($)]]</f>
        <v>0.36174465626805313</v>
      </c>
      <c r="Q1527" s="8" t="s">
        <v>42</v>
      </c>
      <c r="R1527" s="8" t="s">
        <v>32</v>
      </c>
      <c r="S1527" s="8" t="b">
        <f>_xlfn.SINGLE(CleanedData[[#This Row],[Delivery Status]])="Late"</f>
        <v>1</v>
      </c>
      <c r="T1527" s="10">
        <v>13</v>
      </c>
      <c r="U1527" s="8" t="s">
        <v>43</v>
      </c>
      <c r="V1527" s="10">
        <v>2127</v>
      </c>
      <c r="W1527" s="10">
        <v>13</v>
      </c>
      <c r="X1527" s="12">
        <v>1.7543859649122799E-2</v>
      </c>
      <c r="Y1527" s="8" t="b">
        <f>CleanedData[[#This Row],[Ship Date]]&lt;CleanedData[[#This Row],[Order Date]]</f>
        <v>0</v>
      </c>
      <c r="Z1527" s="10">
        <f>YEAR(CleanedData[[#This Row],[Order Date]])</f>
        <v>2024</v>
      </c>
      <c r="AA1527" s="8">
        <f>MONTH(CleanedData[[#This Row],[Order Date]])</f>
        <v>1</v>
      </c>
    </row>
    <row r="1528" spans="1:27" x14ac:dyDescent="0.35">
      <c r="A1528" s="8" t="s">
        <v>3936</v>
      </c>
      <c r="B1528" s="9">
        <v>45151</v>
      </c>
      <c r="C1528" s="9">
        <v>44959</v>
      </c>
      <c r="D1528" s="8" t="s">
        <v>2908</v>
      </c>
      <c r="E1528" s="8" t="s">
        <v>26</v>
      </c>
      <c r="F1528" s="8" t="s">
        <v>228</v>
      </c>
      <c r="G1528" s="8" t="s">
        <v>50</v>
      </c>
      <c r="H1528" s="8" t="s">
        <v>734</v>
      </c>
      <c r="I1528" s="8" t="s">
        <v>4968</v>
      </c>
      <c r="J1528" s="10">
        <v>626</v>
      </c>
      <c r="K1528" s="11">
        <v>529.22</v>
      </c>
      <c r="L1528" s="11">
        <v>845.42</v>
      </c>
      <c r="M1528" s="11">
        <v>529232.92000000004</v>
      </c>
      <c r="N1528" s="11">
        <v>331291.71999999997</v>
      </c>
      <c r="O1528" s="11">
        <f>CleanedData[[#This Row],[Total Sales ($)]]-CleanedData[[#This Row],[Total Cost ($)]]</f>
        <v>197941.20000000007</v>
      </c>
      <c r="P1528" s="12">
        <f>CleanedData[[#This Row],[Profit ($)]]/CleanedData[[#This Row],[Total Sales ($)]]</f>
        <v>0.37401528234487008</v>
      </c>
      <c r="Q1528" s="8" t="s">
        <v>42</v>
      </c>
      <c r="R1528" s="8" t="s">
        <v>32</v>
      </c>
      <c r="S1528" s="8" t="b">
        <f>_xlfn.SINGLE(CleanedData[[#This Row],[Delivery Status]])="Late"</f>
        <v>1</v>
      </c>
      <c r="T1528" s="10">
        <v>15</v>
      </c>
      <c r="U1528" s="8" t="s">
        <v>112</v>
      </c>
      <c r="V1528" s="10">
        <v>24</v>
      </c>
      <c r="W1528" s="10">
        <v>30</v>
      </c>
      <c r="X1528" s="12">
        <v>4.7923322683705999E-2</v>
      </c>
      <c r="Y1528" s="8" t="b">
        <f>CleanedData[[#This Row],[Ship Date]]&lt;CleanedData[[#This Row],[Order Date]]</f>
        <v>1</v>
      </c>
      <c r="Z1528" s="10">
        <f>YEAR(CleanedData[[#This Row],[Order Date]])</f>
        <v>2023</v>
      </c>
      <c r="AA1528" s="8">
        <f>MONTH(CleanedData[[#This Row],[Order Date]])</f>
        <v>8</v>
      </c>
    </row>
    <row r="1529" spans="1:27" x14ac:dyDescent="0.35">
      <c r="A1529" s="8" t="s">
        <v>3938</v>
      </c>
      <c r="B1529" s="9">
        <v>45084</v>
      </c>
      <c r="C1529" s="9">
        <v>45171</v>
      </c>
      <c r="D1529" s="8" t="s">
        <v>3802</v>
      </c>
      <c r="E1529" s="8" t="s">
        <v>58</v>
      </c>
      <c r="F1529" s="8" t="s">
        <v>259</v>
      </c>
      <c r="G1529" s="8" t="s">
        <v>78</v>
      </c>
      <c r="H1529" s="8" t="s">
        <v>425</v>
      </c>
      <c r="I1529" s="8" t="s">
        <v>4978</v>
      </c>
      <c r="J1529" s="10">
        <v>65</v>
      </c>
      <c r="K1529" s="11">
        <v>607.25</v>
      </c>
      <c r="L1529" s="11"/>
      <c r="M1529" s="11">
        <v>45758.7</v>
      </c>
      <c r="N1529" s="11">
        <v>39471.25</v>
      </c>
      <c r="O1529" s="11">
        <f>CleanedData[[#This Row],[Total Sales ($)]]-CleanedData[[#This Row],[Total Cost ($)]]</f>
        <v>6287.4499999999971</v>
      </c>
      <c r="P1529" s="12">
        <f>CleanedData[[#This Row],[Profit ($)]]/CleanedData[[#This Row],[Total Sales ($)]]</f>
        <v>0.13740447171794648</v>
      </c>
      <c r="Q1529" s="8" t="s">
        <v>52</v>
      </c>
      <c r="R1529" s="8" t="s">
        <v>32</v>
      </c>
      <c r="S1529" s="8" t="b">
        <f>_xlfn.SINGLE(CleanedData[[#This Row],[Delivery Status]])="Late"</f>
        <v>1</v>
      </c>
      <c r="T1529" s="10">
        <v>14</v>
      </c>
      <c r="U1529" s="8" t="s">
        <v>53</v>
      </c>
      <c r="V1529" s="10">
        <v>2983</v>
      </c>
      <c r="W1529" s="10">
        <v>2</v>
      </c>
      <c r="X1529" s="12">
        <v>3.0769230769230702E-2</v>
      </c>
      <c r="Y1529" s="8" t="b">
        <f>CleanedData[[#This Row],[Ship Date]]&lt;CleanedData[[#This Row],[Order Date]]</f>
        <v>0</v>
      </c>
      <c r="Z1529" s="10">
        <f>YEAR(CleanedData[[#This Row],[Order Date]])</f>
        <v>2023</v>
      </c>
      <c r="AA1529" s="8">
        <f>MONTH(CleanedData[[#This Row],[Order Date]])</f>
        <v>6</v>
      </c>
    </row>
    <row r="1530" spans="1:27" x14ac:dyDescent="0.35">
      <c r="A1530" s="8" t="s">
        <v>3939</v>
      </c>
      <c r="B1530" s="9">
        <v>45058</v>
      </c>
      <c r="C1530" s="9">
        <v>45101</v>
      </c>
      <c r="D1530" s="8" t="s">
        <v>3941</v>
      </c>
      <c r="E1530" s="8" t="s">
        <v>26</v>
      </c>
      <c r="F1530" s="8" t="s">
        <v>92</v>
      </c>
      <c r="G1530" s="8" t="s">
        <v>129</v>
      </c>
      <c r="H1530" s="8" t="s">
        <v>152</v>
      </c>
      <c r="I1530" s="8" t="s">
        <v>4976</v>
      </c>
      <c r="J1530" s="10">
        <v>443</v>
      </c>
      <c r="K1530" s="11">
        <v>299.2</v>
      </c>
      <c r="L1530" s="11">
        <v>442.87</v>
      </c>
      <c r="M1530" s="11">
        <v>196191.41</v>
      </c>
      <c r="N1530" s="11">
        <v>132545.60000000001</v>
      </c>
      <c r="O1530" s="11">
        <f>CleanedData[[#This Row],[Total Sales ($)]]-CleanedData[[#This Row],[Total Cost ($)]]</f>
        <v>63645.81</v>
      </c>
      <c r="P1530" s="12">
        <f>CleanedData[[#This Row],[Profit ($)]]/CleanedData[[#This Row],[Total Sales ($)]]</f>
        <v>0.32440671077291305</v>
      </c>
      <c r="Q1530" s="8" t="s">
        <v>42</v>
      </c>
      <c r="R1530" s="8" t="s">
        <v>63</v>
      </c>
      <c r="S1530" s="8" t="b">
        <f>_xlfn.SINGLE(CleanedData[[#This Row],[Delivery Status]])="Late"</f>
        <v>0</v>
      </c>
      <c r="T1530" s="10">
        <v>2</v>
      </c>
      <c r="U1530" s="8" t="s">
        <v>43</v>
      </c>
      <c r="V1530" s="10">
        <v>3131</v>
      </c>
      <c r="W1530" s="10">
        <v>12</v>
      </c>
      <c r="X1530" s="12">
        <v>2.7088036117381399E-2</v>
      </c>
      <c r="Y1530" s="8" t="b">
        <f>CleanedData[[#This Row],[Ship Date]]&lt;CleanedData[[#This Row],[Order Date]]</f>
        <v>0</v>
      </c>
      <c r="Z1530" s="10">
        <f>YEAR(CleanedData[[#This Row],[Order Date]])</f>
        <v>2023</v>
      </c>
      <c r="AA1530" s="8">
        <f>MONTH(CleanedData[[#This Row],[Order Date]])</f>
        <v>5</v>
      </c>
    </row>
    <row r="1531" spans="1:27" x14ac:dyDescent="0.35">
      <c r="A1531" s="8" t="s">
        <v>3942</v>
      </c>
      <c r="B1531" s="9">
        <v>45058</v>
      </c>
      <c r="C1531" s="9">
        <v>45000</v>
      </c>
      <c r="D1531" s="8" t="s">
        <v>3943</v>
      </c>
      <c r="E1531" s="8" t="s">
        <v>68</v>
      </c>
      <c r="F1531" s="8" t="s">
        <v>249</v>
      </c>
      <c r="G1531" s="8" t="s">
        <v>129</v>
      </c>
      <c r="H1531" s="8" t="s">
        <v>704</v>
      </c>
      <c r="I1531" s="8" t="s">
        <v>4971</v>
      </c>
      <c r="J1531" s="10">
        <v>696</v>
      </c>
      <c r="K1531" s="11">
        <v>882.13</v>
      </c>
      <c r="L1531" s="11">
        <v>1417.72</v>
      </c>
      <c r="M1531" s="11">
        <v>986733.12</v>
      </c>
      <c r="N1531" s="11">
        <v>613962.48</v>
      </c>
      <c r="O1531" s="11">
        <f>CleanedData[[#This Row],[Total Sales ($)]]-CleanedData[[#This Row],[Total Cost ($)]]</f>
        <v>372770.64</v>
      </c>
      <c r="P1531" s="12">
        <f>CleanedData[[#This Row],[Profit ($)]]/CleanedData[[#This Row],[Total Sales ($)]]</f>
        <v>0.37778263690996816</v>
      </c>
      <c r="Q1531" s="8" t="s">
        <v>52</v>
      </c>
      <c r="R1531" s="8" t="s">
        <v>32</v>
      </c>
      <c r="S1531" s="8" t="b">
        <f>_xlfn.SINGLE(CleanedData[[#This Row],[Delivery Status]])="Late"</f>
        <v>1</v>
      </c>
      <c r="T1531" s="10">
        <v>14</v>
      </c>
      <c r="U1531" s="8" t="s">
        <v>33</v>
      </c>
      <c r="V1531" s="10">
        <v>926</v>
      </c>
      <c r="W1531" s="10">
        <v>12</v>
      </c>
      <c r="X1531" s="12">
        <v>1.72413793103448E-2</v>
      </c>
      <c r="Y1531" s="8" t="b">
        <f>CleanedData[[#This Row],[Ship Date]]&lt;CleanedData[[#This Row],[Order Date]]</f>
        <v>1</v>
      </c>
      <c r="Z1531" s="10">
        <f>YEAR(CleanedData[[#This Row],[Order Date]])</f>
        <v>2023</v>
      </c>
      <c r="AA1531" s="8">
        <f>MONTH(CleanedData[[#This Row],[Order Date]])</f>
        <v>5</v>
      </c>
    </row>
    <row r="1532" spans="1:27" x14ac:dyDescent="0.35">
      <c r="A1532" s="8" t="s">
        <v>3944</v>
      </c>
      <c r="B1532" s="9">
        <v>45203</v>
      </c>
      <c r="C1532" s="9">
        <v>45141</v>
      </c>
      <c r="D1532" s="8" t="s">
        <v>3945</v>
      </c>
      <c r="E1532" s="8" t="s">
        <v>48</v>
      </c>
      <c r="F1532" s="8" t="s">
        <v>49</v>
      </c>
      <c r="G1532" s="8" t="s">
        <v>50</v>
      </c>
      <c r="H1532" s="8" t="s">
        <v>282</v>
      </c>
      <c r="I1532" s="8" t="s">
        <v>4969</v>
      </c>
      <c r="J1532" s="10">
        <v>568</v>
      </c>
      <c r="K1532" s="11">
        <v>795.81</v>
      </c>
      <c r="L1532" s="11">
        <v>1020.1</v>
      </c>
      <c r="M1532" s="11">
        <v>579416.80000000005</v>
      </c>
      <c r="N1532" s="11">
        <v>452020.08</v>
      </c>
      <c r="O1532" s="11">
        <f>CleanedData[[#This Row],[Total Sales ($)]]-CleanedData[[#This Row],[Total Cost ($)]]</f>
        <v>127396.72000000003</v>
      </c>
      <c r="P1532" s="12">
        <f>CleanedData[[#This Row],[Profit ($)]]/CleanedData[[#This Row],[Total Sales ($)]]</f>
        <v>0.21987060092147831</v>
      </c>
      <c r="Q1532" s="8" t="s">
        <v>31</v>
      </c>
      <c r="R1532" s="8" t="s">
        <v>32</v>
      </c>
      <c r="S1532" s="8" t="b">
        <f>_xlfn.SINGLE(CleanedData[[#This Row],[Delivery Status]])="Late"</f>
        <v>1</v>
      </c>
      <c r="T1532" s="10">
        <v>11</v>
      </c>
      <c r="U1532" s="8" t="s">
        <v>43</v>
      </c>
      <c r="V1532" s="10">
        <v>1884</v>
      </c>
      <c r="W1532" s="10">
        <v>3</v>
      </c>
      <c r="X1532" s="12">
        <v>5.2816901408450001E-3</v>
      </c>
      <c r="Y1532" s="8" t="b">
        <f>CleanedData[[#This Row],[Ship Date]]&lt;CleanedData[[#This Row],[Order Date]]</f>
        <v>1</v>
      </c>
      <c r="Z1532" s="10">
        <f>YEAR(CleanedData[[#This Row],[Order Date]])</f>
        <v>2023</v>
      </c>
      <c r="AA1532" s="8">
        <f>MONTH(CleanedData[[#This Row],[Order Date]])</f>
        <v>10</v>
      </c>
    </row>
    <row r="1533" spans="1:27" x14ac:dyDescent="0.35">
      <c r="A1533" s="8" t="s">
        <v>3946</v>
      </c>
      <c r="B1533" s="9">
        <v>45185</v>
      </c>
      <c r="C1533" s="9">
        <v>45506</v>
      </c>
      <c r="D1533" s="8" t="s">
        <v>3948</v>
      </c>
      <c r="E1533" s="8" t="s">
        <v>68</v>
      </c>
      <c r="F1533" s="8" t="s">
        <v>276</v>
      </c>
      <c r="G1533" s="8" t="s">
        <v>60</v>
      </c>
      <c r="H1533" s="8" t="s">
        <v>539</v>
      </c>
      <c r="I1533" s="8" t="s">
        <v>4967</v>
      </c>
      <c r="J1533" s="10">
        <v>118</v>
      </c>
      <c r="K1533" s="11">
        <v>923.98</v>
      </c>
      <c r="L1533" s="11">
        <v>1423.58</v>
      </c>
      <c r="M1533" s="11">
        <v>167982.44</v>
      </c>
      <c r="N1533" s="11">
        <v>109029.64</v>
      </c>
      <c r="O1533" s="11">
        <f>CleanedData[[#This Row],[Total Sales ($)]]-CleanedData[[#This Row],[Total Cost ($)]]</f>
        <v>58952.800000000003</v>
      </c>
      <c r="P1533" s="12">
        <f>CleanedData[[#This Row],[Profit ($)]]/CleanedData[[#This Row],[Total Sales ($)]]</f>
        <v>0.35094620604391746</v>
      </c>
      <c r="Q1533" s="8" t="s">
        <v>95</v>
      </c>
      <c r="R1533" s="8" t="s">
        <v>32</v>
      </c>
      <c r="S1533" s="8" t="b">
        <f>_xlfn.SINGLE(CleanedData[[#This Row],[Delivery Status]])="Late"</f>
        <v>1</v>
      </c>
      <c r="T1533" s="10">
        <v>6</v>
      </c>
      <c r="U1533" s="8" t="s">
        <v>43</v>
      </c>
      <c r="V1533" s="10">
        <v>4394</v>
      </c>
      <c r="W1533" s="10">
        <v>5</v>
      </c>
      <c r="X1533" s="12">
        <v>4.2372881355932202E-2</v>
      </c>
      <c r="Y1533" s="8" t="b">
        <f>CleanedData[[#This Row],[Ship Date]]&lt;CleanedData[[#This Row],[Order Date]]</f>
        <v>0</v>
      </c>
      <c r="Z1533" s="10">
        <f>YEAR(CleanedData[[#This Row],[Order Date]])</f>
        <v>2023</v>
      </c>
      <c r="AA1533" s="8">
        <f>MONTH(CleanedData[[#This Row],[Order Date]])</f>
        <v>9</v>
      </c>
    </row>
    <row r="1534" spans="1:27" x14ac:dyDescent="0.35">
      <c r="A1534" s="8" t="s">
        <v>3949</v>
      </c>
      <c r="B1534" s="9">
        <v>45040</v>
      </c>
      <c r="C1534" s="9">
        <v>45304</v>
      </c>
      <c r="D1534" s="8" t="s">
        <v>2822</v>
      </c>
      <c r="E1534" s="8" t="s">
        <v>68</v>
      </c>
      <c r="F1534" s="8" t="s">
        <v>69</v>
      </c>
      <c r="G1534" s="8" t="s">
        <v>39</v>
      </c>
      <c r="H1534" s="8" t="s">
        <v>147</v>
      </c>
      <c r="I1534" s="8" t="s">
        <v>4968</v>
      </c>
      <c r="J1534" s="10">
        <v>412</v>
      </c>
      <c r="K1534" s="11">
        <v>450.44</v>
      </c>
      <c r="L1534" s="11">
        <v>648.41</v>
      </c>
      <c r="M1534" s="11">
        <v>267144.92</v>
      </c>
      <c r="N1534" s="11">
        <v>185581.28</v>
      </c>
      <c r="O1534" s="11">
        <f>CleanedData[[#This Row],[Total Sales ($)]]-CleanedData[[#This Row],[Total Cost ($)]]</f>
        <v>81563.639999999985</v>
      </c>
      <c r="P1534" s="12">
        <f>CleanedData[[#This Row],[Profit ($)]]/CleanedData[[#This Row],[Total Sales ($)]]</f>
        <v>0.30531608087475515</v>
      </c>
      <c r="Q1534" s="8" t="s">
        <v>31</v>
      </c>
      <c r="R1534" s="8" t="s">
        <v>32</v>
      </c>
      <c r="S1534" s="8" t="b">
        <f>_xlfn.SINGLE(CleanedData[[#This Row],[Delivery Status]])="Late"</f>
        <v>1</v>
      </c>
      <c r="T1534" s="10">
        <v>11</v>
      </c>
      <c r="U1534" s="8" t="s">
        <v>86</v>
      </c>
      <c r="V1534" s="10">
        <v>526</v>
      </c>
      <c r="W1534" s="10">
        <v>3</v>
      </c>
      <c r="X1534" s="12">
        <v>7.2815533980581998E-3</v>
      </c>
      <c r="Y1534" s="8" t="b">
        <f>CleanedData[[#This Row],[Ship Date]]&lt;CleanedData[[#This Row],[Order Date]]</f>
        <v>0</v>
      </c>
      <c r="Z1534" s="10">
        <f>YEAR(CleanedData[[#This Row],[Order Date]])</f>
        <v>2023</v>
      </c>
      <c r="AA1534" s="8">
        <f>MONTH(CleanedData[[#This Row],[Order Date]])</f>
        <v>4</v>
      </c>
    </row>
    <row r="1535" spans="1:27" x14ac:dyDescent="0.35">
      <c r="A1535" s="8" t="s">
        <v>3950</v>
      </c>
      <c r="B1535" s="9">
        <v>45250</v>
      </c>
      <c r="C1535" s="9">
        <v>45061</v>
      </c>
      <c r="D1535" s="8" t="s">
        <v>3951</v>
      </c>
      <c r="E1535" s="8" t="s">
        <v>48</v>
      </c>
      <c r="F1535" s="8" t="s">
        <v>183</v>
      </c>
      <c r="G1535" s="8" t="s">
        <v>50</v>
      </c>
      <c r="H1535" s="8" t="s">
        <v>734</v>
      </c>
      <c r="I1535" s="8" t="s">
        <v>4969</v>
      </c>
      <c r="J1535" s="10">
        <v>394</v>
      </c>
      <c r="K1535" s="11">
        <v>1047.6099999999999</v>
      </c>
      <c r="L1535" s="11">
        <v>1204.17</v>
      </c>
      <c r="M1535" s="11">
        <v>474442.98</v>
      </c>
      <c r="N1535" s="11">
        <v>412758.34</v>
      </c>
      <c r="O1535" s="11">
        <f>CleanedData[[#This Row],[Total Sales ($)]]-CleanedData[[#This Row],[Total Cost ($)]]</f>
        <v>61684.639999999956</v>
      </c>
      <c r="P1535" s="12">
        <f>CleanedData[[#This Row],[Profit ($)]]/CleanedData[[#This Row],[Total Sales ($)]]</f>
        <v>0.13001486501075421</v>
      </c>
      <c r="Q1535" s="8" t="s">
        <v>95</v>
      </c>
      <c r="R1535" s="8" t="s">
        <v>32</v>
      </c>
      <c r="S1535" s="8" t="b">
        <f>_xlfn.SINGLE(CleanedData[[#This Row],[Delivery Status]])="Late"</f>
        <v>1</v>
      </c>
      <c r="T1535" s="10">
        <v>12</v>
      </c>
      <c r="U1535" s="8" t="s">
        <v>112</v>
      </c>
      <c r="V1535" s="10">
        <v>3286</v>
      </c>
      <c r="W1535" s="10">
        <v>17</v>
      </c>
      <c r="X1535" s="12">
        <v>4.3147208121827402E-2</v>
      </c>
      <c r="Y1535" s="8" t="b">
        <f>CleanedData[[#This Row],[Ship Date]]&lt;CleanedData[[#This Row],[Order Date]]</f>
        <v>1</v>
      </c>
      <c r="Z1535" s="10">
        <f>YEAR(CleanedData[[#This Row],[Order Date]])</f>
        <v>2023</v>
      </c>
      <c r="AA1535" s="8">
        <f>MONTH(CleanedData[[#This Row],[Order Date]])</f>
        <v>11</v>
      </c>
    </row>
    <row r="1536" spans="1:27" x14ac:dyDescent="0.35">
      <c r="A1536" s="8" t="s">
        <v>3952</v>
      </c>
      <c r="B1536" s="9">
        <v>45155</v>
      </c>
      <c r="C1536" s="9">
        <v>45146</v>
      </c>
      <c r="D1536" s="8" t="s">
        <v>3571</v>
      </c>
      <c r="E1536" s="8" t="s">
        <v>58</v>
      </c>
      <c r="F1536" s="8" t="s">
        <v>259</v>
      </c>
      <c r="G1536" s="8" t="s">
        <v>70</v>
      </c>
      <c r="H1536" s="8" t="s">
        <v>822</v>
      </c>
      <c r="I1536" s="8" t="s">
        <v>4971</v>
      </c>
      <c r="J1536" s="10">
        <v>736</v>
      </c>
      <c r="K1536" s="11">
        <v>853.21</v>
      </c>
      <c r="L1536" s="11">
        <v>1324.73</v>
      </c>
      <c r="M1536" s="11">
        <v>975001.28</v>
      </c>
      <c r="N1536" s="11">
        <v>627962.56000000006</v>
      </c>
      <c r="O1536" s="11">
        <f>CleanedData[[#This Row],[Total Sales ($)]]-CleanedData[[#This Row],[Total Cost ($)]]</f>
        <v>347038.71999999997</v>
      </c>
      <c r="P1536" s="12">
        <f>CleanedData[[#This Row],[Profit ($)]]/CleanedData[[#This Row],[Total Sales ($)]]</f>
        <v>0.35593668143697205</v>
      </c>
      <c r="Q1536" s="8" t="s">
        <v>31</v>
      </c>
      <c r="R1536" s="8" t="s">
        <v>63</v>
      </c>
      <c r="S1536" s="8" t="b">
        <f>_xlfn.SINGLE(CleanedData[[#This Row],[Delivery Status]])="Late"</f>
        <v>0</v>
      </c>
      <c r="T1536" s="10">
        <v>5</v>
      </c>
      <c r="U1536" s="8" t="s">
        <v>33</v>
      </c>
      <c r="V1536" s="10">
        <v>1406</v>
      </c>
      <c r="W1536" s="10">
        <v>28</v>
      </c>
      <c r="X1536" s="12">
        <v>3.8043478260869498E-2</v>
      </c>
      <c r="Y1536" s="8" t="b">
        <f>CleanedData[[#This Row],[Ship Date]]&lt;CleanedData[[#This Row],[Order Date]]</f>
        <v>1</v>
      </c>
      <c r="Z1536" s="10">
        <f>YEAR(CleanedData[[#This Row],[Order Date]])</f>
        <v>2023</v>
      </c>
      <c r="AA1536" s="8">
        <f>MONTH(CleanedData[[#This Row],[Order Date]])</f>
        <v>8</v>
      </c>
    </row>
    <row r="1537" spans="1:27" x14ac:dyDescent="0.35">
      <c r="A1537" s="8" t="s">
        <v>3953</v>
      </c>
      <c r="B1537" s="9">
        <v>45222</v>
      </c>
      <c r="C1537" s="9">
        <v>45166</v>
      </c>
      <c r="D1537" s="8" t="s">
        <v>3954</v>
      </c>
      <c r="E1537" s="8" t="s">
        <v>100</v>
      </c>
      <c r="F1537" s="8" t="s">
        <v>106</v>
      </c>
      <c r="G1537" s="8" t="s">
        <v>39</v>
      </c>
      <c r="H1537" s="8" t="s">
        <v>477</v>
      </c>
      <c r="I1537" s="8" t="s">
        <v>4968</v>
      </c>
      <c r="J1537" s="10">
        <v>474</v>
      </c>
      <c r="K1537" s="11">
        <v>612.51</v>
      </c>
      <c r="L1537" s="11">
        <v>970.62</v>
      </c>
      <c r="M1537" s="11">
        <v>460073.88</v>
      </c>
      <c r="N1537" s="11">
        <v>290329.74</v>
      </c>
      <c r="O1537" s="11">
        <f>CleanedData[[#This Row],[Total Sales ($)]]-CleanedData[[#This Row],[Total Cost ($)]]</f>
        <v>169744.14</v>
      </c>
      <c r="P1537" s="12">
        <f>CleanedData[[#This Row],[Profit ($)]]/CleanedData[[#This Row],[Total Sales ($)]]</f>
        <v>0.36894974346294124</v>
      </c>
      <c r="Q1537" s="8" t="s">
        <v>95</v>
      </c>
      <c r="R1537" s="8" t="s">
        <v>63</v>
      </c>
      <c r="S1537" s="8" t="b">
        <f>_xlfn.SINGLE(CleanedData[[#This Row],[Delivery Status]])="Late"</f>
        <v>0</v>
      </c>
      <c r="T1537" s="10">
        <v>2</v>
      </c>
      <c r="U1537" s="8" t="s">
        <v>86</v>
      </c>
      <c r="V1537" s="10">
        <v>2791</v>
      </c>
      <c r="W1537" s="10">
        <v>19</v>
      </c>
      <c r="X1537" s="12">
        <v>4.0084388185653998E-2</v>
      </c>
      <c r="Y1537" s="8" t="b">
        <f>CleanedData[[#This Row],[Ship Date]]&lt;CleanedData[[#This Row],[Order Date]]</f>
        <v>1</v>
      </c>
      <c r="Z1537" s="10">
        <f>YEAR(CleanedData[[#This Row],[Order Date]])</f>
        <v>2023</v>
      </c>
      <c r="AA1537" s="8">
        <f>MONTH(CleanedData[[#This Row],[Order Date]])</f>
        <v>10</v>
      </c>
    </row>
    <row r="1538" spans="1:27" x14ac:dyDescent="0.35">
      <c r="A1538" s="8" t="s">
        <v>3955</v>
      </c>
      <c r="B1538" s="9">
        <v>45287</v>
      </c>
      <c r="C1538" s="9">
        <v>45255</v>
      </c>
      <c r="D1538" s="8" t="s">
        <v>3956</v>
      </c>
      <c r="E1538" s="8" t="s">
        <v>26</v>
      </c>
      <c r="F1538" s="8" t="s">
        <v>77</v>
      </c>
      <c r="G1538" s="8" t="s">
        <v>28</v>
      </c>
      <c r="H1538" s="8" t="s">
        <v>254</v>
      </c>
      <c r="I1538" s="8" t="s">
        <v>4979</v>
      </c>
      <c r="J1538" s="10">
        <v>666</v>
      </c>
      <c r="K1538" s="11">
        <v>1042.8900000000001</v>
      </c>
      <c r="L1538" s="11">
        <v>1593.16</v>
      </c>
      <c r="M1538" s="11">
        <v>1061044.56</v>
      </c>
      <c r="N1538" s="11">
        <v>694564.74</v>
      </c>
      <c r="O1538" s="11">
        <f>CleanedData[[#This Row],[Total Sales ($)]]-CleanedData[[#This Row],[Total Cost ($)]]</f>
        <v>366479.82000000007</v>
      </c>
      <c r="P1538" s="12">
        <f>CleanedData[[#This Row],[Profit ($)]]/CleanedData[[#This Row],[Total Sales ($)]]</f>
        <v>0.34539531497150322</v>
      </c>
      <c r="Q1538" s="8" t="s">
        <v>52</v>
      </c>
      <c r="R1538" s="8" t="s">
        <v>32</v>
      </c>
      <c r="S1538" s="8" t="b">
        <f>_xlfn.SINGLE(CleanedData[[#This Row],[Delivery Status]])="Late"</f>
        <v>1</v>
      </c>
      <c r="T1538" s="10">
        <v>8</v>
      </c>
      <c r="U1538" s="8" t="s">
        <v>43</v>
      </c>
      <c r="V1538" s="10">
        <v>123</v>
      </c>
      <c r="W1538" s="10">
        <v>0</v>
      </c>
      <c r="X1538" s="12">
        <v>0</v>
      </c>
      <c r="Y1538" s="8" t="b">
        <f>CleanedData[[#This Row],[Ship Date]]&lt;CleanedData[[#This Row],[Order Date]]</f>
        <v>1</v>
      </c>
      <c r="Z1538" s="10">
        <f>YEAR(CleanedData[[#This Row],[Order Date]])</f>
        <v>2023</v>
      </c>
      <c r="AA1538" s="8">
        <f>MONTH(CleanedData[[#This Row],[Order Date]])</f>
        <v>12</v>
      </c>
    </row>
    <row r="1539" spans="1:27" x14ac:dyDescent="0.35">
      <c r="A1539" s="8" t="s">
        <v>3958</v>
      </c>
      <c r="B1539" s="9">
        <v>45555</v>
      </c>
      <c r="C1539" s="9">
        <v>45620</v>
      </c>
      <c r="D1539" s="8" t="s">
        <v>3959</v>
      </c>
      <c r="E1539" s="8" t="s">
        <v>48</v>
      </c>
      <c r="F1539" s="8" t="s">
        <v>183</v>
      </c>
      <c r="G1539" s="8" t="s">
        <v>39</v>
      </c>
      <c r="H1539" s="8" t="s">
        <v>647</v>
      </c>
      <c r="I1539" s="8" t="s">
        <v>4979</v>
      </c>
      <c r="J1539" s="10">
        <v>755</v>
      </c>
      <c r="K1539" s="11">
        <v>831.47</v>
      </c>
      <c r="L1539" s="11">
        <v>1119.04</v>
      </c>
      <c r="M1539" s="11">
        <v>844875.2</v>
      </c>
      <c r="N1539" s="11">
        <v>627759.85</v>
      </c>
      <c r="O1539" s="11">
        <f>CleanedData[[#This Row],[Total Sales ($)]]-CleanedData[[#This Row],[Total Cost ($)]]</f>
        <v>217115.34999999998</v>
      </c>
      <c r="P1539" s="12">
        <f>CleanedData[[#This Row],[Profit ($)]]/CleanedData[[#This Row],[Total Sales ($)]]</f>
        <v>0.2569791964541035</v>
      </c>
      <c r="Q1539" s="8" t="s">
        <v>42</v>
      </c>
      <c r="R1539" s="8" t="s">
        <v>32</v>
      </c>
      <c r="S1539" s="8" t="b">
        <f>_xlfn.SINGLE(CleanedData[[#This Row],[Delivery Status]])="Late"</f>
        <v>1</v>
      </c>
      <c r="T1539" s="10">
        <v>14</v>
      </c>
      <c r="U1539" s="8" t="s">
        <v>33</v>
      </c>
      <c r="V1539" s="10">
        <v>3688</v>
      </c>
      <c r="W1539" s="10">
        <v>14</v>
      </c>
      <c r="X1539" s="12">
        <v>1.8543046357615799E-2</v>
      </c>
      <c r="Y1539" s="8" t="b">
        <f>CleanedData[[#This Row],[Ship Date]]&lt;CleanedData[[#This Row],[Order Date]]</f>
        <v>0</v>
      </c>
      <c r="Z1539" s="10">
        <f>YEAR(CleanedData[[#This Row],[Order Date]])</f>
        <v>2024</v>
      </c>
      <c r="AA1539" s="8">
        <f>MONTH(CleanedData[[#This Row],[Order Date]])</f>
        <v>9</v>
      </c>
    </row>
    <row r="1540" spans="1:27" x14ac:dyDescent="0.35">
      <c r="A1540" s="8" t="s">
        <v>3960</v>
      </c>
      <c r="B1540" s="9">
        <v>45026</v>
      </c>
      <c r="C1540" s="9">
        <v>45209</v>
      </c>
      <c r="D1540" s="8" t="s">
        <v>3961</v>
      </c>
      <c r="E1540" s="8" t="s">
        <v>68</v>
      </c>
      <c r="F1540" s="8" t="s">
        <v>69</v>
      </c>
      <c r="G1540" s="8" t="s">
        <v>39</v>
      </c>
      <c r="H1540" s="8" t="s">
        <v>40</v>
      </c>
      <c r="I1540" s="8" t="s">
        <v>4975</v>
      </c>
      <c r="J1540" s="10">
        <v>153</v>
      </c>
      <c r="K1540" s="11">
        <v>331.01</v>
      </c>
      <c r="L1540" s="11">
        <v>502.81</v>
      </c>
      <c r="M1540" s="11">
        <v>76929.929999999993</v>
      </c>
      <c r="N1540" s="11">
        <v>50644.53</v>
      </c>
      <c r="O1540" s="11">
        <f>CleanedData[[#This Row],[Total Sales ($)]]-CleanedData[[#This Row],[Total Cost ($)]]</f>
        <v>26285.399999999994</v>
      </c>
      <c r="P1540" s="12">
        <f>CleanedData[[#This Row],[Profit ($)]]/CleanedData[[#This Row],[Total Sales ($)]]</f>
        <v>0.34167975975020382</v>
      </c>
      <c r="Q1540" s="8" t="s">
        <v>42</v>
      </c>
      <c r="R1540" s="8" t="s">
        <v>32</v>
      </c>
      <c r="S1540" s="8" t="b">
        <f>_xlfn.SINGLE(CleanedData[[#This Row],[Delivery Status]])="Late"</f>
        <v>1</v>
      </c>
      <c r="T1540" s="10">
        <v>13</v>
      </c>
      <c r="U1540" s="8" t="s">
        <v>53</v>
      </c>
      <c r="V1540" s="10">
        <v>2995</v>
      </c>
      <c r="W1540" s="10">
        <v>0</v>
      </c>
      <c r="X1540" s="12">
        <v>0</v>
      </c>
      <c r="Y1540" s="8" t="b">
        <f>CleanedData[[#This Row],[Ship Date]]&lt;CleanedData[[#This Row],[Order Date]]</f>
        <v>0</v>
      </c>
      <c r="Z1540" s="10">
        <f>YEAR(CleanedData[[#This Row],[Order Date]])</f>
        <v>2023</v>
      </c>
      <c r="AA1540" s="8">
        <f>MONTH(CleanedData[[#This Row],[Order Date]])</f>
        <v>4</v>
      </c>
    </row>
    <row r="1541" spans="1:27" x14ac:dyDescent="0.35">
      <c r="A1541" s="8" t="s">
        <v>3962</v>
      </c>
      <c r="B1541" s="9">
        <v>45116</v>
      </c>
      <c r="C1541" s="9">
        <v>45073</v>
      </c>
      <c r="D1541" s="8" t="s">
        <v>3963</v>
      </c>
      <c r="E1541" s="8" t="s">
        <v>26</v>
      </c>
      <c r="F1541" s="8" t="s">
        <v>92</v>
      </c>
      <c r="G1541" s="8" t="s">
        <v>28</v>
      </c>
      <c r="H1541" s="8" t="s">
        <v>674</v>
      </c>
      <c r="I1541" s="8" t="s">
        <v>4979</v>
      </c>
      <c r="J1541" s="10">
        <v>748</v>
      </c>
      <c r="K1541" s="11">
        <v>251.14</v>
      </c>
      <c r="L1541" s="11">
        <v>292.89999999999998</v>
      </c>
      <c r="M1541" s="11">
        <v>219089.2</v>
      </c>
      <c r="N1541" s="11">
        <v>187852.72</v>
      </c>
      <c r="O1541" s="11">
        <f>CleanedData[[#This Row],[Total Sales ($)]]-CleanedData[[#This Row],[Total Cost ($)]]</f>
        <v>31236.48000000001</v>
      </c>
      <c r="P1541" s="12">
        <f>CleanedData[[#This Row],[Profit ($)]]/CleanedData[[#This Row],[Total Sales ($)]]</f>
        <v>0.14257425742574262</v>
      </c>
      <c r="Q1541" s="8" t="s">
        <v>42</v>
      </c>
      <c r="R1541" s="8" t="s">
        <v>63</v>
      </c>
      <c r="S1541" s="8" t="b">
        <f>_xlfn.SINGLE(CleanedData[[#This Row],[Delivery Status]])="Late"</f>
        <v>0</v>
      </c>
      <c r="T1541" s="10">
        <v>3</v>
      </c>
      <c r="U1541" s="8" t="s">
        <v>158</v>
      </c>
      <c r="V1541" s="10">
        <v>2407</v>
      </c>
      <c r="W1541" s="10">
        <v>29</v>
      </c>
      <c r="X1541" s="12">
        <v>3.8770053475935803E-2</v>
      </c>
      <c r="Y1541" s="8" t="b">
        <f>CleanedData[[#This Row],[Ship Date]]&lt;CleanedData[[#This Row],[Order Date]]</f>
        <v>1</v>
      </c>
      <c r="Z1541" s="10">
        <f>YEAR(CleanedData[[#This Row],[Order Date]])</f>
        <v>2023</v>
      </c>
      <c r="AA1541" s="8">
        <f>MONTH(CleanedData[[#This Row],[Order Date]])</f>
        <v>7</v>
      </c>
    </row>
    <row r="1542" spans="1:27" x14ac:dyDescent="0.35">
      <c r="A1542" s="8" t="s">
        <v>3964</v>
      </c>
      <c r="B1542" s="9">
        <v>45149</v>
      </c>
      <c r="C1542" s="9">
        <v>45326</v>
      </c>
      <c r="D1542" s="8" t="s">
        <v>3967</v>
      </c>
      <c r="E1542" s="8" t="s">
        <v>100</v>
      </c>
      <c r="F1542" s="8" t="s">
        <v>238</v>
      </c>
      <c r="G1542" s="8" t="s">
        <v>129</v>
      </c>
      <c r="H1542" s="8" t="s">
        <v>704</v>
      </c>
      <c r="I1542" s="8" t="s">
        <v>4968</v>
      </c>
      <c r="J1542" s="10">
        <v>685</v>
      </c>
      <c r="K1542" s="11">
        <v>1149.8800000000001</v>
      </c>
      <c r="L1542" s="11">
        <v>1648.03</v>
      </c>
      <c r="M1542" s="11">
        <v>1128900.55</v>
      </c>
      <c r="N1542" s="11">
        <v>787667.8</v>
      </c>
      <c r="O1542" s="11">
        <f>CleanedData[[#This Row],[Total Sales ($)]]-CleanedData[[#This Row],[Total Cost ($)]]</f>
        <v>341232.75</v>
      </c>
      <c r="P1542" s="12">
        <f>CleanedData[[#This Row],[Profit ($)]]/CleanedData[[#This Row],[Total Sales ($)]]</f>
        <v>0.30226998294933949</v>
      </c>
      <c r="Q1542" s="8" t="s">
        <v>31</v>
      </c>
      <c r="R1542" s="8" t="s">
        <v>32</v>
      </c>
      <c r="S1542" s="8" t="b">
        <f>_xlfn.SINGLE(CleanedData[[#This Row],[Delivery Status]])="Late"</f>
        <v>1</v>
      </c>
      <c r="T1542" s="10">
        <v>9</v>
      </c>
      <c r="U1542" s="8" t="s">
        <v>86</v>
      </c>
      <c r="V1542" s="10">
        <v>4484</v>
      </c>
      <c r="W1542" s="10">
        <v>25</v>
      </c>
      <c r="X1542" s="12">
        <v>3.6496350364963501E-2</v>
      </c>
      <c r="Y1542" s="8" t="b">
        <f>CleanedData[[#This Row],[Ship Date]]&lt;CleanedData[[#This Row],[Order Date]]</f>
        <v>0</v>
      </c>
      <c r="Z1542" s="10">
        <f>YEAR(CleanedData[[#This Row],[Order Date]])</f>
        <v>2023</v>
      </c>
      <c r="AA1542" s="8">
        <f>MONTH(CleanedData[[#This Row],[Order Date]])</f>
        <v>8</v>
      </c>
    </row>
    <row r="1543" spans="1:27" x14ac:dyDescent="0.35">
      <c r="A1543" s="8" t="s">
        <v>3968</v>
      </c>
      <c r="B1543" s="9">
        <v>45219</v>
      </c>
      <c r="C1543" s="9">
        <v>45201</v>
      </c>
      <c r="D1543" s="8" t="s">
        <v>3969</v>
      </c>
      <c r="E1543" s="8" t="s">
        <v>68</v>
      </c>
      <c r="F1543" s="8" t="s">
        <v>249</v>
      </c>
      <c r="G1543" s="8" t="s">
        <v>78</v>
      </c>
      <c r="H1543" s="8" t="s">
        <v>79</v>
      </c>
      <c r="I1543" s="8" t="s">
        <v>4969</v>
      </c>
      <c r="J1543" s="10">
        <v>50</v>
      </c>
      <c r="K1543" s="11">
        <v>695.38</v>
      </c>
      <c r="L1543" s="11">
        <v>1058.6400000000001</v>
      </c>
      <c r="M1543" s="11">
        <v>52932</v>
      </c>
      <c r="N1543" s="11">
        <v>34769</v>
      </c>
      <c r="O1543" s="11">
        <f>CleanedData[[#This Row],[Total Sales ($)]]-CleanedData[[#This Row],[Total Cost ($)]]</f>
        <v>18163</v>
      </c>
      <c r="P1543" s="12">
        <f>CleanedData[[#This Row],[Profit ($)]]/CleanedData[[#This Row],[Total Sales ($)]]</f>
        <v>0.34313836620569788</v>
      </c>
      <c r="Q1543" s="8" t="s">
        <v>95</v>
      </c>
      <c r="R1543" s="8" t="s">
        <v>32</v>
      </c>
      <c r="S1543" s="8" t="b">
        <f>_xlfn.SINGLE(CleanedData[[#This Row],[Delivery Status]])="Late"</f>
        <v>1</v>
      </c>
      <c r="T1543" s="10">
        <v>13</v>
      </c>
      <c r="U1543" s="8" t="s">
        <v>86</v>
      </c>
      <c r="V1543" s="10">
        <v>4950</v>
      </c>
      <c r="W1543" s="10">
        <v>0</v>
      </c>
      <c r="X1543" s="12">
        <v>0</v>
      </c>
      <c r="Y1543" s="8" t="b">
        <f>CleanedData[[#This Row],[Ship Date]]&lt;CleanedData[[#This Row],[Order Date]]</f>
        <v>1</v>
      </c>
      <c r="Z1543" s="10">
        <f>YEAR(CleanedData[[#This Row],[Order Date]])</f>
        <v>2023</v>
      </c>
      <c r="AA1543" s="8">
        <f>MONTH(CleanedData[[#This Row],[Order Date]])</f>
        <v>10</v>
      </c>
    </row>
    <row r="1544" spans="1:27" x14ac:dyDescent="0.35">
      <c r="A1544" s="8" t="s">
        <v>3970</v>
      </c>
      <c r="B1544" s="9">
        <v>45072</v>
      </c>
      <c r="C1544" s="9">
        <v>45047</v>
      </c>
      <c r="D1544" s="8" t="s">
        <v>2542</v>
      </c>
      <c r="E1544" s="8" t="s">
        <v>68</v>
      </c>
      <c r="F1544" s="8" t="s">
        <v>249</v>
      </c>
      <c r="G1544" s="8" t="s">
        <v>78</v>
      </c>
      <c r="H1544" s="8" t="s">
        <v>123</v>
      </c>
      <c r="I1544" s="8" t="s">
        <v>4967</v>
      </c>
      <c r="J1544" s="10">
        <v>445</v>
      </c>
      <c r="K1544" s="11">
        <v>803.87</v>
      </c>
      <c r="L1544" s="11">
        <v>1300.42</v>
      </c>
      <c r="M1544" s="11">
        <v>578686.9</v>
      </c>
      <c r="N1544" s="11">
        <v>357722.15</v>
      </c>
      <c r="O1544" s="11">
        <f>CleanedData[[#This Row],[Total Sales ($)]]-CleanedData[[#This Row],[Total Cost ($)]]</f>
        <v>220964.75</v>
      </c>
      <c r="P1544" s="12">
        <f>CleanedData[[#This Row],[Profit ($)]]/CleanedData[[#This Row],[Total Sales ($)]]</f>
        <v>0.38183817535873021</v>
      </c>
      <c r="Q1544" s="8" t="s">
        <v>95</v>
      </c>
      <c r="R1544" s="8" t="s">
        <v>32</v>
      </c>
      <c r="S1544" s="8" t="b">
        <f>_xlfn.SINGLE(CleanedData[[#This Row],[Delivery Status]])="Late"</f>
        <v>1</v>
      </c>
      <c r="T1544" s="10">
        <v>15</v>
      </c>
      <c r="U1544" s="8" t="s">
        <v>86</v>
      </c>
      <c r="V1544" s="10">
        <v>3919</v>
      </c>
      <c r="W1544" s="10">
        <v>4</v>
      </c>
      <c r="X1544" s="12">
        <v>8.9887640449438002E-3</v>
      </c>
      <c r="Y1544" s="8" t="b">
        <f>CleanedData[[#This Row],[Ship Date]]&lt;CleanedData[[#This Row],[Order Date]]</f>
        <v>1</v>
      </c>
      <c r="Z1544" s="10">
        <f>YEAR(CleanedData[[#This Row],[Order Date]])</f>
        <v>2023</v>
      </c>
      <c r="AA1544" s="8">
        <f>MONTH(CleanedData[[#This Row],[Order Date]])</f>
        <v>5</v>
      </c>
    </row>
    <row r="1545" spans="1:27" x14ac:dyDescent="0.35">
      <c r="A1545" s="8" t="s">
        <v>3971</v>
      </c>
      <c r="B1545" s="9">
        <v>44953</v>
      </c>
      <c r="C1545" s="9">
        <v>45116</v>
      </c>
      <c r="D1545" s="8" t="s">
        <v>3972</v>
      </c>
      <c r="E1545" s="8" t="s">
        <v>68</v>
      </c>
      <c r="F1545" s="8" t="s">
        <v>69</v>
      </c>
      <c r="G1545" s="8" t="s">
        <v>70</v>
      </c>
      <c r="H1545" s="8" t="s">
        <v>239</v>
      </c>
      <c r="I1545" s="8" t="s">
        <v>4974</v>
      </c>
      <c r="J1545" s="10">
        <v>726</v>
      </c>
      <c r="K1545" s="11">
        <v>519.87</v>
      </c>
      <c r="L1545" s="11">
        <v>854.27</v>
      </c>
      <c r="M1545" s="11">
        <v>620200.02</v>
      </c>
      <c r="N1545" s="11">
        <v>377425.62</v>
      </c>
      <c r="O1545" s="11">
        <f>CleanedData[[#This Row],[Total Sales ($)]]-CleanedData[[#This Row],[Total Cost ($)]]</f>
        <v>242774.40000000002</v>
      </c>
      <c r="P1545" s="12">
        <f>CleanedData[[#This Row],[Profit ($)]]/CleanedData[[#This Row],[Total Sales ($)]]</f>
        <v>0.39144532758963796</v>
      </c>
      <c r="Q1545" s="8" t="s">
        <v>52</v>
      </c>
      <c r="R1545" s="8" t="s">
        <v>63</v>
      </c>
      <c r="S1545" s="8" t="b">
        <f>_xlfn.SINGLE(CleanedData[[#This Row],[Delivery Status]])="Late"</f>
        <v>0</v>
      </c>
      <c r="T1545" s="10">
        <v>5</v>
      </c>
      <c r="U1545" s="8" t="s">
        <v>112</v>
      </c>
      <c r="V1545" s="10">
        <v>2002</v>
      </c>
      <c r="W1545" s="10">
        <v>33</v>
      </c>
      <c r="X1545" s="12">
        <v>4.54545454545454E-2</v>
      </c>
      <c r="Y1545" s="8" t="b">
        <f>CleanedData[[#This Row],[Ship Date]]&lt;CleanedData[[#This Row],[Order Date]]</f>
        <v>0</v>
      </c>
      <c r="Z1545" s="10">
        <f>YEAR(CleanedData[[#This Row],[Order Date]])</f>
        <v>2023</v>
      </c>
      <c r="AA1545" s="8">
        <f>MONTH(CleanedData[[#This Row],[Order Date]])</f>
        <v>1</v>
      </c>
    </row>
    <row r="1546" spans="1:27" x14ac:dyDescent="0.35">
      <c r="A1546" s="8" t="s">
        <v>3973</v>
      </c>
      <c r="B1546" s="9">
        <v>44959</v>
      </c>
      <c r="C1546" s="9">
        <v>44947</v>
      </c>
      <c r="D1546" s="8" t="s">
        <v>3716</v>
      </c>
      <c r="E1546" s="8" t="s">
        <v>26</v>
      </c>
      <c r="F1546" s="8" t="s">
        <v>92</v>
      </c>
      <c r="G1546" s="8" t="s">
        <v>50</v>
      </c>
      <c r="H1546" s="8" t="s">
        <v>107</v>
      </c>
      <c r="I1546" s="8" t="s">
        <v>4976</v>
      </c>
      <c r="J1546" s="10">
        <v>74</v>
      </c>
      <c r="K1546" s="11">
        <v>378.34</v>
      </c>
      <c r="L1546" s="11">
        <v>508.43</v>
      </c>
      <c r="M1546" s="11">
        <v>37623.82</v>
      </c>
      <c r="N1546" s="11">
        <v>27997.16</v>
      </c>
      <c r="O1546" s="11">
        <f>CleanedData[[#This Row],[Total Sales ($)]]-CleanedData[[#This Row],[Total Cost ($)]]</f>
        <v>9626.66</v>
      </c>
      <c r="P1546" s="12">
        <f>CleanedData[[#This Row],[Profit ($)]]/CleanedData[[#This Row],[Total Sales ($)]]</f>
        <v>0.25586609759455581</v>
      </c>
      <c r="Q1546" s="8" t="s">
        <v>31</v>
      </c>
      <c r="R1546" s="8" t="s">
        <v>32</v>
      </c>
      <c r="S1546" s="8" t="b">
        <f>_xlfn.SINGLE(CleanedData[[#This Row],[Delivery Status]])="Late"</f>
        <v>1</v>
      </c>
      <c r="T1546" s="10">
        <v>12</v>
      </c>
      <c r="U1546" s="8" t="s">
        <v>33</v>
      </c>
      <c r="V1546" s="10">
        <v>1154</v>
      </c>
      <c r="W1546" s="10">
        <v>1</v>
      </c>
      <c r="X1546" s="12">
        <v>1.35135135135135E-2</v>
      </c>
      <c r="Y1546" s="8" t="b">
        <f>CleanedData[[#This Row],[Ship Date]]&lt;CleanedData[[#This Row],[Order Date]]</f>
        <v>1</v>
      </c>
      <c r="Z1546" s="10">
        <f>YEAR(CleanedData[[#This Row],[Order Date]])</f>
        <v>2023</v>
      </c>
      <c r="AA1546" s="8">
        <f>MONTH(CleanedData[[#This Row],[Order Date]])</f>
        <v>2</v>
      </c>
    </row>
    <row r="1547" spans="1:27" x14ac:dyDescent="0.35">
      <c r="A1547" s="8" t="s">
        <v>3974</v>
      </c>
      <c r="B1547" s="9">
        <v>45143</v>
      </c>
      <c r="C1547" s="9">
        <v>45143</v>
      </c>
      <c r="D1547" s="8" t="s">
        <v>2344</v>
      </c>
      <c r="E1547" s="8" t="s">
        <v>68</v>
      </c>
      <c r="F1547" s="8" t="s">
        <v>249</v>
      </c>
      <c r="G1547" s="8" t="s">
        <v>129</v>
      </c>
      <c r="H1547" s="8" t="s">
        <v>811</v>
      </c>
      <c r="I1547" s="8" t="s">
        <v>4968</v>
      </c>
      <c r="J1547" s="10">
        <v>-5</v>
      </c>
      <c r="K1547" s="11">
        <v>509.02</v>
      </c>
      <c r="L1547" s="11">
        <v>612.4</v>
      </c>
      <c r="M1547" s="11">
        <v>235774</v>
      </c>
      <c r="N1547" s="11">
        <v>195972.7</v>
      </c>
      <c r="O1547" s="11">
        <f>CleanedData[[#This Row],[Total Sales ($)]]-CleanedData[[#This Row],[Total Cost ($)]]</f>
        <v>39801.299999999988</v>
      </c>
      <c r="P1547" s="12">
        <f>CleanedData[[#This Row],[Profit ($)]]/CleanedData[[#This Row],[Total Sales ($)]]</f>
        <v>0.16881123448726318</v>
      </c>
      <c r="Q1547" s="8" t="s">
        <v>31</v>
      </c>
      <c r="R1547" s="8" t="s">
        <v>32</v>
      </c>
      <c r="S1547" s="8" t="b">
        <f>_xlfn.SINGLE(CleanedData[[#This Row],[Delivery Status]])="Late"</f>
        <v>1</v>
      </c>
      <c r="T1547" s="10">
        <v>15</v>
      </c>
      <c r="U1547" s="8" t="s">
        <v>86</v>
      </c>
      <c r="V1547" s="10">
        <v>2630</v>
      </c>
      <c r="W1547" s="10">
        <v>12</v>
      </c>
      <c r="X1547" s="12"/>
      <c r="Y1547" s="8" t="b">
        <f>CleanedData[[#This Row],[Ship Date]]&lt;CleanedData[[#This Row],[Order Date]]</f>
        <v>0</v>
      </c>
      <c r="Z1547" s="10">
        <f>YEAR(CleanedData[[#This Row],[Order Date]])</f>
        <v>2023</v>
      </c>
      <c r="AA1547" s="8">
        <f>MONTH(CleanedData[[#This Row],[Order Date]])</f>
        <v>8</v>
      </c>
    </row>
    <row r="1548" spans="1:27" x14ac:dyDescent="0.35">
      <c r="A1548" s="8" t="s">
        <v>3975</v>
      </c>
      <c r="B1548" s="9">
        <v>45424</v>
      </c>
      <c r="C1548" s="9">
        <v>45556</v>
      </c>
      <c r="D1548" s="8" t="s">
        <v>3977</v>
      </c>
      <c r="E1548" s="8" t="s">
        <v>48</v>
      </c>
      <c r="F1548" s="8" t="s">
        <v>49</v>
      </c>
      <c r="G1548" s="8" t="s">
        <v>50</v>
      </c>
      <c r="H1548" s="8" t="s">
        <v>51</v>
      </c>
      <c r="I1548" s="8" t="s">
        <v>4973</v>
      </c>
      <c r="J1548" s="10">
        <v>761</v>
      </c>
      <c r="K1548" s="11">
        <v>27.68</v>
      </c>
      <c r="L1548" s="11">
        <v>32.54</v>
      </c>
      <c r="M1548" s="11">
        <v>24762.94</v>
      </c>
      <c r="N1548" s="11">
        <v>21064.48</v>
      </c>
      <c r="O1548" s="11">
        <f>CleanedData[[#This Row],[Total Sales ($)]]-CleanedData[[#This Row],[Total Cost ($)]]</f>
        <v>3698.4599999999991</v>
      </c>
      <c r="P1548" s="12">
        <f>CleanedData[[#This Row],[Profit ($)]]/CleanedData[[#This Row],[Total Sales ($)]]</f>
        <v>0.14935464044253224</v>
      </c>
      <c r="Q1548" s="8" t="s">
        <v>42</v>
      </c>
      <c r="R1548" s="8" t="s">
        <v>63</v>
      </c>
      <c r="S1548" s="8" t="b">
        <f>_xlfn.SINGLE(CleanedData[[#This Row],[Delivery Status]])="Late"</f>
        <v>0</v>
      </c>
      <c r="T1548" s="10">
        <v>2</v>
      </c>
      <c r="U1548" s="8" t="s">
        <v>112</v>
      </c>
      <c r="V1548" s="10">
        <v>261</v>
      </c>
      <c r="W1548" s="10">
        <v>3</v>
      </c>
      <c r="X1548" s="12">
        <v>3.9421813403415999E-3</v>
      </c>
      <c r="Y1548" s="8" t="b">
        <f>CleanedData[[#This Row],[Ship Date]]&lt;CleanedData[[#This Row],[Order Date]]</f>
        <v>0</v>
      </c>
      <c r="Z1548" s="10">
        <f>YEAR(CleanedData[[#This Row],[Order Date]])</f>
        <v>2024</v>
      </c>
      <c r="AA1548" s="8">
        <f>MONTH(CleanedData[[#This Row],[Order Date]])</f>
        <v>5</v>
      </c>
    </row>
    <row r="1549" spans="1:27" x14ac:dyDescent="0.35">
      <c r="A1549" s="8" t="s">
        <v>3978</v>
      </c>
      <c r="B1549" s="9">
        <v>45633</v>
      </c>
      <c r="C1549" s="9">
        <v>45338</v>
      </c>
      <c r="D1549" s="8" t="s">
        <v>2878</v>
      </c>
      <c r="E1549" s="8" t="s">
        <v>26</v>
      </c>
      <c r="F1549" s="8" t="s">
        <v>27</v>
      </c>
      <c r="G1549" s="8" t="s">
        <v>78</v>
      </c>
      <c r="H1549" s="8" t="s">
        <v>628</v>
      </c>
      <c r="I1549" s="8" t="s">
        <v>4977</v>
      </c>
      <c r="J1549" s="10">
        <v>245</v>
      </c>
      <c r="K1549" s="11">
        <v>841.01</v>
      </c>
      <c r="L1549" s="11">
        <v>1291.1400000000001</v>
      </c>
      <c r="M1549" s="11">
        <v>316329.3</v>
      </c>
      <c r="N1549" s="11">
        <v>206047.45</v>
      </c>
      <c r="O1549" s="11">
        <f>CleanedData[[#This Row],[Total Sales ($)]]-CleanedData[[#This Row],[Total Cost ($)]]</f>
        <v>110281.84999999998</v>
      </c>
      <c r="P1549" s="12">
        <f>CleanedData[[#This Row],[Profit ($)]]/CleanedData[[#This Row],[Total Sales ($)]]</f>
        <v>0.348629892962808</v>
      </c>
      <c r="Q1549" s="8" t="s">
        <v>95</v>
      </c>
      <c r="R1549" s="8" t="s">
        <v>63</v>
      </c>
      <c r="S1549" s="8" t="b">
        <f>_xlfn.SINGLE(CleanedData[[#This Row],[Delivery Status]])="Late"</f>
        <v>0</v>
      </c>
      <c r="T1549" s="10">
        <v>2</v>
      </c>
      <c r="U1549" s="8" t="s">
        <v>43</v>
      </c>
      <c r="V1549" s="10">
        <v>3832</v>
      </c>
      <c r="W1549" s="10">
        <v>6</v>
      </c>
      <c r="X1549" s="12">
        <v>2.4489795918367301E-2</v>
      </c>
      <c r="Y1549" s="8" t="b">
        <f>CleanedData[[#This Row],[Ship Date]]&lt;CleanedData[[#This Row],[Order Date]]</f>
        <v>1</v>
      </c>
      <c r="Z1549" s="10">
        <f>YEAR(CleanedData[[#This Row],[Order Date]])</f>
        <v>2024</v>
      </c>
      <c r="AA1549" s="8">
        <f>MONTH(CleanedData[[#This Row],[Order Date]])</f>
        <v>12</v>
      </c>
    </row>
    <row r="1550" spans="1:27" x14ac:dyDescent="0.35">
      <c r="A1550" s="8" t="s">
        <v>3980</v>
      </c>
      <c r="B1550" s="9">
        <v>45372</v>
      </c>
      <c r="C1550" s="9">
        <v>45505</v>
      </c>
      <c r="D1550" s="8" t="s">
        <v>3434</v>
      </c>
      <c r="E1550" s="8" t="s">
        <v>48</v>
      </c>
      <c r="F1550" s="8" t="s">
        <v>49</v>
      </c>
      <c r="G1550" s="8" t="s">
        <v>28</v>
      </c>
      <c r="H1550" s="8" t="s">
        <v>507</v>
      </c>
      <c r="I1550" s="8" t="s">
        <v>4971</v>
      </c>
      <c r="J1550" s="10">
        <v>591</v>
      </c>
      <c r="K1550" s="11">
        <v>414.97</v>
      </c>
      <c r="L1550" s="11">
        <v>678.96</v>
      </c>
      <c r="M1550" s="11">
        <v>401265.36</v>
      </c>
      <c r="N1550" s="11">
        <v>245247.27</v>
      </c>
      <c r="O1550" s="11">
        <f>CleanedData[[#This Row],[Total Sales ($)]]-CleanedData[[#This Row],[Total Cost ($)]]</f>
        <v>156018.09</v>
      </c>
      <c r="P1550" s="12">
        <f>CleanedData[[#This Row],[Profit ($)]]/CleanedData[[#This Row],[Total Sales ($)]]</f>
        <v>0.38881524684812063</v>
      </c>
      <c r="Q1550" s="8" t="s">
        <v>52</v>
      </c>
      <c r="R1550" s="8" t="s">
        <v>63</v>
      </c>
      <c r="S1550" s="8" t="b">
        <f>_xlfn.SINGLE(CleanedData[[#This Row],[Delivery Status]])="Late"</f>
        <v>0</v>
      </c>
      <c r="T1550" s="10">
        <v>5</v>
      </c>
      <c r="U1550" s="8" t="s">
        <v>158</v>
      </c>
      <c r="V1550" s="10">
        <v>1465</v>
      </c>
      <c r="W1550" s="10">
        <v>26</v>
      </c>
      <c r="X1550" s="12">
        <v>4.3993231810490599E-2</v>
      </c>
      <c r="Y1550" s="8" t="b">
        <f>CleanedData[[#This Row],[Ship Date]]&lt;CleanedData[[#This Row],[Order Date]]</f>
        <v>0</v>
      </c>
      <c r="Z1550" s="10">
        <f>YEAR(CleanedData[[#This Row],[Order Date]])</f>
        <v>2024</v>
      </c>
      <c r="AA1550" s="8">
        <f>MONTH(CleanedData[[#This Row],[Order Date]])</f>
        <v>3</v>
      </c>
    </row>
    <row r="1551" spans="1:27" x14ac:dyDescent="0.35">
      <c r="A1551" s="8" t="s">
        <v>3981</v>
      </c>
      <c r="B1551" s="9">
        <v>45509</v>
      </c>
      <c r="C1551" s="9">
        <v>45632</v>
      </c>
      <c r="D1551" s="8" t="s">
        <v>3982</v>
      </c>
      <c r="E1551" s="8" t="s">
        <v>68</v>
      </c>
      <c r="F1551" s="8" t="s">
        <v>276</v>
      </c>
      <c r="G1551" s="8" t="s">
        <v>39</v>
      </c>
      <c r="H1551" s="8" t="s">
        <v>412</v>
      </c>
      <c r="I1551" s="8" t="s">
        <v>4978</v>
      </c>
      <c r="J1551" s="10">
        <v>536</v>
      </c>
      <c r="K1551" s="11">
        <v>258.66000000000003</v>
      </c>
      <c r="L1551" s="11">
        <v>419.35</v>
      </c>
      <c r="M1551" s="11">
        <v>224771.6</v>
      </c>
      <c r="N1551" s="11">
        <v>138641.76</v>
      </c>
      <c r="O1551" s="11">
        <f>CleanedData[[#This Row],[Total Sales ($)]]-CleanedData[[#This Row],[Total Cost ($)]]</f>
        <v>86129.84</v>
      </c>
      <c r="P1551" s="12">
        <f>CleanedData[[#This Row],[Profit ($)]]/CleanedData[[#This Row],[Total Sales ($)]]</f>
        <v>0.3831882675569333</v>
      </c>
      <c r="Q1551" s="8" t="s">
        <v>52</v>
      </c>
      <c r="R1551" s="8" t="s">
        <v>63</v>
      </c>
      <c r="S1551" s="8" t="b">
        <f>_xlfn.SINGLE(CleanedData[[#This Row],[Delivery Status]])="Late"</f>
        <v>0</v>
      </c>
      <c r="T1551" s="10">
        <v>4</v>
      </c>
      <c r="U1551" s="8" t="s">
        <v>43</v>
      </c>
      <c r="V1551" s="10">
        <v>1750</v>
      </c>
      <c r="W1551" s="10">
        <v>21</v>
      </c>
      <c r="X1551" s="12">
        <v>3.9179104477611901E-2</v>
      </c>
      <c r="Y1551" s="8" t="b">
        <f>CleanedData[[#This Row],[Ship Date]]&lt;CleanedData[[#This Row],[Order Date]]</f>
        <v>0</v>
      </c>
      <c r="Z1551" s="10">
        <f>YEAR(CleanedData[[#This Row],[Order Date]])</f>
        <v>2024</v>
      </c>
      <c r="AA1551" s="8">
        <f>MONTH(CleanedData[[#This Row],[Order Date]])</f>
        <v>8</v>
      </c>
    </row>
    <row r="1552" spans="1:27" x14ac:dyDescent="0.35">
      <c r="A1552" s="8" t="s">
        <v>3983</v>
      </c>
      <c r="B1552" s="9">
        <v>44958</v>
      </c>
      <c r="C1552" s="9">
        <v>45284</v>
      </c>
      <c r="D1552" s="8" t="s">
        <v>3984</v>
      </c>
      <c r="E1552" s="8" t="s">
        <v>58</v>
      </c>
      <c r="F1552" s="8" t="s">
        <v>122</v>
      </c>
      <c r="G1552" s="8" t="s">
        <v>60</v>
      </c>
      <c r="H1552" s="8" t="s">
        <v>780</v>
      </c>
      <c r="I1552" s="8" t="s">
        <v>4969</v>
      </c>
      <c r="J1552" s="10">
        <v>749</v>
      </c>
      <c r="K1552" s="11">
        <v>22.34</v>
      </c>
      <c r="L1552" s="11">
        <v>25.25</v>
      </c>
      <c r="M1552" s="11">
        <v>18912.25</v>
      </c>
      <c r="N1552" s="11">
        <v>16732.66</v>
      </c>
      <c r="O1552" s="11">
        <f>CleanedData[[#This Row],[Total Sales ($)]]-CleanedData[[#This Row],[Total Cost ($)]]</f>
        <v>2179.59</v>
      </c>
      <c r="P1552" s="12">
        <f>CleanedData[[#This Row],[Profit ($)]]/CleanedData[[#This Row],[Total Sales ($)]]</f>
        <v>0.11524752475247525</v>
      </c>
      <c r="Q1552" s="8" t="s">
        <v>52</v>
      </c>
      <c r="R1552" s="8" t="s">
        <v>32</v>
      </c>
      <c r="S1552" s="8" t="b">
        <f>_xlfn.SINGLE(CleanedData[[#This Row],[Delivery Status]])="Late"</f>
        <v>1</v>
      </c>
      <c r="T1552" s="10">
        <v>12</v>
      </c>
      <c r="U1552" s="8" t="s">
        <v>86</v>
      </c>
      <c r="V1552" s="10">
        <v>2909</v>
      </c>
      <c r="W1552" s="10">
        <v>29</v>
      </c>
      <c r="X1552" s="12">
        <v>3.8718291054739597E-2</v>
      </c>
      <c r="Y1552" s="8" t="b">
        <f>CleanedData[[#This Row],[Ship Date]]&lt;CleanedData[[#This Row],[Order Date]]</f>
        <v>0</v>
      </c>
      <c r="Z1552" s="10">
        <f>YEAR(CleanedData[[#This Row],[Order Date]])</f>
        <v>2023</v>
      </c>
      <c r="AA1552" s="8">
        <f>MONTH(CleanedData[[#This Row],[Order Date]])</f>
        <v>2</v>
      </c>
    </row>
    <row r="1553" spans="1:27" x14ac:dyDescent="0.35">
      <c r="A1553" s="8" t="s">
        <v>3985</v>
      </c>
      <c r="B1553" s="9">
        <v>45250</v>
      </c>
      <c r="C1553" s="9">
        <v>45004</v>
      </c>
      <c r="D1553" s="8" t="s">
        <v>3986</v>
      </c>
      <c r="E1553" s="8" t="s">
        <v>68</v>
      </c>
      <c r="F1553" s="8" t="s">
        <v>146</v>
      </c>
      <c r="G1553" s="8" t="s">
        <v>39</v>
      </c>
      <c r="H1553" s="8" t="s">
        <v>412</v>
      </c>
      <c r="I1553" s="8" t="s">
        <v>4971</v>
      </c>
      <c r="J1553" s="10">
        <v>561</v>
      </c>
      <c r="K1553" s="11">
        <v>639.27</v>
      </c>
      <c r="L1553" s="11">
        <v>886.73</v>
      </c>
      <c r="M1553" s="11">
        <v>497455.53</v>
      </c>
      <c r="N1553" s="11">
        <v>358630.47</v>
      </c>
      <c r="O1553" s="11">
        <f>CleanedData[[#This Row],[Total Sales ($)]]-CleanedData[[#This Row],[Total Cost ($)]]</f>
        <v>138825.06000000006</v>
      </c>
      <c r="P1553" s="12">
        <f>CleanedData[[#This Row],[Profit ($)]]/CleanedData[[#This Row],[Total Sales ($)]]</f>
        <v>0.27907029197162619</v>
      </c>
      <c r="Q1553" s="8" t="s">
        <v>52</v>
      </c>
      <c r="R1553" s="8" t="s">
        <v>63</v>
      </c>
      <c r="S1553" s="8" t="b">
        <f>_xlfn.SINGLE(CleanedData[[#This Row],[Delivery Status]])="Late"</f>
        <v>0</v>
      </c>
      <c r="T1553" s="10">
        <v>1</v>
      </c>
      <c r="U1553" s="8" t="s">
        <v>53</v>
      </c>
      <c r="V1553" s="10">
        <v>3941</v>
      </c>
      <c r="W1553" s="10">
        <v>25</v>
      </c>
      <c r="X1553" s="12">
        <v>4.4563279857397498E-2</v>
      </c>
      <c r="Y1553" s="8" t="b">
        <f>CleanedData[[#This Row],[Ship Date]]&lt;CleanedData[[#This Row],[Order Date]]</f>
        <v>1</v>
      </c>
      <c r="Z1553" s="10">
        <f>YEAR(CleanedData[[#This Row],[Order Date]])</f>
        <v>2023</v>
      </c>
      <c r="AA1553" s="8">
        <f>MONTH(CleanedData[[#This Row],[Order Date]])</f>
        <v>11</v>
      </c>
    </row>
    <row r="1554" spans="1:27" x14ac:dyDescent="0.35">
      <c r="A1554" s="8" t="s">
        <v>3987</v>
      </c>
      <c r="B1554" s="9">
        <v>44932</v>
      </c>
      <c r="C1554" s="9">
        <v>45193</v>
      </c>
      <c r="D1554" s="8" t="s">
        <v>3988</v>
      </c>
      <c r="E1554" s="8" t="s">
        <v>26</v>
      </c>
      <c r="F1554" s="8" t="s">
        <v>77</v>
      </c>
      <c r="G1554" s="8" t="s">
        <v>78</v>
      </c>
      <c r="H1554" s="8" t="s">
        <v>481</v>
      </c>
      <c r="I1554" s="8" t="s">
        <v>4973</v>
      </c>
      <c r="J1554" s="10">
        <v>726</v>
      </c>
      <c r="K1554" s="11">
        <v>573.32000000000005</v>
      </c>
      <c r="L1554" s="11">
        <v>812.31</v>
      </c>
      <c r="M1554" s="11">
        <v>589737.06000000006</v>
      </c>
      <c r="N1554" s="11">
        <v>416230.32</v>
      </c>
      <c r="O1554" s="11">
        <f>CleanedData[[#This Row],[Total Sales ($)]]-CleanedData[[#This Row],[Total Cost ($)]]</f>
        <v>173506.74000000005</v>
      </c>
      <c r="P1554" s="12">
        <f>CleanedData[[#This Row],[Profit ($)]]/CleanedData[[#This Row],[Total Sales ($)]]</f>
        <v>0.29421033841759925</v>
      </c>
      <c r="Q1554" s="8" t="s">
        <v>95</v>
      </c>
      <c r="R1554" s="8" t="s">
        <v>32</v>
      </c>
      <c r="S1554" s="8" t="b">
        <f>_xlfn.SINGLE(CleanedData[[#This Row],[Delivery Status]])="Late"</f>
        <v>1</v>
      </c>
      <c r="T1554" s="10">
        <v>13</v>
      </c>
      <c r="U1554" s="8" t="s">
        <v>86</v>
      </c>
      <c r="V1554" s="10">
        <v>4</v>
      </c>
      <c r="W1554" s="10">
        <v>28</v>
      </c>
      <c r="X1554" s="12">
        <v>3.8567493112947597E-2</v>
      </c>
      <c r="Y1554" s="8" t="b">
        <f>CleanedData[[#This Row],[Ship Date]]&lt;CleanedData[[#This Row],[Order Date]]</f>
        <v>0</v>
      </c>
      <c r="Z1554" s="10">
        <f>YEAR(CleanedData[[#This Row],[Order Date]])</f>
        <v>2023</v>
      </c>
      <c r="AA1554" s="8">
        <f>MONTH(CleanedData[[#This Row],[Order Date]])</f>
        <v>1</v>
      </c>
    </row>
    <row r="1555" spans="1:27" x14ac:dyDescent="0.35">
      <c r="A1555" s="8" t="s">
        <v>3989</v>
      </c>
      <c r="B1555" s="9">
        <v>45130</v>
      </c>
      <c r="C1555" s="9">
        <v>45280</v>
      </c>
      <c r="D1555" s="8" t="s">
        <v>3990</v>
      </c>
      <c r="E1555" s="8" t="s">
        <v>48</v>
      </c>
      <c r="F1555" s="8" t="s">
        <v>270</v>
      </c>
      <c r="G1555" s="8" t="s">
        <v>93</v>
      </c>
      <c r="H1555" s="8" t="s">
        <v>321</v>
      </c>
      <c r="I1555" s="8" t="s">
        <v>4977</v>
      </c>
      <c r="J1555" s="10">
        <v>353</v>
      </c>
      <c r="K1555" s="11">
        <v>939.32</v>
      </c>
      <c r="L1555" s="11">
        <v>1412.78</v>
      </c>
      <c r="M1555" s="11">
        <v>498711.34</v>
      </c>
      <c r="N1555" s="11">
        <v>331579.96000000002</v>
      </c>
      <c r="O1555" s="11">
        <f>CleanedData[[#This Row],[Total Sales ($)]]-CleanedData[[#This Row],[Total Cost ($)]]</f>
        <v>167131.38</v>
      </c>
      <c r="P1555" s="12">
        <f>CleanedData[[#This Row],[Profit ($)]]/CleanedData[[#This Row],[Total Sales ($)]]</f>
        <v>0.33512648820056906</v>
      </c>
      <c r="Q1555" s="8" t="s">
        <v>52</v>
      </c>
      <c r="R1555" s="8" t="s">
        <v>32</v>
      </c>
      <c r="S1555" s="8" t="b">
        <f>_xlfn.SINGLE(CleanedData[[#This Row],[Delivery Status]])="Late"</f>
        <v>1</v>
      </c>
      <c r="T1555" s="10">
        <v>13</v>
      </c>
      <c r="U1555" s="8" t="s">
        <v>53</v>
      </c>
      <c r="V1555" s="10">
        <v>613</v>
      </c>
      <c r="W1555" s="10">
        <v>12</v>
      </c>
      <c r="X1555" s="12">
        <v>3.39943342776204E-2</v>
      </c>
      <c r="Y1555" s="8" t="b">
        <f>CleanedData[[#This Row],[Ship Date]]&lt;CleanedData[[#This Row],[Order Date]]</f>
        <v>0</v>
      </c>
      <c r="Z1555" s="10">
        <f>YEAR(CleanedData[[#This Row],[Order Date]])</f>
        <v>2023</v>
      </c>
      <c r="AA1555" s="8">
        <f>MONTH(CleanedData[[#This Row],[Order Date]])</f>
        <v>7</v>
      </c>
    </row>
    <row r="1556" spans="1:27" x14ac:dyDescent="0.35">
      <c r="A1556" s="8" t="s">
        <v>3991</v>
      </c>
      <c r="B1556" s="9">
        <v>45124</v>
      </c>
      <c r="C1556" s="9">
        <v>45221</v>
      </c>
      <c r="D1556" s="8" t="s">
        <v>821</v>
      </c>
      <c r="E1556" s="8" t="s">
        <v>26</v>
      </c>
      <c r="F1556" s="8" t="s">
        <v>4972</v>
      </c>
      <c r="G1556" s="8" t="s">
        <v>78</v>
      </c>
      <c r="H1556" s="8" t="s">
        <v>178</v>
      </c>
      <c r="I1556" s="8" t="s">
        <v>4978</v>
      </c>
      <c r="J1556" s="10">
        <v>461</v>
      </c>
      <c r="K1556" s="11">
        <v>749.08</v>
      </c>
      <c r="L1556" s="11">
        <v>863.97</v>
      </c>
      <c r="M1556" s="11">
        <v>398290.17</v>
      </c>
      <c r="N1556" s="11">
        <v>345325.88</v>
      </c>
      <c r="O1556" s="11">
        <f>CleanedData[[#This Row],[Total Sales ($)]]-CleanedData[[#This Row],[Total Cost ($)]]</f>
        <v>52964.289999999979</v>
      </c>
      <c r="P1556" s="12">
        <f>CleanedData[[#This Row],[Profit ($)]]/CleanedData[[#This Row],[Total Sales ($)]]</f>
        <v>0.13297915436878591</v>
      </c>
      <c r="Q1556" s="8" t="s">
        <v>42</v>
      </c>
      <c r="R1556" s="8" t="s">
        <v>63</v>
      </c>
      <c r="S1556" s="8" t="b">
        <f>_xlfn.SINGLE(CleanedData[[#This Row],[Delivery Status]])="Late"</f>
        <v>0</v>
      </c>
      <c r="T1556" s="10">
        <v>11</v>
      </c>
      <c r="U1556" s="8" t="s">
        <v>43</v>
      </c>
      <c r="V1556" s="10">
        <v>3593</v>
      </c>
      <c r="W1556" s="10">
        <v>2</v>
      </c>
      <c r="X1556" s="12">
        <v>4.3383947939261997E-3</v>
      </c>
      <c r="Y1556" s="8" t="b">
        <f>CleanedData[[#This Row],[Ship Date]]&lt;CleanedData[[#This Row],[Order Date]]</f>
        <v>0</v>
      </c>
      <c r="Z1556" s="10">
        <f>YEAR(CleanedData[[#This Row],[Order Date]])</f>
        <v>2023</v>
      </c>
      <c r="AA1556" s="8">
        <f>MONTH(CleanedData[[#This Row],[Order Date]])</f>
        <v>7</v>
      </c>
    </row>
    <row r="1557" spans="1:27" x14ac:dyDescent="0.35">
      <c r="A1557" s="8" t="s">
        <v>3992</v>
      </c>
      <c r="B1557" s="9">
        <v>44938</v>
      </c>
      <c r="C1557" s="9">
        <v>45170</v>
      </c>
      <c r="D1557" s="8" t="s">
        <v>3993</v>
      </c>
      <c r="E1557" s="8" t="s">
        <v>58</v>
      </c>
      <c r="F1557" s="8" t="s">
        <v>417</v>
      </c>
      <c r="G1557" s="8" t="s">
        <v>78</v>
      </c>
      <c r="H1557" s="8" t="s">
        <v>628</v>
      </c>
      <c r="I1557" s="8" t="s">
        <v>4976</v>
      </c>
      <c r="J1557" s="10">
        <v>623</v>
      </c>
      <c r="K1557" s="11">
        <v>84.52</v>
      </c>
      <c r="L1557" s="11">
        <v>123.79</v>
      </c>
      <c r="M1557" s="11">
        <v>77121.17</v>
      </c>
      <c r="N1557" s="11">
        <v>52655.96</v>
      </c>
      <c r="O1557" s="11">
        <f>CleanedData[[#This Row],[Total Sales ($)]]-CleanedData[[#This Row],[Total Cost ($)]]</f>
        <v>24465.21</v>
      </c>
      <c r="P1557" s="12">
        <f>CleanedData[[#This Row],[Profit ($)]]/CleanedData[[#This Row],[Total Sales ($)]]</f>
        <v>0.3172307940867598</v>
      </c>
      <c r="Q1557" s="8" t="s">
        <v>52</v>
      </c>
      <c r="R1557" s="8" t="s">
        <v>32</v>
      </c>
      <c r="S1557" s="8" t="b">
        <f>_xlfn.SINGLE(CleanedData[[#This Row],[Delivery Status]])="Late"</f>
        <v>1</v>
      </c>
      <c r="T1557" s="10">
        <v>7</v>
      </c>
      <c r="U1557" s="8" t="s">
        <v>43</v>
      </c>
      <c r="V1557" s="10">
        <v>4922</v>
      </c>
      <c r="W1557" s="10">
        <v>30</v>
      </c>
      <c r="X1557" s="12">
        <v>4.8154093097913298E-2</v>
      </c>
      <c r="Y1557" s="8" t="b">
        <f>CleanedData[[#This Row],[Ship Date]]&lt;CleanedData[[#This Row],[Order Date]]</f>
        <v>0</v>
      </c>
      <c r="Z1557" s="10">
        <f>YEAR(CleanedData[[#This Row],[Order Date]])</f>
        <v>2023</v>
      </c>
      <c r="AA1557" s="8">
        <f>MONTH(CleanedData[[#This Row],[Order Date]])</f>
        <v>1</v>
      </c>
    </row>
    <row r="1558" spans="1:27" x14ac:dyDescent="0.35">
      <c r="A1558" s="8" t="s">
        <v>3994</v>
      </c>
      <c r="B1558" s="9">
        <v>45148</v>
      </c>
      <c r="C1558" s="9">
        <v>45377</v>
      </c>
      <c r="D1558" s="8" t="s">
        <v>3995</v>
      </c>
      <c r="E1558" s="8" t="s">
        <v>100</v>
      </c>
      <c r="F1558" s="8" t="s">
        <v>330</v>
      </c>
      <c r="G1558" s="8" t="s">
        <v>129</v>
      </c>
      <c r="H1558" s="8" t="s">
        <v>520</v>
      </c>
      <c r="I1558" s="8" t="s">
        <v>4979</v>
      </c>
      <c r="J1558" s="10">
        <v>700</v>
      </c>
      <c r="K1558" s="11">
        <v>428.4</v>
      </c>
      <c r="L1558" s="11">
        <v>549.14</v>
      </c>
      <c r="M1558" s="11">
        <v>384398</v>
      </c>
      <c r="N1558" s="11">
        <v>299880</v>
      </c>
      <c r="O1558" s="11">
        <f>CleanedData[[#This Row],[Total Sales ($)]]-CleanedData[[#This Row],[Total Cost ($)]]</f>
        <v>84518</v>
      </c>
      <c r="P1558" s="12">
        <f>CleanedData[[#This Row],[Profit ($)]]/CleanedData[[#This Row],[Total Sales ($)]]</f>
        <v>0.21987107112940235</v>
      </c>
      <c r="Q1558" s="8" t="s">
        <v>42</v>
      </c>
      <c r="R1558" s="8" t="s">
        <v>63</v>
      </c>
      <c r="S1558" s="8" t="b">
        <f>_xlfn.SINGLE(CleanedData[[#This Row],[Delivery Status]])="Late"</f>
        <v>0</v>
      </c>
      <c r="T1558" s="10">
        <v>4</v>
      </c>
      <c r="U1558" s="8" t="s">
        <v>86</v>
      </c>
      <c r="V1558" s="10">
        <v>4183</v>
      </c>
      <c r="W1558" s="10">
        <v>8</v>
      </c>
      <c r="X1558" s="12">
        <v>1.1428571428571401E-2</v>
      </c>
      <c r="Y1558" s="8" t="b">
        <f>CleanedData[[#This Row],[Ship Date]]&lt;CleanedData[[#This Row],[Order Date]]</f>
        <v>0</v>
      </c>
      <c r="Z1558" s="10">
        <f>YEAR(CleanedData[[#This Row],[Order Date]])</f>
        <v>2023</v>
      </c>
      <c r="AA1558" s="8">
        <f>MONTH(CleanedData[[#This Row],[Order Date]])</f>
        <v>8</v>
      </c>
    </row>
    <row r="1559" spans="1:27" x14ac:dyDescent="0.35">
      <c r="A1559" s="8" t="s">
        <v>3996</v>
      </c>
      <c r="B1559" s="9">
        <v>45539</v>
      </c>
      <c r="C1559" s="9">
        <v>45513</v>
      </c>
      <c r="D1559" s="8" t="s">
        <v>3997</v>
      </c>
      <c r="E1559" s="8" t="s">
        <v>48</v>
      </c>
      <c r="F1559" s="8" t="s">
        <v>223</v>
      </c>
      <c r="G1559" s="8" t="s">
        <v>129</v>
      </c>
      <c r="H1559" s="8" t="s">
        <v>811</v>
      </c>
      <c r="I1559" s="8" t="s">
        <v>4977</v>
      </c>
      <c r="J1559" s="10">
        <v>475</v>
      </c>
      <c r="K1559" s="11">
        <v>300.35000000000002</v>
      </c>
      <c r="L1559" s="11">
        <v>382.06</v>
      </c>
      <c r="M1559" s="11">
        <v>181478.5</v>
      </c>
      <c r="N1559" s="11">
        <v>142666.25</v>
      </c>
      <c r="O1559" s="11">
        <f>CleanedData[[#This Row],[Total Sales ($)]]-CleanedData[[#This Row],[Total Cost ($)]]</f>
        <v>38812.25</v>
      </c>
      <c r="P1559" s="12">
        <f>CleanedData[[#This Row],[Profit ($)]]/CleanedData[[#This Row],[Total Sales ($)]]</f>
        <v>0.21386693189551378</v>
      </c>
      <c r="Q1559" s="8" t="s">
        <v>52</v>
      </c>
      <c r="R1559" s="8" t="s">
        <v>63</v>
      </c>
      <c r="S1559" s="8" t="b">
        <f>_xlfn.SINGLE(CleanedData[[#This Row],[Delivery Status]])="Late"</f>
        <v>0</v>
      </c>
      <c r="T1559" s="10">
        <v>1</v>
      </c>
      <c r="U1559" s="8" t="s">
        <v>158</v>
      </c>
      <c r="V1559" s="10">
        <v>2308</v>
      </c>
      <c r="W1559" s="10">
        <v>20</v>
      </c>
      <c r="X1559" s="12">
        <v>4.2105263157894701E-2</v>
      </c>
      <c r="Y1559" s="8" t="b">
        <f>CleanedData[[#This Row],[Ship Date]]&lt;CleanedData[[#This Row],[Order Date]]</f>
        <v>1</v>
      </c>
      <c r="Z1559" s="10">
        <f>YEAR(CleanedData[[#This Row],[Order Date]])</f>
        <v>2024</v>
      </c>
      <c r="AA1559" s="8">
        <f>MONTH(CleanedData[[#This Row],[Order Date]])</f>
        <v>9</v>
      </c>
    </row>
    <row r="1560" spans="1:27" x14ac:dyDescent="0.35">
      <c r="A1560" s="8" t="s">
        <v>3998</v>
      </c>
      <c r="B1560" s="9">
        <v>44963</v>
      </c>
      <c r="C1560" s="9">
        <v>45270</v>
      </c>
      <c r="D1560" s="8" t="s">
        <v>3999</v>
      </c>
      <c r="E1560" s="8" t="s">
        <v>58</v>
      </c>
      <c r="F1560" s="8" t="s">
        <v>417</v>
      </c>
      <c r="G1560" s="8" t="s">
        <v>60</v>
      </c>
      <c r="H1560" s="8" t="s">
        <v>400</v>
      </c>
      <c r="I1560" s="8" t="s">
        <v>4972</v>
      </c>
      <c r="J1560" s="10">
        <v>417</v>
      </c>
      <c r="K1560" s="11">
        <v>664.3</v>
      </c>
      <c r="L1560" s="11">
        <v>991.01</v>
      </c>
      <c r="M1560" s="11">
        <v>413251.17</v>
      </c>
      <c r="N1560" s="11">
        <v>277013.09999999998</v>
      </c>
      <c r="O1560" s="11">
        <f>CleanedData[[#This Row],[Total Sales ($)]]-CleanedData[[#This Row],[Total Cost ($)]]</f>
        <v>136238.07</v>
      </c>
      <c r="P1560" s="12">
        <f>CleanedData[[#This Row],[Profit ($)]]/CleanedData[[#This Row],[Total Sales ($)]]</f>
        <v>0.32967376716682983</v>
      </c>
      <c r="Q1560" s="8" t="s">
        <v>95</v>
      </c>
      <c r="R1560" s="8" t="s">
        <v>32</v>
      </c>
      <c r="S1560" s="8" t="b">
        <f>_xlfn.SINGLE(CleanedData[[#This Row],[Delivery Status]])="Late"</f>
        <v>1</v>
      </c>
      <c r="T1560" s="10">
        <v>15</v>
      </c>
      <c r="U1560" s="8" t="s">
        <v>53</v>
      </c>
      <c r="V1560" s="10">
        <v>3795</v>
      </c>
      <c r="W1560" s="10">
        <v>17</v>
      </c>
      <c r="X1560" s="12">
        <v>4.0767386091127102E-2</v>
      </c>
      <c r="Y1560" s="8" t="b">
        <f>CleanedData[[#This Row],[Ship Date]]&lt;CleanedData[[#This Row],[Order Date]]</f>
        <v>0</v>
      </c>
      <c r="Z1560" s="10">
        <f>YEAR(CleanedData[[#This Row],[Order Date]])</f>
        <v>2023</v>
      </c>
      <c r="AA1560" s="8">
        <f>MONTH(CleanedData[[#This Row],[Order Date]])</f>
        <v>2</v>
      </c>
    </row>
    <row r="1561" spans="1:27" x14ac:dyDescent="0.35">
      <c r="A1561" s="8" t="s">
        <v>4000</v>
      </c>
      <c r="B1561" s="9">
        <v>45618</v>
      </c>
      <c r="C1561" s="9">
        <v>45370</v>
      </c>
      <c r="D1561" s="8" t="s">
        <v>4001</v>
      </c>
      <c r="E1561" s="8" t="s">
        <v>26</v>
      </c>
      <c r="F1561" s="8" t="s">
        <v>27</v>
      </c>
      <c r="G1561" s="8" t="s">
        <v>60</v>
      </c>
      <c r="H1561" s="8" t="s">
        <v>400</v>
      </c>
      <c r="I1561" s="8" t="s">
        <v>4968</v>
      </c>
      <c r="J1561" s="10">
        <v>75</v>
      </c>
      <c r="K1561" s="11">
        <v>883.54</v>
      </c>
      <c r="L1561" s="11">
        <v>1298.25</v>
      </c>
      <c r="M1561" s="11">
        <v>97368.75</v>
      </c>
      <c r="N1561" s="11">
        <v>66265.5</v>
      </c>
      <c r="O1561" s="11">
        <f>CleanedData[[#This Row],[Total Sales ($)]]-CleanedData[[#This Row],[Total Cost ($)]]</f>
        <v>31103.25</v>
      </c>
      <c r="P1561" s="12">
        <f>CleanedData[[#This Row],[Profit ($)]]/CleanedData[[#This Row],[Total Sales ($)]]</f>
        <v>0.31943770460234933</v>
      </c>
      <c r="Q1561" s="8" t="s">
        <v>31</v>
      </c>
      <c r="R1561" s="8" t="s">
        <v>63</v>
      </c>
      <c r="S1561" s="8" t="b">
        <f>_xlfn.SINGLE(CleanedData[[#This Row],[Delivery Status]])="Late"</f>
        <v>0</v>
      </c>
      <c r="T1561" s="10">
        <v>3</v>
      </c>
      <c r="U1561" s="8" t="s">
        <v>158</v>
      </c>
      <c r="V1561" s="10">
        <v>1980</v>
      </c>
      <c r="W1561" s="10">
        <v>1</v>
      </c>
      <c r="X1561" s="12">
        <v>1.3333333333333299E-2</v>
      </c>
      <c r="Y1561" s="8" t="b">
        <f>CleanedData[[#This Row],[Ship Date]]&lt;CleanedData[[#This Row],[Order Date]]</f>
        <v>1</v>
      </c>
      <c r="Z1561" s="10">
        <f>YEAR(CleanedData[[#This Row],[Order Date]])</f>
        <v>2024</v>
      </c>
      <c r="AA1561" s="8">
        <f>MONTH(CleanedData[[#This Row],[Order Date]])</f>
        <v>11</v>
      </c>
    </row>
    <row r="1562" spans="1:27" x14ac:dyDescent="0.35">
      <c r="A1562" s="8" t="s">
        <v>4002</v>
      </c>
      <c r="B1562" s="9">
        <v>45420</v>
      </c>
      <c r="C1562" s="9">
        <v>45331</v>
      </c>
      <c r="D1562" s="8" t="s">
        <v>4003</v>
      </c>
      <c r="E1562" s="8" t="s">
        <v>100</v>
      </c>
      <c r="F1562" s="8" t="s">
        <v>238</v>
      </c>
      <c r="G1562" s="8" t="s">
        <v>28</v>
      </c>
      <c r="H1562" s="8" t="s">
        <v>29</v>
      </c>
      <c r="I1562" s="8" t="s">
        <v>4976</v>
      </c>
      <c r="J1562" s="10">
        <v>285</v>
      </c>
      <c r="K1562" s="11">
        <v>185.78</v>
      </c>
      <c r="L1562" s="11">
        <v>277.87</v>
      </c>
      <c r="M1562" s="11">
        <v>79192.95</v>
      </c>
      <c r="N1562" s="11">
        <v>52947.3</v>
      </c>
      <c r="O1562" s="11">
        <f>CleanedData[[#This Row],[Total Sales ($)]]-CleanedData[[#This Row],[Total Cost ($)]]</f>
        <v>26245.649999999994</v>
      </c>
      <c r="P1562" s="12">
        <f>CleanedData[[#This Row],[Profit ($)]]/CleanedData[[#This Row],[Total Sales ($)]]</f>
        <v>0.33141397056177341</v>
      </c>
      <c r="Q1562" s="8" t="s">
        <v>42</v>
      </c>
      <c r="R1562" s="8" t="s">
        <v>32</v>
      </c>
      <c r="S1562" s="8" t="b">
        <f>_xlfn.SINGLE(CleanedData[[#This Row],[Delivery Status]])="Late"</f>
        <v>1</v>
      </c>
      <c r="T1562" s="10">
        <v>10</v>
      </c>
      <c r="U1562" s="8" t="s">
        <v>158</v>
      </c>
      <c r="V1562" s="10">
        <v>3196</v>
      </c>
      <c r="W1562" s="10">
        <v>5</v>
      </c>
      <c r="X1562" s="12">
        <v>1.7543859649122799E-2</v>
      </c>
      <c r="Y1562" s="8" t="b">
        <f>CleanedData[[#This Row],[Ship Date]]&lt;CleanedData[[#This Row],[Order Date]]</f>
        <v>1</v>
      </c>
      <c r="Z1562" s="10">
        <f>YEAR(CleanedData[[#This Row],[Order Date]])</f>
        <v>2024</v>
      </c>
      <c r="AA1562" s="8">
        <f>MONTH(CleanedData[[#This Row],[Order Date]])</f>
        <v>5</v>
      </c>
    </row>
    <row r="1563" spans="1:27" x14ac:dyDescent="0.35">
      <c r="A1563" s="8" t="s">
        <v>4004</v>
      </c>
      <c r="B1563" s="9">
        <v>45279</v>
      </c>
      <c r="C1563" s="9">
        <v>45214</v>
      </c>
      <c r="D1563" s="8" t="s">
        <v>4005</v>
      </c>
      <c r="E1563" s="8" t="s">
        <v>68</v>
      </c>
      <c r="F1563" s="8" t="s">
        <v>163</v>
      </c>
      <c r="G1563" s="8" t="s">
        <v>28</v>
      </c>
      <c r="H1563" s="8" t="s">
        <v>674</v>
      </c>
      <c r="I1563" s="8" t="s">
        <v>4968</v>
      </c>
      <c r="J1563" s="10">
        <v>79</v>
      </c>
      <c r="K1563" s="11">
        <v>565.35</v>
      </c>
      <c r="L1563" s="11">
        <v>776.26</v>
      </c>
      <c r="M1563" s="11">
        <v>61324.54</v>
      </c>
      <c r="N1563" s="11">
        <v>44662.65</v>
      </c>
      <c r="O1563" s="11">
        <f>CleanedData[[#This Row],[Total Sales ($)]]-CleanedData[[#This Row],[Total Cost ($)]]</f>
        <v>16661.89</v>
      </c>
      <c r="P1563" s="12">
        <f>CleanedData[[#This Row],[Profit ($)]]/CleanedData[[#This Row],[Total Sales ($)]]</f>
        <v>0.27170020354005098</v>
      </c>
      <c r="Q1563" s="8" t="s">
        <v>52</v>
      </c>
      <c r="R1563" s="8" t="s">
        <v>32</v>
      </c>
      <c r="S1563" s="8" t="b">
        <f>_xlfn.SINGLE(CleanedData[[#This Row],[Delivery Status]])="Late"</f>
        <v>1</v>
      </c>
      <c r="T1563" s="10">
        <v>6</v>
      </c>
      <c r="U1563" s="8" t="s">
        <v>158</v>
      </c>
      <c r="V1563" s="10">
        <v>2771</v>
      </c>
      <c r="W1563" s="10">
        <v>3</v>
      </c>
      <c r="X1563" s="12">
        <v>3.7974683544303799E-2</v>
      </c>
      <c r="Y1563" s="8" t="b">
        <f>CleanedData[[#This Row],[Ship Date]]&lt;CleanedData[[#This Row],[Order Date]]</f>
        <v>1</v>
      </c>
      <c r="Z1563" s="10">
        <f>YEAR(CleanedData[[#This Row],[Order Date]])</f>
        <v>2023</v>
      </c>
      <c r="AA1563" s="8">
        <f>MONTH(CleanedData[[#This Row],[Order Date]])</f>
        <v>12</v>
      </c>
    </row>
    <row r="1564" spans="1:27" x14ac:dyDescent="0.35">
      <c r="A1564" s="8" t="s">
        <v>4006</v>
      </c>
      <c r="B1564" s="9">
        <v>45280</v>
      </c>
      <c r="C1564" s="9">
        <v>45080</v>
      </c>
      <c r="D1564" s="8" t="s">
        <v>4007</v>
      </c>
      <c r="E1564" s="8" t="s">
        <v>48</v>
      </c>
      <c r="F1564" s="8" t="s">
        <v>270</v>
      </c>
      <c r="G1564" s="8" t="s">
        <v>50</v>
      </c>
      <c r="H1564" s="8" t="s">
        <v>135</v>
      </c>
      <c r="I1564" s="8" t="s">
        <v>4971</v>
      </c>
      <c r="J1564" s="10">
        <v>65</v>
      </c>
      <c r="K1564" s="11">
        <v>1140.02</v>
      </c>
      <c r="L1564" s="11"/>
      <c r="M1564" s="11">
        <v>109352.1</v>
      </c>
      <c r="N1564" s="11">
        <v>74101.3</v>
      </c>
      <c r="O1564" s="11">
        <f>CleanedData[[#This Row],[Total Sales ($)]]-CleanedData[[#This Row],[Total Cost ($)]]</f>
        <v>35250.800000000003</v>
      </c>
      <c r="P1564" s="12">
        <f>CleanedData[[#This Row],[Profit ($)]]/CleanedData[[#This Row],[Total Sales ($)]]</f>
        <v>0.32236052165436241</v>
      </c>
      <c r="Q1564" s="8" t="s">
        <v>42</v>
      </c>
      <c r="R1564" s="8" t="s">
        <v>63</v>
      </c>
      <c r="S1564" s="8" t="b">
        <f>_xlfn.SINGLE(CleanedData[[#This Row],[Delivery Status]])="Late"</f>
        <v>0</v>
      </c>
      <c r="T1564" s="10">
        <v>5</v>
      </c>
      <c r="U1564" s="8" t="s">
        <v>158</v>
      </c>
      <c r="V1564" s="10">
        <v>3357</v>
      </c>
      <c r="W1564" s="10">
        <v>2</v>
      </c>
      <c r="X1564" s="12">
        <v>3.0769230769230702E-2</v>
      </c>
      <c r="Y1564" s="8" t="b">
        <f>CleanedData[[#This Row],[Ship Date]]&lt;CleanedData[[#This Row],[Order Date]]</f>
        <v>1</v>
      </c>
      <c r="Z1564" s="10">
        <f>YEAR(CleanedData[[#This Row],[Order Date]])</f>
        <v>2023</v>
      </c>
      <c r="AA1564" s="8">
        <f>MONTH(CleanedData[[#This Row],[Order Date]])</f>
        <v>12</v>
      </c>
    </row>
    <row r="1565" spans="1:27" x14ac:dyDescent="0.35">
      <c r="A1565" s="8" t="s">
        <v>4009</v>
      </c>
      <c r="B1565" s="9">
        <v>45134</v>
      </c>
      <c r="C1565" s="9">
        <v>44940</v>
      </c>
      <c r="D1565" s="8" t="s">
        <v>4010</v>
      </c>
      <c r="E1565" s="8" t="s">
        <v>26</v>
      </c>
      <c r="F1565" s="8" t="s">
        <v>228</v>
      </c>
      <c r="G1565" s="8" t="s">
        <v>50</v>
      </c>
      <c r="H1565" s="8" t="s">
        <v>282</v>
      </c>
      <c r="I1565" s="8" t="s">
        <v>4974</v>
      </c>
      <c r="J1565" s="10">
        <v>575</v>
      </c>
      <c r="K1565" s="11">
        <v>694.86</v>
      </c>
      <c r="L1565" s="11">
        <v>944.26</v>
      </c>
      <c r="M1565" s="11">
        <v>542949.5</v>
      </c>
      <c r="N1565" s="11">
        <v>399544.5</v>
      </c>
      <c r="O1565" s="11">
        <f>CleanedData[[#This Row],[Total Sales ($)]]-CleanedData[[#This Row],[Total Cost ($)]]</f>
        <v>143405</v>
      </c>
      <c r="P1565" s="12">
        <f>CleanedData[[#This Row],[Profit ($)]]/CleanedData[[#This Row],[Total Sales ($)]]</f>
        <v>0.2641221697413848</v>
      </c>
      <c r="Q1565" s="8" t="s">
        <v>42</v>
      </c>
      <c r="R1565" s="8" t="s">
        <v>32</v>
      </c>
      <c r="S1565" s="8" t="b">
        <f>_xlfn.SINGLE(CleanedData[[#This Row],[Delivery Status]])="Late"</f>
        <v>1</v>
      </c>
      <c r="T1565" s="10">
        <v>6</v>
      </c>
      <c r="U1565" s="8" t="s">
        <v>112</v>
      </c>
      <c r="V1565" s="10">
        <v>2485</v>
      </c>
      <c r="W1565" s="10">
        <v>22</v>
      </c>
      <c r="X1565" s="12">
        <v>3.8260869565217299E-2</v>
      </c>
      <c r="Y1565" s="8" t="b">
        <f>CleanedData[[#This Row],[Ship Date]]&lt;CleanedData[[#This Row],[Order Date]]</f>
        <v>1</v>
      </c>
      <c r="Z1565" s="10">
        <f>YEAR(CleanedData[[#This Row],[Order Date]])</f>
        <v>2023</v>
      </c>
      <c r="AA1565" s="8">
        <f>MONTH(CleanedData[[#This Row],[Order Date]])</f>
        <v>7</v>
      </c>
    </row>
    <row r="1566" spans="1:27" x14ac:dyDescent="0.35">
      <c r="A1566" s="8" t="s">
        <v>4011</v>
      </c>
      <c r="B1566" s="9">
        <v>45001</v>
      </c>
      <c r="C1566" s="9">
        <v>45255</v>
      </c>
      <c r="D1566" s="8" t="s">
        <v>4012</v>
      </c>
      <c r="E1566" s="8" t="s">
        <v>26</v>
      </c>
      <c r="F1566" s="8" t="s">
        <v>228</v>
      </c>
      <c r="G1566" s="8" t="s">
        <v>70</v>
      </c>
      <c r="H1566" s="8" t="s">
        <v>1019</v>
      </c>
      <c r="I1566" s="8" t="s">
        <v>4968</v>
      </c>
      <c r="J1566" s="10">
        <v>462</v>
      </c>
      <c r="K1566" s="11">
        <v>711.45</v>
      </c>
      <c r="L1566" s="11">
        <v>812.97</v>
      </c>
      <c r="M1566" s="11">
        <v>375592.14</v>
      </c>
      <c r="N1566" s="11">
        <v>328689.90000000002</v>
      </c>
      <c r="O1566" s="11">
        <f>CleanedData[[#This Row],[Total Sales ($)]]-CleanedData[[#This Row],[Total Cost ($)]]</f>
        <v>46902.239999999991</v>
      </c>
      <c r="P1566" s="12">
        <f>CleanedData[[#This Row],[Profit ($)]]/CleanedData[[#This Row],[Total Sales ($)]]</f>
        <v>0.12487545665891728</v>
      </c>
      <c r="Q1566" s="8" t="s">
        <v>52</v>
      </c>
      <c r="R1566" s="8" t="s">
        <v>63</v>
      </c>
      <c r="S1566" s="8" t="b">
        <f>_xlfn.SINGLE(CleanedData[[#This Row],[Delivery Status]])="Late"</f>
        <v>0</v>
      </c>
      <c r="T1566" s="10">
        <v>2</v>
      </c>
      <c r="U1566" s="8" t="s">
        <v>33</v>
      </c>
      <c r="V1566" s="10">
        <v>1024</v>
      </c>
      <c r="W1566" s="10">
        <v>6</v>
      </c>
      <c r="X1566" s="12">
        <v>1.2987012987012899E-2</v>
      </c>
      <c r="Y1566" s="8" t="b">
        <f>CleanedData[[#This Row],[Ship Date]]&lt;CleanedData[[#This Row],[Order Date]]</f>
        <v>0</v>
      </c>
      <c r="Z1566" s="10">
        <f>YEAR(CleanedData[[#This Row],[Order Date]])</f>
        <v>2023</v>
      </c>
      <c r="AA1566" s="8">
        <f>MONTH(CleanedData[[#This Row],[Order Date]])</f>
        <v>3</v>
      </c>
    </row>
    <row r="1567" spans="1:27" x14ac:dyDescent="0.35">
      <c r="A1567" s="8" t="s">
        <v>4013</v>
      </c>
      <c r="B1567" s="9">
        <v>44983</v>
      </c>
      <c r="C1567" s="9">
        <v>45070</v>
      </c>
      <c r="D1567" s="8" t="s">
        <v>1161</v>
      </c>
      <c r="E1567" s="8" t="s">
        <v>58</v>
      </c>
      <c r="F1567" s="8" t="s">
        <v>59</v>
      </c>
      <c r="G1567" s="8" t="s">
        <v>129</v>
      </c>
      <c r="H1567" s="8" t="s">
        <v>168</v>
      </c>
      <c r="I1567" s="8" t="s">
        <v>4976</v>
      </c>
      <c r="J1567" s="10">
        <v>132</v>
      </c>
      <c r="K1567" s="11">
        <v>348.06</v>
      </c>
      <c r="L1567" s="11">
        <v>424.94</v>
      </c>
      <c r="M1567" s="11">
        <v>56092.08</v>
      </c>
      <c r="N1567" s="11">
        <v>45943.92</v>
      </c>
      <c r="O1567" s="11">
        <f>CleanedData[[#This Row],[Total Sales ($)]]-CleanedData[[#This Row],[Total Cost ($)]]</f>
        <v>10148.160000000003</v>
      </c>
      <c r="P1567" s="12">
        <f>CleanedData[[#This Row],[Profit ($)]]/CleanedData[[#This Row],[Total Sales ($)]]</f>
        <v>0.18091965924601125</v>
      </c>
      <c r="Q1567" s="8" t="s">
        <v>42</v>
      </c>
      <c r="R1567" s="8" t="s">
        <v>63</v>
      </c>
      <c r="S1567" s="8" t="b">
        <f>_xlfn.SINGLE(CleanedData[[#This Row],[Delivery Status]])="Late"</f>
        <v>0</v>
      </c>
      <c r="T1567" s="10">
        <v>3</v>
      </c>
      <c r="U1567" s="8" t="s">
        <v>33</v>
      </c>
      <c r="V1567" s="10">
        <v>1763</v>
      </c>
      <c r="W1567" s="10">
        <v>6</v>
      </c>
      <c r="X1567" s="12">
        <v>4.54545454545454E-2</v>
      </c>
      <c r="Y1567" s="8" t="b">
        <f>CleanedData[[#This Row],[Ship Date]]&lt;CleanedData[[#This Row],[Order Date]]</f>
        <v>0</v>
      </c>
      <c r="Z1567" s="10">
        <f>YEAR(CleanedData[[#This Row],[Order Date]])</f>
        <v>2023</v>
      </c>
      <c r="AA1567" s="8">
        <f>MONTH(CleanedData[[#This Row],[Order Date]])</f>
        <v>2</v>
      </c>
    </row>
    <row r="1568" spans="1:27" x14ac:dyDescent="0.35">
      <c r="A1568" s="8" t="s">
        <v>4014</v>
      </c>
      <c r="B1568" s="9">
        <v>45124</v>
      </c>
      <c r="C1568" s="9">
        <v>45159</v>
      </c>
      <c r="D1568" s="8" t="s">
        <v>4015</v>
      </c>
      <c r="E1568" s="8" t="s">
        <v>68</v>
      </c>
      <c r="F1568" s="8" t="s">
        <v>3671</v>
      </c>
      <c r="G1568" s="8" t="s">
        <v>39</v>
      </c>
      <c r="H1568" s="8" t="s">
        <v>412</v>
      </c>
      <c r="I1568" s="8" t="s">
        <v>4975</v>
      </c>
      <c r="J1568" s="10">
        <v>565</v>
      </c>
      <c r="K1568" s="11">
        <v>767.64</v>
      </c>
      <c r="L1568" s="11">
        <v>987.11</v>
      </c>
      <c r="M1568" s="11">
        <v>557717.15</v>
      </c>
      <c r="N1568" s="11">
        <v>433716.6</v>
      </c>
      <c r="O1568" s="11">
        <f>CleanedData[[#This Row],[Total Sales ($)]]-CleanedData[[#This Row],[Total Cost ($)]]</f>
        <v>124000.55000000005</v>
      </c>
      <c r="P1568" s="12">
        <f>CleanedData[[#This Row],[Profit ($)]]/CleanedData[[#This Row],[Total Sales ($)]]</f>
        <v>0.22233590987833177</v>
      </c>
      <c r="Q1568" s="8" t="s">
        <v>42</v>
      </c>
      <c r="R1568" s="8" t="s">
        <v>32</v>
      </c>
      <c r="S1568" s="8" t="b">
        <f>_xlfn.SINGLE(CleanedData[[#This Row],[Delivery Status]])="Late"</f>
        <v>1</v>
      </c>
      <c r="T1568" s="10">
        <v>14</v>
      </c>
      <c r="U1568" s="8" t="s">
        <v>53</v>
      </c>
      <c r="V1568" s="10">
        <v>1140</v>
      </c>
      <c r="W1568" s="10">
        <v>24</v>
      </c>
      <c r="X1568" s="12">
        <v>4.2477876106194599E-2</v>
      </c>
      <c r="Y1568" s="8" t="b">
        <f>CleanedData[[#This Row],[Ship Date]]&lt;CleanedData[[#This Row],[Order Date]]</f>
        <v>0</v>
      </c>
      <c r="Z1568" s="10">
        <f>YEAR(CleanedData[[#This Row],[Order Date]])</f>
        <v>2023</v>
      </c>
      <c r="AA1568" s="8">
        <f>MONTH(CleanedData[[#This Row],[Order Date]])</f>
        <v>7</v>
      </c>
    </row>
    <row r="1569" spans="1:27" x14ac:dyDescent="0.35">
      <c r="A1569" s="8" t="s">
        <v>4016</v>
      </c>
      <c r="B1569" s="9">
        <v>45185</v>
      </c>
      <c r="C1569" s="9">
        <v>45121</v>
      </c>
      <c r="D1569" s="8" t="s">
        <v>4017</v>
      </c>
      <c r="E1569" s="8" t="s">
        <v>48</v>
      </c>
      <c r="F1569" s="8" t="s">
        <v>223</v>
      </c>
      <c r="G1569" s="8" t="s">
        <v>39</v>
      </c>
      <c r="H1569" s="8" t="s">
        <v>147</v>
      </c>
      <c r="I1569" s="8" t="s">
        <v>4973</v>
      </c>
      <c r="J1569" s="10">
        <v>512</v>
      </c>
      <c r="K1569" s="11">
        <v>598.22</v>
      </c>
      <c r="L1569" s="11">
        <v>673.78</v>
      </c>
      <c r="M1569" s="11">
        <v>344975.35999999999</v>
      </c>
      <c r="N1569" s="11">
        <v>306288.64000000001</v>
      </c>
      <c r="O1569" s="11">
        <f>CleanedData[[#This Row],[Total Sales ($)]]-CleanedData[[#This Row],[Total Cost ($)]]</f>
        <v>38686.719999999972</v>
      </c>
      <c r="P1569" s="12">
        <f>CleanedData[[#This Row],[Profit ($)]]/CleanedData[[#This Row],[Total Sales ($)]]</f>
        <v>0.11214342960610281</v>
      </c>
      <c r="Q1569" s="8" t="s">
        <v>52</v>
      </c>
      <c r="R1569" s="8" t="s">
        <v>63</v>
      </c>
      <c r="S1569" s="8" t="b">
        <f>_xlfn.SINGLE(CleanedData[[#This Row],[Delivery Status]])="Late"</f>
        <v>0</v>
      </c>
      <c r="T1569" s="10">
        <v>4</v>
      </c>
      <c r="U1569" s="8" t="s">
        <v>112</v>
      </c>
      <c r="V1569" s="10">
        <v>2864</v>
      </c>
      <c r="W1569" s="10"/>
      <c r="X1569" s="12"/>
      <c r="Y1569" s="8" t="b">
        <f>CleanedData[[#This Row],[Ship Date]]&lt;CleanedData[[#This Row],[Order Date]]</f>
        <v>1</v>
      </c>
      <c r="Z1569" s="10">
        <f>YEAR(CleanedData[[#This Row],[Order Date]])</f>
        <v>2023</v>
      </c>
      <c r="AA1569" s="8">
        <f>MONTH(CleanedData[[#This Row],[Order Date]])</f>
        <v>9</v>
      </c>
    </row>
    <row r="1570" spans="1:27" x14ac:dyDescent="0.35">
      <c r="A1570" s="8" t="s">
        <v>4018</v>
      </c>
      <c r="B1570" s="9">
        <v>45524</v>
      </c>
      <c r="C1570" s="9">
        <v>45298</v>
      </c>
      <c r="D1570" s="8" t="s">
        <v>4019</v>
      </c>
      <c r="E1570" s="8" t="s">
        <v>26</v>
      </c>
      <c r="F1570" s="8" t="s">
        <v>92</v>
      </c>
      <c r="G1570" s="8" t="s">
        <v>78</v>
      </c>
      <c r="H1570" s="8" t="s">
        <v>123</v>
      </c>
      <c r="I1570" s="8" t="s">
        <v>4977</v>
      </c>
      <c r="J1570" s="10">
        <v>631</v>
      </c>
      <c r="K1570" s="11">
        <v>963.18</v>
      </c>
      <c r="L1570" s="11">
        <v>1178.52</v>
      </c>
      <c r="M1570" s="11">
        <v>743646.12</v>
      </c>
      <c r="N1570" s="11">
        <v>607766.57999999996</v>
      </c>
      <c r="O1570" s="11">
        <f>CleanedData[[#This Row],[Total Sales ($)]]-CleanedData[[#This Row],[Total Cost ($)]]</f>
        <v>135879.54000000004</v>
      </c>
      <c r="P1570" s="12">
        <f>CleanedData[[#This Row],[Profit ($)]]/CleanedData[[#This Row],[Total Sales ($)]]</f>
        <v>0.18272070053965997</v>
      </c>
      <c r="Q1570" s="8" t="s">
        <v>42</v>
      </c>
      <c r="R1570" s="8" t="s">
        <v>32</v>
      </c>
      <c r="S1570" s="8" t="b">
        <f>_xlfn.SINGLE(CleanedData[[#This Row],[Delivery Status]])="Late"</f>
        <v>1</v>
      </c>
      <c r="T1570" s="10">
        <v>9</v>
      </c>
      <c r="U1570" s="8" t="s">
        <v>158</v>
      </c>
      <c r="V1570" s="10">
        <v>3974</v>
      </c>
      <c r="W1570" s="10">
        <v>11</v>
      </c>
      <c r="X1570" s="12">
        <v>1.7432646592709902E-2</v>
      </c>
      <c r="Y1570" s="8" t="b">
        <f>CleanedData[[#This Row],[Ship Date]]&lt;CleanedData[[#This Row],[Order Date]]</f>
        <v>1</v>
      </c>
      <c r="Z1570" s="10">
        <f>YEAR(CleanedData[[#This Row],[Order Date]])</f>
        <v>2024</v>
      </c>
      <c r="AA1570" s="8">
        <f>MONTH(CleanedData[[#This Row],[Order Date]])</f>
        <v>8</v>
      </c>
    </row>
    <row r="1571" spans="1:27" x14ac:dyDescent="0.35">
      <c r="A1571" s="8" t="s">
        <v>4020</v>
      </c>
      <c r="B1571" s="9">
        <v>45044</v>
      </c>
      <c r="C1571" s="9">
        <v>45201</v>
      </c>
      <c r="D1571" s="8" t="s">
        <v>4021</v>
      </c>
      <c r="E1571" s="8" t="s">
        <v>58</v>
      </c>
      <c r="F1571" s="8" t="s">
        <v>417</v>
      </c>
      <c r="G1571" s="8" t="s">
        <v>217</v>
      </c>
      <c r="H1571" s="8" t="s">
        <v>725</v>
      </c>
      <c r="I1571" s="8" t="s">
        <v>4967</v>
      </c>
      <c r="J1571" s="10">
        <v>633</v>
      </c>
      <c r="K1571" s="11">
        <v>552.07000000000005</v>
      </c>
      <c r="L1571" s="11">
        <v>647.29999999999995</v>
      </c>
      <c r="M1571" s="11">
        <v>409740.9</v>
      </c>
      <c r="N1571" s="11">
        <v>349460.31</v>
      </c>
      <c r="O1571" s="11">
        <f>CleanedData[[#This Row],[Total Sales ($)]]-CleanedData[[#This Row],[Total Cost ($)]]</f>
        <v>60280.590000000026</v>
      </c>
      <c r="P1571" s="12">
        <f>CleanedData[[#This Row],[Profit ($)]]/CleanedData[[#This Row],[Total Sales ($)]]</f>
        <v>0.14711880117410789</v>
      </c>
      <c r="Q1571" s="8" t="s">
        <v>31</v>
      </c>
      <c r="R1571" s="8" t="s">
        <v>32</v>
      </c>
      <c r="S1571" s="8" t="b">
        <f>_xlfn.SINGLE(CleanedData[[#This Row],[Delivery Status]])="Late"</f>
        <v>1</v>
      </c>
      <c r="T1571" s="10">
        <v>6</v>
      </c>
      <c r="U1571" s="8" t="s">
        <v>43</v>
      </c>
      <c r="V1571" s="10">
        <v>1371</v>
      </c>
      <c r="W1571" s="10">
        <v>30</v>
      </c>
      <c r="X1571" s="12">
        <v>4.7393364928909901E-2</v>
      </c>
      <c r="Y1571" s="8" t="b">
        <f>CleanedData[[#This Row],[Ship Date]]&lt;CleanedData[[#This Row],[Order Date]]</f>
        <v>0</v>
      </c>
      <c r="Z1571" s="10">
        <f>YEAR(CleanedData[[#This Row],[Order Date]])</f>
        <v>2023</v>
      </c>
      <c r="AA1571" s="8">
        <f>MONTH(CleanedData[[#This Row],[Order Date]])</f>
        <v>4</v>
      </c>
    </row>
    <row r="1572" spans="1:27" x14ac:dyDescent="0.35">
      <c r="A1572" s="8" t="s">
        <v>4022</v>
      </c>
      <c r="B1572" s="9">
        <v>45143</v>
      </c>
      <c r="C1572" s="9">
        <v>45172</v>
      </c>
      <c r="D1572" s="8" t="s">
        <v>4023</v>
      </c>
      <c r="E1572" s="8" t="s">
        <v>26</v>
      </c>
      <c r="F1572" s="8" t="s">
        <v>228</v>
      </c>
      <c r="G1572" s="8" t="s">
        <v>78</v>
      </c>
      <c r="H1572" s="8" t="s">
        <v>628</v>
      </c>
      <c r="I1572" s="8" t="s">
        <v>4970</v>
      </c>
      <c r="J1572" s="10">
        <v>184</v>
      </c>
      <c r="K1572" s="11">
        <v>330.09</v>
      </c>
      <c r="L1572" s="11">
        <v>497.32</v>
      </c>
      <c r="M1572" s="11">
        <v>91506.880000000005</v>
      </c>
      <c r="N1572" s="11">
        <v>60736.56</v>
      </c>
      <c r="O1572" s="11">
        <f>CleanedData[[#This Row],[Total Sales ($)]]-CleanedData[[#This Row],[Total Cost ($)]]</f>
        <v>30770.320000000007</v>
      </c>
      <c r="P1572" s="12">
        <f>CleanedData[[#This Row],[Profit ($)]]/CleanedData[[#This Row],[Total Sales ($)]]</f>
        <v>0.33626236628327844</v>
      </c>
      <c r="Q1572" s="8" t="s">
        <v>95</v>
      </c>
      <c r="R1572" s="8" t="s">
        <v>32</v>
      </c>
      <c r="S1572" s="8" t="b">
        <f>_xlfn.SINGLE(CleanedData[[#This Row],[Delivery Status]])="Late"</f>
        <v>1</v>
      </c>
      <c r="T1572" s="10">
        <v>8</v>
      </c>
      <c r="U1572" s="8" t="s">
        <v>86</v>
      </c>
      <c r="V1572" s="10">
        <v>1271</v>
      </c>
      <c r="W1572" s="10">
        <v>7</v>
      </c>
      <c r="X1572" s="12">
        <v>3.8043478260869498E-2</v>
      </c>
      <c r="Y1572" s="8" t="b">
        <f>CleanedData[[#This Row],[Ship Date]]&lt;CleanedData[[#This Row],[Order Date]]</f>
        <v>0</v>
      </c>
      <c r="Z1572" s="10">
        <f>YEAR(CleanedData[[#This Row],[Order Date]])</f>
        <v>2023</v>
      </c>
      <c r="AA1572" s="8">
        <f>MONTH(CleanedData[[#This Row],[Order Date]])</f>
        <v>8</v>
      </c>
    </row>
    <row r="1573" spans="1:27" x14ac:dyDescent="0.35">
      <c r="A1573" s="8" t="s">
        <v>4024</v>
      </c>
      <c r="B1573" s="9">
        <v>45278</v>
      </c>
      <c r="C1573" s="9">
        <v>45238</v>
      </c>
      <c r="D1573" s="8" t="s">
        <v>4025</v>
      </c>
      <c r="E1573" s="8" t="s">
        <v>68</v>
      </c>
      <c r="F1573" s="8" t="s">
        <v>276</v>
      </c>
      <c r="G1573" s="8" t="s">
        <v>39</v>
      </c>
      <c r="H1573" s="8" t="s">
        <v>664</v>
      </c>
      <c r="I1573" s="8" t="s">
        <v>4977</v>
      </c>
      <c r="J1573" s="10">
        <v>261</v>
      </c>
      <c r="K1573" s="11">
        <v>576.99</v>
      </c>
      <c r="L1573" s="11">
        <v>834.77</v>
      </c>
      <c r="M1573" s="11">
        <v>217874.97</v>
      </c>
      <c r="N1573" s="11">
        <v>150594.39000000001</v>
      </c>
      <c r="O1573" s="11">
        <f>CleanedData[[#This Row],[Total Sales ($)]]-CleanedData[[#This Row],[Total Cost ($)]]</f>
        <v>67280.579999999987</v>
      </c>
      <c r="P1573" s="12">
        <f>CleanedData[[#This Row],[Profit ($)]]/CleanedData[[#This Row],[Total Sales ($)]]</f>
        <v>0.30880362255471561</v>
      </c>
      <c r="Q1573" s="8" t="s">
        <v>31</v>
      </c>
      <c r="R1573" s="8" t="s">
        <v>32</v>
      </c>
      <c r="S1573" s="8" t="b">
        <f>_xlfn.SINGLE(CleanedData[[#This Row],[Delivery Status]])="Late"</f>
        <v>1</v>
      </c>
      <c r="T1573" s="10">
        <v>6</v>
      </c>
      <c r="U1573" s="8" t="s">
        <v>33</v>
      </c>
      <c r="V1573" s="10">
        <v>352</v>
      </c>
      <c r="W1573" s="10">
        <v>11</v>
      </c>
      <c r="X1573" s="12">
        <v>4.2145593869731802E-2</v>
      </c>
      <c r="Y1573" s="8" t="b">
        <f>CleanedData[[#This Row],[Ship Date]]&lt;CleanedData[[#This Row],[Order Date]]</f>
        <v>1</v>
      </c>
      <c r="Z1573" s="10">
        <f>YEAR(CleanedData[[#This Row],[Order Date]])</f>
        <v>2023</v>
      </c>
      <c r="AA1573" s="8">
        <f>MONTH(CleanedData[[#This Row],[Order Date]])</f>
        <v>12</v>
      </c>
    </row>
    <row r="1574" spans="1:27" x14ac:dyDescent="0.35">
      <c r="A1574" s="8" t="s">
        <v>4026</v>
      </c>
      <c r="B1574" s="9">
        <v>45182</v>
      </c>
      <c r="C1574" s="9">
        <v>44990</v>
      </c>
      <c r="D1574" s="8" t="s">
        <v>4027</v>
      </c>
      <c r="E1574" s="8" t="s">
        <v>58</v>
      </c>
      <c r="F1574" s="8" t="s">
        <v>122</v>
      </c>
      <c r="G1574" s="8" t="s">
        <v>129</v>
      </c>
      <c r="H1574" s="8" t="s">
        <v>811</v>
      </c>
      <c r="I1574" s="8" t="s">
        <v>4969</v>
      </c>
      <c r="J1574" s="10">
        <v>778</v>
      </c>
      <c r="K1574" s="11">
        <v>882.7</v>
      </c>
      <c r="L1574" s="11">
        <v>1366.53</v>
      </c>
      <c r="M1574" s="11">
        <v>1063160.3400000001</v>
      </c>
      <c r="N1574" s="11">
        <v>686740.6</v>
      </c>
      <c r="O1574" s="11">
        <f>CleanedData[[#This Row],[Total Sales ($)]]-CleanedData[[#This Row],[Total Cost ($)]]</f>
        <v>376419.74000000011</v>
      </c>
      <c r="P1574" s="12">
        <f>CleanedData[[#This Row],[Profit ($)]]/CleanedData[[#This Row],[Total Sales ($)]]</f>
        <v>0.35405735695520779</v>
      </c>
      <c r="Q1574" s="8" t="s">
        <v>95</v>
      </c>
      <c r="R1574" s="8" t="s">
        <v>63</v>
      </c>
      <c r="S1574" s="8" t="b">
        <f>_xlfn.SINGLE(CleanedData[[#This Row],[Delivery Status]])="Late"</f>
        <v>0</v>
      </c>
      <c r="T1574" s="10">
        <v>500</v>
      </c>
      <c r="U1574" s="8" t="s">
        <v>112</v>
      </c>
      <c r="V1574" s="10">
        <v>3120</v>
      </c>
      <c r="W1574" s="10">
        <v>29</v>
      </c>
      <c r="X1574" s="12">
        <v>3.7275064267352102E-2</v>
      </c>
      <c r="Y1574" s="8" t="b">
        <f>CleanedData[[#This Row],[Ship Date]]&lt;CleanedData[[#This Row],[Order Date]]</f>
        <v>1</v>
      </c>
      <c r="Z1574" s="10">
        <f>YEAR(CleanedData[[#This Row],[Order Date]])</f>
        <v>2023</v>
      </c>
      <c r="AA1574" s="8">
        <f>MONTH(CleanedData[[#This Row],[Order Date]])</f>
        <v>9</v>
      </c>
    </row>
    <row r="1575" spans="1:27" x14ac:dyDescent="0.35">
      <c r="A1575" s="8" t="s">
        <v>4028</v>
      </c>
      <c r="B1575" s="9">
        <v>44989</v>
      </c>
      <c r="C1575" s="9">
        <v>44933</v>
      </c>
      <c r="D1575" s="8" t="s">
        <v>4029</v>
      </c>
      <c r="E1575" s="8" t="s">
        <v>48</v>
      </c>
      <c r="F1575" s="8" t="s">
        <v>49</v>
      </c>
      <c r="G1575" s="8" t="s">
        <v>60</v>
      </c>
      <c r="H1575" s="8" t="s">
        <v>164</v>
      </c>
      <c r="I1575" s="8" t="s">
        <v>4975</v>
      </c>
      <c r="J1575" s="10">
        <v>796</v>
      </c>
      <c r="K1575" s="11">
        <v>734.68</v>
      </c>
      <c r="L1575" s="11">
        <v>917.93</v>
      </c>
      <c r="M1575" s="11">
        <v>730672.28</v>
      </c>
      <c r="N1575" s="11">
        <v>584805.28</v>
      </c>
      <c r="O1575" s="11">
        <f>CleanedData[[#This Row],[Total Sales ($)]]-CleanedData[[#This Row],[Total Cost ($)]]</f>
        <v>145867</v>
      </c>
      <c r="P1575" s="12">
        <f>CleanedData[[#This Row],[Profit ($)]]/CleanedData[[#This Row],[Total Sales ($)]]</f>
        <v>0.19963395901648273</v>
      </c>
      <c r="Q1575" s="8" t="s">
        <v>42</v>
      </c>
      <c r="R1575" s="8" t="s">
        <v>32</v>
      </c>
      <c r="S1575" s="8" t="b">
        <f>_xlfn.SINGLE(CleanedData[[#This Row],[Delivery Status]])="Late"</f>
        <v>1</v>
      </c>
      <c r="T1575" s="10">
        <v>6</v>
      </c>
      <c r="U1575" s="8" t="s">
        <v>86</v>
      </c>
      <c r="V1575" s="10">
        <v>4383</v>
      </c>
      <c r="W1575" s="10">
        <v>3</v>
      </c>
      <c r="X1575" s="12">
        <v>3.7688442211055002E-3</v>
      </c>
      <c r="Y1575" s="8" t="b">
        <f>CleanedData[[#This Row],[Ship Date]]&lt;CleanedData[[#This Row],[Order Date]]</f>
        <v>1</v>
      </c>
      <c r="Z1575" s="10">
        <f>YEAR(CleanedData[[#This Row],[Order Date]])</f>
        <v>2023</v>
      </c>
      <c r="AA1575" s="8">
        <f>MONTH(CleanedData[[#This Row],[Order Date]])</f>
        <v>3</v>
      </c>
    </row>
    <row r="1576" spans="1:27" x14ac:dyDescent="0.35">
      <c r="A1576" s="8" t="s">
        <v>4030</v>
      </c>
      <c r="B1576" s="9">
        <v>44937</v>
      </c>
      <c r="C1576" s="9">
        <v>45155</v>
      </c>
      <c r="D1576" s="8" t="s">
        <v>4031</v>
      </c>
      <c r="E1576" s="8" t="s">
        <v>26</v>
      </c>
      <c r="F1576" s="8" t="s">
        <v>38</v>
      </c>
      <c r="G1576" s="8" t="s">
        <v>78</v>
      </c>
      <c r="H1576" s="8" t="s">
        <v>481</v>
      </c>
      <c r="I1576" s="8" t="s">
        <v>4978</v>
      </c>
      <c r="J1576" s="10">
        <v>299</v>
      </c>
      <c r="K1576" s="11">
        <v>618.91999999999996</v>
      </c>
      <c r="L1576" s="11">
        <v>948.86</v>
      </c>
      <c r="M1576" s="11">
        <v>283709.14</v>
      </c>
      <c r="N1576" s="11">
        <v>185057.08</v>
      </c>
      <c r="O1576" s="11">
        <f>CleanedData[[#This Row],[Total Sales ($)]]-CleanedData[[#This Row],[Total Cost ($)]]</f>
        <v>98652.060000000027</v>
      </c>
      <c r="P1576" s="12">
        <f>CleanedData[[#This Row],[Profit ($)]]/CleanedData[[#This Row],[Total Sales ($)]]</f>
        <v>0.34772253019412774</v>
      </c>
      <c r="Q1576" s="8" t="s">
        <v>31</v>
      </c>
      <c r="R1576" s="8" t="s">
        <v>32</v>
      </c>
      <c r="S1576" s="8" t="b">
        <f>_xlfn.SINGLE(CleanedData[[#This Row],[Delivery Status]])="Late"</f>
        <v>1</v>
      </c>
      <c r="T1576" s="10">
        <v>12</v>
      </c>
      <c r="U1576" s="8" t="s">
        <v>33</v>
      </c>
      <c r="V1576" s="10">
        <v>1345</v>
      </c>
      <c r="W1576" s="10">
        <v>5</v>
      </c>
      <c r="X1576" s="12">
        <v>1.67224080267558E-2</v>
      </c>
      <c r="Y1576" s="8" t="b">
        <f>CleanedData[[#This Row],[Ship Date]]&lt;CleanedData[[#This Row],[Order Date]]</f>
        <v>0</v>
      </c>
      <c r="Z1576" s="10">
        <f>YEAR(CleanedData[[#This Row],[Order Date]])</f>
        <v>2023</v>
      </c>
      <c r="AA1576" s="8">
        <f>MONTH(CleanedData[[#This Row],[Order Date]])</f>
        <v>1</v>
      </c>
    </row>
    <row r="1577" spans="1:27" x14ac:dyDescent="0.35">
      <c r="A1577" s="8" t="s">
        <v>4032</v>
      </c>
      <c r="B1577" s="9">
        <v>45047</v>
      </c>
      <c r="C1577" s="9">
        <v>45088</v>
      </c>
      <c r="D1577" s="8" t="s">
        <v>4033</v>
      </c>
      <c r="E1577" s="8" t="s">
        <v>58</v>
      </c>
      <c r="F1577" s="8" t="s">
        <v>122</v>
      </c>
      <c r="G1577" s="8" t="s">
        <v>78</v>
      </c>
      <c r="H1577" s="8" t="s">
        <v>840</v>
      </c>
      <c r="I1577" s="8" t="s">
        <v>4976</v>
      </c>
      <c r="J1577" s="10">
        <v>272</v>
      </c>
      <c r="K1577" s="11">
        <v>127.3</v>
      </c>
      <c r="L1577" s="11">
        <v>171.77</v>
      </c>
      <c r="M1577" s="11">
        <v>46721.440000000002</v>
      </c>
      <c r="N1577" s="11">
        <v>34625.599999999999</v>
      </c>
      <c r="O1577" s="11">
        <f>CleanedData[[#This Row],[Total Sales ($)]]-CleanedData[[#This Row],[Total Cost ($)]]</f>
        <v>12095.840000000004</v>
      </c>
      <c r="P1577" s="12">
        <f>CleanedData[[#This Row],[Profit ($)]]/CleanedData[[#This Row],[Total Sales ($)]]</f>
        <v>0.25889270536182113</v>
      </c>
      <c r="Q1577" s="8" t="s">
        <v>52</v>
      </c>
      <c r="R1577" s="8" t="s">
        <v>32</v>
      </c>
      <c r="S1577" s="8" t="b">
        <f>_xlfn.SINGLE(CleanedData[[#This Row],[Delivery Status]])="Late"</f>
        <v>1</v>
      </c>
      <c r="T1577" s="10">
        <v>7</v>
      </c>
      <c r="U1577" s="8" t="s">
        <v>158</v>
      </c>
      <c r="V1577" s="10">
        <v>1371</v>
      </c>
      <c r="W1577" s="10">
        <v>4</v>
      </c>
      <c r="X1577" s="12">
        <v>1.47058823529411E-2</v>
      </c>
      <c r="Y1577" s="8" t="b">
        <f>CleanedData[[#This Row],[Ship Date]]&lt;CleanedData[[#This Row],[Order Date]]</f>
        <v>0</v>
      </c>
      <c r="Z1577" s="10">
        <f>YEAR(CleanedData[[#This Row],[Order Date]])</f>
        <v>2023</v>
      </c>
      <c r="AA1577" s="8">
        <f>MONTH(CleanedData[[#This Row],[Order Date]])</f>
        <v>5</v>
      </c>
    </row>
    <row r="1578" spans="1:27" x14ac:dyDescent="0.35">
      <c r="A1578" s="8" t="s">
        <v>4034</v>
      </c>
      <c r="B1578" s="9">
        <v>45099</v>
      </c>
      <c r="C1578" s="9">
        <v>45165</v>
      </c>
      <c r="D1578" s="8" t="s">
        <v>4035</v>
      </c>
      <c r="E1578" s="8" t="s">
        <v>100</v>
      </c>
      <c r="F1578" s="8" t="s">
        <v>330</v>
      </c>
      <c r="G1578" s="8" t="s">
        <v>28</v>
      </c>
      <c r="H1578" s="8" t="s">
        <v>579</v>
      </c>
      <c r="I1578" s="8" t="s">
        <v>4977</v>
      </c>
      <c r="J1578" s="10">
        <v>790</v>
      </c>
      <c r="K1578" s="11">
        <v>181.62</v>
      </c>
      <c r="L1578" s="11">
        <v>229.06</v>
      </c>
      <c r="M1578" s="11">
        <v>180957.4</v>
      </c>
      <c r="N1578" s="11">
        <v>143479.79999999999</v>
      </c>
      <c r="O1578" s="11">
        <f>CleanedData[[#This Row],[Total Sales ($)]]-CleanedData[[#This Row],[Total Cost ($)]]</f>
        <v>37477.600000000006</v>
      </c>
      <c r="P1578" s="12">
        <f>CleanedData[[#This Row],[Profit ($)]]/CleanedData[[#This Row],[Total Sales ($)]]</f>
        <v>0.20710730812887457</v>
      </c>
      <c r="Q1578" s="8" t="s">
        <v>31</v>
      </c>
      <c r="R1578" s="8" t="s">
        <v>63</v>
      </c>
      <c r="S1578" s="8" t="b">
        <f>_xlfn.SINGLE(CleanedData[[#This Row],[Delivery Status]])="Late"</f>
        <v>0</v>
      </c>
      <c r="T1578" s="10">
        <v>1</v>
      </c>
      <c r="U1578" s="8" t="s">
        <v>86</v>
      </c>
      <c r="V1578" s="10">
        <v>1518</v>
      </c>
      <c r="W1578" s="10">
        <v>31</v>
      </c>
      <c r="X1578" s="12">
        <v>3.9240506329113897E-2</v>
      </c>
      <c r="Y1578" s="8" t="b">
        <f>CleanedData[[#This Row],[Ship Date]]&lt;CleanedData[[#This Row],[Order Date]]</f>
        <v>0</v>
      </c>
      <c r="Z1578" s="10">
        <f>YEAR(CleanedData[[#This Row],[Order Date]])</f>
        <v>2023</v>
      </c>
      <c r="AA1578" s="8">
        <f>MONTH(CleanedData[[#This Row],[Order Date]])</f>
        <v>6</v>
      </c>
    </row>
    <row r="1579" spans="1:27" x14ac:dyDescent="0.35">
      <c r="A1579" s="8" t="s">
        <v>4036</v>
      </c>
      <c r="B1579" s="9">
        <v>45053</v>
      </c>
      <c r="C1579" s="9">
        <v>45102</v>
      </c>
      <c r="D1579" s="8" t="s">
        <v>4037</v>
      </c>
      <c r="E1579" s="8" t="s">
        <v>58</v>
      </c>
      <c r="F1579" s="8" t="s">
        <v>259</v>
      </c>
      <c r="G1579" s="8" t="s">
        <v>70</v>
      </c>
      <c r="H1579" s="8" t="s">
        <v>446</v>
      </c>
      <c r="I1579" s="8" t="s">
        <v>4979</v>
      </c>
      <c r="J1579" s="10">
        <v>454</v>
      </c>
      <c r="K1579" s="11">
        <v>943.56</v>
      </c>
      <c r="L1579" s="11">
        <v>1242.5</v>
      </c>
      <c r="M1579" s="11">
        <v>564095</v>
      </c>
      <c r="N1579" s="11">
        <v>428376.24</v>
      </c>
      <c r="O1579" s="11">
        <f>CleanedData[[#This Row],[Total Sales ($)]]-CleanedData[[#This Row],[Total Cost ($)]]</f>
        <v>135718.76</v>
      </c>
      <c r="P1579" s="12">
        <f>CleanedData[[#This Row],[Profit ($)]]/CleanedData[[#This Row],[Total Sales ($)]]</f>
        <v>0.24059557344064389</v>
      </c>
      <c r="Q1579" s="8" t="s">
        <v>52</v>
      </c>
      <c r="R1579" s="8" t="s">
        <v>63</v>
      </c>
      <c r="S1579" s="8" t="b">
        <f>_xlfn.SINGLE(CleanedData[[#This Row],[Delivery Status]])="Late"</f>
        <v>0</v>
      </c>
      <c r="T1579" s="10">
        <v>5</v>
      </c>
      <c r="U1579" s="8" t="s">
        <v>53</v>
      </c>
      <c r="V1579" s="10">
        <v>4234</v>
      </c>
      <c r="W1579" s="10">
        <v>1</v>
      </c>
      <c r="X1579" s="12">
        <v>2.2026431718061E-3</v>
      </c>
      <c r="Y1579" s="8" t="b">
        <f>CleanedData[[#This Row],[Ship Date]]&lt;CleanedData[[#This Row],[Order Date]]</f>
        <v>0</v>
      </c>
      <c r="Z1579" s="10">
        <f>YEAR(CleanedData[[#This Row],[Order Date]])</f>
        <v>2023</v>
      </c>
      <c r="AA1579" s="8">
        <f>MONTH(CleanedData[[#This Row],[Order Date]])</f>
        <v>5</v>
      </c>
    </row>
    <row r="1580" spans="1:27" x14ac:dyDescent="0.35">
      <c r="A1580" s="8" t="s">
        <v>4038</v>
      </c>
      <c r="B1580" s="9">
        <v>45031</v>
      </c>
      <c r="C1580" s="9">
        <v>45212</v>
      </c>
      <c r="D1580" s="8" t="s">
        <v>4039</v>
      </c>
      <c r="E1580" s="8" t="s">
        <v>100</v>
      </c>
      <c r="F1580" s="8" t="s">
        <v>106</v>
      </c>
      <c r="G1580" s="8" t="s">
        <v>60</v>
      </c>
      <c r="H1580" s="8" t="s">
        <v>400</v>
      </c>
      <c r="I1580" s="8" t="s">
        <v>4969</v>
      </c>
      <c r="J1580" s="10">
        <v>782</v>
      </c>
      <c r="K1580" s="11">
        <v>831.35</v>
      </c>
      <c r="L1580" s="11">
        <v>1350.61</v>
      </c>
      <c r="M1580" s="11">
        <v>1056177.02</v>
      </c>
      <c r="N1580" s="11">
        <v>650115.69999999995</v>
      </c>
      <c r="O1580" s="11">
        <f>CleanedData[[#This Row],[Total Sales ($)]]-CleanedData[[#This Row],[Total Cost ($)]]</f>
        <v>406061.32000000007</v>
      </c>
      <c r="P1580" s="12">
        <f>CleanedData[[#This Row],[Profit ($)]]/CleanedData[[#This Row],[Total Sales ($)]]</f>
        <v>0.38446331657547334</v>
      </c>
      <c r="Q1580" s="8" t="s">
        <v>31</v>
      </c>
      <c r="R1580" s="8" t="s">
        <v>32</v>
      </c>
      <c r="S1580" s="8" t="b">
        <f>_xlfn.SINGLE(CleanedData[[#This Row],[Delivery Status]])="Late"</f>
        <v>1</v>
      </c>
      <c r="T1580" s="10">
        <v>13</v>
      </c>
      <c r="U1580" s="8" t="s">
        <v>112</v>
      </c>
      <c r="V1580" s="10">
        <v>1323</v>
      </c>
      <c r="W1580" s="10">
        <v>31</v>
      </c>
      <c r="X1580" s="12">
        <v>3.9641943734015299E-2</v>
      </c>
      <c r="Y1580" s="8" t="b">
        <f>CleanedData[[#This Row],[Ship Date]]&lt;CleanedData[[#This Row],[Order Date]]</f>
        <v>0</v>
      </c>
      <c r="Z1580" s="10">
        <f>YEAR(CleanedData[[#This Row],[Order Date]])</f>
        <v>2023</v>
      </c>
      <c r="AA1580" s="8">
        <f>MONTH(CleanedData[[#This Row],[Order Date]])</f>
        <v>4</v>
      </c>
    </row>
    <row r="1581" spans="1:27" x14ac:dyDescent="0.35">
      <c r="A1581" s="8" t="s">
        <v>4040</v>
      </c>
      <c r="B1581" s="9">
        <v>45574</v>
      </c>
      <c r="C1581" s="9">
        <v>45339</v>
      </c>
      <c r="D1581" s="8" t="s">
        <v>4041</v>
      </c>
      <c r="E1581" s="8" t="s">
        <v>100</v>
      </c>
      <c r="F1581" s="8" t="s">
        <v>106</v>
      </c>
      <c r="G1581" s="8" t="s">
        <v>50</v>
      </c>
      <c r="H1581" s="8" t="s">
        <v>173</v>
      </c>
      <c r="I1581" s="8" t="s">
        <v>4979</v>
      </c>
      <c r="J1581" s="10">
        <v>68</v>
      </c>
      <c r="K1581" s="11">
        <v>24.17</v>
      </c>
      <c r="L1581" s="11">
        <v>36.770000000000003</v>
      </c>
      <c r="M1581" s="11">
        <v>2500.36</v>
      </c>
      <c r="N1581" s="11">
        <v>1643.56</v>
      </c>
      <c r="O1581" s="11">
        <f>CleanedData[[#This Row],[Total Sales ($)]]-CleanedData[[#This Row],[Total Cost ($)]]</f>
        <v>856.80000000000018</v>
      </c>
      <c r="P1581" s="12">
        <f>CleanedData[[#This Row],[Profit ($)]]/CleanedData[[#This Row],[Total Sales ($)]]</f>
        <v>0.34267065542561875</v>
      </c>
      <c r="Q1581" s="8" t="s">
        <v>42</v>
      </c>
      <c r="R1581" s="8" t="s">
        <v>63</v>
      </c>
      <c r="S1581" s="8" t="b">
        <f>_xlfn.SINGLE(CleanedData[[#This Row],[Delivery Status]])="Late"</f>
        <v>0</v>
      </c>
      <c r="T1581" s="10">
        <v>3</v>
      </c>
      <c r="U1581" s="8" t="s">
        <v>53</v>
      </c>
      <c r="V1581" s="10">
        <v>4143</v>
      </c>
      <c r="W1581" s="10">
        <v>3</v>
      </c>
      <c r="X1581" s="12">
        <v>4.4117647058823498E-2</v>
      </c>
      <c r="Y1581" s="8" t="b">
        <f>CleanedData[[#This Row],[Ship Date]]&lt;CleanedData[[#This Row],[Order Date]]</f>
        <v>1</v>
      </c>
      <c r="Z1581" s="10">
        <f>YEAR(CleanedData[[#This Row],[Order Date]])</f>
        <v>2024</v>
      </c>
      <c r="AA1581" s="8">
        <f>MONTH(CleanedData[[#This Row],[Order Date]])</f>
        <v>10</v>
      </c>
    </row>
    <row r="1582" spans="1:27" x14ac:dyDescent="0.35">
      <c r="A1582" s="8" t="s">
        <v>4042</v>
      </c>
      <c r="B1582" s="9">
        <v>45068</v>
      </c>
      <c r="C1582" s="9">
        <v>45217</v>
      </c>
      <c r="D1582" s="8" t="s">
        <v>4043</v>
      </c>
      <c r="E1582" s="8" t="s">
        <v>58</v>
      </c>
      <c r="F1582" s="8" t="s">
        <v>429</v>
      </c>
      <c r="G1582" s="8" t="s">
        <v>93</v>
      </c>
      <c r="H1582" s="8" t="s">
        <v>94</v>
      </c>
      <c r="I1582" s="8" t="s">
        <v>4973</v>
      </c>
      <c r="J1582" s="10">
        <v>753</v>
      </c>
      <c r="K1582" s="11">
        <v>207.69</v>
      </c>
      <c r="L1582" s="11">
        <v>267.06</v>
      </c>
      <c r="M1582" s="11">
        <v>201096.18</v>
      </c>
      <c r="N1582" s="11">
        <v>156390.57</v>
      </c>
      <c r="O1582" s="11">
        <f>CleanedData[[#This Row],[Total Sales ($)]]-CleanedData[[#This Row],[Total Cost ($)]]</f>
        <v>44705.609999999986</v>
      </c>
      <c r="P1582" s="12">
        <f>CleanedData[[#This Row],[Profit ($)]]/CleanedData[[#This Row],[Total Sales ($)]]</f>
        <v>0.22230959334980896</v>
      </c>
      <c r="Q1582" s="8" t="s">
        <v>52</v>
      </c>
      <c r="R1582" s="8" t="s">
        <v>32</v>
      </c>
      <c r="S1582" s="8" t="b">
        <f>_xlfn.SINGLE(CleanedData[[#This Row],[Delivery Status]])="Late"</f>
        <v>1</v>
      </c>
      <c r="T1582" s="10">
        <v>7</v>
      </c>
      <c r="U1582" s="8" t="s">
        <v>112</v>
      </c>
      <c r="V1582" s="10">
        <v>1795</v>
      </c>
      <c r="W1582" s="10">
        <v>27</v>
      </c>
      <c r="X1582" s="12">
        <v>3.5856573705179202E-2</v>
      </c>
      <c r="Y1582" s="8" t="b">
        <f>CleanedData[[#This Row],[Ship Date]]&lt;CleanedData[[#This Row],[Order Date]]</f>
        <v>0</v>
      </c>
      <c r="Z1582" s="10">
        <f>YEAR(CleanedData[[#This Row],[Order Date]])</f>
        <v>2023</v>
      </c>
      <c r="AA1582" s="8">
        <f>MONTH(CleanedData[[#This Row],[Order Date]])</f>
        <v>5</v>
      </c>
    </row>
    <row r="1583" spans="1:27" x14ac:dyDescent="0.35">
      <c r="A1583" s="8" t="s">
        <v>4044</v>
      </c>
      <c r="B1583" s="9">
        <v>45348</v>
      </c>
      <c r="C1583" s="9">
        <v>45393</v>
      </c>
      <c r="D1583" s="8" t="s">
        <v>4045</v>
      </c>
      <c r="E1583" s="8" t="s">
        <v>26</v>
      </c>
      <c r="F1583" s="8" t="s">
        <v>38</v>
      </c>
      <c r="G1583" s="8" t="s">
        <v>129</v>
      </c>
      <c r="H1583" s="8" t="s">
        <v>345</v>
      </c>
      <c r="I1583" s="8" t="s">
        <v>4977</v>
      </c>
      <c r="J1583" s="10">
        <v>774</v>
      </c>
      <c r="K1583" s="11">
        <v>1105.71</v>
      </c>
      <c r="L1583" s="11">
        <v>1809.35</v>
      </c>
      <c r="M1583" s="11">
        <v>1400436.9</v>
      </c>
      <c r="N1583" s="11">
        <v>855819.54</v>
      </c>
      <c r="O1583" s="11">
        <f>CleanedData[[#This Row],[Total Sales ($)]]-CleanedData[[#This Row],[Total Cost ($)]]</f>
        <v>544617.35999999987</v>
      </c>
      <c r="P1583" s="12">
        <f>CleanedData[[#This Row],[Profit ($)]]/CleanedData[[#This Row],[Total Sales ($)]]</f>
        <v>0.38889103821814458</v>
      </c>
      <c r="Q1583" s="8" t="s">
        <v>95</v>
      </c>
      <c r="R1583" s="8" t="s">
        <v>63</v>
      </c>
      <c r="S1583" s="8" t="b">
        <f>_xlfn.SINGLE(CleanedData[[#This Row],[Delivery Status]])="Late"</f>
        <v>0</v>
      </c>
      <c r="T1583" s="10">
        <v>1</v>
      </c>
      <c r="U1583" s="8" t="s">
        <v>112</v>
      </c>
      <c r="V1583" s="10">
        <v>4605</v>
      </c>
      <c r="W1583" s="10">
        <v>10</v>
      </c>
      <c r="X1583" s="12">
        <v>1.29198966408268E-2</v>
      </c>
      <c r="Y1583" s="8" t="b">
        <f>CleanedData[[#This Row],[Ship Date]]&lt;CleanedData[[#This Row],[Order Date]]</f>
        <v>0</v>
      </c>
      <c r="Z1583" s="10">
        <f>YEAR(CleanedData[[#This Row],[Order Date]])</f>
        <v>2024</v>
      </c>
      <c r="AA1583" s="8">
        <f>MONTH(CleanedData[[#This Row],[Order Date]])</f>
        <v>2</v>
      </c>
    </row>
    <row r="1584" spans="1:27" x14ac:dyDescent="0.35">
      <c r="A1584" s="8" t="s">
        <v>4046</v>
      </c>
      <c r="B1584" s="9">
        <v>45023</v>
      </c>
      <c r="C1584" s="9">
        <v>45203</v>
      </c>
      <c r="D1584" s="8" t="s">
        <v>4047</v>
      </c>
      <c r="E1584" s="8" t="s">
        <v>100</v>
      </c>
      <c r="F1584" s="8" t="s">
        <v>101</v>
      </c>
      <c r="G1584" s="8" t="s">
        <v>129</v>
      </c>
      <c r="H1584" s="8" t="s">
        <v>130</v>
      </c>
      <c r="I1584" s="8" t="s">
        <v>4970</v>
      </c>
      <c r="J1584" s="10">
        <v>159</v>
      </c>
      <c r="K1584" s="11">
        <v>285.2</v>
      </c>
      <c r="L1584" s="11">
        <v>333.75</v>
      </c>
      <c r="M1584" s="11">
        <v>53066.25</v>
      </c>
      <c r="N1584" s="11">
        <v>45346.8</v>
      </c>
      <c r="O1584" s="11">
        <f>CleanedData[[#This Row],[Total Sales ($)]]-CleanedData[[#This Row],[Total Cost ($)]]</f>
        <v>7719.4499999999971</v>
      </c>
      <c r="P1584" s="12">
        <f>CleanedData[[#This Row],[Profit ($)]]/CleanedData[[#This Row],[Total Sales ($)]]</f>
        <v>0.14546816479400743</v>
      </c>
      <c r="Q1584" s="8" t="s">
        <v>42</v>
      </c>
      <c r="R1584" s="8" t="s">
        <v>63</v>
      </c>
      <c r="S1584" s="8" t="b">
        <f>_xlfn.SINGLE(CleanedData[[#This Row],[Delivery Status]])="Late"</f>
        <v>0</v>
      </c>
      <c r="T1584" s="10">
        <v>3</v>
      </c>
      <c r="U1584" s="8" t="s">
        <v>86</v>
      </c>
      <c r="V1584" s="10">
        <v>490</v>
      </c>
      <c r="W1584" s="10">
        <v>7</v>
      </c>
      <c r="X1584" s="12">
        <v>4.40251572327044E-2</v>
      </c>
      <c r="Y1584" s="8" t="b">
        <f>CleanedData[[#This Row],[Ship Date]]&lt;CleanedData[[#This Row],[Order Date]]</f>
        <v>0</v>
      </c>
      <c r="Z1584" s="10">
        <f>YEAR(CleanedData[[#This Row],[Order Date]])</f>
        <v>2023</v>
      </c>
      <c r="AA1584" s="8">
        <f>MONTH(CleanedData[[#This Row],[Order Date]])</f>
        <v>4</v>
      </c>
    </row>
    <row r="1585" spans="1:27" x14ac:dyDescent="0.35">
      <c r="A1585" s="8" t="s">
        <v>4048</v>
      </c>
      <c r="B1585" s="9">
        <v>45331</v>
      </c>
      <c r="C1585" s="9">
        <v>45478</v>
      </c>
      <c r="D1585" s="8" t="s">
        <v>4049</v>
      </c>
      <c r="E1585" s="8" t="s">
        <v>100</v>
      </c>
      <c r="F1585" s="8" t="s">
        <v>538</v>
      </c>
      <c r="G1585" s="8" t="s">
        <v>28</v>
      </c>
      <c r="H1585" s="8" t="s">
        <v>254</v>
      </c>
      <c r="I1585" s="8" t="s">
        <v>4975</v>
      </c>
      <c r="J1585" s="10">
        <v>106</v>
      </c>
      <c r="K1585" s="11">
        <v>862.02</v>
      </c>
      <c r="L1585" s="11">
        <v>1206.33</v>
      </c>
      <c r="M1585" s="11">
        <v>127870.98</v>
      </c>
      <c r="N1585" s="11">
        <v>91374.12</v>
      </c>
      <c r="O1585" s="11">
        <f>CleanedData[[#This Row],[Total Sales ($)]]-CleanedData[[#This Row],[Total Cost ($)]]</f>
        <v>36496.86</v>
      </c>
      <c r="P1585" s="12">
        <f>CleanedData[[#This Row],[Profit ($)]]/CleanedData[[#This Row],[Total Sales ($)]]</f>
        <v>0.2854194125985427</v>
      </c>
      <c r="Q1585" s="8" t="s">
        <v>42</v>
      </c>
      <c r="R1585" s="8" t="s">
        <v>63</v>
      </c>
      <c r="S1585" s="8" t="b">
        <f>_xlfn.SINGLE(CleanedData[[#This Row],[Delivery Status]])="Late"</f>
        <v>0</v>
      </c>
      <c r="T1585" s="10">
        <v>5</v>
      </c>
      <c r="U1585" s="8" t="s">
        <v>86</v>
      </c>
      <c r="V1585" s="10">
        <v>2568</v>
      </c>
      <c r="W1585" s="10">
        <v>0</v>
      </c>
      <c r="X1585" s="12">
        <v>0</v>
      </c>
      <c r="Y1585" s="8" t="b">
        <f>CleanedData[[#This Row],[Ship Date]]&lt;CleanedData[[#This Row],[Order Date]]</f>
        <v>0</v>
      </c>
      <c r="Z1585" s="10">
        <f>YEAR(CleanedData[[#This Row],[Order Date]])</f>
        <v>2024</v>
      </c>
      <c r="AA1585" s="8">
        <f>MONTH(CleanedData[[#This Row],[Order Date]])</f>
        <v>2</v>
      </c>
    </row>
    <row r="1586" spans="1:27" x14ac:dyDescent="0.35">
      <c r="A1586" s="8" t="s">
        <v>4050</v>
      </c>
      <c r="B1586" s="9">
        <v>45206</v>
      </c>
      <c r="C1586" s="9">
        <v>45003</v>
      </c>
      <c r="D1586" s="8" t="s">
        <v>4051</v>
      </c>
      <c r="E1586" s="8" t="s">
        <v>100</v>
      </c>
      <c r="F1586" s="8" t="s">
        <v>101</v>
      </c>
      <c r="G1586" s="8" t="s">
        <v>93</v>
      </c>
      <c r="H1586" s="8" t="s">
        <v>321</v>
      </c>
      <c r="I1586" s="8" t="s">
        <v>4973</v>
      </c>
      <c r="J1586" s="10">
        <v>253</v>
      </c>
      <c r="K1586" s="11">
        <v>84.97</v>
      </c>
      <c r="L1586" s="11">
        <v>119.91</v>
      </c>
      <c r="M1586" s="11">
        <v>30337.23</v>
      </c>
      <c r="N1586" s="11">
        <v>21497.41</v>
      </c>
      <c r="O1586" s="11">
        <f>CleanedData[[#This Row],[Total Sales ($)]]-CleanedData[[#This Row],[Total Cost ($)]]</f>
        <v>8839.82</v>
      </c>
      <c r="P1586" s="12">
        <f>CleanedData[[#This Row],[Profit ($)]]/CleanedData[[#This Row],[Total Sales ($)]]</f>
        <v>0.2913852055708448</v>
      </c>
      <c r="Q1586" s="8" t="s">
        <v>52</v>
      </c>
      <c r="R1586" s="8" t="s">
        <v>32</v>
      </c>
      <c r="S1586" s="8" t="b">
        <f>_xlfn.SINGLE(CleanedData[[#This Row],[Delivery Status]])="Late"</f>
        <v>1</v>
      </c>
      <c r="T1586" s="10">
        <v>9</v>
      </c>
      <c r="U1586" s="8" t="s">
        <v>53</v>
      </c>
      <c r="V1586" s="10">
        <v>1813</v>
      </c>
      <c r="W1586" s="10">
        <v>10</v>
      </c>
      <c r="X1586" s="12">
        <v>3.9525691699604702E-2</v>
      </c>
      <c r="Y1586" s="8" t="b">
        <f>CleanedData[[#This Row],[Ship Date]]&lt;CleanedData[[#This Row],[Order Date]]</f>
        <v>1</v>
      </c>
      <c r="Z1586" s="10">
        <f>YEAR(CleanedData[[#This Row],[Order Date]])</f>
        <v>2023</v>
      </c>
      <c r="AA1586" s="8">
        <f>MONTH(CleanedData[[#This Row],[Order Date]])</f>
        <v>10</v>
      </c>
    </row>
    <row r="1587" spans="1:27" x14ac:dyDescent="0.35">
      <c r="A1587" s="8" t="s">
        <v>4052</v>
      </c>
      <c r="B1587" s="9">
        <v>44928</v>
      </c>
      <c r="C1587" s="9">
        <v>45264</v>
      </c>
      <c r="D1587" s="8" t="s">
        <v>1772</v>
      </c>
      <c r="E1587" s="8" t="s">
        <v>4972</v>
      </c>
      <c r="F1587" s="8" t="s">
        <v>59</v>
      </c>
      <c r="G1587" s="8" t="s">
        <v>50</v>
      </c>
      <c r="H1587" s="8" t="s">
        <v>173</v>
      </c>
      <c r="I1587" s="8" t="s">
        <v>4973</v>
      </c>
      <c r="J1587" s="10">
        <v>57</v>
      </c>
      <c r="K1587" s="11">
        <v>1164.5899999999999</v>
      </c>
      <c r="L1587" s="11">
        <v>1383.67</v>
      </c>
      <c r="M1587" s="11">
        <v>78869.19</v>
      </c>
      <c r="N1587" s="11">
        <v>66381.63</v>
      </c>
      <c r="O1587" s="11">
        <f>CleanedData[[#This Row],[Total Sales ($)]]-CleanedData[[#This Row],[Total Cost ($)]]</f>
        <v>12487.559999999998</v>
      </c>
      <c r="P1587" s="12">
        <f>CleanedData[[#This Row],[Profit ($)]]/CleanedData[[#This Row],[Total Sales ($)]]</f>
        <v>0.1583325503913505</v>
      </c>
      <c r="Q1587" s="8" t="s">
        <v>31</v>
      </c>
      <c r="R1587" s="8" t="s">
        <v>32</v>
      </c>
      <c r="S1587" s="8" t="b">
        <f>_xlfn.SINGLE(CleanedData[[#This Row],[Delivery Status]])="Late"</f>
        <v>1</v>
      </c>
      <c r="T1587" s="10">
        <v>7</v>
      </c>
      <c r="U1587" s="8" t="s">
        <v>33</v>
      </c>
      <c r="V1587" s="10">
        <v>4124</v>
      </c>
      <c r="W1587" s="10">
        <v>2</v>
      </c>
      <c r="X1587" s="12">
        <v>3.5087719298245598E-2</v>
      </c>
      <c r="Y1587" s="8" t="b">
        <f>CleanedData[[#This Row],[Ship Date]]&lt;CleanedData[[#This Row],[Order Date]]</f>
        <v>0</v>
      </c>
      <c r="Z1587" s="10">
        <f>YEAR(CleanedData[[#This Row],[Order Date]])</f>
        <v>2023</v>
      </c>
      <c r="AA1587" s="8">
        <f>MONTH(CleanedData[[#This Row],[Order Date]])</f>
        <v>1</v>
      </c>
    </row>
    <row r="1588" spans="1:27" x14ac:dyDescent="0.35">
      <c r="A1588" s="8" t="s">
        <v>4053</v>
      </c>
      <c r="B1588" s="9">
        <v>45227</v>
      </c>
      <c r="C1588" s="9">
        <v>45219</v>
      </c>
      <c r="D1588" s="8" t="s">
        <v>4054</v>
      </c>
      <c r="E1588" s="8" t="s">
        <v>100</v>
      </c>
      <c r="F1588" s="8" t="s">
        <v>538</v>
      </c>
      <c r="G1588" s="8" t="s">
        <v>70</v>
      </c>
      <c r="H1588" s="8" t="s">
        <v>384</v>
      </c>
      <c r="I1588" s="8" t="s">
        <v>4967</v>
      </c>
      <c r="J1588" s="10">
        <v>25</v>
      </c>
      <c r="K1588" s="11">
        <v>38.07</v>
      </c>
      <c r="L1588" s="11">
        <v>52.47</v>
      </c>
      <c r="M1588" s="11">
        <v>1311.75</v>
      </c>
      <c r="N1588" s="11">
        <v>951.75</v>
      </c>
      <c r="O1588" s="11">
        <f>CleanedData[[#This Row],[Total Sales ($)]]-CleanedData[[#This Row],[Total Cost ($)]]</f>
        <v>360</v>
      </c>
      <c r="P1588" s="12">
        <f>CleanedData[[#This Row],[Profit ($)]]/CleanedData[[#This Row],[Total Sales ($)]]</f>
        <v>0.274442538593482</v>
      </c>
      <c r="Q1588" s="8" t="s">
        <v>95</v>
      </c>
      <c r="R1588" s="8" t="s">
        <v>32</v>
      </c>
      <c r="S1588" s="8" t="b">
        <f>_xlfn.SINGLE(CleanedData[[#This Row],[Delivery Status]])="Late"</f>
        <v>1</v>
      </c>
      <c r="T1588" s="10">
        <v>11</v>
      </c>
      <c r="U1588" s="8" t="s">
        <v>33</v>
      </c>
      <c r="V1588" s="10">
        <v>4128</v>
      </c>
      <c r="W1588" s="10">
        <v>0</v>
      </c>
      <c r="X1588" s="12">
        <v>0</v>
      </c>
      <c r="Y1588" s="8" t="b">
        <f>CleanedData[[#This Row],[Ship Date]]&lt;CleanedData[[#This Row],[Order Date]]</f>
        <v>1</v>
      </c>
      <c r="Z1588" s="10">
        <f>YEAR(CleanedData[[#This Row],[Order Date]])</f>
        <v>2023</v>
      </c>
      <c r="AA1588" s="8">
        <f>MONTH(CleanedData[[#This Row],[Order Date]])</f>
        <v>10</v>
      </c>
    </row>
    <row r="1589" spans="1:27" x14ac:dyDescent="0.35">
      <c r="A1589" s="8" t="s">
        <v>4055</v>
      </c>
      <c r="B1589" s="9">
        <v>45190</v>
      </c>
      <c r="C1589" s="9">
        <v>45253</v>
      </c>
      <c r="D1589" s="8" t="s">
        <v>2314</v>
      </c>
      <c r="E1589" s="8" t="s">
        <v>4972</v>
      </c>
      <c r="F1589" s="8" t="s">
        <v>228</v>
      </c>
      <c r="G1589" s="8" t="s">
        <v>50</v>
      </c>
      <c r="H1589" s="8" t="s">
        <v>135</v>
      </c>
      <c r="I1589" s="8" t="s">
        <v>4968</v>
      </c>
      <c r="J1589" s="10">
        <v>771</v>
      </c>
      <c r="K1589" s="11">
        <v>670.75</v>
      </c>
      <c r="L1589" s="11">
        <v>827.16</v>
      </c>
      <c r="M1589" s="11">
        <v>637740.36</v>
      </c>
      <c r="N1589" s="11">
        <v>517148.25</v>
      </c>
      <c r="O1589" s="11">
        <f>CleanedData[[#This Row],[Total Sales ($)]]-CleanedData[[#This Row],[Total Cost ($)]]</f>
        <v>120592.10999999999</v>
      </c>
      <c r="P1589" s="12">
        <f>CleanedData[[#This Row],[Profit ($)]]/CleanedData[[#This Row],[Total Sales ($)]]</f>
        <v>0.18909279945838772</v>
      </c>
      <c r="Q1589" s="8" t="s">
        <v>95</v>
      </c>
      <c r="R1589" s="8" t="s">
        <v>63</v>
      </c>
      <c r="S1589" s="8" t="b">
        <f>_xlfn.SINGLE(CleanedData[[#This Row],[Delivery Status]])="Late"</f>
        <v>0</v>
      </c>
      <c r="T1589" s="10">
        <v>5</v>
      </c>
      <c r="U1589" s="8" t="s">
        <v>33</v>
      </c>
      <c r="V1589" s="10">
        <v>3225</v>
      </c>
      <c r="W1589" s="10">
        <v>37</v>
      </c>
      <c r="X1589" s="12">
        <v>4.7989623865110201E-2</v>
      </c>
      <c r="Y1589" s="8" t="b">
        <f>CleanedData[[#This Row],[Ship Date]]&lt;CleanedData[[#This Row],[Order Date]]</f>
        <v>0</v>
      </c>
      <c r="Z1589" s="10">
        <f>YEAR(CleanedData[[#This Row],[Order Date]])</f>
        <v>2023</v>
      </c>
      <c r="AA1589" s="8">
        <f>MONTH(CleanedData[[#This Row],[Order Date]])</f>
        <v>9</v>
      </c>
    </row>
    <row r="1590" spans="1:27" x14ac:dyDescent="0.35">
      <c r="A1590" s="8" t="s">
        <v>4056</v>
      </c>
      <c r="B1590" s="9">
        <v>45059</v>
      </c>
      <c r="C1590" s="9">
        <v>45207</v>
      </c>
      <c r="D1590" s="8" t="s">
        <v>4057</v>
      </c>
      <c r="E1590" s="8" t="s">
        <v>26</v>
      </c>
      <c r="F1590" s="8" t="s">
        <v>27</v>
      </c>
      <c r="G1590" s="8" t="s">
        <v>189</v>
      </c>
      <c r="H1590" s="8" t="s">
        <v>365</v>
      </c>
      <c r="I1590" s="8" t="s">
        <v>4967</v>
      </c>
      <c r="J1590" s="10">
        <v>519</v>
      </c>
      <c r="K1590" s="11">
        <v>639.53</v>
      </c>
      <c r="L1590" s="11">
        <v>1039.26</v>
      </c>
      <c r="M1590" s="11">
        <v>539375.93999999994</v>
      </c>
      <c r="N1590" s="11">
        <v>331916.07</v>
      </c>
      <c r="O1590" s="11">
        <f>CleanedData[[#This Row],[Total Sales ($)]]-CleanedData[[#This Row],[Total Cost ($)]]</f>
        <v>207459.86999999994</v>
      </c>
      <c r="P1590" s="12">
        <f>CleanedData[[#This Row],[Profit ($)]]/CleanedData[[#This Row],[Total Sales ($)]]</f>
        <v>0.38462944787637349</v>
      </c>
      <c r="Q1590" s="8" t="s">
        <v>42</v>
      </c>
      <c r="R1590" s="8" t="s">
        <v>32</v>
      </c>
      <c r="S1590" s="8" t="b">
        <f>_xlfn.SINGLE(CleanedData[[#This Row],[Delivery Status]])="Late"</f>
        <v>1</v>
      </c>
      <c r="T1590" s="10">
        <v>14</v>
      </c>
      <c r="U1590" s="8" t="s">
        <v>53</v>
      </c>
      <c r="V1590" s="10">
        <v>4428</v>
      </c>
      <c r="W1590" s="10">
        <v>20</v>
      </c>
      <c r="X1590" s="12">
        <v>3.8535645472061598E-2</v>
      </c>
      <c r="Y1590" s="8" t="b">
        <f>CleanedData[[#This Row],[Ship Date]]&lt;CleanedData[[#This Row],[Order Date]]</f>
        <v>0</v>
      </c>
      <c r="Z1590" s="10">
        <f>YEAR(CleanedData[[#This Row],[Order Date]])</f>
        <v>2023</v>
      </c>
      <c r="AA1590" s="8">
        <f>MONTH(CleanedData[[#This Row],[Order Date]])</f>
        <v>5</v>
      </c>
    </row>
    <row r="1591" spans="1:27" x14ac:dyDescent="0.35">
      <c r="A1591" s="8" t="s">
        <v>4058</v>
      </c>
      <c r="B1591" s="9">
        <v>45429</v>
      </c>
      <c r="C1591" s="9">
        <v>45485</v>
      </c>
      <c r="D1591" s="8" t="s">
        <v>4059</v>
      </c>
      <c r="E1591" s="8" t="s">
        <v>68</v>
      </c>
      <c r="F1591" s="8" t="s">
        <v>69</v>
      </c>
      <c r="G1591" s="8" t="s">
        <v>93</v>
      </c>
      <c r="H1591" s="8" t="s">
        <v>302</v>
      </c>
      <c r="I1591" s="8" t="s">
        <v>4971</v>
      </c>
      <c r="J1591" s="10"/>
      <c r="K1591" s="11">
        <v>-2</v>
      </c>
      <c r="L1591" s="11">
        <v>1424.76</v>
      </c>
      <c r="M1591" s="11">
        <v>911846.40000000002</v>
      </c>
      <c r="N1591" s="11">
        <v>702771.19999999995</v>
      </c>
      <c r="O1591" s="11">
        <f>CleanedData[[#This Row],[Total Sales ($)]]-CleanedData[[#This Row],[Total Cost ($)]]</f>
        <v>209075.20000000007</v>
      </c>
      <c r="P1591" s="12">
        <f>CleanedData[[#This Row],[Profit ($)]]/CleanedData[[#This Row],[Total Sales ($)]]</f>
        <v>0.22928773968949162</v>
      </c>
      <c r="Q1591" s="8" t="s">
        <v>52</v>
      </c>
      <c r="R1591" s="8" t="s">
        <v>32</v>
      </c>
      <c r="S1591" s="8" t="b">
        <f>_xlfn.SINGLE(CleanedData[[#This Row],[Delivery Status]])="Late"</f>
        <v>1</v>
      </c>
      <c r="T1591" s="10">
        <v>12</v>
      </c>
      <c r="U1591" s="8" t="s">
        <v>112</v>
      </c>
      <c r="V1591" s="10">
        <v>1621</v>
      </c>
      <c r="W1591" s="10">
        <v>26</v>
      </c>
      <c r="X1591" s="12"/>
      <c r="Y1591" s="8" t="b">
        <f>CleanedData[[#This Row],[Ship Date]]&lt;CleanedData[[#This Row],[Order Date]]</f>
        <v>0</v>
      </c>
      <c r="Z1591" s="10">
        <f>YEAR(CleanedData[[#This Row],[Order Date]])</f>
        <v>2024</v>
      </c>
      <c r="AA1591" s="8">
        <f>MONTH(CleanedData[[#This Row],[Order Date]])</f>
        <v>5</v>
      </c>
    </row>
    <row r="1592" spans="1:27" x14ac:dyDescent="0.35">
      <c r="A1592" s="8" t="s">
        <v>4060</v>
      </c>
      <c r="B1592" s="9">
        <v>45082</v>
      </c>
      <c r="C1592" s="9">
        <v>45215</v>
      </c>
      <c r="D1592" s="8" t="s">
        <v>4061</v>
      </c>
      <c r="E1592" s="8" t="s">
        <v>26</v>
      </c>
      <c r="F1592" s="8" t="s">
        <v>228</v>
      </c>
      <c r="G1592" s="8" t="s">
        <v>60</v>
      </c>
      <c r="H1592" s="8" t="s">
        <v>229</v>
      </c>
      <c r="I1592" s="8" t="s">
        <v>4973</v>
      </c>
      <c r="J1592" s="10">
        <v>-5</v>
      </c>
      <c r="K1592" s="11">
        <v>84.1</v>
      </c>
      <c r="L1592" s="11">
        <v>113.56</v>
      </c>
      <c r="M1592" s="11">
        <v>33613.760000000002</v>
      </c>
      <c r="N1592" s="11">
        <v>24893.599999999999</v>
      </c>
      <c r="O1592" s="11">
        <f>CleanedData[[#This Row],[Total Sales ($)]]-CleanedData[[#This Row],[Total Cost ($)]]</f>
        <v>8720.1600000000035</v>
      </c>
      <c r="P1592" s="12">
        <f>CleanedData[[#This Row],[Profit ($)]]/CleanedData[[#This Row],[Total Sales ($)]]</f>
        <v>0.25942233180697438</v>
      </c>
      <c r="Q1592" s="8" t="s">
        <v>95</v>
      </c>
      <c r="R1592" s="8" t="s">
        <v>32</v>
      </c>
      <c r="S1592" s="8" t="b">
        <f>_xlfn.SINGLE(CleanedData[[#This Row],[Delivery Status]])="Late"</f>
        <v>1</v>
      </c>
      <c r="T1592" s="10">
        <v>14</v>
      </c>
      <c r="U1592" s="8" t="s">
        <v>86</v>
      </c>
      <c r="V1592" s="10">
        <v>4021</v>
      </c>
      <c r="W1592" s="10">
        <v>10</v>
      </c>
      <c r="X1592" s="12"/>
      <c r="Y1592" s="8" t="b">
        <f>CleanedData[[#This Row],[Ship Date]]&lt;CleanedData[[#This Row],[Order Date]]</f>
        <v>0</v>
      </c>
      <c r="Z1592" s="10">
        <f>YEAR(CleanedData[[#This Row],[Order Date]])</f>
        <v>2023</v>
      </c>
      <c r="AA1592" s="8">
        <f>MONTH(CleanedData[[#This Row],[Order Date]])</f>
        <v>6</v>
      </c>
    </row>
    <row r="1593" spans="1:27" x14ac:dyDescent="0.35">
      <c r="A1593" s="8" t="s">
        <v>2401</v>
      </c>
      <c r="B1593" s="9">
        <v>45154</v>
      </c>
      <c r="C1593" s="9">
        <v>45268</v>
      </c>
      <c r="D1593" s="8" t="s">
        <v>1888</v>
      </c>
      <c r="E1593" s="8" t="s">
        <v>58</v>
      </c>
      <c r="F1593" s="8" t="s">
        <v>259</v>
      </c>
      <c r="G1593" s="8" t="s">
        <v>129</v>
      </c>
      <c r="H1593" s="8" t="s">
        <v>316</v>
      </c>
      <c r="I1593" s="8" t="s">
        <v>4970</v>
      </c>
      <c r="J1593" s="10">
        <v>578</v>
      </c>
      <c r="K1593" s="11">
        <v>511.61</v>
      </c>
      <c r="L1593" s="11"/>
      <c r="M1593" s="11">
        <v>338471.02</v>
      </c>
      <c r="N1593" s="11">
        <v>295710.58</v>
      </c>
      <c r="O1593" s="11">
        <f>CleanedData[[#This Row],[Total Sales ($)]]-CleanedData[[#This Row],[Total Cost ($)]]</f>
        <v>42760.44</v>
      </c>
      <c r="P1593" s="12">
        <f>CleanedData[[#This Row],[Profit ($)]]/CleanedData[[#This Row],[Total Sales ($)]]</f>
        <v>0.12633412455813794</v>
      </c>
      <c r="Q1593" s="8" t="s">
        <v>52</v>
      </c>
      <c r="R1593" s="8" t="s">
        <v>32</v>
      </c>
      <c r="S1593" s="8" t="b">
        <f>_xlfn.SINGLE(CleanedData[[#This Row],[Delivery Status]])="Late"</f>
        <v>1</v>
      </c>
      <c r="T1593" s="10">
        <v>8</v>
      </c>
      <c r="U1593" s="8" t="s">
        <v>112</v>
      </c>
      <c r="V1593" s="10">
        <v>4315</v>
      </c>
      <c r="W1593" s="10">
        <v>1</v>
      </c>
      <c r="X1593" s="12">
        <v>1.7301038062283E-3</v>
      </c>
      <c r="Y1593" s="8" t="b">
        <f>CleanedData[[#This Row],[Ship Date]]&lt;CleanedData[[#This Row],[Order Date]]</f>
        <v>0</v>
      </c>
      <c r="Z1593" s="10">
        <f>YEAR(CleanedData[[#This Row],[Order Date]])</f>
        <v>2023</v>
      </c>
      <c r="AA1593" s="8">
        <f>MONTH(CleanedData[[#This Row],[Order Date]])</f>
        <v>8</v>
      </c>
    </row>
    <row r="1594" spans="1:27" x14ac:dyDescent="0.35">
      <c r="A1594" s="8" t="s">
        <v>4062</v>
      </c>
      <c r="B1594" s="9">
        <v>45120</v>
      </c>
      <c r="C1594" s="9">
        <v>44987</v>
      </c>
      <c r="D1594" s="8" t="s">
        <v>4063</v>
      </c>
      <c r="E1594" s="8" t="s">
        <v>58</v>
      </c>
      <c r="F1594" s="8" t="s">
        <v>122</v>
      </c>
      <c r="G1594" s="8" t="s">
        <v>60</v>
      </c>
      <c r="H1594" s="8" t="s">
        <v>834</v>
      </c>
      <c r="I1594" s="8" t="s">
        <v>4970</v>
      </c>
      <c r="J1594" s="10">
        <v>722</v>
      </c>
      <c r="K1594" s="11">
        <v>723.31</v>
      </c>
      <c r="L1594" s="11">
        <v>994.63</v>
      </c>
      <c r="M1594" s="11">
        <v>718122.86</v>
      </c>
      <c r="N1594" s="11">
        <v>522229.82</v>
      </c>
      <c r="O1594" s="11">
        <f>CleanedData[[#This Row],[Total Sales ($)]]-CleanedData[[#This Row],[Total Cost ($)]]</f>
        <v>195893.03999999998</v>
      </c>
      <c r="P1594" s="12">
        <f>CleanedData[[#This Row],[Profit ($)]]/CleanedData[[#This Row],[Total Sales ($)]]</f>
        <v>0.27278485466957558</v>
      </c>
      <c r="Q1594" s="8" t="s">
        <v>42</v>
      </c>
      <c r="R1594" s="8" t="s">
        <v>63</v>
      </c>
      <c r="S1594" s="8" t="b">
        <f>_xlfn.SINGLE(CleanedData[[#This Row],[Delivery Status]])="Late"</f>
        <v>0</v>
      </c>
      <c r="T1594" s="10">
        <v>2</v>
      </c>
      <c r="U1594" s="8" t="s">
        <v>43</v>
      </c>
      <c r="V1594" s="10">
        <v>937</v>
      </c>
      <c r="W1594" s="10">
        <v>13</v>
      </c>
      <c r="X1594" s="12">
        <v>1.8005540166204901E-2</v>
      </c>
      <c r="Y1594" s="8" t="b">
        <f>CleanedData[[#This Row],[Ship Date]]&lt;CleanedData[[#This Row],[Order Date]]</f>
        <v>1</v>
      </c>
      <c r="Z1594" s="10">
        <f>YEAR(CleanedData[[#This Row],[Order Date]])</f>
        <v>2023</v>
      </c>
      <c r="AA1594" s="8">
        <f>MONTH(CleanedData[[#This Row],[Order Date]])</f>
        <v>7</v>
      </c>
    </row>
    <row r="1595" spans="1:27" x14ac:dyDescent="0.35">
      <c r="A1595" s="8" t="s">
        <v>4064</v>
      </c>
      <c r="B1595" s="9">
        <v>45012</v>
      </c>
      <c r="C1595" s="9">
        <v>45192</v>
      </c>
      <c r="D1595" s="8" t="s">
        <v>4065</v>
      </c>
      <c r="E1595" s="8" t="s">
        <v>58</v>
      </c>
      <c r="F1595" s="8" t="s">
        <v>122</v>
      </c>
      <c r="G1595" s="8" t="s">
        <v>60</v>
      </c>
      <c r="H1595" s="8" t="s">
        <v>164</v>
      </c>
      <c r="I1595" s="8" t="s">
        <v>4967</v>
      </c>
      <c r="J1595" s="10">
        <v>212</v>
      </c>
      <c r="K1595" s="11">
        <v>1094.19</v>
      </c>
      <c r="L1595" s="11">
        <v>1601.73</v>
      </c>
      <c r="M1595" s="11">
        <v>339566.76</v>
      </c>
      <c r="N1595" s="11">
        <v>231968.28</v>
      </c>
      <c r="O1595" s="11">
        <f>CleanedData[[#This Row],[Total Sales ($)]]-CleanedData[[#This Row],[Total Cost ($)]]</f>
        <v>107598.48000000001</v>
      </c>
      <c r="P1595" s="12">
        <f>CleanedData[[#This Row],[Profit ($)]]/CleanedData[[#This Row],[Total Sales ($)]]</f>
        <v>0.31686988443745201</v>
      </c>
      <c r="Q1595" s="8" t="s">
        <v>95</v>
      </c>
      <c r="R1595" s="8" t="s">
        <v>32</v>
      </c>
      <c r="S1595" s="8" t="b">
        <f>_xlfn.SINGLE(CleanedData[[#This Row],[Delivery Status]])="Late"</f>
        <v>1</v>
      </c>
      <c r="T1595" s="10">
        <v>11</v>
      </c>
      <c r="U1595" s="8" t="s">
        <v>33</v>
      </c>
      <c r="V1595" s="10">
        <v>4143</v>
      </c>
      <c r="W1595" s="10">
        <v>1</v>
      </c>
      <c r="X1595" s="12">
        <v>4.7169811320754004E-3</v>
      </c>
      <c r="Y1595" s="8" t="b">
        <f>CleanedData[[#This Row],[Ship Date]]&lt;CleanedData[[#This Row],[Order Date]]</f>
        <v>0</v>
      </c>
      <c r="Z1595" s="10">
        <f>YEAR(CleanedData[[#This Row],[Order Date]])</f>
        <v>2023</v>
      </c>
      <c r="AA1595" s="8">
        <f>MONTH(CleanedData[[#This Row],[Order Date]])</f>
        <v>3</v>
      </c>
    </row>
    <row r="1596" spans="1:27" x14ac:dyDescent="0.35">
      <c r="A1596" s="8" t="s">
        <v>4066</v>
      </c>
      <c r="B1596" s="9">
        <v>45033</v>
      </c>
      <c r="C1596" s="9">
        <v>45232</v>
      </c>
      <c r="D1596" s="8" t="s">
        <v>4068</v>
      </c>
      <c r="E1596" s="8" t="s">
        <v>26</v>
      </c>
      <c r="F1596" s="8" t="s">
        <v>92</v>
      </c>
      <c r="G1596" s="8" t="s">
        <v>60</v>
      </c>
      <c r="H1596" s="8" t="s">
        <v>400</v>
      </c>
      <c r="I1596" s="8" t="s">
        <v>4967</v>
      </c>
      <c r="J1596" s="10">
        <v>50</v>
      </c>
      <c r="K1596" s="11">
        <v>811.69</v>
      </c>
      <c r="L1596" s="11">
        <v>1229.99</v>
      </c>
      <c r="M1596" s="11">
        <v>61499.5</v>
      </c>
      <c r="N1596" s="11">
        <v>40584.5</v>
      </c>
      <c r="O1596" s="11">
        <f>CleanedData[[#This Row],[Total Sales ($)]]-CleanedData[[#This Row],[Total Cost ($)]]</f>
        <v>20915</v>
      </c>
      <c r="P1596" s="12">
        <f>CleanedData[[#This Row],[Profit ($)]]/CleanedData[[#This Row],[Total Sales ($)]]</f>
        <v>0.34008406572411159</v>
      </c>
      <c r="Q1596" s="8" t="s">
        <v>52</v>
      </c>
      <c r="R1596" s="8" t="s">
        <v>63</v>
      </c>
      <c r="S1596" s="8" t="b">
        <f>_xlfn.SINGLE(CleanedData[[#This Row],[Delivery Status]])="Late"</f>
        <v>0</v>
      </c>
      <c r="T1596" s="10">
        <v>15</v>
      </c>
      <c r="U1596" s="8" t="s">
        <v>158</v>
      </c>
      <c r="V1596" s="10">
        <v>2501.41</v>
      </c>
      <c r="W1596" s="10">
        <v>1</v>
      </c>
      <c r="X1596" s="12">
        <v>0.02</v>
      </c>
      <c r="Y1596" s="8" t="b">
        <f>CleanedData[[#This Row],[Ship Date]]&lt;CleanedData[[#This Row],[Order Date]]</f>
        <v>0</v>
      </c>
      <c r="Z1596" s="10">
        <f>YEAR(CleanedData[[#This Row],[Order Date]])</f>
        <v>2023</v>
      </c>
      <c r="AA1596" s="8">
        <f>MONTH(CleanedData[[#This Row],[Order Date]])</f>
        <v>4</v>
      </c>
    </row>
    <row r="1597" spans="1:27" x14ac:dyDescent="0.35">
      <c r="A1597" s="8" t="s">
        <v>4069</v>
      </c>
      <c r="B1597" s="9">
        <v>45628</v>
      </c>
      <c r="C1597" s="9">
        <v>45623</v>
      </c>
      <c r="D1597" s="8" t="s">
        <v>4070</v>
      </c>
      <c r="E1597" s="8" t="s">
        <v>58</v>
      </c>
      <c r="F1597" s="8" t="s">
        <v>259</v>
      </c>
      <c r="G1597" s="8" t="s">
        <v>93</v>
      </c>
      <c r="H1597" s="8" t="s">
        <v>302</v>
      </c>
      <c r="I1597" s="8" t="s">
        <v>4979</v>
      </c>
      <c r="J1597" s="10">
        <v>442</v>
      </c>
      <c r="K1597" s="11">
        <v>1188.74</v>
      </c>
      <c r="L1597" s="11">
        <v>1788.99</v>
      </c>
      <c r="M1597" s="11">
        <v>790733.58</v>
      </c>
      <c r="N1597" s="11">
        <v>525423.07999999996</v>
      </c>
      <c r="O1597" s="11">
        <f>CleanedData[[#This Row],[Total Sales ($)]]-CleanedData[[#This Row],[Total Cost ($)]]</f>
        <v>265310.5</v>
      </c>
      <c r="P1597" s="12">
        <f>CleanedData[[#This Row],[Profit ($)]]/CleanedData[[#This Row],[Total Sales ($)]]</f>
        <v>0.33552451383182691</v>
      </c>
      <c r="Q1597" s="8" t="s">
        <v>52</v>
      </c>
      <c r="R1597" s="8" t="s">
        <v>63</v>
      </c>
      <c r="S1597" s="8" t="b">
        <f>_xlfn.SINGLE(CleanedData[[#This Row],[Delivery Status]])="Late"</f>
        <v>0</v>
      </c>
      <c r="T1597" s="10">
        <v>5</v>
      </c>
      <c r="U1597" s="8" t="s">
        <v>112</v>
      </c>
      <c r="V1597" s="10">
        <v>1360</v>
      </c>
      <c r="W1597" s="10">
        <v>19</v>
      </c>
      <c r="X1597" s="12">
        <v>4.2986425339366502E-2</v>
      </c>
      <c r="Y1597" s="8" t="b">
        <f>CleanedData[[#This Row],[Ship Date]]&lt;CleanedData[[#This Row],[Order Date]]</f>
        <v>1</v>
      </c>
      <c r="Z1597" s="10">
        <f>YEAR(CleanedData[[#This Row],[Order Date]])</f>
        <v>2024</v>
      </c>
      <c r="AA1597" s="8">
        <f>MONTH(CleanedData[[#This Row],[Order Date]])</f>
        <v>12</v>
      </c>
    </row>
    <row r="1598" spans="1:27" x14ac:dyDescent="0.35">
      <c r="A1598" s="8" t="s">
        <v>4071</v>
      </c>
      <c r="B1598" s="9">
        <v>45007</v>
      </c>
      <c r="C1598" s="9">
        <v>45279</v>
      </c>
      <c r="D1598" s="8" t="s">
        <v>1744</v>
      </c>
      <c r="E1598" s="8" t="s">
        <v>100</v>
      </c>
      <c r="F1598" s="8" t="s">
        <v>106</v>
      </c>
      <c r="G1598" s="8" t="s">
        <v>60</v>
      </c>
      <c r="H1598" s="8" t="s">
        <v>61</v>
      </c>
      <c r="I1598" s="8" t="s">
        <v>4977</v>
      </c>
      <c r="J1598" s="10">
        <v>665</v>
      </c>
      <c r="K1598" s="11">
        <v>863.41</v>
      </c>
      <c r="L1598" s="11">
        <v>1409.98</v>
      </c>
      <c r="M1598" s="11">
        <v>937636.7</v>
      </c>
      <c r="N1598" s="11">
        <v>574167.65</v>
      </c>
      <c r="O1598" s="11">
        <f>CleanedData[[#This Row],[Total Sales ($)]]-CleanedData[[#This Row],[Total Cost ($)]]</f>
        <v>363469.04999999993</v>
      </c>
      <c r="P1598" s="12">
        <f>CleanedData[[#This Row],[Profit ($)]]/CleanedData[[#This Row],[Total Sales ($)]]</f>
        <v>0.38764379636590585</v>
      </c>
      <c r="Q1598" s="8" t="s">
        <v>95</v>
      </c>
      <c r="R1598" s="8" t="s">
        <v>63</v>
      </c>
      <c r="S1598" s="8" t="b">
        <f>_xlfn.SINGLE(CleanedData[[#This Row],[Delivery Status]])="Late"</f>
        <v>0</v>
      </c>
      <c r="T1598" s="10">
        <v>3</v>
      </c>
      <c r="U1598" s="8" t="s">
        <v>112</v>
      </c>
      <c r="V1598" s="10">
        <v>3293</v>
      </c>
      <c r="W1598" s="10">
        <v>30</v>
      </c>
      <c r="X1598" s="12">
        <v>4.5112781954887202E-2</v>
      </c>
      <c r="Y1598" s="8" t="b">
        <f>CleanedData[[#This Row],[Ship Date]]&lt;CleanedData[[#This Row],[Order Date]]</f>
        <v>0</v>
      </c>
      <c r="Z1598" s="10">
        <f>YEAR(CleanedData[[#This Row],[Order Date]])</f>
        <v>2023</v>
      </c>
      <c r="AA1598" s="8">
        <f>MONTH(CleanedData[[#This Row],[Order Date]])</f>
        <v>3</v>
      </c>
    </row>
    <row r="1599" spans="1:27" x14ac:dyDescent="0.35">
      <c r="A1599" s="8" t="s">
        <v>4072</v>
      </c>
      <c r="B1599" s="9">
        <v>45353</v>
      </c>
      <c r="C1599" s="9">
        <v>45420</v>
      </c>
      <c r="D1599" s="8" t="s">
        <v>1718</v>
      </c>
      <c r="E1599" s="8" t="s">
        <v>26</v>
      </c>
      <c r="F1599" s="8" t="s">
        <v>38</v>
      </c>
      <c r="G1599" s="8" t="s">
        <v>217</v>
      </c>
      <c r="H1599" s="8" t="s">
        <v>494</v>
      </c>
      <c r="I1599" s="8" t="s">
        <v>4974</v>
      </c>
      <c r="J1599" s="10">
        <v>221</v>
      </c>
      <c r="K1599" s="11">
        <v>590.58000000000004</v>
      </c>
      <c r="L1599" s="11">
        <v>717.37</v>
      </c>
      <c r="M1599" s="11">
        <v>158538.76999999999</v>
      </c>
      <c r="N1599" s="11">
        <v>130518.18</v>
      </c>
      <c r="O1599" s="11">
        <f>CleanedData[[#This Row],[Total Sales ($)]]-CleanedData[[#This Row],[Total Cost ($)]]</f>
        <v>28020.589999999997</v>
      </c>
      <c r="P1599" s="12">
        <f>CleanedData[[#This Row],[Profit ($)]]/CleanedData[[#This Row],[Total Sales ($)]]</f>
        <v>0.1767428244838786</v>
      </c>
      <c r="Q1599" s="8" t="s">
        <v>52</v>
      </c>
      <c r="R1599" s="8" t="s">
        <v>32</v>
      </c>
      <c r="S1599" s="8" t="b">
        <f>_xlfn.SINGLE(CleanedData[[#This Row],[Delivery Status]])="Late"</f>
        <v>1</v>
      </c>
      <c r="T1599" s="10">
        <v>15</v>
      </c>
      <c r="U1599" s="8" t="s">
        <v>112</v>
      </c>
      <c r="V1599" s="10">
        <v>4614</v>
      </c>
      <c r="W1599" s="10">
        <v>2</v>
      </c>
      <c r="X1599" s="12">
        <v>9.0497737556561007E-3</v>
      </c>
      <c r="Y1599" s="8" t="b">
        <f>CleanedData[[#This Row],[Ship Date]]&lt;CleanedData[[#This Row],[Order Date]]</f>
        <v>0</v>
      </c>
      <c r="Z1599" s="10">
        <f>YEAR(CleanedData[[#This Row],[Order Date]])</f>
        <v>2024</v>
      </c>
      <c r="AA1599" s="8">
        <f>MONTH(CleanedData[[#This Row],[Order Date]])</f>
        <v>3</v>
      </c>
    </row>
    <row r="1600" spans="1:27" x14ac:dyDescent="0.35">
      <c r="A1600" s="8" t="s">
        <v>4073</v>
      </c>
      <c r="B1600" s="9">
        <v>45332</v>
      </c>
      <c r="C1600" s="9">
        <v>45082</v>
      </c>
      <c r="D1600" s="8" t="s">
        <v>3541</v>
      </c>
      <c r="E1600" s="8" t="s">
        <v>26</v>
      </c>
      <c r="F1600" s="8" t="s">
        <v>228</v>
      </c>
      <c r="G1600" s="8" t="s">
        <v>189</v>
      </c>
      <c r="H1600" s="8" t="s">
        <v>360</v>
      </c>
      <c r="I1600" s="8" t="s">
        <v>4971</v>
      </c>
      <c r="J1600" s="10">
        <v>796</v>
      </c>
      <c r="K1600" s="11">
        <v>754.67</v>
      </c>
      <c r="L1600" s="11">
        <v>1170.67</v>
      </c>
      <c r="M1600" s="11">
        <v>931853.32</v>
      </c>
      <c r="N1600" s="11">
        <v>600717.31999999995</v>
      </c>
      <c r="O1600" s="11">
        <f>CleanedData[[#This Row],[Total Sales ($)]]-CleanedData[[#This Row],[Total Cost ($)]]</f>
        <v>331136</v>
      </c>
      <c r="P1600" s="12">
        <f>CleanedData[[#This Row],[Profit ($)]]/CleanedData[[#This Row],[Total Sales ($)]]</f>
        <v>0.35535206334833902</v>
      </c>
      <c r="Q1600" s="8" t="s">
        <v>31</v>
      </c>
      <c r="R1600" s="8" t="s">
        <v>32</v>
      </c>
      <c r="S1600" s="8" t="b">
        <f>_xlfn.SINGLE(CleanedData[[#This Row],[Delivery Status]])="Late"</f>
        <v>1</v>
      </c>
      <c r="T1600" s="10">
        <v>14</v>
      </c>
      <c r="U1600" s="8" t="s">
        <v>158</v>
      </c>
      <c r="V1600" s="10">
        <v>4645</v>
      </c>
      <c r="W1600" s="10">
        <v>32</v>
      </c>
      <c r="X1600" s="12">
        <v>4.0201005025125601E-2</v>
      </c>
      <c r="Y1600" s="8" t="b">
        <f>CleanedData[[#This Row],[Ship Date]]&lt;CleanedData[[#This Row],[Order Date]]</f>
        <v>1</v>
      </c>
      <c r="Z1600" s="10">
        <f>YEAR(CleanedData[[#This Row],[Order Date]])</f>
        <v>2024</v>
      </c>
      <c r="AA1600" s="8">
        <f>MONTH(CleanedData[[#This Row],[Order Date]])</f>
        <v>2</v>
      </c>
    </row>
    <row r="1601" spans="1:27" x14ac:dyDescent="0.35">
      <c r="A1601" s="8" t="s">
        <v>4074</v>
      </c>
      <c r="B1601" s="9">
        <v>45143</v>
      </c>
      <c r="C1601" s="9">
        <v>45043</v>
      </c>
      <c r="D1601" s="8" t="s">
        <v>4075</v>
      </c>
      <c r="E1601" s="8" t="s">
        <v>48</v>
      </c>
      <c r="F1601" s="8" t="s">
        <v>281</v>
      </c>
      <c r="G1601" s="8" t="s">
        <v>50</v>
      </c>
      <c r="H1601" s="8" t="s">
        <v>173</v>
      </c>
      <c r="I1601" s="8" t="s">
        <v>4967</v>
      </c>
      <c r="J1601" s="10">
        <v>643</v>
      </c>
      <c r="K1601" s="11">
        <v>178.43</v>
      </c>
      <c r="L1601" s="11">
        <v>253.66</v>
      </c>
      <c r="M1601" s="11">
        <v>163103.38</v>
      </c>
      <c r="N1601" s="11">
        <v>114730.49</v>
      </c>
      <c r="O1601" s="11">
        <f>CleanedData[[#This Row],[Total Sales ($)]]-CleanedData[[#This Row],[Total Cost ($)]]</f>
        <v>48372.89</v>
      </c>
      <c r="P1601" s="12">
        <f>CleanedData[[#This Row],[Profit ($)]]/CleanedData[[#This Row],[Total Sales ($)]]</f>
        <v>0.29657809666482693</v>
      </c>
      <c r="Q1601" s="8" t="s">
        <v>42</v>
      </c>
      <c r="R1601" s="8" t="s">
        <v>32</v>
      </c>
      <c r="S1601" s="8" t="b">
        <f>_xlfn.SINGLE(CleanedData[[#This Row],[Delivery Status]])="Late"</f>
        <v>1</v>
      </c>
      <c r="T1601" s="10">
        <v>13</v>
      </c>
      <c r="U1601" s="8" t="s">
        <v>158</v>
      </c>
      <c r="V1601" s="10">
        <v>683</v>
      </c>
      <c r="W1601" s="10">
        <v>4</v>
      </c>
      <c r="X1601" s="12">
        <v>6.2208398133748004E-3</v>
      </c>
      <c r="Y1601" s="8" t="b">
        <f>CleanedData[[#This Row],[Ship Date]]&lt;CleanedData[[#This Row],[Order Date]]</f>
        <v>1</v>
      </c>
      <c r="Z1601" s="10">
        <f>YEAR(CleanedData[[#This Row],[Order Date]])</f>
        <v>2023</v>
      </c>
      <c r="AA1601" s="8">
        <f>MONTH(CleanedData[[#This Row],[Order Date]])</f>
        <v>8</v>
      </c>
    </row>
    <row r="1602" spans="1:27" x14ac:dyDescent="0.35">
      <c r="A1602" s="8" t="s">
        <v>4076</v>
      </c>
      <c r="B1602" s="9">
        <v>45240</v>
      </c>
      <c r="C1602" s="9">
        <v>45149</v>
      </c>
      <c r="D1602" s="8" t="s">
        <v>4078</v>
      </c>
      <c r="E1602" s="8" t="s">
        <v>58</v>
      </c>
      <c r="F1602" s="8" t="s">
        <v>59</v>
      </c>
      <c r="G1602" s="8" t="s">
        <v>39</v>
      </c>
      <c r="H1602" s="8" t="s">
        <v>527</v>
      </c>
      <c r="I1602" s="8" t="s">
        <v>4971</v>
      </c>
      <c r="J1602" s="10">
        <v>751</v>
      </c>
      <c r="K1602" s="11">
        <v>1106.3599999999999</v>
      </c>
      <c r="L1602" s="11">
        <v>1345.58</v>
      </c>
      <c r="M1602" s="11">
        <v>1010530.58</v>
      </c>
      <c r="N1602" s="11">
        <v>830876.36</v>
      </c>
      <c r="O1602" s="11">
        <f>CleanedData[[#This Row],[Total Sales ($)]]-CleanedData[[#This Row],[Total Cost ($)]]</f>
        <v>179654.21999999997</v>
      </c>
      <c r="P1602" s="12">
        <f>CleanedData[[#This Row],[Profit ($)]]/CleanedData[[#This Row],[Total Sales ($)]]</f>
        <v>0.17778207167169546</v>
      </c>
      <c r="Q1602" s="8" t="s">
        <v>42</v>
      </c>
      <c r="R1602" s="8" t="s">
        <v>32</v>
      </c>
      <c r="S1602" s="8" t="b">
        <f>_xlfn.SINGLE(CleanedData[[#This Row],[Delivery Status]])="Late"</f>
        <v>1</v>
      </c>
      <c r="T1602" s="10">
        <v>11</v>
      </c>
      <c r="U1602" s="8" t="s">
        <v>33</v>
      </c>
      <c r="V1602" s="10">
        <v>3388</v>
      </c>
      <c r="W1602" s="10">
        <v>24</v>
      </c>
      <c r="X1602" s="12">
        <v>3.1957390146471303E-2</v>
      </c>
      <c r="Y1602" s="8" t="b">
        <f>CleanedData[[#This Row],[Ship Date]]&lt;CleanedData[[#This Row],[Order Date]]</f>
        <v>1</v>
      </c>
      <c r="Z1602" s="10">
        <f>YEAR(CleanedData[[#This Row],[Order Date]])</f>
        <v>2023</v>
      </c>
      <c r="AA1602" s="8">
        <f>MONTH(CleanedData[[#This Row],[Order Date]])</f>
        <v>11</v>
      </c>
    </row>
    <row r="1603" spans="1:27" x14ac:dyDescent="0.35">
      <c r="A1603" s="8" t="s">
        <v>4079</v>
      </c>
      <c r="B1603" s="9">
        <v>45192</v>
      </c>
      <c r="C1603" s="9">
        <v>45135</v>
      </c>
      <c r="D1603" s="8" t="s">
        <v>4080</v>
      </c>
      <c r="E1603" s="8" t="s">
        <v>68</v>
      </c>
      <c r="F1603" s="8" t="s">
        <v>69</v>
      </c>
      <c r="G1603" s="8" t="s">
        <v>28</v>
      </c>
      <c r="H1603" s="8" t="s">
        <v>111</v>
      </c>
      <c r="I1603" s="8" t="s">
        <v>4979</v>
      </c>
      <c r="J1603" s="10">
        <v>631</v>
      </c>
      <c r="K1603" s="11">
        <v>940.21</v>
      </c>
      <c r="L1603" s="11">
        <v>1365.89</v>
      </c>
      <c r="M1603" s="11">
        <v>861876.59</v>
      </c>
      <c r="N1603" s="11">
        <v>593272.51</v>
      </c>
      <c r="O1603" s="11">
        <f>CleanedData[[#This Row],[Total Sales ($)]]-CleanedData[[#This Row],[Total Cost ($)]]</f>
        <v>268604.07999999996</v>
      </c>
      <c r="P1603" s="12">
        <f>CleanedData[[#This Row],[Profit ($)]]/CleanedData[[#This Row],[Total Sales ($)]]</f>
        <v>0.31165027930506845</v>
      </c>
      <c r="Q1603" s="8" t="s">
        <v>52</v>
      </c>
      <c r="R1603" s="8" t="s">
        <v>63</v>
      </c>
      <c r="S1603" s="8" t="b">
        <f>_xlfn.SINGLE(CleanedData[[#This Row],[Delivery Status]])="Late"</f>
        <v>0</v>
      </c>
      <c r="T1603" s="10">
        <v>5</v>
      </c>
      <c r="U1603" s="8" t="s">
        <v>112</v>
      </c>
      <c r="V1603" s="10">
        <v>2859</v>
      </c>
      <c r="W1603" s="10">
        <v>19</v>
      </c>
      <c r="X1603" s="12">
        <v>3.0110935023771698E-2</v>
      </c>
      <c r="Y1603" s="8" t="b">
        <f>CleanedData[[#This Row],[Ship Date]]&lt;CleanedData[[#This Row],[Order Date]]</f>
        <v>1</v>
      </c>
      <c r="Z1603" s="10">
        <f>YEAR(CleanedData[[#This Row],[Order Date]])</f>
        <v>2023</v>
      </c>
      <c r="AA1603" s="8">
        <f>MONTH(CleanedData[[#This Row],[Order Date]])</f>
        <v>9</v>
      </c>
    </row>
    <row r="1604" spans="1:27" x14ac:dyDescent="0.35">
      <c r="A1604" s="8" t="s">
        <v>4081</v>
      </c>
      <c r="B1604" s="9">
        <v>45292</v>
      </c>
      <c r="C1604" s="9">
        <v>45425</v>
      </c>
      <c r="D1604" s="8" t="s">
        <v>3755</v>
      </c>
      <c r="E1604" s="8" t="s">
        <v>48</v>
      </c>
      <c r="F1604" s="8" t="s">
        <v>183</v>
      </c>
      <c r="G1604" s="8" t="s">
        <v>217</v>
      </c>
      <c r="H1604" s="8" t="s">
        <v>340</v>
      </c>
      <c r="I1604" s="8" t="s">
        <v>4967</v>
      </c>
      <c r="J1604" s="10">
        <v>169</v>
      </c>
      <c r="K1604" s="11">
        <v>756.55</v>
      </c>
      <c r="L1604" s="11">
        <v>1197.49</v>
      </c>
      <c r="M1604" s="11">
        <v>202375.81</v>
      </c>
      <c r="N1604" s="11">
        <v>127856.95</v>
      </c>
      <c r="O1604" s="11">
        <f>CleanedData[[#This Row],[Total Sales ($)]]-CleanedData[[#This Row],[Total Cost ($)]]</f>
        <v>74518.86</v>
      </c>
      <c r="P1604" s="12">
        <f>CleanedData[[#This Row],[Profit ($)]]/CleanedData[[#This Row],[Total Sales ($)]]</f>
        <v>0.36822019390558586</v>
      </c>
      <c r="Q1604" s="8" t="s">
        <v>52</v>
      </c>
      <c r="R1604" s="8" t="s">
        <v>32</v>
      </c>
      <c r="S1604" s="8" t="b">
        <f>_xlfn.SINGLE(CleanedData[[#This Row],[Delivery Status]])="Late"</f>
        <v>1</v>
      </c>
      <c r="T1604" s="10">
        <v>12</v>
      </c>
      <c r="U1604" s="8" t="s">
        <v>33</v>
      </c>
      <c r="V1604" s="10">
        <v>1838</v>
      </c>
      <c r="W1604" s="10">
        <v>3</v>
      </c>
      <c r="X1604" s="12">
        <v>1.7751479289940801E-2</v>
      </c>
      <c r="Y1604" s="8" t="b">
        <f>CleanedData[[#This Row],[Ship Date]]&lt;CleanedData[[#This Row],[Order Date]]</f>
        <v>0</v>
      </c>
      <c r="Z1604" s="10">
        <f>YEAR(CleanedData[[#This Row],[Order Date]])</f>
        <v>2024</v>
      </c>
      <c r="AA1604" s="8">
        <f>MONTH(CleanedData[[#This Row],[Order Date]])</f>
        <v>1</v>
      </c>
    </row>
    <row r="1605" spans="1:27" x14ac:dyDescent="0.35">
      <c r="A1605" s="8" t="s">
        <v>4082</v>
      </c>
      <c r="B1605" s="9">
        <v>45241</v>
      </c>
      <c r="C1605" s="9">
        <v>45217</v>
      </c>
      <c r="D1605" s="8" t="s">
        <v>4083</v>
      </c>
      <c r="E1605" s="8" t="s">
        <v>58</v>
      </c>
      <c r="F1605" s="8" t="s">
        <v>59</v>
      </c>
      <c r="G1605" s="8" t="s">
        <v>129</v>
      </c>
      <c r="H1605" s="8" t="s">
        <v>811</v>
      </c>
      <c r="I1605" s="8" t="s">
        <v>4976</v>
      </c>
      <c r="J1605" s="10">
        <v>519</v>
      </c>
      <c r="K1605" s="11">
        <v>910.72</v>
      </c>
      <c r="L1605" s="11">
        <v>1217.49</v>
      </c>
      <c r="M1605" s="11">
        <v>631877.31000000006</v>
      </c>
      <c r="N1605" s="11">
        <v>472663.68</v>
      </c>
      <c r="O1605" s="11">
        <f>CleanedData[[#This Row],[Total Sales ($)]]-CleanedData[[#This Row],[Total Cost ($)]]</f>
        <v>159213.63000000006</v>
      </c>
      <c r="P1605" s="12">
        <f>CleanedData[[#This Row],[Profit ($)]]/CleanedData[[#This Row],[Total Sales ($)]]</f>
        <v>0.25196921535289823</v>
      </c>
      <c r="Q1605" s="8" t="s">
        <v>95</v>
      </c>
      <c r="R1605" s="8" t="s">
        <v>32</v>
      </c>
      <c r="S1605" s="8" t="b">
        <f>_xlfn.SINGLE(CleanedData[[#This Row],[Delivery Status]])="Late"</f>
        <v>1</v>
      </c>
      <c r="T1605" s="10">
        <v>8</v>
      </c>
      <c r="U1605" s="8" t="s">
        <v>86</v>
      </c>
      <c r="V1605" s="10">
        <v>408</v>
      </c>
      <c r="W1605" s="10">
        <v>11</v>
      </c>
      <c r="X1605" s="12">
        <v>2.11946050096339E-2</v>
      </c>
      <c r="Y1605" s="8" t="b">
        <f>CleanedData[[#This Row],[Ship Date]]&lt;CleanedData[[#This Row],[Order Date]]</f>
        <v>1</v>
      </c>
      <c r="Z1605" s="10">
        <f>YEAR(CleanedData[[#This Row],[Order Date]])</f>
        <v>2023</v>
      </c>
      <c r="AA1605" s="8">
        <f>MONTH(CleanedData[[#This Row],[Order Date]])</f>
        <v>11</v>
      </c>
    </row>
    <row r="1606" spans="1:27" x14ac:dyDescent="0.35">
      <c r="A1606" s="8" t="s">
        <v>4084</v>
      </c>
      <c r="B1606" s="9">
        <v>45226</v>
      </c>
      <c r="C1606" s="9">
        <v>45117</v>
      </c>
      <c r="D1606" s="8" t="s">
        <v>4085</v>
      </c>
      <c r="E1606" s="8" t="s">
        <v>48</v>
      </c>
      <c r="F1606" s="8" t="s">
        <v>183</v>
      </c>
      <c r="G1606" s="8" t="s">
        <v>217</v>
      </c>
      <c r="H1606" s="8" t="s">
        <v>725</v>
      </c>
      <c r="I1606" s="8" t="s">
        <v>4968</v>
      </c>
      <c r="J1606" s="10">
        <v>11</v>
      </c>
      <c r="K1606" s="11">
        <v>234.86</v>
      </c>
      <c r="L1606" s="11">
        <v>349.46</v>
      </c>
      <c r="M1606" s="11">
        <v>3844.06</v>
      </c>
      <c r="N1606" s="11">
        <v>2583.46</v>
      </c>
      <c r="O1606" s="11">
        <f>CleanedData[[#This Row],[Total Sales ($)]]-CleanedData[[#This Row],[Total Cost ($)]]</f>
        <v>1260.5999999999999</v>
      </c>
      <c r="P1606" s="12">
        <f>CleanedData[[#This Row],[Profit ($)]]/CleanedData[[#This Row],[Total Sales ($)]]</f>
        <v>0.32793452755680191</v>
      </c>
      <c r="Q1606" s="8" t="s">
        <v>31</v>
      </c>
      <c r="R1606" s="8" t="s">
        <v>32</v>
      </c>
      <c r="S1606" s="8" t="b">
        <f>_xlfn.SINGLE(CleanedData[[#This Row],[Delivery Status]])="Late"</f>
        <v>1</v>
      </c>
      <c r="T1606" s="10">
        <v>8</v>
      </c>
      <c r="U1606" s="8" t="s">
        <v>86</v>
      </c>
      <c r="V1606" s="10">
        <v>4601</v>
      </c>
      <c r="W1606" s="10">
        <v>0</v>
      </c>
      <c r="X1606" s="12">
        <v>0</v>
      </c>
      <c r="Y1606" s="8" t="b">
        <f>CleanedData[[#This Row],[Ship Date]]&lt;CleanedData[[#This Row],[Order Date]]</f>
        <v>1</v>
      </c>
      <c r="Z1606" s="10">
        <f>YEAR(CleanedData[[#This Row],[Order Date]])</f>
        <v>2023</v>
      </c>
      <c r="AA1606" s="8">
        <f>MONTH(CleanedData[[#This Row],[Order Date]])</f>
        <v>10</v>
      </c>
    </row>
    <row r="1607" spans="1:27" x14ac:dyDescent="0.35">
      <c r="A1607" s="8" t="s">
        <v>4086</v>
      </c>
      <c r="B1607" s="9">
        <v>45162</v>
      </c>
      <c r="C1607" s="9">
        <v>45156</v>
      </c>
      <c r="D1607" s="8" t="s">
        <v>4087</v>
      </c>
      <c r="E1607" s="8" t="s">
        <v>58</v>
      </c>
      <c r="F1607" s="8" t="s">
        <v>59</v>
      </c>
      <c r="G1607" s="8" t="s">
        <v>50</v>
      </c>
      <c r="H1607" s="8" t="s">
        <v>135</v>
      </c>
      <c r="I1607" s="8" t="s">
        <v>4971</v>
      </c>
      <c r="J1607" s="10">
        <v>652</v>
      </c>
      <c r="K1607" s="11">
        <v>1171.8800000000001</v>
      </c>
      <c r="L1607" s="11">
        <v>1732.57</v>
      </c>
      <c r="M1607" s="11">
        <v>1129635.6399999999</v>
      </c>
      <c r="N1607" s="11">
        <v>764065.76</v>
      </c>
      <c r="O1607" s="11">
        <f>CleanedData[[#This Row],[Total Sales ($)]]-CleanedData[[#This Row],[Total Cost ($)]]</f>
        <v>365569.87999999989</v>
      </c>
      <c r="P1607" s="12">
        <f>CleanedData[[#This Row],[Profit ($)]]/CleanedData[[#This Row],[Total Sales ($)]]</f>
        <v>0.32361751617539253</v>
      </c>
      <c r="Q1607" s="8" t="s">
        <v>42</v>
      </c>
      <c r="R1607" s="8" t="s">
        <v>63</v>
      </c>
      <c r="S1607" s="8" t="b">
        <f>_xlfn.SINGLE(CleanedData[[#This Row],[Delivery Status]])="Late"</f>
        <v>0</v>
      </c>
      <c r="T1607" s="10">
        <v>1</v>
      </c>
      <c r="U1607" s="8" t="s">
        <v>86</v>
      </c>
      <c r="V1607" s="10">
        <v>4703</v>
      </c>
      <c r="W1607" s="10">
        <v>0</v>
      </c>
      <c r="X1607" s="12">
        <v>0</v>
      </c>
      <c r="Y1607" s="8" t="b">
        <f>CleanedData[[#This Row],[Ship Date]]&lt;CleanedData[[#This Row],[Order Date]]</f>
        <v>1</v>
      </c>
      <c r="Z1607" s="10">
        <f>YEAR(CleanedData[[#This Row],[Order Date]])</f>
        <v>2023</v>
      </c>
      <c r="AA1607" s="8">
        <f>MONTH(CleanedData[[#This Row],[Order Date]])</f>
        <v>8</v>
      </c>
    </row>
    <row r="1608" spans="1:27" x14ac:dyDescent="0.35">
      <c r="A1608" s="8" t="s">
        <v>4088</v>
      </c>
      <c r="B1608" s="9">
        <v>44999</v>
      </c>
      <c r="C1608" s="9">
        <v>44961</v>
      </c>
      <c r="D1608" s="8" t="s">
        <v>4089</v>
      </c>
      <c r="E1608" s="8" t="s">
        <v>48</v>
      </c>
      <c r="F1608" s="8" t="s">
        <v>223</v>
      </c>
      <c r="G1608" s="8" t="s">
        <v>70</v>
      </c>
      <c r="H1608" s="8" t="s">
        <v>822</v>
      </c>
      <c r="I1608" s="8" t="s">
        <v>4974</v>
      </c>
      <c r="J1608" s="10">
        <v>171</v>
      </c>
      <c r="K1608" s="11">
        <v>536.57000000000005</v>
      </c>
      <c r="L1608" s="11">
        <v>864.47</v>
      </c>
      <c r="M1608" s="11">
        <v>147824.37</v>
      </c>
      <c r="N1608" s="11">
        <v>91753.47</v>
      </c>
      <c r="O1608" s="11">
        <f>CleanedData[[#This Row],[Total Sales ($)]]-CleanedData[[#This Row],[Total Cost ($)]]</f>
        <v>56070.899999999994</v>
      </c>
      <c r="P1608" s="12">
        <f>CleanedData[[#This Row],[Profit ($)]]/CleanedData[[#This Row],[Total Sales ($)]]</f>
        <v>0.37930755260448595</v>
      </c>
      <c r="Q1608" s="8" t="s">
        <v>42</v>
      </c>
      <c r="R1608" s="8" t="s">
        <v>32</v>
      </c>
      <c r="S1608" s="8" t="b">
        <f>_xlfn.SINGLE(CleanedData[[#This Row],[Delivery Status]])="Late"</f>
        <v>1</v>
      </c>
      <c r="T1608" s="10">
        <v>-1</v>
      </c>
      <c r="U1608" s="8" t="s">
        <v>112</v>
      </c>
      <c r="V1608" s="10">
        <v>715</v>
      </c>
      <c r="W1608" s="10">
        <v>0</v>
      </c>
      <c r="X1608" s="12">
        <v>0</v>
      </c>
      <c r="Y1608" s="8" t="b">
        <f>CleanedData[[#This Row],[Ship Date]]&lt;CleanedData[[#This Row],[Order Date]]</f>
        <v>1</v>
      </c>
      <c r="Z1608" s="10">
        <f>YEAR(CleanedData[[#This Row],[Order Date]])</f>
        <v>2023</v>
      </c>
      <c r="AA1608" s="8">
        <f>MONTH(CleanedData[[#This Row],[Order Date]])</f>
        <v>3</v>
      </c>
    </row>
    <row r="1609" spans="1:27" x14ac:dyDescent="0.35">
      <c r="A1609" s="8" t="s">
        <v>4090</v>
      </c>
      <c r="B1609" s="9">
        <v>45023</v>
      </c>
      <c r="C1609" s="9">
        <v>45205</v>
      </c>
      <c r="D1609" s="8" t="s">
        <v>4091</v>
      </c>
      <c r="E1609" s="8" t="s">
        <v>48</v>
      </c>
      <c r="F1609" s="8" t="s">
        <v>4092</v>
      </c>
      <c r="G1609" s="8" t="s">
        <v>28</v>
      </c>
      <c r="H1609" s="8" t="s">
        <v>714</v>
      </c>
      <c r="I1609" s="8" t="s">
        <v>4971</v>
      </c>
      <c r="J1609" s="10">
        <v>176</v>
      </c>
      <c r="K1609" s="11">
        <v>426.24</v>
      </c>
      <c r="L1609" s="11">
        <v>510.1</v>
      </c>
      <c r="M1609" s="11">
        <v>89777.600000000006</v>
      </c>
      <c r="N1609" s="11">
        <v>75018.240000000005</v>
      </c>
      <c r="O1609" s="11">
        <f>CleanedData[[#This Row],[Total Sales ($)]]-CleanedData[[#This Row],[Total Cost ($)]]</f>
        <v>14759.36</v>
      </c>
      <c r="P1609" s="12">
        <f>CleanedData[[#This Row],[Profit ($)]]/CleanedData[[#This Row],[Total Sales ($)]]</f>
        <v>0.1643991374240345</v>
      </c>
      <c r="Q1609" s="8" t="s">
        <v>52</v>
      </c>
      <c r="R1609" s="8" t="s">
        <v>32</v>
      </c>
      <c r="S1609" s="8" t="b">
        <f>_xlfn.SINGLE(CleanedData[[#This Row],[Delivery Status]])="Late"</f>
        <v>1</v>
      </c>
      <c r="T1609" s="10">
        <v>6</v>
      </c>
      <c r="U1609" s="8" t="s">
        <v>112</v>
      </c>
      <c r="V1609" s="10">
        <v>2198</v>
      </c>
      <c r="W1609" s="10">
        <v>3</v>
      </c>
      <c r="X1609" s="12">
        <v>1.7045454545454499E-2</v>
      </c>
      <c r="Y1609" s="8" t="b">
        <f>CleanedData[[#This Row],[Ship Date]]&lt;CleanedData[[#This Row],[Order Date]]</f>
        <v>0</v>
      </c>
      <c r="Z1609" s="10">
        <f>YEAR(CleanedData[[#This Row],[Order Date]])</f>
        <v>2023</v>
      </c>
      <c r="AA1609" s="8">
        <f>MONTH(CleanedData[[#This Row],[Order Date]])</f>
        <v>4</v>
      </c>
    </row>
    <row r="1610" spans="1:27" x14ac:dyDescent="0.35">
      <c r="A1610" s="8" t="s">
        <v>4093</v>
      </c>
      <c r="B1610" s="9">
        <v>45090</v>
      </c>
      <c r="C1610" s="9">
        <v>45213</v>
      </c>
      <c r="D1610" s="8" t="s">
        <v>1147</v>
      </c>
      <c r="E1610" s="8" t="s">
        <v>68</v>
      </c>
      <c r="F1610" s="8" t="s">
        <v>249</v>
      </c>
      <c r="G1610" s="8" t="s">
        <v>28</v>
      </c>
      <c r="H1610" s="8" t="s">
        <v>111</v>
      </c>
      <c r="I1610" s="8" t="s">
        <v>4975</v>
      </c>
      <c r="J1610" s="10">
        <v>694</v>
      </c>
      <c r="K1610" s="11">
        <v>746.43</v>
      </c>
      <c r="L1610" s="11">
        <v>1009.69</v>
      </c>
      <c r="M1610" s="11">
        <v>700724.86</v>
      </c>
      <c r="N1610" s="11">
        <v>518022.42</v>
      </c>
      <c r="O1610" s="11">
        <f>CleanedData[[#This Row],[Total Sales ($)]]-CleanedData[[#This Row],[Total Cost ($)]]</f>
        <v>182702.44</v>
      </c>
      <c r="P1610" s="12">
        <f>CleanedData[[#This Row],[Profit ($)]]/CleanedData[[#This Row],[Total Sales ($)]]</f>
        <v>0.2607334924580812</v>
      </c>
      <c r="Q1610" s="8" t="s">
        <v>42</v>
      </c>
      <c r="R1610" s="8" t="s">
        <v>32</v>
      </c>
      <c r="S1610" s="8" t="b">
        <f>_xlfn.SINGLE(CleanedData[[#This Row],[Delivery Status]])="Late"</f>
        <v>1</v>
      </c>
      <c r="T1610" s="10">
        <v>7</v>
      </c>
      <c r="U1610" s="8" t="s">
        <v>112</v>
      </c>
      <c r="V1610" s="10">
        <v>2187</v>
      </c>
      <c r="W1610" s="10">
        <v>22</v>
      </c>
      <c r="X1610" s="12">
        <v>3.1700288184438E-2</v>
      </c>
      <c r="Y1610" s="8" t="b">
        <f>CleanedData[[#This Row],[Ship Date]]&lt;CleanedData[[#This Row],[Order Date]]</f>
        <v>0</v>
      </c>
      <c r="Z1610" s="10">
        <f>YEAR(CleanedData[[#This Row],[Order Date]])</f>
        <v>2023</v>
      </c>
      <c r="AA1610" s="8">
        <f>MONTH(CleanedData[[#This Row],[Order Date]])</f>
        <v>6</v>
      </c>
    </row>
    <row r="1611" spans="1:27" x14ac:dyDescent="0.35">
      <c r="A1611" s="8" t="s">
        <v>4094</v>
      </c>
      <c r="B1611" s="9">
        <v>45013</v>
      </c>
      <c r="C1611" s="9">
        <v>45008</v>
      </c>
      <c r="D1611" s="8" t="s">
        <v>4095</v>
      </c>
      <c r="E1611" s="8" t="s">
        <v>100</v>
      </c>
      <c r="F1611" s="8" t="s">
        <v>330</v>
      </c>
      <c r="G1611" s="8" t="s">
        <v>93</v>
      </c>
      <c r="H1611" s="8" t="s">
        <v>140</v>
      </c>
      <c r="I1611" s="8" t="s">
        <v>4967</v>
      </c>
      <c r="J1611" s="10">
        <v>343</v>
      </c>
      <c r="K1611" s="11">
        <v>229.7</v>
      </c>
      <c r="L1611" s="11">
        <v>294.54000000000002</v>
      </c>
      <c r="M1611" s="11">
        <v>101027.22</v>
      </c>
      <c r="N1611" s="11">
        <v>78787.100000000006</v>
      </c>
      <c r="O1611" s="11">
        <f>CleanedData[[#This Row],[Total Sales ($)]]-CleanedData[[#This Row],[Total Cost ($)]]</f>
        <v>22240.119999999995</v>
      </c>
      <c r="P1611" s="12">
        <f>CleanedData[[#This Row],[Profit ($)]]/CleanedData[[#This Row],[Total Sales ($)]]</f>
        <v>0.22013987913356414</v>
      </c>
      <c r="Q1611" s="8" t="s">
        <v>42</v>
      </c>
      <c r="R1611" s="8" t="s">
        <v>63</v>
      </c>
      <c r="S1611" s="8" t="b">
        <f>_xlfn.SINGLE(CleanedData[[#This Row],[Delivery Status]])="Late"</f>
        <v>0</v>
      </c>
      <c r="T1611" s="10">
        <v>2</v>
      </c>
      <c r="U1611" s="8" t="s">
        <v>43</v>
      </c>
      <c r="V1611" s="10">
        <v>1083</v>
      </c>
      <c r="W1611" s="10">
        <v>2</v>
      </c>
      <c r="X1611" s="12">
        <v>5.8309037900874001E-3</v>
      </c>
      <c r="Y1611" s="8" t="b">
        <f>CleanedData[[#This Row],[Ship Date]]&lt;CleanedData[[#This Row],[Order Date]]</f>
        <v>1</v>
      </c>
      <c r="Z1611" s="10">
        <f>YEAR(CleanedData[[#This Row],[Order Date]])</f>
        <v>2023</v>
      </c>
      <c r="AA1611" s="8">
        <f>MONTH(CleanedData[[#This Row],[Order Date]])</f>
        <v>3</v>
      </c>
    </row>
    <row r="1612" spans="1:27" x14ac:dyDescent="0.35">
      <c r="A1612" s="8" t="s">
        <v>4096</v>
      </c>
      <c r="B1612" s="9">
        <v>45108</v>
      </c>
      <c r="C1612" s="9">
        <v>44995</v>
      </c>
      <c r="D1612" s="8" t="s">
        <v>2724</v>
      </c>
      <c r="E1612" s="8" t="s">
        <v>26</v>
      </c>
      <c r="F1612" s="8" t="s">
        <v>38</v>
      </c>
      <c r="G1612" s="8" t="s">
        <v>129</v>
      </c>
      <c r="H1612" s="8" t="s">
        <v>520</v>
      </c>
      <c r="I1612" s="8" t="s">
        <v>4975</v>
      </c>
      <c r="J1612" s="10">
        <v>-20</v>
      </c>
      <c r="K1612" s="11">
        <v>128.02000000000001</v>
      </c>
      <c r="L1612" s="11">
        <v>201.77</v>
      </c>
      <c r="M1612" s="11">
        <v>34099.129999999997</v>
      </c>
      <c r="N1612" s="11">
        <v>21635.38</v>
      </c>
      <c r="O1612" s="11">
        <f>CleanedData[[#This Row],[Total Sales ($)]]-CleanedData[[#This Row],[Total Cost ($)]]</f>
        <v>12463.749999999996</v>
      </c>
      <c r="P1612" s="12">
        <f>CleanedData[[#This Row],[Profit ($)]]/CleanedData[[#This Row],[Total Sales ($)]]</f>
        <v>0.36551519056351284</v>
      </c>
      <c r="Q1612" s="8" t="s">
        <v>31</v>
      </c>
      <c r="R1612" s="8" t="s">
        <v>32</v>
      </c>
      <c r="S1612" s="8" t="b">
        <f>_xlfn.SINGLE(CleanedData[[#This Row],[Delivery Status]])="Late"</f>
        <v>1</v>
      </c>
      <c r="T1612" s="10">
        <v>7</v>
      </c>
      <c r="U1612" s="8" t="s">
        <v>158</v>
      </c>
      <c r="V1612" s="10">
        <v>2100</v>
      </c>
      <c r="W1612" s="10">
        <v>0</v>
      </c>
      <c r="X1612" s="12"/>
      <c r="Y1612" s="8" t="b">
        <f>CleanedData[[#This Row],[Ship Date]]&lt;CleanedData[[#This Row],[Order Date]]</f>
        <v>1</v>
      </c>
      <c r="Z1612" s="10">
        <f>YEAR(CleanedData[[#This Row],[Order Date]])</f>
        <v>2023</v>
      </c>
      <c r="AA1612" s="8">
        <f>MONTH(CleanedData[[#This Row],[Order Date]])</f>
        <v>7</v>
      </c>
    </row>
    <row r="1613" spans="1:27" x14ac:dyDescent="0.35">
      <c r="A1613" s="8" t="s">
        <v>4097</v>
      </c>
      <c r="B1613" s="9">
        <v>45024</v>
      </c>
      <c r="C1613" s="9">
        <v>45101</v>
      </c>
      <c r="D1613" s="8" t="s">
        <v>3080</v>
      </c>
      <c r="E1613" s="8" t="s">
        <v>48</v>
      </c>
      <c r="F1613" s="8" t="s">
        <v>223</v>
      </c>
      <c r="G1613" s="8" t="s">
        <v>93</v>
      </c>
      <c r="H1613" s="8" t="s">
        <v>485</v>
      </c>
      <c r="I1613" s="8" t="s">
        <v>4971</v>
      </c>
      <c r="J1613" s="10">
        <v>241</v>
      </c>
      <c r="K1613" s="11">
        <v>1085.5999999999999</v>
      </c>
      <c r="L1613" s="11">
        <v>1480.62</v>
      </c>
      <c r="M1613" s="11">
        <v>356829.42</v>
      </c>
      <c r="N1613" s="11">
        <v>261629.6</v>
      </c>
      <c r="O1613" s="11">
        <f>CleanedData[[#This Row],[Total Sales ($)]]-CleanedData[[#This Row],[Total Cost ($)]]</f>
        <v>95199.819999999978</v>
      </c>
      <c r="P1613" s="12">
        <f>CleanedData[[#This Row],[Profit ($)]]/CleanedData[[#This Row],[Total Sales ($)]]</f>
        <v>0.26679364050195181</v>
      </c>
      <c r="Q1613" s="8" t="s">
        <v>42</v>
      </c>
      <c r="R1613" s="8" t="s">
        <v>32</v>
      </c>
      <c r="S1613" s="8" t="b">
        <f>_xlfn.SINGLE(CleanedData[[#This Row],[Delivery Status]])="Late"</f>
        <v>1</v>
      </c>
      <c r="T1613" s="10">
        <v>14</v>
      </c>
      <c r="U1613" s="8" t="s">
        <v>33</v>
      </c>
      <c r="V1613" s="10">
        <v>4859</v>
      </c>
      <c r="W1613" s="10">
        <v>0</v>
      </c>
      <c r="X1613" s="12">
        <v>0</v>
      </c>
      <c r="Y1613" s="8" t="b">
        <f>CleanedData[[#This Row],[Ship Date]]&lt;CleanedData[[#This Row],[Order Date]]</f>
        <v>0</v>
      </c>
      <c r="Z1613" s="10">
        <f>YEAR(CleanedData[[#This Row],[Order Date]])</f>
        <v>2023</v>
      </c>
      <c r="AA1613" s="8">
        <f>MONTH(CleanedData[[#This Row],[Order Date]])</f>
        <v>4</v>
      </c>
    </row>
    <row r="1614" spans="1:27" x14ac:dyDescent="0.35">
      <c r="A1614" s="8" t="s">
        <v>4098</v>
      </c>
      <c r="B1614" s="9">
        <v>45615</v>
      </c>
      <c r="C1614" s="9">
        <v>45448</v>
      </c>
      <c r="D1614" s="8" t="s">
        <v>4101</v>
      </c>
      <c r="E1614" s="8" t="s">
        <v>48</v>
      </c>
      <c r="F1614" s="8" t="s">
        <v>270</v>
      </c>
      <c r="G1614" s="8" t="s">
        <v>78</v>
      </c>
      <c r="H1614" s="8" t="s">
        <v>481</v>
      </c>
      <c r="I1614" s="8" t="s">
        <v>4972</v>
      </c>
      <c r="J1614" s="10">
        <v>184</v>
      </c>
      <c r="K1614" s="11">
        <v>327.83</v>
      </c>
      <c r="L1614" s="11">
        <v>435.23</v>
      </c>
      <c r="M1614" s="11">
        <v>80082.320000000007</v>
      </c>
      <c r="N1614" s="11">
        <v>60320.72</v>
      </c>
      <c r="O1614" s="11">
        <f>CleanedData[[#This Row],[Total Sales ($)]]-CleanedData[[#This Row],[Total Cost ($)]]</f>
        <v>19761.600000000006</v>
      </c>
      <c r="P1614" s="12">
        <f>CleanedData[[#This Row],[Profit ($)]]/CleanedData[[#This Row],[Total Sales ($)]]</f>
        <v>0.24676607770604053</v>
      </c>
      <c r="Q1614" s="8" t="s">
        <v>52</v>
      </c>
      <c r="R1614" s="8" t="s">
        <v>32</v>
      </c>
      <c r="S1614" s="8" t="b">
        <f>_xlfn.SINGLE(CleanedData[[#This Row],[Delivery Status]])="Late"</f>
        <v>1</v>
      </c>
      <c r="T1614" s="10">
        <v>10</v>
      </c>
      <c r="U1614" s="8" t="s">
        <v>86</v>
      </c>
      <c r="V1614" s="10">
        <v>1610</v>
      </c>
      <c r="W1614" s="10">
        <v>5</v>
      </c>
      <c r="X1614" s="12">
        <v>2.7173913043478201E-2</v>
      </c>
      <c r="Y1614" s="8" t="b">
        <f>CleanedData[[#This Row],[Ship Date]]&lt;CleanedData[[#This Row],[Order Date]]</f>
        <v>1</v>
      </c>
      <c r="Z1614" s="10">
        <f>YEAR(CleanedData[[#This Row],[Order Date]])</f>
        <v>2024</v>
      </c>
      <c r="AA1614" s="8">
        <f>MONTH(CleanedData[[#This Row],[Order Date]])</f>
        <v>11</v>
      </c>
    </row>
    <row r="1615" spans="1:27" x14ac:dyDescent="0.35">
      <c r="A1615" s="8" t="s">
        <v>4102</v>
      </c>
      <c r="B1615" s="9">
        <v>45362</v>
      </c>
      <c r="C1615" s="9">
        <v>45329</v>
      </c>
      <c r="D1615" s="8" t="s">
        <v>4104</v>
      </c>
      <c r="E1615" s="8" t="s">
        <v>58</v>
      </c>
      <c r="F1615" s="8" t="s">
        <v>59</v>
      </c>
      <c r="G1615" s="8" t="s">
        <v>93</v>
      </c>
      <c r="H1615" s="8" t="s">
        <v>184</v>
      </c>
      <c r="I1615" s="8" t="s">
        <v>4968</v>
      </c>
      <c r="J1615" s="10">
        <v>6</v>
      </c>
      <c r="K1615" s="11">
        <v>518.29999999999995</v>
      </c>
      <c r="L1615" s="11">
        <v>845.89</v>
      </c>
      <c r="M1615" s="11">
        <v>5075.34</v>
      </c>
      <c r="N1615" s="11">
        <v>3109.8</v>
      </c>
      <c r="O1615" s="11">
        <f>CleanedData[[#This Row],[Total Sales ($)]]-CleanedData[[#This Row],[Total Cost ($)]]</f>
        <v>1965.54</v>
      </c>
      <c r="P1615" s="12">
        <f>CleanedData[[#This Row],[Profit ($)]]/CleanedData[[#This Row],[Total Sales ($)]]</f>
        <v>0.38727257681258792</v>
      </c>
      <c r="Q1615" s="8" t="s">
        <v>31</v>
      </c>
      <c r="R1615" s="8" t="s">
        <v>32</v>
      </c>
      <c r="S1615" s="8" t="b">
        <f>_xlfn.SINGLE(CleanedData[[#This Row],[Delivery Status]])="Late"</f>
        <v>1</v>
      </c>
      <c r="T1615" s="10">
        <v>11</v>
      </c>
      <c r="U1615" s="8" t="s">
        <v>112</v>
      </c>
      <c r="V1615" s="10">
        <v>1027</v>
      </c>
      <c r="W1615" s="10">
        <v>0</v>
      </c>
      <c r="X1615" s="12">
        <v>0</v>
      </c>
      <c r="Y1615" s="8" t="b">
        <f>CleanedData[[#This Row],[Ship Date]]&lt;CleanedData[[#This Row],[Order Date]]</f>
        <v>1</v>
      </c>
      <c r="Z1615" s="10">
        <f>YEAR(CleanedData[[#This Row],[Order Date]])</f>
        <v>2024</v>
      </c>
      <c r="AA1615" s="8">
        <f>MONTH(CleanedData[[#This Row],[Order Date]])</f>
        <v>3</v>
      </c>
    </row>
    <row r="1616" spans="1:27" x14ac:dyDescent="0.35">
      <c r="A1616" s="8" t="s">
        <v>4105</v>
      </c>
      <c r="B1616" s="9">
        <v>45261</v>
      </c>
      <c r="C1616" s="9">
        <v>45156</v>
      </c>
      <c r="D1616" s="8" t="s">
        <v>4106</v>
      </c>
      <c r="E1616" s="8" t="s">
        <v>100</v>
      </c>
      <c r="F1616" s="8" t="s">
        <v>106</v>
      </c>
      <c r="G1616" s="8" t="s">
        <v>78</v>
      </c>
      <c r="H1616" s="8" t="s">
        <v>572</v>
      </c>
      <c r="I1616" s="8" t="s">
        <v>4977</v>
      </c>
      <c r="J1616" s="10">
        <v>217</v>
      </c>
      <c r="K1616" s="11">
        <v>123.83</v>
      </c>
      <c r="L1616" s="11">
        <v>177.43</v>
      </c>
      <c r="M1616" s="11">
        <v>38502.31</v>
      </c>
      <c r="N1616" s="11">
        <v>26871.11</v>
      </c>
      <c r="O1616" s="11">
        <f>CleanedData[[#This Row],[Total Sales ($)]]-CleanedData[[#This Row],[Total Cost ($)]]</f>
        <v>11631.199999999997</v>
      </c>
      <c r="P1616" s="12">
        <f>CleanedData[[#This Row],[Profit ($)]]/CleanedData[[#This Row],[Total Sales ($)]]</f>
        <v>0.30209096545116376</v>
      </c>
      <c r="Q1616" s="8" t="s">
        <v>95</v>
      </c>
      <c r="R1616" s="8" t="s">
        <v>32</v>
      </c>
      <c r="S1616" s="8" t="b">
        <f>_xlfn.SINGLE(CleanedData[[#This Row],[Delivery Status]])="Late"</f>
        <v>1</v>
      </c>
      <c r="T1616" s="10">
        <v>8</v>
      </c>
      <c r="U1616" s="8" t="s">
        <v>86</v>
      </c>
      <c r="V1616" s="10">
        <v>4311</v>
      </c>
      <c r="W1616" s="10">
        <v>9</v>
      </c>
      <c r="X1616" s="12">
        <v>4.1474654377880102E-2</v>
      </c>
      <c r="Y1616" s="8" t="b">
        <f>CleanedData[[#This Row],[Ship Date]]&lt;CleanedData[[#This Row],[Order Date]]</f>
        <v>1</v>
      </c>
      <c r="Z1616" s="10">
        <f>YEAR(CleanedData[[#This Row],[Order Date]])</f>
        <v>2023</v>
      </c>
      <c r="AA1616" s="8">
        <f>MONTH(CleanedData[[#This Row],[Order Date]])</f>
        <v>12</v>
      </c>
    </row>
    <row r="1617" spans="1:27" x14ac:dyDescent="0.35">
      <c r="A1617" s="8" t="s">
        <v>4107</v>
      </c>
      <c r="B1617" s="9">
        <v>45602</v>
      </c>
      <c r="C1617" s="9">
        <v>45618</v>
      </c>
      <c r="D1617" s="8" t="s">
        <v>4108</v>
      </c>
      <c r="E1617" s="8" t="s">
        <v>26</v>
      </c>
      <c r="F1617" s="8" t="s">
        <v>77</v>
      </c>
      <c r="G1617" s="8" t="s">
        <v>129</v>
      </c>
      <c r="H1617" s="8" t="s">
        <v>520</v>
      </c>
      <c r="I1617" s="8" t="s">
        <v>4975</v>
      </c>
      <c r="J1617" s="10">
        <v>366</v>
      </c>
      <c r="K1617" s="11">
        <v>1066.55</v>
      </c>
      <c r="L1617" s="11">
        <v>1502.76</v>
      </c>
      <c r="M1617" s="11">
        <v>550010.16</v>
      </c>
      <c r="N1617" s="11">
        <v>390357.3</v>
      </c>
      <c r="O1617" s="11">
        <f>CleanedData[[#This Row],[Total Sales ($)]]-CleanedData[[#This Row],[Total Cost ($)]]</f>
        <v>159652.86000000004</v>
      </c>
      <c r="P1617" s="12">
        <f>CleanedData[[#This Row],[Profit ($)]]/CleanedData[[#This Row],[Total Sales ($)]]</f>
        <v>0.29027256514679661</v>
      </c>
      <c r="Q1617" s="8" t="s">
        <v>42</v>
      </c>
      <c r="R1617" s="8" t="s">
        <v>63</v>
      </c>
      <c r="S1617" s="8" t="b">
        <f>_xlfn.SINGLE(CleanedData[[#This Row],[Delivery Status]])="Late"</f>
        <v>0</v>
      </c>
      <c r="T1617" s="10">
        <v>1</v>
      </c>
      <c r="U1617" s="8" t="s">
        <v>33</v>
      </c>
      <c r="V1617" s="10">
        <v>1630</v>
      </c>
      <c r="W1617" s="10">
        <v>7</v>
      </c>
      <c r="X1617" s="12">
        <v>1.91256830601092E-2</v>
      </c>
      <c r="Y1617" s="8" t="b">
        <f>CleanedData[[#This Row],[Ship Date]]&lt;CleanedData[[#This Row],[Order Date]]</f>
        <v>0</v>
      </c>
      <c r="Z1617" s="10">
        <f>YEAR(CleanedData[[#This Row],[Order Date]])</f>
        <v>2024</v>
      </c>
      <c r="AA1617" s="8">
        <f>MONTH(CleanedData[[#This Row],[Order Date]])</f>
        <v>11</v>
      </c>
    </row>
    <row r="1618" spans="1:27" x14ac:dyDescent="0.35">
      <c r="A1618" s="8" t="s">
        <v>4109</v>
      </c>
      <c r="B1618" s="9">
        <v>45109</v>
      </c>
      <c r="C1618" s="9">
        <v>45085</v>
      </c>
      <c r="D1618" s="8" t="s">
        <v>974</v>
      </c>
      <c r="E1618" s="8" t="s">
        <v>26</v>
      </c>
      <c r="F1618" s="8" t="s">
        <v>38</v>
      </c>
      <c r="G1618" s="8" t="s">
        <v>78</v>
      </c>
      <c r="H1618" s="8" t="s">
        <v>572</v>
      </c>
      <c r="I1618" s="8" t="s">
        <v>4971</v>
      </c>
      <c r="J1618" s="10">
        <v>192</v>
      </c>
      <c r="K1618" s="11">
        <v>1011.19</v>
      </c>
      <c r="L1618" s="11">
        <v>1666.96</v>
      </c>
      <c r="M1618" s="11">
        <v>320056.32000000001</v>
      </c>
      <c r="N1618" s="11">
        <v>194148.48000000001</v>
      </c>
      <c r="O1618" s="11">
        <f>CleanedData[[#This Row],[Total Sales ($)]]-CleanedData[[#This Row],[Total Cost ($)]]</f>
        <v>125907.84</v>
      </c>
      <c r="P1618" s="12">
        <f>CleanedData[[#This Row],[Profit ($)]]/CleanedData[[#This Row],[Total Sales ($)]]</f>
        <v>0.3933927628737342</v>
      </c>
      <c r="Q1618" s="8" t="s">
        <v>95</v>
      </c>
      <c r="R1618" s="8" t="s">
        <v>63</v>
      </c>
      <c r="S1618" s="8" t="b">
        <f>_xlfn.SINGLE(CleanedData[[#This Row],[Delivery Status]])="Late"</f>
        <v>0</v>
      </c>
      <c r="T1618" s="10">
        <v>5</v>
      </c>
      <c r="U1618" s="8" t="s">
        <v>43</v>
      </c>
      <c r="V1618" s="10">
        <v>1409</v>
      </c>
      <c r="W1618" s="10">
        <v>8</v>
      </c>
      <c r="X1618" s="12">
        <v>4.1666666666666602E-2</v>
      </c>
      <c r="Y1618" s="8" t="b">
        <f>CleanedData[[#This Row],[Ship Date]]&lt;CleanedData[[#This Row],[Order Date]]</f>
        <v>1</v>
      </c>
      <c r="Z1618" s="10">
        <f>YEAR(CleanedData[[#This Row],[Order Date]])</f>
        <v>2023</v>
      </c>
      <c r="AA1618" s="8">
        <f>MONTH(CleanedData[[#This Row],[Order Date]])</f>
        <v>7</v>
      </c>
    </row>
    <row r="1619" spans="1:27" x14ac:dyDescent="0.35">
      <c r="A1619" s="8" t="s">
        <v>4110</v>
      </c>
      <c r="B1619" s="9">
        <v>45240</v>
      </c>
      <c r="C1619" s="9">
        <v>45286</v>
      </c>
      <c r="D1619" s="8" t="s">
        <v>4111</v>
      </c>
      <c r="E1619" s="8" t="s">
        <v>100</v>
      </c>
      <c r="F1619" s="8" t="s">
        <v>106</v>
      </c>
      <c r="G1619" s="8" t="s">
        <v>78</v>
      </c>
      <c r="H1619" s="8" t="s">
        <v>481</v>
      </c>
      <c r="I1619" s="8" t="s">
        <v>4977</v>
      </c>
      <c r="J1619" s="10">
        <v>343</v>
      </c>
      <c r="K1619" s="11">
        <v>38.04</v>
      </c>
      <c r="L1619" s="11">
        <v>48.3</v>
      </c>
      <c r="M1619" s="11">
        <v>16566.900000000001</v>
      </c>
      <c r="N1619" s="11">
        <v>13047.72</v>
      </c>
      <c r="O1619" s="11">
        <f>CleanedData[[#This Row],[Total Sales ($)]]-CleanedData[[#This Row],[Total Cost ($)]]</f>
        <v>3519.1800000000021</v>
      </c>
      <c r="P1619" s="12">
        <f>CleanedData[[#This Row],[Profit ($)]]/CleanedData[[#This Row],[Total Sales ($)]]</f>
        <v>0.21242236024844732</v>
      </c>
      <c r="Q1619" s="8" t="s">
        <v>95</v>
      </c>
      <c r="R1619" s="8" t="s">
        <v>32</v>
      </c>
      <c r="S1619" s="8" t="b">
        <f>_xlfn.SINGLE(CleanedData[[#This Row],[Delivery Status]])="Late"</f>
        <v>1</v>
      </c>
      <c r="T1619" s="10">
        <v>6</v>
      </c>
      <c r="U1619" s="8" t="s">
        <v>43</v>
      </c>
      <c r="V1619" s="10">
        <v>3621</v>
      </c>
      <c r="W1619" s="10">
        <v>3</v>
      </c>
      <c r="X1619" s="12">
        <v>8.7463556851311002E-3</v>
      </c>
      <c r="Y1619" s="8" t="b">
        <f>CleanedData[[#This Row],[Ship Date]]&lt;CleanedData[[#This Row],[Order Date]]</f>
        <v>0</v>
      </c>
      <c r="Z1619" s="10">
        <f>YEAR(CleanedData[[#This Row],[Order Date]])</f>
        <v>2023</v>
      </c>
      <c r="AA1619" s="8">
        <f>MONTH(CleanedData[[#This Row],[Order Date]])</f>
        <v>11</v>
      </c>
    </row>
    <row r="1620" spans="1:27" x14ac:dyDescent="0.35">
      <c r="A1620" s="8" t="s">
        <v>4112</v>
      </c>
      <c r="B1620" s="9">
        <v>45155</v>
      </c>
      <c r="C1620" s="9">
        <v>45202</v>
      </c>
      <c r="D1620" s="8" t="s">
        <v>4113</v>
      </c>
      <c r="E1620" s="8" t="s">
        <v>58</v>
      </c>
      <c r="F1620" s="8" t="s">
        <v>59</v>
      </c>
      <c r="G1620" s="8" t="s">
        <v>78</v>
      </c>
      <c r="H1620" s="8" t="s">
        <v>425</v>
      </c>
      <c r="I1620" s="8" t="s">
        <v>4979</v>
      </c>
      <c r="J1620" s="10">
        <v>319</v>
      </c>
      <c r="K1620" s="11">
        <v>433.37</v>
      </c>
      <c r="L1620" s="11">
        <v>565.5</v>
      </c>
      <c r="M1620" s="11">
        <v>180394.5</v>
      </c>
      <c r="N1620" s="11">
        <v>138245.03</v>
      </c>
      <c r="O1620" s="11">
        <f>CleanedData[[#This Row],[Total Sales ($)]]-CleanedData[[#This Row],[Total Cost ($)]]</f>
        <v>42149.47</v>
      </c>
      <c r="P1620" s="12">
        <f>CleanedData[[#This Row],[Profit ($)]]/CleanedData[[#This Row],[Total Sales ($)]]</f>
        <v>0.23365163572060124</v>
      </c>
      <c r="Q1620" s="8" t="s">
        <v>42</v>
      </c>
      <c r="R1620" s="8" t="s">
        <v>32</v>
      </c>
      <c r="S1620" s="8" t="b">
        <f>_xlfn.SINGLE(CleanedData[[#This Row],[Delivery Status]])="Late"</f>
        <v>1</v>
      </c>
      <c r="T1620" s="10">
        <v>12</v>
      </c>
      <c r="U1620" s="8" t="s">
        <v>86</v>
      </c>
      <c r="V1620" s="10">
        <v>4165</v>
      </c>
      <c r="W1620" s="10">
        <v>14</v>
      </c>
      <c r="X1620" s="12">
        <v>4.3887147335423198E-2</v>
      </c>
      <c r="Y1620" s="8" t="b">
        <f>CleanedData[[#This Row],[Ship Date]]&lt;CleanedData[[#This Row],[Order Date]]</f>
        <v>0</v>
      </c>
      <c r="Z1620" s="10">
        <f>YEAR(CleanedData[[#This Row],[Order Date]])</f>
        <v>2023</v>
      </c>
      <c r="AA1620" s="8">
        <f>MONTH(CleanedData[[#This Row],[Order Date]])</f>
        <v>8</v>
      </c>
    </row>
    <row r="1621" spans="1:27" x14ac:dyDescent="0.35">
      <c r="A1621" s="8" t="s">
        <v>2832</v>
      </c>
      <c r="B1621" s="9">
        <v>45231</v>
      </c>
      <c r="C1621" s="9">
        <v>44928</v>
      </c>
      <c r="D1621" s="8" t="s">
        <v>2834</v>
      </c>
      <c r="E1621" s="8" t="s">
        <v>48</v>
      </c>
      <c r="F1621" s="8" t="s">
        <v>270</v>
      </c>
      <c r="G1621" s="8" t="s">
        <v>60</v>
      </c>
      <c r="H1621" s="8" t="s">
        <v>265</v>
      </c>
      <c r="I1621" s="8" t="s">
        <v>4968</v>
      </c>
      <c r="J1621" s="10">
        <v>450</v>
      </c>
      <c r="K1621" s="11">
        <v>337.22</v>
      </c>
      <c r="L1621" s="11">
        <v>543.22</v>
      </c>
      <c r="M1621" s="11">
        <v>244449</v>
      </c>
      <c r="N1621" s="11">
        <v>151749</v>
      </c>
      <c r="O1621" s="11">
        <f>CleanedData[[#This Row],[Total Sales ($)]]-CleanedData[[#This Row],[Total Cost ($)]]</f>
        <v>92700</v>
      </c>
      <c r="P1621" s="12">
        <f>CleanedData[[#This Row],[Profit ($)]]/CleanedData[[#This Row],[Total Sales ($)]]</f>
        <v>0.37922020544162588</v>
      </c>
      <c r="Q1621" s="8" t="s">
        <v>52</v>
      </c>
      <c r="R1621" s="8" t="s">
        <v>32</v>
      </c>
      <c r="S1621" s="8" t="b">
        <f>_xlfn.SINGLE(CleanedData[[#This Row],[Delivery Status]])="Late"</f>
        <v>1</v>
      </c>
      <c r="T1621" s="10">
        <v>10</v>
      </c>
      <c r="U1621" s="8" t="s">
        <v>158</v>
      </c>
      <c r="V1621" s="10">
        <v>2104</v>
      </c>
      <c r="W1621" s="10">
        <v>15</v>
      </c>
      <c r="X1621" s="12">
        <v>3.3333333333333298E-2</v>
      </c>
      <c r="Y1621" s="8" t="b">
        <f>CleanedData[[#This Row],[Ship Date]]&lt;CleanedData[[#This Row],[Order Date]]</f>
        <v>1</v>
      </c>
      <c r="Z1621" s="10">
        <f>YEAR(CleanedData[[#This Row],[Order Date]])</f>
        <v>2023</v>
      </c>
      <c r="AA1621" s="8">
        <f>MONTH(CleanedData[[#This Row],[Order Date]])</f>
        <v>11</v>
      </c>
    </row>
    <row r="1622" spans="1:27" x14ac:dyDescent="0.35">
      <c r="A1622" s="8" t="s">
        <v>4114</v>
      </c>
      <c r="B1622" s="9">
        <v>45152</v>
      </c>
      <c r="C1622" s="9">
        <v>45117</v>
      </c>
      <c r="D1622" s="8" t="s">
        <v>4115</v>
      </c>
      <c r="E1622" s="8" t="s">
        <v>68</v>
      </c>
      <c r="F1622" s="8" t="s">
        <v>69</v>
      </c>
      <c r="G1622" s="8" t="s">
        <v>60</v>
      </c>
      <c r="H1622" s="8" t="s">
        <v>400</v>
      </c>
      <c r="I1622" s="8" t="s">
        <v>4967</v>
      </c>
      <c r="J1622" s="10">
        <v>784</v>
      </c>
      <c r="K1622" s="11">
        <v>343.43</v>
      </c>
      <c r="L1622" s="11">
        <v>479.76</v>
      </c>
      <c r="M1622" s="11">
        <v>376131.84000000003</v>
      </c>
      <c r="N1622" s="11">
        <v>269249.12</v>
      </c>
      <c r="O1622" s="11">
        <f>CleanedData[[#This Row],[Total Sales ($)]]-CleanedData[[#This Row],[Total Cost ($)]]</f>
        <v>106882.72000000003</v>
      </c>
      <c r="P1622" s="12">
        <f>CleanedData[[#This Row],[Profit ($)]]/CleanedData[[#This Row],[Total Sales ($)]]</f>
        <v>0.28416291479072875</v>
      </c>
      <c r="Q1622" s="8" t="s">
        <v>52</v>
      </c>
      <c r="R1622" s="8" t="s">
        <v>32</v>
      </c>
      <c r="S1622" s="8" t="b">
        <f>_xlfn.SINGLE(CleanedData[[#This Row],[Delivery Status]])="Late"</f>
        <v>1</v>
      </c>
      <c r="T1622" s="10">
        <v>11</v>
      </c>
      <c r="U1622" s="8" t="s">
        <v>43</v>
      </c>
      <c r="V1622" s="10">
        <v>758</v>
      </c>
      <c r="W1622" s="10">
        <v>35</v>
      </c>
      <c r="X1622" s="12">
        <v>4.4642857142857102E-2</v>
      </c>
      <c r="Y1622" s="8" t="b">
        <f>CleanedData[[#This Row],[Ship Date]]&lt;CleanedData[[#This Row],[Order Date]]</f>
        <v>1</v>
      </c>
      <c r="Z1622" s="10">
        <f>YEAR(CleanedData[[#This Row],[Order Date]])</f>
        <v>2023</v>
      </c>
      <c r="AA1622" s="8">
        <f>MONTH(CleanedData[[#This Row],[Order Date]])</f>
        <v>8</v>
      </c>
    </row>
    <row r="1623" spans="1:27" x14ac:dyDescent="0.35">
      <c r="A1623" s="8" t="s">
        <v>4116</v>
      </c>
      <c r="B1623" s="9">
        <v>45060</v>
      </c>
      <c r="C1623" s="9">
        <v>44929</v>
      </c>
      <c r="D1623" s="8" t="s">
        <v>4117</v>
      </c>
      <c r="E1623" s="8" t="s">
        <v>100</v>
      </c>
      <c r="F1623" s="8" t="s">
        <v>538</v>
      </c>
      <c r="G1623" s="8" t="s">
        <v>70</v>
      </c>
      <c r="H1623" s="8" t="s">
        <v>71</v>
      </c>
      <c r="I1623" s="8" t="s">
        <v>4967</v>
      </c>
      <c r="J1623" s="10">
        <v>658</v>
      </c>
      <c r="K1623" s="11">
        <v>268.52999999999997</v>
      </c>
      <c r="L1623" s="11">
        <v>307.38</v>
      </c>
      <c r="M1623" s="11">
        <v>202256.04</v>
      </c>
      <c r="N1623" s="11">
        <v>176692.74</v>
      </c>
      <c r="O1623" s="11">
        <f>CleanedData[[#This Row],[Total Sales ($)]]-CleanedData[[#This Row],[Total Cost ($)]]</f>
        <v>25563.300000000017</v>
      </c>
      <c r="P1623" s="12">
        <f>CleanedData[[#This Row],[Profit ($)]]/CleanedData[[#This Row],[Total Sales ($)]]</f>
        <v>0.12639078664844824</v>
      </c>
      <c r="Q1623" s="8" t="s">
        <v>31</v>
      </c>
      <c r="R1623" s="8" t="s">
        <v>32</v>
      </c>
      <c r="S1623" s="8" t="b">
        <f>_xlfn.SINGLE(CleanedData[[#This Row],[Delivery Status]])="Late"</f>
        <v>1</v>
      </c>
      <c r="T1623" s="10">
        <v>9</v>
      </c>
      <c r="U1623" s="8" t="s">
        <v>158</v>
      </c>
      <c r="V1623" s="10">
        <v>4064</v>
      </c>
      <c r="W1623" s="10">
        <v>9</v>
      </c>
      <c r="X1623" s="12">
        <v>1.36778115501519E-2</v>
      </c>
      <c r="Y1623" s="8" t="b">
        <f>CleanedData[[#This Row],[Ship Date]]&lt;CleanedData[[#This Row],[Order Date]]</f>
        <v>1</v>
      </c>
      <c r="Z1623" s="10">
        <f>YEAR(CleanedData[[#This Row],[Order Date]])</f>
        <v>2023</v>
      </c>
      <c r="AA1623" s="8">
        <f>MONTH(CleanedData[[#This Row],[Order Date]])</f>
        <v>5</v>
      </c>
    </row>
    <row r="1624" spans="1:27" x14ac:dyDescent="0.35">
      <c r="A1624" s="8" t="s">
        <v>789</v>
      </c>
      <c r="B1624" s="9">
        <v>45628</v>
      </c>
      <c r="C1624" s="9">
        <v>45460</v>
      </c>
      <c r="D1624" s="8" t="s">
        <v>792</v>
      </c>
      <c r="E1624" s="8" t="s">
        <v>58</v>
      </c>
      <c r="F1624" s="8" t="s">
        <v>122</v>
      </c>
      <c r="G1624" s="8" t="s">
        <v>129</v>
      </c>
      <c r="H1624" s="8" t="s">
        <v>316</v>
      </c>
      <c r="I1624" s="8" t="s">
        <v>4968</v>
      </c>
      <c r="J1624" s="10">
        <v>731</v>
      </c>
      <c r="K1624" s="11">
        <v>332.45</v>
      </c>
      <c r="L1624" s="11">
        <v>525.63</v>
      </c>
      <c r="M1624" s="11">
        <v>384235.53</v>
      </c>
      <c r="N1624" s="11">
        <v>243020.95</v>
      </c>
      <c r="O1624" s="11">
        <f>CleanedData[[#This Row],[Total Sales ($)]]-CleanedData[[#This Row],[Total Cost ($)]]</f>
        <v>141214.58000000002</v>
      </c>
      <c r="P1624" s="12">
        <f>CleanedData[[#This Row],[Profit ($)]]/CleanedData[[#This Row],[Total Sales ($)]]</f>
        <v>0.36752087970625724</v>
      </c>
      <c r="Q1624" s="8" t="s">
        <v>52</v>
      </c>
      <c r="R1624" s="8" t="s">
        <v>32</v>
      </c>
      <c r="S1624" s="8" t="b">
        <f>_xlfn.SINGLE(CleanedData[[#This Row],[Delivery Status]])="Late"</f>
        <v>1</v>
      </c>
      <c r="T1624" s="10">
        <v>12</v>
      </c>
      <c r="U1624" s="8" t="s">
        <v>33</v>
      </c>
      <c r="V1624" s="10">
        <v>483</v>
      </c>
      <c r="W1624" s="10">
        <v>3</v>
      </c>
      <c r="X1624" s="12">
        <v>4.1039671682626001E-3</v>
      </c>
      <c r="Y1624" s="8" t="b">
        <f>CleanedData[[#This Row],[Ship Date]]&lt;CleanedData[[#This Row],[Order Date]]</f>
        <v>1</v>
      </c>
      <c r="Z1624" s="10">
        <f>YEAR(CleanedData[[#This Row],[Order Date]])</f>
        <v>2024</v>
      </c>
      <c r="AA1624" s="8">
        <f>MONTH(CleanedData[[#This Row],[Order Date]])</f>
        <v>12</v>
      </c>
    </row>
    <row r="1625" spans="1:27" x14ac:dyDescent="0.35">
      <c r="A1625" s="8" t="s">
        <v>4118</v>
      </c>
      <c r="B1625" s="9">
        <v>44933</v>
      </c>
      <c r="C1625" s="9">
        <v>44987</v>
      </c>
      <c r="D1625" s="8" t="s">
        <v>1811</v>
      </c>
      <c r="E1625" s="8" t="s">
        <v>58</v>
      </c>
      <c r="F1625" s="8" t="s">
        <v>116</v>
      </c>
      <c r="G1625" s="8" t="s">
        <v>70</v>
      </c>
      <c r="H1625" s="8" t="s">
        <v>384</v>
      </c>
      <c r="I1625" s="8" t="s">
        <v>4972</v>
      </c>
      <c r="J1625" s="10">
        <v>248</v>
      </c>
      <c r="K1625" s="11">
        <v>325.02</v>
      </c>
      <c r="L1625" s="11">
        <v>416.17</v>
      </c>
      <c r="M1625" s="11">
        <v>103210.16</v>
      </c>
      <c r="N1625" s="11">
        <v>80604.960000000006</v>
      </c>
      <c r="O1625" s="11">
        <f>CleanedData[[#This Row],[Total Sales ($)]]-CleanedData[[#This Row],[Total Cost ($)]]</f>
        <v>22605.199999999997</v>
      </c>
      <c r="P1625" s="12">
        <f>CleanedData[[#This Row],[Profit ($)]]/CleanedData[[#This Row],[Total Sales ($)]]</f>
        <v>0.219021073119158</v>
      </c>
      <c r="Q1625" s="8" t="s">
        <v>95</v>
      </c>
      <c r="R1625" s="8" t="s">
        <v>63</v>
      </c>
      <c r="S1625" s="8" t="b">
        <f>_xlfn.SINGLE(CleanedData[[#This Row],[Delivery Status]])="Late"</f>
        <v>0</v>
      </c>
      <c r="T1625" s="10">
        <v>3</v>
      </c>
      <c r="U1625" s="8" t="s">
        <v>86</v>
      </c>
      <c r="V1625" s="10">
        <v>4327</v>
      </c>
      <c r="W1625" s="10">
        <v>9</v>
      </c>
      <c r="X1625" s="12">
        <v>3.6290322580645101E-2</v>
      </c>
      <c r="Y1625" s="8" t="b">
        <f>CleanedData[[#This Row],[Ship Date]]&lt;CleanedData[[#This Row],[Order Date]]</f>
        <v>0</v>
      </c>
      <c r="Z1625" s="10">
        <f>YEAR(CleanedData[[#This Row],[Order Date]])</f>
        <v>2023</v>
      </c>
      <c r="AA1625" s="8">
        <f>MONTH(CleanedData[[#This Row],[Order Date]])</f>
        <v>1</v>
      </c>
    </row>
    <row r="1626" spans="1:27" x14ac:dyDescent="0.35">
      <c r="A1626" s="8" t="s">
        <v>4119</v>
      </c>
      <c r="B1626" s="9">
        <v>45060</v>
      </c>
      <c r="C1626" s="9">
        <v>45155</v>
      </c>
      <c r="D1626" s="8" t="s">
        <v>2505</v>
      </c>
      <c r="E1626" s="8" t="s">
        <v>26</v>
      </c>
      <c r="F1626" s="8" t="s">
        <v>228</v>
      </c>
      <c r="G1626" s="8" t="s">
        <v>93</v>
      </c>
      <c r="H1626" s="8" t="s">
        <v>485</v>
      </c>
      <c r="I1626" s="8" t="s">
        <v>4973</v>
      </c>
      <c r="J1626" s="10">
        <v>84</v>
      </c>
      <c r="K1626" s="11">
        <v>271.22000000000003</v>
      </c>
      <c r="L1626" s="11">
        <v>350.52</v>
      </c>
      <c r="M1626" s="11">
        <v>29443.68</v>
      </c>
      <c r="N1626" s="11">
        <v>22782.48</v>
      </c>
      <c r="O1626" s="11">
        <f>CleanedData[[#This Row],[Total Sales ($)]]-CleanedData[[#This Row],[Total Cost ($)]]</f>
        <v>6661.2000000000007</v>
      </c>
      <c r="P1626" s="12">
        <f>CleanedData[[#This Row],[Profit ($)]]/CleanedData[[#This Row],[Total Sales ($)]]</f>
        <v>0.22623530754307888</v>
      </c>
      <c r="Q1626" s="8" t="s">
        <v>42</v>
      </c>
      <c r="R1626" s="8" t="s">
        <v>63</v>
      </c>
      <c r="S1626" s="8" t="b">
        <f>_xlfn.SINGLE(CleanedData[[#This Row],[Delivery Status]])="Late"</f>
        <v>0</v>
      </c>
      <c r="T1626" s="10">
        <v>5</v>
      </c>
      <c r="U1626" s="8" t="s">
        <v>53</v>
      </c>
      <c r="V1626" s="10">
        <v>1103</v>
      </c>
      <c r="W1626" s="10">
        <v>3</v>
      </c>
      <c r="X1626" s="12">
        <v>3.5714285714285698E-2</v>
      </c>
      <c r="Y1626" s="8" t="b">
        <f>CleanedData[[#This Row],[Ship Date]]&lt;CleanedData[[#This Row],[Order Date]]</f>
        <v>0</v>
      </c>
      <c r="Z1626" s="10">
        <f>YEAR(CleanedData[[#This Row],[Order Date]])</f>
        <v>2023</v>
      </c>
      <c r="AA1626" s="8">
        <f>MONTH(CleanedData[[#This Row],[Order Date]])</f>
        <v>5</v>
      </c>
    </row>
    <row r="1627" spans="1:27" x14ac:dyDescent="0.35">
      <c r="A1627" s="8" t="s">
        <v>4120</v>
      </c>
      <c r="B1627" s="9">
        <v>45312</v>
      </c>
      <c r="C1627" s="9">
        <v>45489</v>
      </c>
      <c r="D1627" s="8" t="s">
        <v>4121</v>
      </c>
      <c r="E1627" s="8" t="s">
        <v>58</v>
      </c>
      <c r="F1627" s="8" t="s">
        <v>59</v>
      </c>
      <c r="G1627" s="8" t="s">
        <v>217</v>
      </c>
      <c r="H1627" s="8" t="s">
        <v>218</v>
      </c>
      <c r="I1627" s="8" t="s">
        <v>4978</v>
      </c>
      <c r="J1627" s="10">
        <v>644</v>
      </c>
      <c r="K1627" s="11">
        <v>161.87</v>
      </c>
      <c r="L1627" s="11">
        <v>217.81</v>
      </c>
      <c r="M1627" s="11">
        <v>140269.64000000001</v>
      </c>
      <c r="N1627" s="11">
        <v>104244.28</v>
      </c>
      <c r="O1627" s="11">
        <f>CleanedData[[#This Row],[Total Sales ($)]]-CleanedData[[#This Row],[Total Cost ($)]]</f>
        <v>36025.360000000015</v>
      </c>
      <c r="P1627" s="12">
        <f>CleanedData[[#This Row],[Profit ($)]]/CleanedData[[#This Row],[Total Sales ($)]]</f>
        <v>0.25682934667829765</v>
      </c>
      <c r="Q1627" s="8" t="s">
        <v>42</v>
      </c>
      <c r="R1627" s="8" t="s">
        <v>32</v>
      </c>
      <c r="S1627" s="8" t="b">
        <f>_xlfn.SINGLE(CleanedData[[#This Row],[Delivery Status]])="Late"</f>
        <v>1</v>
      </c>
      <c r="T1627" s="10">
        <v>11</v>
      </c>
      <c r="U1627" s="8" t="s">
        <v>86</v>
      </c>
      <c r="V1627" s="10">
        <v>131</v>
      </c>
      <c r="W1627" s="10">
        <v>32</v>
      </c>
      <c r="X1627" s="12">
        <v>4.9689440993788803E-2</v>
      </c>
      <c r="Y1627" s="8" t="b">
        <f>CleanedData[[#This Row],[Ship Date]]&lt;CleanedData[[#This Row],[Order Date]]</f>
        <v>0</v>
      </c>
      <c r="Z1627" s="10">
        <f>YEAR(CleanedData[[#This Row],[Order Date]])</f>
        <v>2024</v>
      </c>
      <c r="AA1627" s="8">
        <f>MONTH(CleanedData[[#This Row],[Order Date]])</f>
        <v>1</v>
      </c>
    </row>
    <row r="1628" spans="1:27" x14ac:dyDescent="0.35">
      <c r="A1628" s="8" t="s">
        <v>4122</v>
      </c>
      <c r="B1628" s="9">
        <v>45205</v>
      </c>
      <c r="C1628" s="9">
        <v>45258</v>
      </c>
      <c r="D1628" s="8" t="s">
        <v>4123</v>
      </c>
      <c r="E1628" s="8" t="s">
        <v>48</v>
      </c>
      <c r="F1628" s="8" t="s">
        <v>183</v>
      </c>
      <c r="G1628" s="8" t="s">
        <v>189</v>
      </c>
      <c r="H1628" s="8" t="s">
        <v>561</v>
      </c>
      <c r="I1628" s="8" t="s">
        <v>4978</v>
      </c>
      <c r="J1628" s="10">
        <v>512</v>
      </c>
      <c r="K1628" s="11">
        <v>615.79999999999995</v>
      </c>
      <c r="L1628" s="11">
        <v>811.24</v>
      </c>
      <c r="M1628" s="11">
        <v>415354.88</v>
      </c>
      <c r="N1628" s="11">
        <v>315289.59999999998</v>
      </c>
      <c r="O1628" s="11">
        <f>CleanedData[[#This Row],[Total Sales ($)]]-CleanedData[[#This Row],[Total Cost ($)]]</f>
        <v>100065.28000000003</v>
      </c>
      <c r="P1628" s="12">
        <f>CleanedData[[#This Row],[Profit ($)]]/CleanedData[[#This Row],[Total Sales ($)]]</f>
        <v>0.24091514225136834</v>
      </c>
      <c r="Q1628" s="8" t="s">
        <v>31</v>
      </c>
      <c r="R1628" s="8" t="s">
        <v>32</v>
      </c>
      <c r="S1628" s="8" t="b">
        <f>_xlfn.SINGLE(CleanedData[[#This Row],[Delivery Status]])="Late"</f>
        <v>1</v>
      </c>
      <c r="T1628" s="10">
        <v>12</v>
      </c>
      <c r="U1628" s="8" t="s">
        <v>53</v>
      </c>
      <c r="V1628" s="10">
        <v>865</v>
      </c>
      <c r="W1628" s="10">
        <v>0</v>
      </c>
      <c r="X1628" s="12">
        <v>0</v>
      </c>
      <c r="Y1628" s="8" t="b">
        <f>CleanedData[[#This Row],[Ship Date]]&lt;CleanedData[[#This Row],[Order Date]]</f>
        <v>0</v>
      </c>
      <c r="Z1628" s="10">
        <f>YEAR(CleanedData[[#This Row],[Order Date]])</f>
        <v>2023</v>
      </c>
      <c r="AA1628" s="8">
        <f>MONTH(CleanedData[[#This Row],[Order Date]])</f>
        <v>10</v>
      </c>
    </row>
    <row r="1629" spans="1:27" x14ac:dyDescent="0.35">
      <c r="A1629" s="8" t="s">
        <v>4124</v>
      </c>
      <c r="B1629" s="9">
        <v>45209</v>
      </c>
      <c r="C1629" s="9">
        <v>45132</v>
      </c>
      <c r="D1629" s="8" t="s">
        <v>4125</v>
      </c>
      <c r="E1629" s="8" t="s">
        <v>26</v>
      </c>
      <c r="F1629" s="8" t="s">
        <v>77</v>
      </c>
      <c r="G1629" s="8" t="s">
        <v>129</v>
      </c>
      <c r="H1629" s="8" t="s">
        <v>811</v>
      </c>
      <c r="I1629" s="8" t="s">
        <v>4974</v>
      </c>
      <c r="J1629" s="10">
        <v>725</v>
      </c>
      <c r="K1629" s="11">
        <v>263.56</v>
      </c>
      <c r="L1629" s="11">
        <v>356.89</v>
      </c>
      <c r="M1629" s="11">
        <v>258745.25</v>
      </c>
      <c r="N1629" s="11">
        <v>191081</v>
      </c>
      <c r="O1629" s="11">
        <f>CleanedData[[#This Row],[Total Sales ($)]]-CleanedData[[#This Row],[Total Cost ($)]]</f>
        <v>67664.25</v>
      </c>
      <c r="P1629" s="12">
        <f>CleanedData[[#This Row],[Profit ($)]]/CleanedData[[#This Row],[Total Sales ($)]]</f>
        <v>0.26150914847712181</v>
      </c>
      <c r="Q1629" s="8" t="s">
        <v>95</v>
      </c>
      <c r="R1629" s="8" t="s">
        <v>32</v>
      </c>
      <c r="S1629" s="8" t="b">
        <f>_xlfn.SINGLE(CleanedData[[#This Row],[Delivery Status]])="Late"</f>
        <v>1</v>
      </c>
      <c r="T1629" s="10">
        <v>14</v>
      </c>
      <c r="U1629" s="8" t="s">
        <v>33</v>
      </c>
      <c r="V1629" s="10">
        <v>3886</v>
      </c>
      <c r="W1629" s="10">
        <v>15</v>
      </c>
      <c r="X1629" s="12">
        <v>2.0689655172413699E-2</v>
      </c>
      <c r="Y1629" s="8" t="b">
        <f>CleanedData[[#This Row],[Ship Date]]&lt;CleanedData[[#This Row],[Order Date]]</f>
        <v>1</v>
      </c>
      <c r="Z1629" s="10">
        <f>YEAR(CleanedData[[#This Row],[Order Date]])</f>
        <v>2023</v>
      </c>
      <c r="AA1629" s="8">
        <f>MONTH(CleanedData[[#This Row],[Order Date]])</f>
        <v>10</v>
      </c>
    </row>
    <row r="1630" spans="1:27" x14ac:dyDescent="0.35">
      <c r="A1630" s="8" t="s">
        <v>4126</v>
      </c>
      <c r="B1630" s="9">
        <v>45220</v>
      </c>
      <c r="C1630" s="9">
        <v>44963</v>
      </c>
      <c r="D1630" s="8" t="s">
        <v>4127</v>
      </c>
      <c r="E1630" s="8" t="s">
        <v>58</v>
      </c>
      <c r="F1630" s="8" t="s">
        <v>122</v>
      </c>
      <c r="G1630" s="8" t="s">
        <v>70</v>
      </c>
      <c r="H1630" s="8" t="s">
        <v>623</v>
      </c>
      <c r="I1630" s="8" t="s">
        <v>4978</v>
      </c>
      <c r="J1630" s="10">
        <v>535</v>
      </c>
      <c r="K1630" s="11">
        <v>760.45</v>
      </c>
      <c r="L1630" s="11">
        <v>1099.48</v>
      </c>
      <c r="M1630" s="11">
        <v>588221.80000000005</v>
      </c>
      <c r="N1630" s="11">
        <v>406840.75</v>
      </c>
      <c r="O1630" s="11">
        <f>CleanedData[[#This Row],[Total Sales ($)]]-CleanedData[[#This Row],[Total Cost ($)]]</f>
        <v>181381.05000000005</v>
      </c>
      <c r="P1630" s="12">
        <f>CleanedData[[#This Row],[Profit ($)]]/CleanedData[[#This Row],[Total Sales ($)]]</f>
        <v>0.3083548586604577</v>
      </c>
      <c r="Q1630" s="8" t="s">
        <v>52</v>
      </c>
      <c r="R1630" s="8" t="s">
        <v>32</v>
      </c>
      <c r="S1630" s="8" t="b">
        <f>_xlfn.SINGLE(CleanedData[[#This Row],[Delivery Status]])="Late"</f>
        <v>1</v>
      </c>
      <c r="T1630" s="10">
        <v>7</v>
      </c>
      <c r="U1630" s="8" t="s">
        <v>158</v>
      </c>
      <c r="V1630" s="10">
        <v>654</v>
      </c>
      <c r="W1630" s="10">
        <v>4</v>
      </c>
      <c r="X1630" s="12">
        <v>7.4766355140186E-3</v>
      </c>
      <c r="Y1630" s="8" t="b">
        <f>CleanedData[[#This Row],[Ship Date]]&lt;CleanedData[[#This Row],[Order Date]]</f>
        <v>1</v>
      </c>
      <c r="Z1630" s="10">
        <f>YEAR(CleanedData[[#This Row],[Order Date]])</f>
        <v>2023</v>
      </c>
      <c r="AA1630" s="8">
        <f>MONTH(CleanedData[[#This Row],[Order Date]])</f>
        <v>10</v>
      </c>
    </row>
    <row r="1631" spans="1:27" x14ac:dyDescent="0.35">
      <c r="A1631" s="8" t="s">
        <v>4128</v>
      </c>
      <c r="B1631" s="9">
        <v>45379</v>
      </c>
      <c r="C1631" s="9">
        <v>45293</v>
      </c>
      <c r="D1631" s="8" t="s">
        <v>4129</v>
      </c>
      <c r="E1631" s="8" t="s">
        <v>68</v>
      </c>
      <c r="F1631" s="8" t="s">
        <v>146</v>
      </c>
      <c r="G1631" s="8" t="s">
        <v>39</v>
      </c>
      <c r="H1631" s="8" t="s">
        <v>147</v>
      </c>
      <c r="I1631" s="8" t="s">
        <v>4967</v>
      </c>
      <c r="J1631" s="10">
        <v>229</v>
      </c>
      <c r="K1631" s="11">
        <v>205.68</v>
      </c>
      <c r="L1631" s="11">
        <v>230.5</v>
      </c>
      <c r="M1631" s="11">
        <v>52784.5</v>
      </c>
      <c r="N1631" s="11">
        <v>47100.72</v>
      </c>
      <c r="O1631" s="11">
        <f>CleanedData[[#This Row],[Total Sales ($)]]-CleanedData[[#This Row],[Total Cost ($)]]</f>
        <v>5683.7799999999988</v>
      </c>
      <c r="P1631" s="12">
        <f>CleanedData[[#This Row],[Profit ($)]]/CleanedData[[#This Row],[Total Sales ($)]]</f>
        <v>0.10767895878524944</v>
      </c>
      <c r="Q1631" s="8" t="s">
        <v>31</v>
      </c>
      <c r="R1631" s="8" t="s">
        <v>32</v>
      </c>
      <c r="S1631" s="8" t="b">
        <f>_xlfn.SINGLE(CleanedData[[#This Row],[Delivery Status]])="Late"</f>
        <v>1</v>
      </c>
      <c r="T1631" s="10">
        <v>11</v>
      </c>
      <c r="U1631" s="8" t="s">
        <v>53</v>
      </c>
      <c r="V1631" s="10">
        <v>2126</v>
      </c>
      <c r="W1631" s="10">
        <v>1</v>
      </c>
      <c r="X1631" s="12">
        <v>4.3668122270742E-3</v>
      </c>
      <c r="Y1631" s="8" t="b">
        <f>CleanedData[[#This Row],[Ship Date]]&lt;CleanedData[[#This Row],[Order Date]]</f>
        <v>1</v>
      </c>
      <c r="Z1631" s="10">
        <f>YEAR(CleanedData[[#This Row],[Order Date]])</f>
        <v>2024</v>
      </c>
      <c r="AA1631" s="8">
        <f>MONTH(CleanedData[[#This Row],[Order Date]])</f>
        <v>3</v>
      </c>
    </row>
    <row r="1632" spans="1:27" x14ac:dyDescent="0.35">
      <c r="A1632" s="8" t="s">
        <v>4130</v>
      </c>
      <c r="B1632" s="9">
        <v>45302</v>
      </c>
      <c r="C1632" s="9">
        <v>45328</v>
      </c>
      <c r="D1632" s="8" t="s">
        <v>4132</v>
      </c>
      <c r="E1632" s="8" t="s">
        <v>26</v>
      </c>
      <c r="F1632" s="8" t="s">
        <v>228</v>
      </c>
      <c r="G1632" s="8" t="s">
        <v>60</v>
      </c>
      <c r="H1632" s="8" t="s">
        <v>400</v>
      </c>
      <c r="I1632" s="8" t="s">
        <v>4979</v>
      </c>
      <c r="J1632" s="10">
        <v>570</v>
      </c>
      <c r="K1632" s="11">
        <v>489.77</v>
      </c>
      <c r="L1632" s="11">
        <v>573.36</v>
      </c>
      <c r="M1632" s="11">
        <v>326815.2</v>
      </c>
      <c r="N1632" s="11">
        <v>279168.90000000002</v>
      </c>
      <c r="O1632" s="11">
        <f>CleanedData[[#This Row],[Total Sales ($)]]-CleanedData[[#This Row],[Total Cost ($)]]</f>
        <v>47646.299999999988</v>
      </c>
      <c r="P1632" s="12">
        <f>CleanedData[[#This Row],[Profit ($)]]/CleanedData[[#This Row],[Total Sales ($)]]</f>
        <v>0.14578973071019949</v>
      </c>
      <c r="Q1632" s="8" t="s">
        <v>95</v>
      </c>
      <c r="R1632" s="8" t="s">
        <v>63</v>
      </c>
      <c r="S1632" s="8" t="b">
        <f>_xlfn.SINGLE(CleanedData[[#This Row],[Delivery Status]])="Late"</f>
        <v>0</v>
      </c>
      <c r="T1632" s="10">
        <v>5</v>
      </c>
      <c r="U1632" s="8" t="s">
        <v>33</v>
      </c>
      <c r="V1632" s="10">
        <v>4000</v>
      </c>
      <c r="W1632" s="10">
        <v>20</v>
      </c>
      <c r="X1632" s="12">
        <v>3.5087719298245598E-2</v>
      </c>
      <c r="Y1632" s="8" t="b">
        <f>CleanedData[[#This Row],[Ship Date]]&lt;CleanedData[[#This Row],[Order Date]]</f>
        <v>0</v>
      </c>
      <c r="Z1632" s="10">
        <f>YEAR(CleanedData[[#This Row],[Order Date]])</f>
        <v>2024</v>
      </c>
      <c r="AA1632" s="8">
        <f>MONTH(CleanedData[[#This Row],[Order Date]])</f>
        <v>1</v>
      </c>
    </row>
    <row r="1633" spans="1:27" x14ac:dyDescent="0.35">
      <c r="A1633" s="8" t="s">
        <v>4133</v>
      </c>
      <c r="B1633" s="9">
        <v>45505</v>
      </c>
      <c r="C1633" s="9">
        <v>44927</v>
      </c>
      <c r="D1633" s="8" t="s">
        <v>2248</v>
      </c>
      <c r="E1633" s="8" t="s">
        <v>48</v>
      </c>
      <c r="F1633" s="8" t="s">
        <v>183</v>
      </c>
      <c r="G1633" s="8" t="s">
        <v>189</v>
      </c>
      <c r="H1633" s="8" t="s">
        <v>561</v>
      </c>
      <c r="I1633" s="8" t="s">
        <v>4967</v>
      </c>
      <c r="J1633" s="10">
        <v>213</v>
      </c>
      <c r="K1633" s="11">
        <v>51.71</v>
      </c>
      <c r="L1633" s="11">
        <v>84.94</v>
      </c>
      <c r="M1633" s="11">
        <v>18092.22</v>
      </c>
      <c r="N1633" s="11">
        <v>11014.23</v>
      </c>
      <c r="O1633" s="11">
        <f>CleanedData[[#This Row],[Total Sales ($)]]-CleanedData[[#This Row],[Total Cost ($)]]</f>
        <v>7077.9900000000016</v>
      </c>
      <c r="P1633" s="12">
        <f>CleanedData[[#This Row],[Profit ($)]]/CleanedData[[#This Row],[Total Sales ($)]]</f>
        <v>0.39121732987991531</v>
      </c>
      <c r="Q1633" s="8" t="s">
        <v>31</v>
      </c>
      <c r="R1633" s="8" t="s">
        <v>63</v>
      </c>
      <c r="S1633" s="8" t="b">
        <f>_xlfn.SINGLE(CleanedData[[#This Row],[Delivery Status]])="Late"</f>
        <v>0</v>
      </c>
      <c r="T1633" s="10">
        <v>999</v>
      </c>
      <c r="U1633" s="8" t="s">
        <v>86</v>
      </c>
      <c r="V1633" s="10">
        <v>292</v>
      </c>
      <c r="W1633" s="10">
        <v>0</v>
      </c>
      <c r="X1633" s="12">
        <v>0</v>
      </c>
      <c r="Y1633" s="8" t="b">
        <f>CleanedData[[#This Row],[Ship Date]]&lt;CleanedData[[#This Row],[Order Date]]</f>
        <v>1</v>
      </c>
      <c r="Z1633" s="10">
        <f>YEAR(CleanedData[[#This Row],[Order Date]])</f>
        <v>2024</v>
      </c>
      <c r="AA1633" s="8">
        <f>MONTH(CleanedData[[#This Row],[Order Date]])</f>
        <v>8</v>
      </c>
    </row>
    <row r="1634" spans="1:27" x14ac:dyDescent="0.35">
      <c r="A1634" s="8" t="s">
        <v>4134</v>
      </c>
      <c r="B1634" s="9">
        <v>45313</v>
      </c>
      <c r="C1634" s="9">
        <v>45613</v>
      </c>
      <c r="D1634" s="8" t="s">
        <v>1334</v>
      </c>
      <c r="E1634" s="8" t="s">
        <v>26</v>
      </c>
      <c r="F1634" s="8" t="s">
        <v>77</v>
      </c>
      <c r="G1634" s="8" t="s">
        <v>28</v>
      </c>
      <c r="H1634" s="8" t="s">
        <v>212</v>
      </c>
      <c r="I1634" s="8" t="s">
        <v>4979</v>
      </c>
      <c r="J1634" s="10">
        <v>537</v>
      </c>
      <c r="K1634" s="11">
        <v>865.55</v>
      </c>
      <c r="L1634" s="11">
        <v>1096.76</v>
      </c>
      <c r="M1634" s="11">
        <v>588960.12</v>
      </c>
      <c r="N1634" s="11">
        <v>464800.35</v>
      </c>
      <c r="O1634" s="11">
        <f>CleanedData[[#This Row],[Total Sales ($)]]-CleanedData[[#This Row],[Total Cost ($)]]</f>
        <v>124159.77000000002</v>
      </c>
      <c r="P1634" s="12">
        <f>CleanedData[[#This Row],[Profit ($)]]/CleanedData[[#This Row],[Total Sales ($)]]</f>
        <v>0.21081184580035744</v>
      </c>
      <c r="Q1634" s="8" t="s">
        <v>95</v>
      </c>
      <c r="R1634" s="8" t="s">
        <v>32</v>
      </c>
      <c r="S1634" s="8" t="b">
        <f>_xlfn.SINGLE(CleanedData[[#This Row],[Delivery Status]])="Late"</f>
        <v>1</v>
      </c>
      <c r="T1634" s="10">
        <v>7</v>
      </c>
      <c r="U1634" s="8" t="s">
        <v>33</v>
      </c>
      <c r="V1634" s="10">
        <v>1442</v>
      </c>
      <c r="W1634" s="10">
        <v>21</v>
      </c>
      <c r="X1634" s="12">
        <v>3.91061452513966E-2</v>
      </c>
      <c r="Y1634" s="8" t="b">
        <f>CleanedData[[#This Row],[Ship Date]]&lt;CleanedData[[#This Row],[Order Date]]</f>
        <v>0</v>
      </c>
      <c r="Z1634" s="10">
        <f>YEAR(CleanedData[[#This Row],[Order Date]])</f>
        <v>2024</v>
      </c>
      <c r="AA1634" s="8">
        <f>MONTH(CleanedData[[#This Row],[Order Date]])</f>
        <v>1</v>
      </c>
    </row>
    <row r="1635" spans="1:27" x14ac:dyDescent="0.35">
      <c r="A1635" s="8" t="s">
        <v>4135</v>
      </c>
      <c r="B1635" s="9">
        <v>45413</v>
      </c>
      <c r="C1635" s="9">
        <v>45396</v>
      </c>
      <c r="D1635" s="8" t="s">
        <v>3868</v>
      </c>
      <c r="E1635" s="8" t="s">
        <v>58</v>
      </c>
      <c r="F1635" s="8" t="s">
        <v>59</v>
      </c>
      <c r="G1635" s="8" t="s">
        <v>50</v>
      </c>
      <c r="H1635" s="8" t="s">
        <v>135</v>
      </c>
      <c r="I1635" s="8" t="s">
        <v>4978</v>
      </c>
      <c r="J1635" s="10">
        <v>112</v>
      </c>
      <c r="K1635" s="11">
        <v>1031.8599999999999</v>
      </c>
      <c r="L1635" s="11">
        <v>1168.18</v>
      </c>
      <c r="M1635" s="11">
        <v>130836.16</v>
      </c>
      <c r="N1635" s="11">
        <v>115568.32000000001</v>
      </c>
      <c r="O1635" s="11">
        <f>CleanedData[[#This Row],[Total Sales ($)]]-CleanedData[[#This Row],[Total Cost ($)]]</f>
        <v>15267.839999999997</v>
      </c>
      <c r="P1635" s="12">
        <f>CleanedData[[#This Row],[Profit ($)]]/CleanedData[[#This Row],[Total Sales ($)]]</f>
        <v>0.11669434504956425</v>
      </c>
      <c r="Q1635" s="8" t="s">
        <v>95</v>
      </c>
      <c r="R1635" s="8" t="s">
        <v>32</v>
      </c>
      <c r="S1635" s="8" t="b">
        <f>_xlfn.SINGLE(CleanedData[[#This Row],[Delivery Status]])="Late"</f>
        <v>1</v>
      </c>
      <c r="T1635" s="10">
        <v>11</v>
      </c>
      <c r="U1635" s="8" t="s">
        <v>43</v>
      </c>
      <c r="V1635" s="10">
        <v>1659</v>
      </c>
      <c r="W1635" s="10">
        <v>4</v>
      </c>
      <c r="X1635" s="12">
        <v>3.5714285714285698E-2</v>
      </c>
      <c r="Y1635" s="8" t="b">
        <f>CleanedData[[#This Row],[Ship Date]]&lt;CleanedData[[#This Row],[Order Date]]</f>
        <v>1</v>
      </c>
      <c r="Z1635" s="10">
        <f>YEAR(CleanedData[[#This Row],[Order Date]])</f>
        <v>2024</v>
      </c>
      <c r="AA1635" s="8">
        <f>MONTH(CleanedData[[#This Row],[Order Date]])</f>
        <v>5</v>
      </c>
    </row>
    <row r="1636" spans="1:27" x14ac:dyDescent="0.35">
      <c r="A1636" s="8" t="s">
        <v>4136</v>
      </c>
      <c r="B1636" s="9">
        <v>45196</v>
      </c>
      <c r="C1636" s="9">
        <v>44964</v>
      </c>
      <c r="D1636" s="8" t="s">
        <v>4137</v>
      </c>
      <c r="E1636" s="8" t="s">
        <v>48</v>
      </c>
      <c r="F1636" s="8" t="s">
        <v>183</v>
      </c>
      <c r="G1636" s="8" t="s">
        <v>39</v>
      </c>
      <c r="H1636" s="8" t="s">
        <v>354</v>
      </c>
      <c r="I1636" s="8" t="s">
        <v>4970</v>
      </c>
      <c r="J1636" s="10">
        <v>83</v>
      </c>
      <c r="K1636" s="11">
        <v>347.55</v>
      </c>
      <c r="L1636" s="11">
        <v>492.7</v>
      </c>
      <c r="M1636" s="11">
        <v>40894.1</v>
      </c>
      <c r="N1636" s="11">
        <v>28846.65</v>
      </c>
      <c r="O1636" s="11">
        <f>CleanedData[[#This Row],[Total Sales ($)]]-CleanedData[[#This Row],[Total Cost ($)]]</f>
        <v>12047.449999999997</v>
      </c>
      <c r="P1636" s="12">
        <f>CleanedData[[#This Row],[Profit ($)]]/CleanedData[[#This Row],[Total Sales ($)]]</f>
        <v>0.29460117718692913</v>
      </c>
      <c r="Q1636" s="8" t="s">
        <v>31</v>
      </c>
      <c r="R1636" s="8" t="s">
        <v>32</v>
      </c>
      <c r="S1636" s="8" t="b">
        <f>_xlfn.SINGLE(CleanedData[[#This Row],[Delivery Status]])="Late"</f>
        <v>1</v>
      </c>
      <c r="T1636" s="10">
        <v>13</v>
      </c>
      <c r="U1636" s="8" t="s">
        <v>158</v>
      </c>
      <c r="V1636" s="10">
        <v>440</v>
      </c>
      <c r="W1636" s="10">
        <v>3</v>
      </c>
      <c r="X1636" s="12">
        <v>3.6144578313252997E-2</v>
      </c>
      <c r="Y1636" s="8" t="b">
        <f>CleanedData[[#This Row],[Ship Date]]&lt;CleanedData[[#This Row],[Order Date]]</f>
        <v>1</v>
      </c>
      <c r="Z1636" s="10">
        <f>YEAR(CleanedData[[#This Row],[Order Date]])</f>
        <v>2023</v>
      </c>
      <c r="AA1636" s="8">
        <f>MONTH(CleanedData[[#This Row],[Order Date]])</f>
        <v>9</v>
      </c>
    </row>
    <row r="1637" spans="1:27" x14ac:dyDescent="0.35">
      <c r="A1637" s="8" t="s">
        <v>4138</v>
      </c>
      <c r="B1637" s="9">
        <v>45154</v>
      </c>
      <c r="C1637" s="9">
        <v>45115</v>
      </c>
      <c r="D1637" s="8" t="s">
        <v>4139</v>
      </c>
      <c r="E1637" s="8" t="s">
        <v>58</v>
      </c>
      <c r="F1637" s="8" t="s">
        <v>116</v>
      </c>
      <c r="G1637" s="8" t="s">
        <v>93</v>
      </c>
      <c r="H1637" s="8" t="s">
        <v>643</v>
      </c>
      <c r="I1637" s="8" t="s">
        <v>4970</v>
      </c>
      <c r="J1637" s="10">
        <v>602</v>
      </c>
      <c r="K1637" s="11">
        <v>807.84</v>
      </c>
      <c r="L1637" s="11">
        <v>1046.53</v>
      </c>
      <c r="M1637" s="11">
        <v>630011.06000000006</v>
      </c>
      <c r="N1637" s="11">
        <v>486319.68</v>
      </c>
      <c r="O1637" s="11">
        <f>CleanedData[[#This Row],[Total Sales ($)]]-CleanedData[[#This Row],[Total Cost ($)]]</f>
        <v>143691.38000000006</v>
      </c>
      <c r="P1637" s="12">
        <f>CleanedData[[#This Row],[Profit ($)]]/CleanedData[[#This Row],[Total Sales ($)]]</f>
        <v>0.22807755152742881</v>
      </c>
      <c r="Q1637" s="8" t="s">
        <v>52</v>
      </c>
      <c r="R1637" s="8" t="s">
        <v>32</v>
      </c>
      <c r="S1637" s="8" t="b">
        <f>_xlfn.SINGLE(CleanedData[[#This Row],[Delivery Status]])="Late"</f>
        <v>1</v>
      </c>
      <c r="T1637" s="10">
        <v>14</v>
      </c>
      <c r="U1637" s="8" t="s">
        <v>53</v>
      </c>
      <c r="V1637" s="10">
        <v>4678</v>
      </c>
      <c r="W1637" s="10">
        <v>10</v>
      </c>
      <c r="X1637" s="12">
        <v>1.66112956810631E-2</v>
      </c>
      <c r="Y1637" s="8" t="b">
        <f>CleanedData[[#This Row],[Ship Date]]&lt;CleanedData[[#This Row],[Order Date]]</f>
        <v>1</v>
      </c>
      <c r="Z1637" s="10">
        <f>YEAR(CleanedData[[#This Row],[Order Date]])</f>
        <v>2023</v>
      </c>
      <c r="AA1637" s="8">
        <f>MONTH(CleanedData[[#This Row],[Order Date]])</f>
        <v>8</v>
      </c>
    </row>
    <row r="1638" spans="1:27" x14ac:dyDescent="0.35">
      <c r="A1638" s="8" t="s">
        <v>4140</v>
      </c>
      <c r="B1638" s="9">
        <v>45227</v>
      </c>
      <c r="C1638" s="9">
        <v>45000</v>
      </c>
      <c r="D1638" s="8" t="s">
        <v>4141</v>
      </c>
      <c r="E1638" s="8" t="s">
        <v>58</v>
      </c>
      <c r="F1638" s="8" t="s">
        <v>122</v>
      </c>
      <c r="G1638" s="8" t="s">
        <v>129</v>
      </c>
      <c r="H1638" s="8" t="s">
        <v>704</v>
      </c>
      <c r="I1638" s="8" t="s">
        <v>4968</v>
      </c>
      <c r="J1638" s="10">
        <v>718</v>
      </c>
      <c r="K1638" s="11">
        <v>1193.42</v>
      </c>
      <c r="L1638" s="11">
        <v>1489.59</v>
      </c>
      <c r="M1638" s="11">
        <v>1069525.6200000001</v>
      </c>
      <c r="N1638" s="11">
        <v>856875.56</v>
      </c>
      <c r="O1638" s="11">
        <f>CleanedData[[#This Row],[Total Sales ($)]]-CleanedData[[#This Row],[Total Cost ($)]]</f>
        <v>212650.06000000006</v>
      </c>
      <c r="P1638" s="12">
        <f>CleanedData[[#This Row],[Profit ($)]]/CleanedData[[#This Row],[Total Sales ($)]]</f>
        <v>0.19882652273444373</v>
      </c>
      <c r="Q1638" s="8" t="s">
        <v>31</v>
      </c>
      <c r="R1638" s="8" t="s">
        <v>32</v>
      </c>
      <c r="S1638" s="8" t="b">
        <f>_xlfn.SINGLE(CleanedData[[#This Row],[Delivery Status]])="Late"</f>
        <v>1</v>
      </c>
      <c r="T1638" s="10">
        <v>11</v>
      </c>
      <c r="U1638" s="8" t="s">
        <v>86</v>
      </c>
      <c r="V1638" s="10">
        <v>4530</v>
      </c>
      <c r="W1638" s="10">
        <v>6</v>
      </c>
      <c r="X1638" s="12">
        <v>8.3565459610026992E-3</v>
      </c>
      <c r="Y1638" s="8" t="b">
        <f>CleanedData[[#This Row],[Ship Date]]&lt;CleanedData[[#This Row],[Order Date]]</f>
        <v>1</v>
      </c>
      <c r="Z1638" s="10">
        <f>YEAR(CleanedData[[#This Row],[Order Date]])</f>
        <v>2023</v>
      </c>
      <c r="AA1638" s="8">
        <f>MONTH(CleanedData[[#This Row],[Order Date]])</f>
        <v>10</v>
      </c>
    </row>
    <row r="1639" spans="1:27" x14ac:dyDescent="0.35">
      <c r="A1639" s="8" t="s">
        <v>4142</v>
      </c>
      <c r="B1639" s="9">
        <v>45112</v>
      </c>
      <c r="C1639" s="9">
        <v>45112</v>
      </c>
      <c r="D1639" s="8" t="s">
        <v>4143</v>
      </c>
      <c r="E1639" s="8" t="s">
        <v>68</v>
      </c>
      <c r="F1639" s="8" t="s">
        <v>249</v>
      </c>
      <c r="G1639" s="8" t="s">
        <v>28</v>
      </c>
      <c r="H1639" s="8" t="s">
        <v>254</v>
      </c>
      <c r="I1639" s="8" t="s">
        <v>4970</v>
      </c>
      <c r="J1639" s="10">
        <v>406</v>
      </c>
      <c r="K1639" s="11">
        <v>239.29</v>
      </c>
      <c r="L1639" s="11">
        <v>276.95</v>
      </c>
      <c r="M1639" s="11">
        <v>112441.7</v>
      </c>
      <c r="N1639" s="11">
        <v>97151.74</v>
      </c>
      <c r="O1639" s="11">
        <f>CleanedData[[#This Row],[Total Sales ($)]]-CleanedData[[#This Row],[Total Cost ($)]]</f>
        <v>15289.959999999992</v>
      </c>
      <c r="P1639" s="12">
        <f>CleanedData[[#This Row],[Profit ($)]]/CleanedData[[#This Row],[Total Sales ($)]]</f>
        <v>0.13598122404766197</v>
      </c>
      <c r="Q1639" s="8" t="s">
        <v>42</v>
      </c>
      <c r="R1639" s="8" t="s">
        <v>32</v>
      </c>
      <c r="S1639" s="8" t="b">
        <f>_xlfn.SINGLE(CleanedData[[#This Row],[Delivery Status]])="Late"</f>
        <v>1</v>
      </c>
      <c r="T1639" s="10">
        <v>9</v>
      </c>
      <c r="U1639" s="8" t="s">
        <v>158</v>
      </c>
      <c r="V1639" s="10">
        <v>1599</v>
      </c>
      <c r="W1639" s="10">
        <v>4</v>
      </c>
      <c r="X1639" s="12">
        <v>9.8522167487684002E-3</v>
      </c>
      <c r="Y1639" s="8" t="b">
        <f>CleanedData[[#This Row],[Ship Date]]&lt;CleanedData[[#This Row],[Order Date]]</f>
        <v>0</v>
      </c>
      <c r="Z1639" s="10">
        <f>YEAR(CleanedData[[#This Row],[Order Date]])</f>
        <v>2023</v>
      </c>
      <c r="AA1639" s="8">
        <f>MONTH(CleanedData[[#This Row],[Order Date]])</f>
        <v>7</v>
      </c>
    </row>
    <row r="1640" spans="1:27" x14ac:dyDescent="0.35">
      <c r="A1640" s="8" t="s">
        <v>4144</v>
      </c>
      <c r="B1640" s="9">
        <v>44954</v>
      </c>
      <c r="C1640" s="9">
        <v>45234</v>
      </c>
      <c r="D1640" s="8" t="s">
        <v>4145</v>
      </c>
      <c r="E1640" s="8" t="s">
        <v>48</v>
      </c>
      <c r="F1640" s="8" t="s">
        <v>183</v>
      </c>
      <c r="G1640" s="8" t="s">
        <v>60</v>
      </c>
      <c r="H1640" s="8" t="s">
        <v>229</v>
      </c>
      <c r="I1640" s="8" t="s">
        <v>4971</v>
      </c>
      <c r="J1640" s="10">
        <v>578</v>
      </c>
      <c r="K1640" s="11">
        <v>248.31</v>
      </c>
      <c r="L1640" s="11">
        <v>373.15</v>
      </c>
      <c r="M1640" s="11">
        <v>215680.7</v>
      </c>
      <c r="N1640" s="11">
        <v>143523.18</v>
      </c>
      <c r="O1640" s="11">
        <f>CleanedData[[#This Row],[Total Sales ($)]]-CleanedData[[#This Row],[Total Cost ($)]]</f>
        <v>72157.520000000019</v>
      </c>
      <c r="P1640" s="12">
        <f>CleanedData[[#This Row],[Profit ($)]]/CleanedData[[#This Row],[Total Sales ($)]]</f>
        <v>0.33455714859975888</v>
      </c>
      <c r="Q1640" s="8" t="s">
        <v>52</v>
      </c>
      <c r="R1640" s="8" t="s">
        <v>32</v>
      </c>
      <c r="S1640" s="8" t="b">
        <f>_xlfn.SINGLE(CleanedData[[#This Row],[Delivery Status]])="Late"</f>
        <v>1</v>
      </c>
      <c r="T1640" s="10">
        <v>15</v>
      </c>
      <c r="U1640" s="8" t="s">
        <v>112</v>
      </c>
      <c r="V1640" s="10">
        <v>3320</v>
      </c>
      <c r="W1640" s="10">
        <v>24</v>
      </c>
      <c r="X1640" s="12">
        <v>4.1522491349480897E-2</v>
      </c>
      <c r="Y1640" s="8" t="b">
        <f>CleanedData[[#This Row],[Ship Date]]&lt;CleanedData[[#This Row],[Order Date]]</f>
        <v>0</v>
      </c>
      <c r="Z1640" s="10">
        <f>YEAR(CleanedData[[#This Row],[Order Date]])</f>
        <v>2023</v>
      </c>
      <c r="AA1640" s="8">
        <f>MONTH(CleanedData[[#This Row],[Order Date]])</f>
        <v>1</v>
      </c>
    </row>
    <row r="1641" spans="1:27" x14ac:dyDescent="0.35">
      <c r="A1641" s="8" t="s">
        <v>4146</v>
      </c>
      <c r="B1641" s="9">
        <v>44980</v>
      </c>
      <c r="C1641" s="9">
        <v>45242</v>
      </c>
      <c r="D1641" s="8" t="s">
        <v>2118</v>
      </c>
      <c r="E1641" s="8" t="s">
        <v>68</v>
      </c>
      <c r="F1641" s="8" t="s">
        <v>146</v>
      </c>
      <c r="G1641" s="8" t="s">
        <v>93</v>
      </c>
      <c r="H1641" s="8" t="s">
        <v>485</v>
      </c>
      <c r="I1641" s="8" t="s">
        <v>4978</v>
      </c>
      <c r="J1641" s="10">
        <v>418</v>
      </c>
      <c r="K1641" s="11">
        <v>673.73</v>
      </c>
      <c r="L1641" s="11">
        <v>1078.5899999999999</v>
      </c>
      <c r="M1641" s="11">
        <v>450850.62</v>
      </c>
      <c r="N1641" s="11">
        <v>281619.14</v>
      </c>
      <c r="O1641" s="11">
        <f>CleanedData[[#This Row],[Total Sales ($)]]-CleanedData[[#This Row],[Total Cost ($)]]</f>
        <v>169231.47999999998</v>
      </c>
      <c r="P1641" s="12">
        <f>CleanedData[[#This Row],[Profit ($)]]/CleanedData[[#This Row],[Total Sales ($)]]</f>
        <v>0.37536042425759553</v>
      </c>
      <c r="Q1641" s="8" t="s">
        <v>52</v>
      </c>
      <c r="R1641" s="8" t="s">
        <v>63</v>
      </c>
      <c r="S1641" s="8" t="b">
        <f>_xlfn.SINGLE(CleanedData[[#This Row],[Delivery Status]])="Late"</f>
        <v>0</v>
      </c>
      <c r="T1641" s="10">
        <v>4</v>
      </c>
      <c r="U1641" s="8" t="s">
        <v>86</v>
      </c>
      <c r="V1641" s="10">
        <v>4962</v>
      </c>
      <c r="W1641" s="10"/>
      <c r="X1641" s="12"/>
      <c r="Y1641" s="8" t="b">
        <f>CleanedData[[#This Row],[Ship Date]]&lt;CleanedData[[#This Row],[Order Date]]</f>
        <v>0</v>
      </c>
      <c r="Z1641" s="10">
        <f>YEAR(CleanedData[[#This Row],[Order Date]])</f>
        <v>2023</v>
      </c>
      <c r="AA1641" s="8">
        <f>MONTH(CleanedData[[#This Row],[Order Date]])</f>
        <v>2</v>
      </c>
    </row>
    <row r="1642" spans="1:27" x14ac:dyDescent="0.35">
      <c r="A1642" s="8" t="s">
        <v>4148</v>
      </c>
      <c r="B1642" s="9">
        <v>45083</v>
      </c>
      <c r="C1642" s="9">
        <v>44986</v>
      </c>
      <c r="D1642" s="8" t="s">
        <v>4150</v>
      </c>
      <c r="E1642" s="8" t="s">
        <v>58</v>
      </c>
      <c r="F1642" s="8" t="s">
        <v>122</v>
      </c>
      <c r="G1642" s="8" t="s">
        <v>93</v>
      </c>
      <c r="H1642" s="8" t="s">
        <v>94</v>
      </c>
      <c r="I1642" s="8" t="s">
        <v>4973</v>
      </c>
      <c r="J1642" s="10">
        <v>774</v>
      </c>
      <c r="K1642" s="11">
        <v>616.4</v>
      </c>
      <c r="L1642" s="11">
        <v>776.55</v>
      </c>
      <c r="M1642" s="11">
        <v>601049.69999999995</v>
      </c>
      <c r="N1642" s="11">
        <v>477093.6</v>
      </c>
      <c r="O1642" s="11">
        <f>CleanedData[[#This Row],[Total Sales ($)]]-CleanedData[[#This Row],[Total Cost ($)]]</f>
        <v>123956.09999999998</v>
      </c>
      <c r="P1642" s="12">
        <f>CleanedData[[#This Row],[Profit ($)]]/CleanedData[[#This Row],[Total Sales ($)]]</f>
        <v>0.2062326958985255</v>
      </c>
      <c r="Q1642" s="8" t="s">
        <v>31</v>
      </c>
      <c r="R1642" s="8" t="s">
        <v>32</v>
      </c>
      <c r="S1642" s="8" t="b">
        <f>_xlfn.SINGLE(CleanedData[[#This Row],[Delivery Status]])="Late"</f>
        <v>1</v>
      </c>
      <c r="T1642" s="10">
        <v>15</v>
      </c>
      <c r="U1642" s="8" t="s">
        <v>112</v>
      </c>
      <c r="V1642" s="10">
        <v>695</v>
      </c>
      <c r="W1642" s="10">
        <v>22</v>
      </c>
      <c r="X1642" s="12">
        <v>2.8423772609819101E-2</v>
      </c>
      <c r="Y1642" s="8" t="b">
        <f>CleanedData[[#This Row],[Ship Date]]&lt;CleanedData[[#This Row],[Order Date]]</f>
        <v>1</v>
      </c>
      <c r="Z1642" s="10">
        <f>YEAR(CleanedData[[#This Row],[Order Date]])</f>
        <v>2023</v>
      </c>
      <c r="AA1642" s="8">
        <f>MONTH(CleanedData[[#This Row],[Order Date]])</f>
        <v>6</v>
      </c>
    </row>
    <row r="1643" spans="1:27" x14ac:dyDescent="0.35">
      <c r="A1643" s="8" t="s">
        <v>4151</v>
      </c>
      <c r="B1643" s="9">
        <v>45113</v>
      </c>
      <c r="C1643" s="9">
        <v>45183</v>
      </c>
      <c r="D1643" s="8" t="s">
        <v>4152</v>
      </c>
      <c r="E1643" s="8" t="s">
        <v>58</v>
      </c>
      <c r="F1643" s="8" t="s">
        <v>259</v>
      </c>
      <c r="G1643" s="8" t="s">
        <v>39</v>
      </c>
      <c r="H1643" s="8" t="s">
        <v>647</v>
      </c>
      <c r="I1643" s="8" t="s">
        <v>4971</v>
      </c>
      <c r="J1643" s="10">
        <v>444</v>
      </c>
      <c r="K1643" s="11">
        <v>669.49</v>
      </c>
      <c r="L1643" s="11">
        <v>836.53</v>
      </c>
      <c r="M1643" s="11">
        <v>371419.32</v>
      </c>
      <c r="N1643" s="11">
        <v>297253.56</v>
      </c>
      <c r="O1643" s="11">
        <f>CleanedData[[#This Row],[Total Sales ($)]]-CleanedData[[#This Row],[Total Cost ($)]]</f>
        <v>74165.760000000009</v>
      </c>
      <c r="P1643" s="12">
        <f>CleanedData[[#This Row],[Profit ($)]]/CleanedData[[#This Row],[Total Sales ($)]]</f>
        <v>0.19968201977215405</v>
      </c>
      <c r="Q1643" s="8" t="s">
        <v>42</v>
      </c>
      <c r="R1643" s="8" t="s">
        <v>32</v>
      </c>
      <c r="S1643" s="8" t="b">
        <f>_xlfn.SINGLE(CleanedData[[#This Row],[Delivery Status]])="Late"</f>
        <v>1</v>
      </c>
      <c r="T1643" s="10">
        <v>8</v>
      </c>
      <c r="U1643" s="8" t="s">
        <v>53</v>
      </c>
      <c r="V1643" s="10">
        <v>4978</v>
      </c>
      <c r="W1643" s="10">
        <v>15</v>
      </c>
      <c r="X1643" s="12">
        <v>3.3783783783783702E-2</v>
      </c>
      <c r="Y1643" s="8" t="b">
        <f>CleanedData[[#This Row],[Ship Date]]&lt;CleanedData[[#This Row],[Order Date]]</f>
        <v>0</v>
      </c>
      <c r="Z1643" s="10">
        <f>YEAR(CleanedData[[#This Row],[Order Date]])</f>
        <v>2023</v>
      </c>
      <c r="AA1643" s="8">
        <f>MONTH(CleanedData[[#This Row],[Order Date]])</f>
        <v>7</v>
      </c>
    </row>
    <row r="1644" spans="1:27" x14ac:dyDescent="0.35">
      <c r="A1644" s="8" t="s">
        <v>4153</v>
      </c>
      <c r="B1644" s="9">
        <v>45102</v>
      </c>
      <c r="C1644" s="9">
        <v>45246</v>
      </c>
      <c r="D1644" s="8" t="s">
        <v>4154</v>
      </c>
      <c r="E1644" s="8" t="s">
        <v>68</v>
      </c>
      <c r="F1644" s="8" t="s">
        <v>69</v>
      </c>
      <c r="G1644" s="8" t="s">
        <v>189</v>
      </c>
      <c r="H1644" s="8" t="s">
        <v>311</v>
      </c>
      <c r="I1644" s="8" t="s">
        <v>4970</v>
      </c>
      <c r="J1644" s="10">
        <v>298</v>
      </c>
      <c r="K1644" s="11">
        <v>317.45</v>
      </c>
      <c r="L1644" s="11">
        <v>435.4</v>
      </c>
      <c r="M1644" s="11">
        <v>129749.2</v>
      </c>
      <c r="N1644" s="11">
        <v>94600.1</v>
      </c>
      <c r="O1644" s="11">
        <f>CleanedData[[#This Row],[Total Sales ($)]]-CleanedData[[#This Row],[Total Cost ($)]]</f>
        <v>35149.099999999991</v>
      </c>
      <c r="P1644" s="12">
        <f>CleanedData[[#This Row],[Profit ($)]]/CleanedData[[#This Row],[Total Sales ($)]]</f>
        <v>0.27090032154340832</v>
      </c>
      <c r="Q1644" s="8" t="s">
        <v>95</v>
      </c>
      <c r="R1644" s="8" t="s">
        <v>32</v>
      </c>
      <c r="S1644" s="8" t="b">
        <f>_xlfn.SINGLE(CleanedData[[#This Row],[Delivery Status]])="Late"</f>
        <v>1</v>
      </c>
      <c r="T1644" s="10">
        <v>12</v>
      </c>
      <c r="U1644" s="8" t="s">
        <v>43</v>
      </c>
      <c r="V1644" s="10">
        <v>1615</v>
      </c>
      <c r="W1644" s="10">
        <v>8</v>
      </c>
      <c r="X1644" s="12">
        <v>2.68456375838926E-2</v>
      </c>
      <c r="Y1644" s="8" t="b">
        <f>CleanedData[[#This Row],[Ship Date]]&lt;CleanedData[[#This Row],[Order Date]]</f>
        <v>0</v>
      </c>
      <c r="Z1644" s="10">
        <f>YEAR(CleanedData[[#This Row],[Order Date]])</f>
        <v>2023</v>
      </c>
      <c r="AA1644" s="8">
        <f>MONTH(CleanedData[[#This Row],[Order Date]])</f>
        <v>6</v>
      </c>
    </row>
    <row r="1645" spans="1:27" x14ac:dyDescent="0.35">
      <c r="A1645" s="8" t="s">
        <v>4155</v>
      </c>
      <c r="B1645" s="9">
        <v>45190</v>
      </c>
      <c r="C1645" s="9">
        <v>45147</v>
      </c>
      <c r="D1645" s="8" t="s">
        <v>1916</v>
      </c>
      <c r="E1645" s="8" t="s">
        <v>68</v>
      </c>
      <c r="F1645" s="8" t="s">
        <v>69</v>
      </c>
      <c r="G1645" s="8" t="s">
        <v>78</v>
      </c>
      <c r="H1645" s="8" t="s">
        <v>628</v>
      </c>
      <c r="I1645" s="8" t="s">
        <v>4967</v>
      </c>
      <c r="J1645" s="10">
        <v>653</v>
      </c>
      <c r="K1645" s="11">
        <v>475.56</v>
      </c>
      <c r="L1645" s="11">
        <v>535.84</v>
      </c>
      <c r="M1645" s="11">
        <v>349903.52</v>
      </c>
      <c r="N1645" s="11">
        <v>310540.68</v>
      </c>
      <c r="O1645" s="11">
        <f>CleanedData[[#This Row],[Total Sales ($)]]-CleanedData[[#This Row],[Total Cost ($)]]</f>
        <v>39362.840000000026</v>
      </c>
      <c r="P1645" s="12">
        <f>CleanedData[[#This Row],[Profit ($)]]/CleanedData[[#This Row],[Total Sales ($)]]</f>
        <v>0.11249626754255009</v>
      </c>
      <c r="Q1645" s="8" t="s">
        <v>42</v>
      </c>
      <c r="R1645" s="8" t="s">
        <v>63</v>
      </c>
      <c r="S1645" s="8" t="b">
        <f>_xlfn.SINGLE(CleanedData[[#This Row],[Delivery Status]])="Late"</f>
        <v>0</v>
      </c>
      <c r="T1645" s="10">
        <v>5</v>
      </c>
      <c r="U1645" s="8" t="s">
        <v>53</v>
      </c>
      <c r="V1645" s="10">
        <v>562</v>
      </c>
      <c r="W1645" s="10">
        <v>22</v>
      </c>
      <c r="X1645" s="12">
        <v>3.3690658499234298E-2</v>
      </c>
      <c r="Y1645" s="8" t="b">
        <f>CleanedData[[#This Row],[Ship Date]]&lt;CleanedData[[#This Row],[Order Date]]</f>
        <v>1</v>
      </c>
      <c r="Z1645" s="10">
        <f>YEAR(CleanedData[[#This Row],[Order Date]])</f>
        <v>2023</v>
      </c>
      <c r="AA1645" s="8">
        <f>MONTH(CleanedData[[#This Row],[Order Date]])</f>
        <v>9</v>
      </c>
    </row>
    <row r="1646" spans="1:27" x14ac:dyDescent="0.35">
      <c r="A1646" s="8" t="s">
        <v>4156</v>
      </c>
      <c r="B1646" s="9">
        <v>44927</v>
      </c>
      <c r="C1646" s="9">
        <v>45247</v>
      </c>
      <c r="D1646" s="8" t="s">
        <v>4158</v>
      </c>
      <c r="E1646" s="8" t="s">
        <v>68</v>
      </c>
      <c r="F1646" s="8" t="s">
        <v>69</v>
      </c>
      <c r="G1646" s="8" t="s">
        <v>28</v>
      </c>
      <c r="H1646" s="8" t="s">
        <v>579</v>
      </c>
      <c r="I1646" s="8" t="s">
        <v>4975</v>
      </c>
      <c r="J1646" s="10">
        <v>24</v>
      </c>
      <c r="K1646" s="11">
        <v>825.45</v>
      </c>
      <c r="L1646" s="11">
        <v>1154.8900000000001</v>
      </c>
      <c r="M1646" s="11">
        <v>27717.360000000001</v>
      </c>
      <c r="N1646" s="11">
        <v>19810.8</v>
      </c>
      <c r="O1646" s="11">
        <f>CleanedData[[#This Row],[Total Sales ($)]]-CleanedData[[#This Row],[Total Cost ($)]]</f>
        <v>7906.5600000000013</v>
      </c>
      <c r="P1646" s="12">
        <f>CleanedData[[#This Row],[Profit ($)]]/CleanedData[[#This Row],[Total Sales ($)]]</f>
        <v>0.28525660452510632</v>
      </c>
      <c r="Q1646" s="8" t="s">
        <v>31</v>
      </c>
      <c r="R1646" s="8" t="s">
        <v>32</v>
      </c>
      <c r="S1646" s="8" t="b">
        <f>_xlfn.SINGLE(CleanedData[[#This Row],[Delivery Status]])="Late"</f>
        <v>1</v>
      </c>
      <c r="T1646" s="10">
        <v>15</v>
      </c>
      <c r="U1646" s="8" t="s">
        <v>53</v>
      </c>
      <c r="V1646" s="10">
        <v>4666</v>
      </c>
      <c r="W1646" s="10">
        <v>1</v>
      </c>
      <c r="X1646" s="12">
        <v>4.1666666666666602E-2</v>
      </c>
      <c r="Y1646" s="8" t="b">
        <f>CleanedData[[#This Row],[Ship Date]]&lt;CleanedData[[#This Row],[Order Date]]</f>
        <v>0</v>
      </c>
      <c r="Z1646" s="10">
        <f>YEAR(CleanedData[[#This Row],[Order Date]])</f>
        <v>2023</v>
      </c>
      <c r="AA1646" s="8">
        <f>MONTH(CleanedData[[#This Row],[Order Date]])</f>
        <v>1</v>
      </c>
    </row>
    <row r="1647" spans="1:27" x14ac:dyDescent="0.35">
      <c r="A1647" s="8" t="s">
        <v>4159</v>
      </c>
      <c r="B1647" s="9">
        <v>45150</v>
      </c>
      <c r="C1647" s="9">
        <v>44927</v>
      </c>
      <c r="D1647" s="8" t="s">
        <v>4160</v>
      </c>
      <c r="E1647" s="8" t="s">
        <v>58</v>
      </c>
      <c r="F1647" s="8" t="s">
        <v>417</v>
      </c>
      <c r="G1647" s="8" t="s">
        <v>60</v>
      </c>
      <c r="H1647" s="8" t="s">
        <v>780</v>
      </c>
      <c r="I1647" s="8" t="s">
        <v>4973</v>
      </c>
      <c r="J1647" s="10">
        <v>273</v>
      </c>
      <c r="K1647" s="11">
        <v>421.53</v>
      </c>
      <c r="L1647" s="11">
        <v>578.79</v>
      </c>
      <c r="M1647" s="11">
        <v>158009.67000000001</v>
      </c>
      <c r="N1647" s="11">
        <v>115077.69</v>
      </c>
      <c r="O1647" s="11">
        <f>CleanedData[[#This Row],[Total Sales ($)]]-CleanedData[[#This Row],[Total Cost ($)]]</f>
        <v>42931.98000000001</v>
      </c>
      <c r="P1647" s="12">
        <f>CleanedData[[#This Row],[Profit ($)]]/CleanedData[[#This Row],[Total Sales ($)]]</f>
        <v>0.27170476338568395</v>
      </c>
      <c r="Q1647" s="8" t="s">
        <v>95</v>
      </c>
      <c r="R1647" s="8" t="s">
        <v>63</v>
      </c>
      <c r="S1647" s="8" t="b">
        <f>_xlfn.SINGLE(CleanedData[[#This Row],[Delivery Status]])="Late"</f>
        <v>0</v>
      </c>
      <c r="T1647" s="10">
        <v>4</v>
      </c>
      <c r="U1647" s="8" t="s">
        <v>86</v>
      </c>
      <c r="V1647" s="10">
        <v>73</v>
      </c>
      <c r="W1647" s="10">
        <v>5</v>
      </c>
      <c r="X1647" s="12">
        <v>1.8315018315018299E-2</v>
      </c>
      <c r="Y1647" s="8" t="b">
        <f>CleanedData[[#This Row],[Ship Date]]&lt;CleanedData[[#This Row],[Order Date]]</f>
        <v>1</v>
      </c>
      <c r="Z1647" s="10">
        <f>YEAR(CleanedData[[#This Row],[Order Date]])</f>
        <v>2023</v>
      </c>
      <c r="AA1647" s="8">
        <f>MONTH(CleanedData[[#This Row],[Order Date]])</f>
        <v>8</v>
      </c>
    </row>
    <row r="1648" spans="1:27" x14ac:dyDescent="0.35">
      <c r="A1648" s="8" t="s">
        <v>4161</v>
      </c>
      <c r="B1648" s="9">
        <v>45390</v>
      </c>
      <c r="C1648" s="9">
        <v>45634</v>
      </c>
      <c r="D1648" s="8" t="s">
        <v>4162</v>
      </c>
      <c r="E1648" s="8" t="s">
        <v>100</v>
      </c>
      <c r="F1648" s="8" t="s">
        <v>238</v>
      </c>
      <c r="G1648" s="8" t="s">
        <v>39</v>
      </c>
      <c r="H1648" s="8" t="s">
        <v>147</v>
      </c>
      <c r="I1648" s="8" t="s">
        <v>4976</v>
      </c>
      <c r="J1648" s="10">
        <v>778</v>
      </c>
      <c r="K1648" s="11">
        <v>990.02</v>
      </c>
      <c r="L1648" s="11">
        <v>1605.5</v>
      </c>
      <c r="M1648" s="11">
        <v>1249079</v>
      </c>
      <c r="N1648" s="11">
        <v>770235.56</v>
      </c>
      <c r="O1648" s="11">
        <f>CleanedData[[#This Row],[Total Sales ($)]]-CleanedData[[#This Row],[Total Cost ($)]]</f>
        <v>478843.43999999994</v>
      </c>
      <c r="P1648" s="12">
        <f>CleanedData[[#This Row],[Profit ($)]]/CleanedData[[#This Row],[Total Sales ($)]]</f>
        <v>0.38335720959202735</v>
      </c>
      <c r="Q1648" s="8" t="s">
        <v>95</v>
      </c>
      <c r="R1648" s="8" t="s">
        <v>32</v>
      </c>
      <c r="S1648" s="8" t="b">
        <f>_xlfn.SINGLE(CleanedData[[#This Row],[Delivery Status]])="Late"</f>
        <v>1</v>
      </c>
      <c r="T1648" s="10">
        <v>10</v>
      </c>
      <c r="U1648" s="8" t="s">
        <v>158</v>
      </c>
      <c r="V1648" s="10">
        <v>2805</v>
      </c>
      <c r="W1648" s="10">
        <v>14</v>
      </c>
      <c r="X1648" s="12">
        <v>1.79948586118251E-2</v>
      </c>
      <c r="Y1648" s="8" t="b">
        <f>CleanedData[[#This Row],[Ship Date]]&lt;CleanedData[[#This Row],[Order Date]]</f>
        <v>0</v>
      </c>
      <c r="Z1648" s="10">
        <f>YEAR(CleanedData[[#This Row],[Order Date]])</f>
        <v>2024</v>
      </c>
      <c r="AA1648" s="8">
        <f>MONTH(CleanedData[[#This Row],[Order Date]])</f>
        <v>4</v>
      </c>
    </row>
    <row r="1649" spans="1:27" x14ac:dyDescent="0.35">
      <c r="A1649" s="8" t="s">
        <v>4163</v>
      </c>
      <c r="B1649" s="9">
        <v>45497</v>
      </c>
      <c r="C1649" s="9">
        <v>44975</v>
      </c>
      <c r="D1649" s="8" t="s">
        <v>4166</v>
      </c>
      <c r="E1649" s="8" t="s">
        <v>100</v>
      </c>
      <c r="F1649" s="8" t="s">
        <v>106</v>
      </c>
      <c r="G1649" s="8" t="s">
        <v>50</v>
      </c>
      <c r="H1649" s="8" t="s">
        <v>734</v>
      </c>
      <c r="I1649" s="8" t="s">
        <v>4969</v>
      </c>
      <c r="J1649" s="10">
        <v>318</v>
      </c>
      <c r="K1649" s="11">
        <v>706.43</v>
      </c>
      <c r="L1649" s="11">
        <v>823.64</v>
      </c>
      <c r="M1649" s="11">
        <v>261917.52</v>
      </c>
      <c r="N1649" s="11">
        <v>224644.74</v>
      </c>
      <c r="O1649" s="11">
        <f>CleanedData[[#This Row],[Total Sales ($)]]-CleanedData[[#This Row],[Total Cost ($)]]</f>
        <v>37272.78</v>
      </c>
      <c r="P1649" s="12">
        <f>CleanedData[[#This Row],[Profit ($)]]/CleanedData[[#This Row],[Total Sales ($)]]</f>
        <v>0.14230731873148464</v>
      </c>
      <c r="Q1649" s="8" t="s">
        <v>95</v>
      </c>
      <c r="R1649" s="8" t="s">
        <v>32</v>
      </c>
      <c r="S1649" s="8" t="b">
        <f>_xlfn.SINGLE(CleanedData[[#This Row],[Delivery Status]])="Late"</f>
        <v>1</v>
      </c>
      <c r="T1649" s="10">
        <v>9</v>
      </c>
      <c r="U1649" s="8" t="s">
        <v>53</v>
      </c>
      <c r="V1649" s="10">
        <v>337</v>
      </c>
      <c r="W1649" s="10">
        <v>9</v>
      </c>
      <c r="X1649" s="12">
        <v>2.83018867924528E-2</v>
      </c>
      <c r="Y1649" s="8" t="b">
        <f>CleanedData[[#This Row],[Ship Date]]&lt;CleanedData[[#This Row],[Order Date]]</f>
        <v>1</v>
      </c>
      <c r="Z1649" s="10">
        <f>YEAR(CleanedData[[#This Row],[Order Date]])</f>
        <v>2024</v>
      </c>
      <c r="AA1649" s="8">
        <f>MONTH(CleanedData[[#This Row],[Order Date]])</f>
        <v>7</v>
      </c>
    </row>
    <row r="1650" spans="1:27" x14ac:dyDescent="0.35">
      <c r="A1650" s="8" t="s">
        <v>4167</v>
      </c>
      <c r="B1650" s="9">
        <v>45237</v>
      </c>
      <c r="C1650" s="9">
        <v>45151</v>
      </c>
      <c r="D1650" s="8" t="s">
        <v>4169</v>
      </c>
      <c r="E1650" s="8" t="s">
        <v>68</v>
      </c>
      <c r="F1650" s="8" t="s">
        <v>69</v>
      </c>
      <c r="G1650" s="8" t="s">
        <v>189</v>
      </c>
      <c r="H1650" s="8" t="s">
        <v>360</v>
      </c>
      <c r="I1650" s="8" t="s">
        <v>4973</v>
      </c>
      <c r="J1650" s="10">
        <v>526</v>
      </c>
      <c r="K1650" s="11">
        <v>388.04</v>
      </c>
      <c r="L1650" s="11">
        <v>527.83000000000004</v>
      </c>
      <c r="M1650" s="11">
        <v>277638.58</v>
      </c>
      <c r="N1650" s="11">
        <v>204109.04</v>
      </c>
      <c r="O1650" s="11">
        <f>CleanedData[[#This Row],[Total Sales ($)]]-CleanedData[[#This Row],[Total Cost ($)]]</f>
        <v>73529.540000000008</v>
      </c>
      <c r="P1650" s="12">
        <f>CleanedData[[#This Row],[Profit ($)]]/CleanedData[[#This Row],[Total Sales ($)]]</f>
        <v>0.26483905803004759</v>
      </c>
      <c r="Q1650" s="8" t="s">
        <v>95</v>
      </c>
      <c r="R1650" s="8" t="s">
        <v>63</v>
      </c>
      <c r="S1650" s="8" t="b">
        <f>_xlfn.SINGLE(CleanedData[[#This Row],[Delivery Status]])="Late"</f>
        <v>0</v>
      </c>
      <c r="T1650" s="10">
        <v>4</v>
      </c>
      <c r="U1650" s="8" t="s">
        <v>33</v>
      </c>
      <c r="V1650" s="10">
        <v>4503</v>
      </c>
      <c r="W1650" s="10">
        <v>22</v>
      </c>
      <c r="X1650" s="12">
        <v>4.1825095057034203E-2</v>
      </c>
      <c r="Y1650" s="8" t="b">
        <f>CleanedData[[#This Row],[Ship Date]]&lt;CleanedData[[#This Row],[Order Date]]</f>
        <v>1</v>
      </c>
      <c r="Z1650" s="10">
        <f>YEAR(CleanedData[[#This Row],[Order Date]])</f>
        <v>2023</v>
      </c>
      <c r="AA1650" s="8">
        <f>MONTH(CleanedData[[#This Row],[Order Date]])</f>
        <v>11</v>
      </c>
    </row>
    <row r="1651" spans="1:27" x14ac:dyDescent="0.35">
      <c r="A1651" s="8" t="s">
        <v>4170</v>
      </c>
      <c r="B1651" s="9">
        <v>45462</v>
      </c>
      <c r="C1651" s="9">
        <v>45388</v>
      </c>
      <c r="D1651" s="8" t="s">
        <v>4171</v>
      </c>
      <c r="E1651" s="8" t="s">
        <v>68</v>
      </c>
      <c r="F1651" s="8" t="s">
        <v>69</v>
      </c>
      <c r="G1651" s="8" t="s">
        <v>93</v>
      </c>
      <c r="H1651" s="8" t="s">
        <v>485</v>
      </c>
      <c r="I1651" s="8" t="s">
        <v>4969</v>
      </c>
      <c r="J1651" s="10">
        <v>465</v>
      </c>
      <c r="K1651" s="11">
        <v>57.78</v>
      </c>
      <c r="L1651" s="11">
        <v>80.790000000000006</v>
      </c>
      <c r="M1651" s="11">
        <v>37567.35</v>
      </c>
      <c r="N1651" s="11">
        <v>26867.7</v>
      </c>
      <c r="O1651" s="11">
        <f>CleanedData[[#This Row],[Total Sales ($)]]-CleanedData[[#This Row],[Total Cost ($)]]</f>
        <v>10699.649999999998</v>
      </c>
      <c r="P1651" s="12">
        <f>CleanedData[[#This Row],[Profit ($)]]/CleanedData[[#This Row],[Total Sales ($)]]</f>
        <v>0.28481247679168209</v>
      </c>
      <c r="Q1651" s="8" t="s">
        <v>31</v>
      </c>
      <c r="R1651" s="8" t="s">
        <v>63</v>
      </c>
      <c r="S1651" s="8" t="b">
        <f>_xlfn.SINGLE(CleanedData[[#This Row],[Delivery Status]])="Late"</f>
        <v>0</v>
      </c>
      <c r="T1651" s="10"/>
      <c r="U1651" s="8" t="s">
        <v>158</v>
      </c>
      <c r="V1651" s="10">
        <v>2097</v>
      </c>
      <c r="W1651" s="10">
        <v>8</v>
      </c>
      <c r="X1651" s="12">
        <v>1.72043010752688E-2</v>
      </c>
      <c r="Y1651" s="8" t="b">
        <f>CleanedData[[#This Row],[Ship Date]]&lt;CleanedData[[#This Row],[Order Date]]</f>
        <v>1</v>
      </c>
      <c r="Z1651" s="10">
        <f>YEAR(CleanedData[[#This Row],[Order Date]])</f>
        <v>2024</v>
      </c>
      <c r="AA1651" s="8">
        <f>MONTH(CleanedData[[#This Row],[Order Date]])</f>
        <v>6</v>
      </c>
    </row>
    <row r="1652" spans="1:27" x14ac:dyDescent="0.35">
      <c r="A1652" s="8" t="s">
        <v>4172</v>
      </c>
      <c r="B1652" s="9">
        <v>45645</v>
      </c>
      <c r="C1652" s="9">
        <v>45377</v>
      </c>
      <c r="D1652" s="8" t="s">
        <v>4173</v>
      </c>
      <c r="E1652" s="8" t="s">
        <v>58</v>
      </c>
      <c r="F1652" s="8" t="s">
        <v>122</v>
      </c>
      <c r="G1652" s="8" t="s">
        <v>129</v>
      </c>
      <c r="H1652" s="8" t="s">
        <v>152</v>
      </c>
      <c r="I1652" s="8" t="s">
        <v>4974</v>
      </c>
      <c r="J1652" s="10">
        <v>-5</v>
      </c>
      <c r="K1652" s="11">
        <v>989.25</v>
      </c>
      <c r="L1652" s="11">
        <v>1548.26</v>
      </c>
      <c r="M1652" s="11">
        <v>755550.88</v>
      </c>
      <c r="N1652" s="11">
        <v>482754</v>
      </c>
      <c r="O1652" s="11">
        <f>CleanedData[[#This Row],[Total Sales ($)]]-CleanedData[[#This Row],[Total Cost ($)]]</f>
        <v>272796.88</v>
      </c>
      <c r="P1652" s="12">
        <f>CleanedData[[#This Row],[Profit ($)]]/CleanedData[[#This Row],[Total Sales ($)]]</f>
        <v>0.36105692842287473</v>
      </c>
      <c r="Q1652" s="8" t="s">
        <v>52</v>
      </c>
      <c r="R1652" s="8" t="s">
        <v>63</v>
      </c>
      <c r="S1652" s="8" t="b">
        <f>_xlfn.SINGLE(CleanedData[[#This Row],[Delivery Status]])="Late"</f>
        <v>0</v>
      </c>
      <c r="T1652" s="10">
        <v>3</v>
      </c>
      <c r="U1652" s="8" t="s">
        <v>86</v>
      </c>
      <c r="V1652" s="10">
        <v>2202</v>
      </c>
      <c r="W1652" s="10">
        <v>6</v>
      </c>
      <c r="X1652" s="12"/>
      <c r="Y1652" s="8" t="b">
        <f>CleanedData[[#This Row],[Ship Date]]&lt;CleanedData[[#This Row],[Order Date]]</f>
        <v>1</v>
      </c>
      <c r="Z1652" s="10">
        <f>YEAR(CleanedData[[#This Row],[Order Date]])</f>
        <v>2024</v>
      </c>
      <c r="AA1652" s="8">
        <f>MONTH(CleanedData[[#This Row],[Order Date]])</f>
        <v>12</v>
      </c>
    </row>
    <row r="1653" spans="1:27" x14ac:dyDescent="0.35">
      <c r="A1653" s="8" t="s">
        <v>4174</v>
      </c>
      <c r="B1653" s="9">
        <v>45156</v>
      </c>
      <c r="C1653" s="9">
        <v>45287</v>
      </c>
      <c r="D1653" s="8" t="s">
        <v>4175</v>
      </c>
      <c r="E1653" s="8" t="s">
        <v>100</v>
      </c>
      <c r="F1653" s="8" t="s">
        <v>238</v>
      </c>
      <c r="G1653" s="8" t="s">
        <v>93</v>
      </c>
      <c r="H1653" s="8" t="s">
        <v>643</v>
      </c>
      <c r="I1653" s="8" t="s">
        <v>4968</v>
      </c>
      <c r="J1653" s="10">
        <v>438</v>
      </c>
      <c r="K1653" s="11">
        <v>924.15</v>
      </c>
      <c r="L1653" s="11">
        <v>1523.54</v>
      </c>
      <c r="M1653" s="11">
        <v>667310.52</v>
      </c>
      <c r="N1653" s="11">
        <v>404777.7</v>
      </c>
      <c r="O1653" s="11">
        <f>CleanedData[[#This Row],[Total Sales ($)]]-CleanedData[[#This Row],[Total Cost ($)]]</f>
        <v>262532.82</v>
      </c>
      <c r="P1653" s="12">
        <f>CleanedData[[#This Row],[Profit ($)]]/CleanedData[[#This Row],[Total Sales ($)]]</f>
        <v>0.39341927353400635</v>
      </c>
      <c r="Q1653" s="8" t="s">
        <v>95</v>
      </c>
      <c r="R1653" s="8" t="s">
        <v>32</v>
      </c>
      <c r="S1653" s="8" t="b">
        <f>_xlfn.SINGLE(CleanedData[[#This Row],[Delivery Status]])="Late"</f>
        <v>1</v>
      </c>
      <c r="T1653" s="10">
        <v>8</v>
      </c>
      <c r="U1653" s="8" t="s">
        <v>33</v>
      </c>
      <c r="V1653" s="10">
        <v>1161</v>
      </c>
      <c r="W1653" s="10">
        <v>21</v>
      </c>
      <c r="X1653" s="12">
        <v>4.7945205479451997E-2</v>
      </c>
      <c r="Y1653" s="8" t="b">
        <f>CleanedData[[#This Row],[Ship Date]]&lt;CleanedData[[#This Row],[Order Date]]</f>
        <v>0</v>
      </c>
      <c r="Z1653" s="10">
        <f>YEAR(CleanedData[[#This Row],[Order Date]])</f>
        <v>2023</v>
      </c>
      <c r="AA1653" s="8">
        <f>MONTH(CleanedData[[#This Row],[Order Date]])</f>
        <v>8</v>
      </c>
    </row>
    <row r="1654" spans="1:27" x14ac:dyDescent="0.35">
      <c r="A1654" s="8" t="s">
        <v>4176</v>
      </c>
      <c r="B1654" s="9">
        <v>45558</v>
      </c>
      <c r="C1654" s="9">
        <v>45397</v>
      </c>
      <c r="D1654" s="8" t="s">
        <v>4177</v>
      </c>
      <c r="E1654" s="8" t="s">
        <v>58</v>
      </c>
      <c r="F1654" s="8" t="s">
        <v>417</v>
      </c>
      <c r="G1654" s="8" t="s">
        <v>78</v>
      </c>
      <c r="H1654" s="8" t="s">
        <v>425</v>
      </c>
      <c r="I1654" s="8" t="s">
        <v>4978</v>
      </c>
      <c r="J1654" s="10">
        <v>307</v>
      </c>
      <c r="K1654" s="11">
        <v>242.11</v>
      </c>
      <c r="L1654" s="11">
        <v>394.23</v>
      </c>
      <c r="M1654" s="11">
        <v>121028.61</v>
      </c>
      <c r="N1654" s="11">
        <v>74327.77</v>
      </c>
      <c r="O1654" s="11">
        <f>CleanedData[[#This Row],[Total Sales ($)]]-CleanedData[[#This Row],[Total Cost ($)]]</f>
        <v>46700.84</v>
      </c>
      <c r="P1654" s="12">
        <f>CleanedData[[#This Row],[Profit ($)]]/CleanedData[[#This Row],[Total Sales ($)]]</f>
        <v>0.38586611876315852</v>
      </c>
      <c r="Q1654" s="8" t="s">
        <v>52</v>
      </c>
      <c r="R1654" s="8" t="s">
        <v>32</v>
      </c>
      <c r="S1654" s="8" t="b">
        <f>_xlfn.SINGLE(CleanedData[[#This Row],[Delivery Status]])="Late"</f>
        <v>1</v>
      </c>
      <c r="T1654" s="10">
        <v>14</v>
      </c>
      <c r="U1654" s="8" t="s">
        <v>158</v>
      </c>
      <c r="V1654" s="10">
        <v>2587</v>
      </c>
      <c r="W1654" s="10">
        <v>6</v>
      </c>
      <c r="X1654" s="12">
        <v>1.9543973941368E-2</v>
      </c>
      <c r="Y1654" s="8" t="b">
        <f>CleanedData[[#This Row],[Ship Date]]&lt;CleanedData[[#This Row],[Order Date]]</f>
        <v>1</v>
      </c>
      <c r="Z1654" s="10">
        <f>YEAR(CleanedData[[#This Row],[Order Date]])</f>
        <v>2024</v>
      </c>
      <c r="AA1654" s="8">
        <f>MONTH(CleanedData[[#This Row],[Order Date]])</f>
        <v>9</v>
      </c>
    </row>
    <row r="1655" spans="1:27" x14ac:dyDescent="0.35">
      <c r="A1655" s="8" t="s">
        <v>4178</v>
      </c>
      <c r="B1655" s="9">
        <v>45257</v>
      </c>
      <c r="C1655" s="9">
        <v>45126</v>
      </c>
      <c r="D1655" s="8" t="s">
        <v>4179</v>
      </c>
      <c r="E1655" s="8" t="s">
        <v>68</v>
      </c>
      <c r="F1655" s="8" t="s">
        <v>146</v>
      </c>
      <c r="G1655" s="8" t="s">
        <v>60</v>
      </c>
      <c r="H1655" s="8" t="s">
        <v>61</v>
      </c>
      <c r="I1655" s="8" t="s">
        <v>4970</v>
      </c>
      <c r="J1655" s="10">
        <v>567</v>
      </c>
      <c r="K1655" s="11">
        <v>172.99</v>
      </c>
      <c r="L1655" s="11">
        <v>242.72</v>
      </c>
      <c r="M1655" s="11">
        <v>137622.24</v>
      </c>
      <c r="N1655" s="11">
        <v>98085.33</v>
      </c>
      <c r="O1655" s="11">
        <f>CleanedData[[#This Row],[Total Sales ($)]]-CleanedData[[#This Row],[Total Cost ($)]]</f>
        <v>39536.909999999989</v>
      </c>
      <c r="P1655" s="12">
        <f>CleanedData[[#This Row],[Profit ($)]]/CleanedData[[#This Row],[Total Sales ($)]]</f>
        <v>0.28728576137112716</v>
      </c>
      <c r="Q1655" s="8" t="s">
        <v>95</v>
      </c>
      <c r="R1655" s="8" t="s">
        <v>32</v>
      </c>
      <c r="S1655" s="8" t="b">
        <f>_xlfn.SINGLE(CleanedData[[#This Row],[Delivery Status]])="Late"</f>
        <v>1</v>
      </c>
      <c r="T1655" s="10">
        <v>11</v>
      </c>
      <c r="U1655" s="8" t="s">
        <v>112</v>
      </c>
      <c r="V1655" s="10">
        <v>3665</v>
      </c>
      <c r="W1655" s="10">
        <v>7</v>
      </c>
      <c r="X1655" s="12">
        <v>1.23456790123456E-2</v>
      </c>
      <c r="Y1655" s="8" t="b">
        <f>CleanedData[[#This Row],[Ship Date]]&lt;CleanedData[[#This Row],[Order Date]]</f>
        <v>1</v>
      </c>
      <c r="Z1655" s="10">
        <f>YEAR(CleanedData[[#This Row],[Order Date]])</f>
        <v>2023</v>
      </c>
      <c r="AA1655" s="8">
        <f>MONTH(CleanedData[[#This Row],[Order Date]])</f>
        <v>11</v>
      </c>
    </row>
    <row r="1656" spans="1:27" x14ac:dyDescent="0.35">
      <c r="A1656" s="8" t="s">
        <v>4180</v>
      </c>
      <c r="B1656" s="9">
        <v>45008</v>
      </c>
      <c r="C1656" s="9">
        <v>45200</v>
      </c>
      <c r="D1656" s="8" t="s">
        <v>4181</v>
      </c>
      <c r="E1656" s="8" t="s">
        <v>48</v>
      </c>
      <c r="F1656" s="8" t="s">
        <v>49</v>
      </c>
      <c r="G1656" s="8" t="s">
        <v>129</v>
      </c>
      <c r="H1656" s="8" t="s">
        <v>704</v>
      </c>
      <c r="I1656" s="8" t="s">
        <v>4975</v>
      </c>
      <c r="J1656" s="10">
        <v>8</v>
      </c>
      <c r="K1656" s="11">
        <v>81.53</v>
      </c>
      <c r="L1656" s="11">
        <v>99.99</v>
      </c>
      <c r="M1656" s="11">
        <v>799.92</v>
      </c>
      <c r="N1656" s="11">
        <v>652.24</v>
      </c>
      <c r="O1656" s="11">
        <f>CleanedData[[#This Row],[Total Sales ($)]]-CleanedData[[#This Row],[Total Cost ($)]]</f>
        <v>147.67999999999995</v>
      </c>
      <c r="P1656" s="12">
        <f>CleanedData[[#This Row],[Profit ($)]]/CleanedData[[#This Row],[Total Sales ($)]]</f>
        <v>0.18461846184618458</v>
      </c>
      <c r="Q1656" s="8" t="s">
        <v>42</v>
      </c>
      <c r="R1656" s="8" t="s">
        <v>63</v>
      </c>
      <c r="S1656" s="8" t="b">
        <f>_xlfn.SINGLE(CleanedData[[#This Row],[Delivery Status]])="Late"</f>
        <v>0</v>
      </c>
      <c r="T1656" s="10">
        <v>1</v>
      </c>
      <c r="U1656" s="8" t="s">
        <v>43</v>
      </c>
      <c r="V1656" s="10">
        <v>4789</v>
      </c>
      <c r="W1656" s="10">
        <v>1</v>
      </c>
      <c r="X1656" s="12">
        <v>0.125</v>
      </c>
      <c r="Y1656" s="8" t="b">
        <f>CleanedData[[#This Row],[Ship Date]]&lt;CleanedData[[#This Row],[Order Date]]</f>
        <v>0</v>
      </c>
      <c r="Z1656" s="10">
        <f>YEAR(CleanedData[[#This Row],[Order Date]])</f>
        <v>2023</v>
      </c>
      <c r="AA1656" s="8">
        <f>MONTH(CleanedData[[#This Row],[Order Date]])</f>
        <v>3</v>
      </c>
    </row>
    <row r="1657" spans="1:27" x14ac:dyDescent="0.35">
      <c r="A1657" s="8" t="s">
        <v>4182</v>
      </c>
      <c r="B1657" s="9">
        <v>45377</v>
      </c>
      <c r="C1657" s="9">
        <v>45571</v>
      </c>
      <c r="D1657" s="8" t="s">
        <v>4183</v>
      </c>
      <c r="E1657" s="8" t="s">
        <v>58</v>
      </c>
      <c r="F1657" s="8" t="s">
        <v>122</v>
      </c>
      <c r="G1657" s="8" t="s">
        <v>129</v>
      </c>
      <c r="H1657" s="8" t="s">
        <v>168</v>
      </c>
      <c r="I1657" s="8" t="s">
        <v>4968</v>
      </c>
      <c r="J1657" s="10">
        <v>435</v>
      </c>
      <c r="K1657" s="11">
        <v>256.97000000000003</v>
      </c>
      <c r="L1657" s="11">
        <v>379.16</v>
      </c>
      <c r="M1657" s="11">
        <v>164934.6</v>
      </c>
      <c r="N1657" s="11">
        <v>111781.95</v>
      </c>
      <c r="O1657" s="11">
        <f>CleanedData[[#This Row],[Total Sales ($)]]-CleanedData[[#This Row],[Total Cost ($)]]</f>
        <v>53152.650000000009</v>
      </c>
      <c r="P1657" s="12">
        <f>CleanedData[[#This Row],[Profit ($)]]/CleanedData[[#This Row],[Total Sales ($)]]</f>
        <v>0.32226500685726345</v>
      </c>
      <c r="Q1657" s="8" t="s">
        <v>42</v>
      </c>
      <c r="R1657" s="8" t="s">
        <v>32</v>
      </c>
      <c r="S1657" s="8" t="b">
        <f>_xlfn.SINGLE(CleanedData[[#This Row],[Delivery Status]])="Late"</f>
        <v>1</v>
      </c>
      <c r="T1657" s="10">
        <v>14</v>
      </c>
      <c r="U1657" s="8" t="s">
        <v>33</v>
      </c>
      <c r="V1657" s="10">
        <v>328</v>
      </c>
      <c r="W1657" s="10">
        <v>7</v>
      </c>
      <c r="X1657" s="12">
        <v>1.6091954022988499E-2</v>
      </c>
      <c r="Y1657" s="8" t="b">
        <f>CleanedData[[#This Row],[Ship Date]]&lt;CleanedData[[#This Row],[Order Date]]</f>
        <v>0</v>
      </c>
      <c r="Z1657" s="10">
        <f>YEAR(CleanedData[[#This Row],[Order Date]])</f>
        <v>2024</v>
      </c>
      <c r="AA1657" s="8">
        <f>MONTH(CleanedData[[#This Row],[Order Date]])</f>
        <v>3</v>
      </c>
    </row>
    <row r="1658" spans="1:27" x14ac:dyDescent="0.35">
      <c r="A1658" s="8" t="s">
        <v>4184</v>
      </c>
      <c r="B1658" s="9">
        <v>45058</v>
      </c>
      <c r="C1658" s="9">
        <v>45083</v>
      </c>
      <c r="D1658" s="8" t="s">
        <v>4185</v>
      </c>
      <c r="E1658" s="8" t="s">
        <v>100</v>
      </c>
      <c r="F1658" s="8" t="s">
        <v>106</v>
      </c>
      <c r="G1658" s="8" t="s">
        <v>217</v>
      </c>
      <c r="H1658" s="8" t="s">
        <v>292</v>
      </c>
      <c r="I1658" s="8" t="s">
        <v>4969</v>
      </c>
      <c r="J1658" s="10">
        <v>773</v>
      </c>
      <c r="K1658" s="11">
        <v>680.44</v>
      </c>
      <c r="L1658" s="11">
        <v>857.84</v>
      </c>
      <c r="M1658" s="11">
        <v>663110.31999999995</v>
      </c>
      <c r="N1658" s="11">
        <v>525980.12</v>
      </c>
      <c r="O1658" s="11">
        <f>CleanedData[[#This Row],[Total Sales ($)]]-CleanedData[[#This Row],[Total Cost ($)]]</f>
        <v>137130.19999999995</v>
      </c>
      <c r="P1658" s="12">
        <f>CleanedData[[#This Row],[Profit ($)]]/CleanedData[[#This Row],[Total Sales ($)]]</f>
        <v>0.20679847057726378</v>
      </c>
      <c r="Q1658" s="8" t="s">
        <v>52</v>
      </c>
      <c r="R1658" s="8" t="s">
        <v>32</v>
      </c>
      <c r="S1658" s="8" t="b">
        <f>_xlfn.SINGLE(CleanedData[[#This Row],[Delivery Status]])="Late"</f>
        <v>1</v>
      </c>
      <c r="T1658" s="10">
        <v>7</v>
      </c>
      <c r="U1658" s="8" t="s">
        <v>112</v>
      </c>
      <c r="V1658" s="10">
        <v>1548</v>
      </c>
      <c r="W1658" s="10">
        <v>33</v>
      </c>
      <c r="X1658" s="12">
        <v>4.2690815006468298E-2</v>
      </c>
      <c r="Y1658" s="8" t="b">
        <f>CleanedData[[#This Row],[Ship Date]]&lt;CleanedData[[#This Row],[Order Date]]</f>
        <v>0</v>
      </c>
      <c r="Z1658" s="10">
        <f>YEAR(CleanedData[[#This Row],[Order Date]])</f>
        <v>2023</v>
      </c>
      <c r="AA1658" s="8">
        <f>MONTH(CleanedData[[#This Row],[Order Date]])</f>
        <v>5</v>
      </c>
    </row>
    <row r="1659" spans="1:27" x14ac:dyDescent="0.35">
      <c r="A1659" s="8" t="s">
        <v>4186</v>
      </c>
      <c r="B1659" s="9">
        <v>45151</v>
      </c>
      <c r="C1659" s="9">
        <v>45007</v>
      </c>
      <c r="D1659" s="8" t="s">
        <v>2314</v>
      </c>
      <c r="E1659" s="8" t="s">
        <v>68</v>
      </c>
      <c r="F1659" s="8" t="s">
        <v>163</v>
      </c>
      <c r="G1659" s="8" t="s">
        <v>217</v>
      </c>
      <c r="H1659" s="8" t="s">
        <v>684</v>
      </c>
      <c r="I1659" s="8" t="s">
        <v>4977</v>
      </c>
      <c r="J1659" s="10">
        <v>800</v>
      </c>
      <c r="K1659" s="11">
        <v>1022.7</v>
      </c>
      <c r="L1659" s="11">
        <v>1601.08</v>
      </c>
      <c r="M1659" s="11">
        <v>1280864</v>
      </c>
      <c r="N1659" s="11">
        <v>818160</v>
      </c>
      <c r="O1659" s="11">
        <f>CleanedData[[#This Row],[Total Sales ($)]]-CleanedData[[#This Row],[Total Cost ($)]]</f>
        <v>462704</v>
      </c>
      <c r="P1659" s="12">
        <f>CleanedData[[#This Row],[Profit ($)]]/CleanedData[[#This Row],[Total Sales ($)]]</f>
        <v>0.36124366052914281</v>
      </c>
      <c r="Q1659" s="8" t="s">
        <v>42</v>
      </c>
      <c r="R1659" s="8" t="s">
        <v>63</v>
      </c>
      <c r="S1659" s="8" t="b">
        <f>_xlfn.SINGLE(CleanedData[[#This Row],[Delivery Status]])="Late"</f>
        <v>0</v>
      </c>
      <c r="T1659" s="10">
        <v>2</v>
      </c>
      <c r="U1659" s="8" t="s">
        <v>43</v>
      </c>
      <c r="V1659" s="10">
        <v>3947</v>
      </c>
      <c r="W1659" s="10">
        <v>16</v>
      </c>
      <c r="X1659" s="12">
        <v>0.02</v>
      </c>
      <c r="Y1659" s="8" t="b">
        <f>CleanedData[[#This Row],[Ship Date]]&lt;CleanedData[[#This Row],[Order Date]]</f>
        <v>1</v>
      </c>
      <c r="Z1659" s="10">
        <f>YEAR(CleanedData[[#This Row],[Order Date]])</f>
        <v>2023</v>
      </c>
      <c r="AA1659" s="8">
        <f>MONTH(CleanedData[[#This Row],[Order Date]])</f>
        <v>8</v>
      </c>
    </row>
    <row r="1660" spans="1:27" x14ac:dyDescent="0.35">
      <c r="A1660" s="8" t="s">
        <v>4187</v>
      </c>
      <c r="B1660" s="9">
        <v>45155</v>
      </c>
      <c r="C1660" s="9">
        <v>45181</v>
      </c>
      <c r="D1660" s="8" t="s">
        <v>4188</v>
      </c>
      <c r="E1660" s="8" t="s">
        <v>26</v>
      </c>
      <c r="F1660" s="8" t="s">
        <v>92</v>
      </c>
      <c r="G1660" s="8" t="s">
        <v>93</v>
      </c>
      <c r="H1660" s="8" t="s">
        <v>485</v>
      </c>
      <c r="I1660" s="8" t="s">
        <v>4969</v>
      </c>
      <c r="J1660" s="10">
        <v>782</v>
      </c>
      <c r="K1660" s="11">
        <v>1068.21</v>
      </c>
      <c r="L1660" s="11">
        <v>1487.84</v>
      </c>
      <c r="M1660" s="11">
        <v>1163490.8799999999</v>
      </c>
      <c r="N1660" s="11">
        <v>835340.22</v>
      </c>
      <c r="O1660" s="11">
        <f>CleanedData[[#This Row],[Total Sales ($)]]-CleanedData[[#This Row],[Total Cost ($)]]</f>
        <v>328150.65999999992</v>
      </c>
      <c r="P1660" s="12">
        <f>CleanedData[[#This Row],[Profit ($)]]/CleanedData[[#This Row],[Total Sales ($)]]</f>
        <v>0.28203973545542527</v>
      </c>
      <c r="Q1660" s="8" t="s">
        <v>95</v>
      </c>
      <c r="R1660" s="8" t="s">
        <v>63</v>
      </c>
      <c r="S1660" s="8" t="b">
        <f>_xlfn.SINGLE(CleanedData[[#This Row],[Delivery Status]])="Late"</f>
        <v>0</v>
      </c>
      <c r="T1660" s="10">
        <v>2</v>
      </c>
      <c r="U1660" s="8" t="s">
        <v>158</v>
      </c>
      <c r="V1660" s="10">
        <v>261</v>
      </c>
      <c r="W1660" s="10">
        <v>38</v>
      </c>
      <c r="X1660" s="12">
        <v>4.8593350383631703E-2</v>
      </c>
      <c r="Y1660" s="8" t="b">
        <f>CleanedData[[#This Row],[Ship Date]]&lt;CleanedData[[#This Row],[Order Date]]</f>
        <v>0</v>
      </c>
      <c r="Z1660" s="10">
        <f>YEAR(CleanedData[[#This Row],[Order Date]])</f>
        <v>2023</v>
      </c>
      <c r="AA1660" s="8">
        <f>MONTH(CleanedData[[#This Row],[Order Date]])</f>
        <v>8</v>
      </c>
    </row>
    <row r="1661" spans="1:27" x14ac:dyDescent="0.35">
      <c r="A1661" s="8" t="s">
        <v>4189</v>
      </c>
      <c r="B1661" s="9">
        <v>45183</v>
      </c>
      <c r="C1661" s="9">
        <v>45100</v>
      </c>
      <c r="D1661" s="8" t="s">
        <v>4190</v>
      </c>
      <c r="E1661" s="8" t="s">
        <v>26</v>
      </c>
      <c r="F1661" s="8" t="s">
        <v>27</v>
      </c>
      <c r="G1661" s="8" t="s">
        <v>50</v>
      </c>
      <c r="H1661" s="8" t="s">
        <v>734</v>
      </c>
      <c r="I1661" s="8" t="s">
        <v>4978</v>
      </c>
      <c r="J1661" s="10">
        <v>215</v>
      </c>
      <c r="K1661" s="11">
        <v>179.03</v>
      </c>
      <c r="L1661" s="11">
        <v>271.66000000000003</v>
      </c>
      <c r="M1661" s="11">
        <v>58406.9</v>
      </c>
      <c r="N1661" s="11">
        <v>38491.449999999997</v>
      </c>
      <c r="O1661" s="11">
        <f>CleanedData[[#This Row],[Total Sales ($)]]-CleanedData[[#This Row],[Total Cost ($)]]</f>
        <v>19915.450000000004</v>
      </c>
      <c r="P1661" s="12">
        <f>CleanedData[[#This Row],[Profit ($)]]/CleanedData[[#This Row],[Total Sales ($)]]</f>
        <v>0.34097769270411549</v>
      </c>
      <c r="Q1661" s="8" t="s">
        <v>95</v>
      </c>
      <c r="R1661" s="8" t="s">
        <v>63</v>
      </c>
      <c r="S1661" s="8" t="b">
        <f>_xlfn.SINGLE(CleanedData[[#This Row],[Delivery Status]])="Late"</f>
        <v>0</v>
      </c>
      <c r="T1661" s="10">
        <v>1</v>
      </c>
      <c r="U1661" s="8" t="s">
        <v>43</v>
      </c>
      <c r="V1661" s="10">
        <v>866</v>
      </c>
      <c r="W1661" s="10">
        <v>3</v>
      </c>
      <c r="X1661" s="12">
        <v>1.3953488372093001E-2</v>
      </c>
      <c r="Y1661" s="8" t="b">
        <f>CleanedData[[#This Row],[Ship Date]]&lt;CleanedData[[#This Row],[Order Date]]</f>
        <v>1</v>
      </c>
      <c r="Z1661" s="10">
        <f>YEAR(CleanedData[[#This Row],[Order Date]])</f>
        <v>2023</v>
      </c>
      <c r="AA1661" s="8">
        <f>MONTH(CleanedData[[#This Row],[Order Date]])</f>
        <v>9</v>
      </c>
    </row>
    <row r="1662" spans="1:27" x14ac:dyDescent="0.35">
      <c r="A1662" s="8" t="s">
        <v>4191</v>
      </c>
      <c r="B1662" s="9">
        <v>45161</v>
      </c>
      <c r="C1662" s="9">
        <v>45249</v>
      </c>
      <c r="D1662" s="8" t="s">
        <v>4192</v>
      </c>
      <c r="E1662" s="8" t="s">
        <v>100</v>
      </c>
      <c r="F1662" s="8" t="s">
        <v>238</v>
      </c>
      <c r="G1662" s="8" t="s">
        <v>70</v>
      </c>
      <c r="H1662" s="8" t="s">
        <v>822</v>
      </c>
      <c r="I1662" s="8" t="s">
        <v>4978</v>
      </c>
      <c r="J1662" s="10">
        <v>710</v>
      </c>
      <c r="K1662" s="11">
        <v>546.74</v>
      </c>
      <c r="L1662" s="11">
        <v>842.39</v>
      </c>
      <c r="M1662" s="11">
        <v>598096.9</v>
      </c>
      <c r="N1662" s="11">
        <v>388185.4</v>
      </c>
      <c r="O1662" s="11">
        <f>CleanedData[[#This Row],[Total Sales ($)]]-CleanedData[[#This Row],[Total Cost ($)]]</f>
        <v>209911.5</v>
      </c>
      <c r="P1662" s="12">
        <f>CleanedData[[#This Row],[Profit ($)]]/CleanedData[[#This Row],[Total Sales ($)]]</f>
        <v>0.35096570472109118</v>
      </c>
      <c r="Q1662" s="8" t="s">
        <v>52</v>
      </c>
      <c r="R1662" s="8" t="s">
        <v>32</v>
      </c>
      <c r="S1662" s="8" t="b">
        <f>_xlfn.SINGLE(CleanedData[[#This Row],[Delivery Status]])="Late"</f>
        <v>1</v>
      </c>
      <c r="T1662" s="10">
        <v>8</v>
      </c>
      <c r="U1662" s="8" t="s">
        <v>53</v>
      </c>
      <c r="V1662" s="10">
        <v>4048</v>
      </c>
      <c r="W1662" s="10">
        <v>3</v>
      </c>
      <c r="X1662" s="12">
        <v>4.2253521126760004E-3</v>
      </c>
      <c r="Y1662" s="8" t="b">
        <f>CleanedData[[#This Row],[Ship Date]]&lt;CleanedData[[#This Row],[Order Date]]</f>
        <v>0</v>
      </c>
      <c r="Z1662" s="10">
        <f>YEAR(CleanedData[[#This Row],[Order Date]])</f>
        <v>2023</v>
      </c>
      <c r="AA1662" s="8">
        <f>MONTH(CleanedData[[#This Row],[Order Date]])</f>
        <v>8</v>
      </c>
    </row>
    <row r="1663" spans="1:27" x14ac:dyDescent="0.35">
      <c r="A1663" s="8" t="s">
        <v>4193</v>
      </c>
      <c r="B1663" s="9">
        <v>45065</v>
      </c>
      <c r="C1663" s="9">
        <v>45143</v>
      </c>
      <c r="D1663" s="8" t="s">
        <v>2096</v>
      </c>
      <c r="E1663" s="8" t="s">
        <v>48</v>
      </c>
      <c r="F1663" s="8" t="s">
        <v>49</v>
      </c>
      <c r="G1663" s="8" t="s">
        <v>129</v>
      </c>
      <c r="H1663" s="8" t="s">
        <v>316</v>
      </c>
      <c r="I1663" s="8" t="s">
        <v>4975</v>
      </c>
      <c r="J1663" s="10">
        <v>781</v>
      </c>
      <c r="K1663" s="11">
        <v>944.85</v>
      </c>
      <c r="L1663" s="11">
        <v>1202.8800000000001</v>
      </c>
      <c r="M1663" s="11">
        <v>939449.28</v>
      </c>
      <c r="N1663" s="11">
        <v>737927.85</v>
      </c>
      <c r="O1663" s="11">
        <f>CleanedData[[#This Row],[Total Sales ($)]]-CleanedData[[#This Row],[Total Cost ($)]]</f>
        <v>201521.43000000005</v>
      </c>
      <c r="P1663" s="12">
        <f>CleanedData[[#This Row],[Profit ($)]]/CleanedData[[#This Row],[Total Sales ($)]]</f>
        <v>0.21451017557861138</v>
      </c>
      <c r="Q1663" s="8" t="s">
        <v>95</v>
      </c>
      <c r="R1663" s="8" t="s">
        <v>32</v>
      </c>
      <c r="S1663" s="8" t="b">
        <f>_xlfn.SINGLE(CleanedData[[#This Row],[Delivery Status]])="Late"</f>
        <v>1</v>
      </c>
      <c r="T1663" s="10">
        <v>6</v>
      </c>
      <c r="U1663" s="8" t="s">
        <v>43</v>
      </c>
      <c r="V1663" s="10">
        <v>1710</v>
      </c>
      <c r="W1663" s="10">
        <v>0</v>
      </c>
      <c r="X1663" s="12">
        <v>0</v>
      </c>
      <c r="Y1663" s="8" t="b">
        <f>CleanedData[[#This Row],[Ship Date]]&lt;CleanedData[[#This Row],[Order Date]]</f>
        <v>0</v>
      </c>
      <c r="Z1663" s="10">
        <f>YEAR(CleanedData[[#This Row],[Order Date]])</f>
        <v>2023</v>
      </c>
      <c r="AA1663" s="8">
        <f>MONTH(CleanedData[[#This Row],[Order Date]])</f>
        <v>5</v>
      </c>
    </row>
    <row r="1664" spans="1:27" x14ac:dyDescent="0.35">
      <c r="A1664" s="8" t="s">
        <v>4194</v>
      </c>
      <c r="B1664" s="9">
        <v>45189</v>
      </c>
      <c r="C1664" s="9">
        <v>45140</v>
      </c>
      <c r="D1664" s="8" t="s">
        <v>4195</v>
      </c>
      <c r="E1664" s="8" t="s">
        <v>100</v>
      </c>
      <c r="F1664" s="8" t="s">
        <v>538</v>
      </c>
      <c r="G1664" s="8" t="s">
        <v>28</v>
      </c>
      <c r="H1664" s="8" t="s">
        <v>254</v>
      </c>
      <c r="I1664" s="8" t="s">
        <v>4970</v>
      </c>
      <c r="J1664" s="10">
        <v>497</v>
      </c>
      <c r="K1664" s="11">
        <v>615.17999999999995</v>
      </c>
      <c r="L1664" s="11">
        <v>701.78</v>
      </c>
      <c r="M1664" s="11">
        <v>348784.66</v>
      </c>
      <c r="N1664" s="11">
        <v>305744.46000000002</v>
      </c>
      <c r="O1664" s="11">
        <f>CleanedData[[#This Row],[Total Sales ($)]]-CleanedData[[#This Row],[Total Cost ($)]]</f>
        <v>43040.199999999953</v>
      </c>
      <c r="P1664" s="12">
        <f>CleanedData[[#This Row],[Profit ($)]]/CleanedData[[#This Row],[Total Sales ($)]]</f>
        <v>0.12340049588190019</v>
      </c>
      <c r="Q1664" s="8" t="s">
        <v>31</v>
      </c>
      <c r="R1664" s="8" t="s">
        <v>32</v>
      </c>
      <c r="S1664" s="8" t="b">
        <f>_xlfn.SINGLE(CleanedData[[#This Row],[Delivery Status]])="Late"</f>
        <v>1</v>
      </c>
      <c r="T1664" s="10">
        <v>10</v>
      </c>
      <c r="U1664" s="8" t="s">
        <v>86</v>
      </c>
      <c r="V1664" s="10">
        <v>22</v>
      </c>
      <c r="W1664" s="10">
        <v>12</v>
      </c>
      <c r="X1664" s="12">
        <v>2.41448692152917E-2</v>
      </c>
      <c r="Y1664" s="8" t="b">
        <f>CleanedData[[#This Row],[Ship Date]]&lt;CleanedData[[#This Row],[Order Date]]</f>
        <v>1</v>
      </c>
      <c r="Z1664" s="10">
        <f>YEAR(CleanedData[[#This Row],[Order Date]])</f>
        <v>2023</v>
      </c>
      <c r="AA1664" s="8">
        <f>MONTH(CleanedData[[#This Row],[Order Date]])</f>
        <v>9</v>
      </c>
    </row>
    <row r="1665" spans="1:27" x14ac:dyDescent="0.35">
      <c r="A1665" s="8" t="s">
        <v>4196</v>
      </c>
      <c r="B1665" s="9">
        <v>45013</v>
      </c>
      <c r="C1665" s="9">
        <v>44932</v>
      </c>
      <c r="D1665" s="8" t="s">
        <v>4197</v>
      </c>
      <c r="E1665" s="8" t="s">
        <v>26</v>
      </c>
      <c r="F1665" s="8" t="s">
        <v>92</v>
      </c>
      <c r="G1665" s="8" t="s">
        <v>78</v>
      </c>
      <c r="H1665" s="8" t="s">
        <v>79</v>
      </c>
      <c r="I1665" s="8" t="s">
        <v>4967</v>
      </c>
      <c r="J1665" s="10">
        <v>256</v>
      </c>
      <c r="K1665" s="11">
        <v>734.01</v>
      </c>
      <c r="L1665" s="11">
        <v>1060.51</v>
      </c>
      <c r="M1665" s="11">
        <v>271490.56</v>
      </c>
      <c r="N1665" s="11">
        <v>187906.56</v>
      </c>
      <c r="O1665" s="11">
        <f>CleanedData[[#This Row],[Total Sales ($)]]-CleanedData[[#This Row],[Total Cost ($)]]</f>
        <v>83584</v>
      </c>
      <c r="P1665" s="12">
        <f>CleanedData[[#This Row],[Profit ($)]]/CleanedData[[#This Row],[Total Sales ($)]]</f>
        <v>0.30787074143572435</v>
      </c>
      <c r="Q1665" s="8" t="s">
        <v>42</v>
      </c>
      <c r="R1665" s="8" t="s">
        <v>32</v>
      </c>
      <c r="S1665" s="8" t="b">
        <f>_xlfn.SINGLE(CleanedData[[#This Row],[Delivery Status]])="Late"</f>
        <v>1</v>
      </c>
      <c r="T1665" s="10">
        <v>8</v>
      </c>
      <c r="U1665" s="8" t="s">
        <v>158</v>
      </c>
      <c r="V1665" s="10">
        <v>920</v>
      </c>
      <c r="W1665" s="10">
        <v>3</v>
      </c>
      <c r="X1665" s="12">
        <v>1.171875E-2</v>
      </c>
      <c r="Y1665" s="8" t="b">
        <f>CleanedData[[#This Row],[Ship Date]]&lt;CleanedData[[#This Row],[Order Date]]</f>
        <v>1</v>
      </c>
      <c r="Z1665" s="10">
        <f>YEAR(CleanedData[[#This Row],[Order Date]])</f>
        <v>2023</v>
      </c>
      <c r="AA1665" s="8">
        <f>MONTH(CleanedData[[#This Row],[Order Date]])</f>
        <v>3</v>
      </c>
    </row>
    <row r="1666" spans="1:27" x14ac:dyDescent="0.35">
      <c r="A1666" s="8" t="s">
        <v>4198</v>
      </c>
      <c r="B1666" s="9">
        <v>44990</v>
      </c>
      <c r="C1666" s="9">
        <v>45108</v>
      </c>
      <c r="D1666" s="8" t="s">
        <v>4199</v>
      </c>
      <c r="E1666" s="8" t="s">
        <v>58</v>
      </c>
      <c r="F1666" s="8" t="s">
        <v>259</v>
      </c>
      <c r="G1666" s="8" t="s">
        <v>28</v>
      </c>
      <c r="H1666" s="8" t="s">
        <v>507</v>
      </c>
      <c r="I1666" s="8" t="s">
        <v>4971</v>
      </c>
      <c r="J1666" s="10">
        <v>35</v>
      </c>
      <c r="K1666" s="11">
        <v>996.88</v>
      </c>
      <c r="L1666" s="11">
        <v>1582.37</v>
      </c>
      <c r="M1666" s="11">
        <v>55382.95</v>
      </c>
      <c r="N1666" s="11">
        <v>34890.800000000003</v>
      </c>
      <c r="O1666" s="11">
        <f>CleanedData[[#This Row],[Total Sales ($)]]-CleanedData[[#This Row],[Total Cost ($)]]</f>
        <v>20492.149999999994</v>
      </c>
      <c r="P1666" s="12">
        <f>CleanedData[[#This Row],[Profit ($)]]/CleanedData[[#This Row],[Total Sales ($)]]</f>
        <v>0.37000827872115866</v>
      </c>
      <c r="Q1666" s="8" t="s">
        <v>52</v>
      </c>
      <c r="R1666" s="8" t="s">
        <v>63</v>
      </c>
      <c r="S1666" s="8" t="b">
        <f>_xlfn.SINGLE(CleanedData[[#This Row],[Delivery Status]])="Late"</f>
        <v>0</v>
      </c>
      <c r="T1666" s="10">
        <v>1</v>
      </c>
      <c r="U1666" s="8" t="s">
        <v>33</v>
      </c>
      <c r="V1666" s="10">
        <v>2394</v>
      </c>
      <c r="W1666" s="10">
        <v>0</v>
      </c>
      <c r="X1666" s="12">
        <v>0</v>
      </c>
      <c r="Y1666" s="8" t="b">
        <f>CleanedData[[#This Row],[Ship Date]]&lt;CleanedData[[#This Row],[Order Date]]</f>
        <v>0</v>
      </c>
      <c r="Z1666" s="10">
        <f>YEAR(CleanedData[[#This Row],[Order Date]])</f>
        <v>2023</v>
      </c>
      <c r="AA1666" s="8">
        <f>MONTH(CleanedData[[#This Row],[Order Date]])</f>
        <v>3</v>
      </c>
    </row>
    <row r="1667" spans="1:27" x14ac:dyDescent="0.35">
      <c r="A1667" s="8" t="s">
        <v>4200</v>
      </c>
      <c r="B1667" s="9">
        <v>44952</v>
      </c>
      <c r="C1667" s="9">
        <v>45285</v>
      </c>
      <c r="D1667" s="8" t="s">
        <v>4201</v>
      </c>
      <c r="E1667" s="8" t="s">
        <v>68</v>
      </c>
      <c r="F1667" s="8" t="s">
        <v>163</v>
      </c>
      <c r="G1667" s="8" t="s">
        <v>93</v>
      </c>
      <c r="H1667" s="8" t="s">
        <v>140</v>
      </c>
      <c r="I1667" s="8" t="s">
        <v>4967</v>
      </c>
      <c r="J1667" s="10">
        <v>392</v>
      </c>
      <c r="K1667" s="11">
        <v>738.01</v>
      </c>
      <c r="L1667" s="11">
        <v>1151.52</v>
      </c>
      <c r="M1667" s="11">
        <v>451395.84000000003</v>
      </c>
      <c r="N1667" s="11">
        <v>289299.92</v>
      </c>
      <c r="O1667" s="11">
        <f>CleanedData[[#This Row],[Total Sales ($)]]-CleanedData[[#This Row],[Total Cost ($)]]</f>
        <v>162095.92000000004</v>
      </c>
      <c r="P1667" s="12">
        <f>CleanedData[[#This Row],[Profit ($)]]/CleanedData[[#This Row],[Total Sales ($)]]</f>
        <v>0.35909927747672649</v>
      </c>
      <c r="Q1667" s="8" t="s">
        <v>52</v>
      </c>
      <c r="R1667" s="8" t="s">
        <v>32</v>
      </c>
      <c r="S1667" s="8" t="b">
        <f>_xlfn.SINGLE(CleanedData[[#This Row],[Delivery Status]])="Late"</f>
        <v>1</v>
      </c>
      <c r="T1667" s="10">
        <v>12</v>
      </c>
      <c r="U1667" s="8" t="s">
        <v>86</v>
      </c>
      <c r="V1667" s="10">
        <v>3299</v>
      </c>
      <c r="W1667" s="10">
        <v>5</v>
      </c>
      <c r="X1667" s="12">
        <v>1.2755102040816301E-2</v>
      </c>
      <c r="Y1667" s="8" t="b">
        <f>CleanedData[[#This Row],[Ship Date]]&lt;CleanedData[[#This Row],[Order Date]]</f>
        <v>0</v>
      </c>
      <c r="Z1667" s="10">
        <f>YEAR(CleanedData[[#This Row],[Order Date]])</f>
        <v>2023</v>
      </c>
      <c r="AA1667" s="8">
        <f>MONTH(CleanedData[[#This Row],[Order Date]])</f>
        <v>1</v>
      </c>
    </row>
    <row r="1668" spans="1:27" x14ac:dyDescent="0.35">
      <c r="A1668" s="8" t="s">
        <v>4202</v>
      </c>
      <c r="B1668" s="9">
        <v>45011</v>
      </c>
      <c r="C1668" s="9">
        <v>44983</v>
      </c>
      <c r="D1668" s="8" t="s">
        <v>4203</v>
      </c>
      <c r="E1668" s="8" t="s">
        <v>100</v>
      </c>
      <c r="F1668" s="8" t="s">
        <v>538</v>
      </c>
      <c r="G1668" s="8" t="s">
        <v>217</v>
      </c>
      <c r="H1668" s="8" t="s">
        <v>725</v>
      </c>
      <c r="I1668" s="8" t="s">
        <v>4971</v>
      </c>
      <c r="J1668" s="10">
        <v>308</v>
      </c>
      <c r="K1668" s="11">
        <v>249.18</v>
      </c>
      <c r="L1668" s="11">
        <v>399.08</v>
      </c>
      <c r="M1668" s="11">
        <v>122916.64</v>
      </c>
      <c r="N1668" s="11">
        <v>76747.44</v>
      </c>
      <c r="O1668" s="11">
        <f>CleanedData[[#This Row],[Total Sales ($)]]-CleanedData[[#This Row],[Total Cost ($)]]</f>
        <v>46169.2</v>
      </c>
      <c r="P1668" s="12">
        <f>CleanedData[[#This Row],[Profit ($)]]/CleanedData[[#This Row],[Total Sales ($)]]</f>
        <v>0.37561391199759442</v>
      </c>
      <c r="Q1668" s="8" t="s">
        <v>31</v>
      </c>
      <c r="R1668" s="8" t="s">
        <v>32</v>
      </c>
      <c r="S1668" s="8" t="b">
        <f>_xlfn.SINGLE(CleanedData[[#This Row],[Delivery Status]])="Late"</f>
        <v>1</v>
      </c>
      <c r="T1668" s="10">
        <v>6</v>
      </c>
      <c r="U1668" s="8" t="s">
        <v>112</v>
      </c>
      <c r="V1668" s="10">
        <v>4142</v>
      </c>
      <c r="W1668" s="10">
        <v>9</v>
      </c>
      <c r="X1668" s="12">
        <v>2.9220779220779199E-2</v>
      </c>
      <c r="Y1668" s="8" t="b">
        <f>CleanedData[[#This Row],[Ship Date]]&lt;CleanedData[[#This Row],[Order Date]]</f>
        <v>1</v>
      </c>
      <c r="Z1668" s="10">
        <f>YEAR(CleanedData[[#This Row],[Order Date]])</f>
        <v>2023</v>
      </c>
      <c r="AA1668" s="8">
        <f>MONTH(CleanedData[[#This Row],[Order Date]])</f>
        <v>3</v>
      </c>
    </row>
    <row r="1669" spans="1:27" x14ac:dyDescent="0.35">
      <c r="A1669" s="8" t="s">
        <v>4204</v>
      </c>
      <c r="B1669" s="9">
        <v>45193</v>
      </c>
      <c r="C1669" s="9">
        <v>45271</v>
      </c>
      <c r="D1669" s="8" t="s">
        <v>4205</v>
      </c>
      <c r="E1669" s="8" t="s">
        <v>26</v>
      </c>
      <c r="F1669" s="8" t="s">
        <v>27</v>
      </c>
      <c r="G1669" s="8" t="s">
        <v>189</v>
      </c>
      <c r="H1669" s="8" t="s">
        <v>365</v>
      </c>
      <c r="I1669" s="8" t="s">
        <v>4968</v>
      </c>
      <c r="J1669" s="10">
        <v>393</v>
      </c>
      <c r="K1669" s="11">
        <v>632.14</v>
      </c>
      <c r="L1669" s="11">
        <v>975.48</v>
      </c>
      <c r="M1669" s="11">
        <v>383363.64</v>
      </c>
      <c r="N1669" s="11">
        <v>248431.02</v>
      </c>
      <c r="O1669" s="11">
        <f>CleanedData[[#This Row],[Total Sales ($)]]-CleanedData[[#This Row],[Total Cost ($)]]</f>
        <v>134932.62000000002</v>
      </c>
      <c r="P1669" s="12">
        <f>CleanedData[[#This Row],[Profit ($)]]/CleanedData[[#This Row],[Total Sales ($)]]</f>
        <v>0.35197031205150292</v>
      </c>
      <c r="Q1669" s="8" t="s">
        <v>95</v>
      </c>
      <c r="R1669" s="8" t="s">
        <v>32</v>
      </c>
      <c r="S1669" s="8" t="b">
        <f>_xlfn.SINGLE(CleanedData[[#This Row],[Delivery Status]])="Late"</f>
        <v>1</v>
      </c>
      <c r="T1669" s="10">
        <v>12</v>
      </c>
      <c r="U1669" s="8" t="s">
        <v>158</v>
      </c>
      <c r="V1669" s="10">
        <v>133</v>
      </c>
      <c r="W1669" s="10">
        <v>10</v>
      </c>
      <c r="X1669" s="12">
        <v>2.54452926208651E-2</v>
      </c>
      <c r="Y1669" s="8" t="b">
        <f>CleanedData[[#This Row],[Ship Date]]&lt;CleanedData[[#This Row],[Order Date]]</f>
        <v>0</v>
      </c>
      <c r="Z1669" s="10">
        <f>YEAR(CleanedData[[#This Row],[Order Date]])</f>
        <v>2023</v>
      </c>
      <c r="AA1669" s="8">
        <f>MONTH(CleanedData[[#This Row],[Order Date]])</f>
        <v>9</v>
      </c>
    </row>
    <row r="1670" spans="1:27" x14ac:dyDescent="0.35">
      <c r="A1670" s="8" t="s">
        <v>4206</v>
      </c>
      <c r="B1670" s="9">
        <v>44927</v>
      </c>
      <c r="C1670" s="9">
        <v>44935</v>
      </c>
      <c r="D1670" s="8" t="s">
        <v>4207</v>
      </c>
      <c r="E1670" s="8" t="s">
        <v>68</v>
      </c>
      <c r="F1670" s="8" t="s">
        <v>163</v>
      </c>
      <c r="G1670" s="8" t="s">
        <v>60</v>
      </c>
      <c r="H1670" s="8" t="s">
        <v>229</v>
      </c>
      <c r="I1670" s="8" t="s">
        <v>4969</v>
      </c>
      <c r="J1670" s="10">
        <v>171</v>
      </c>
      <c r="K1670" s="11">
        <v>969.37</v>
      </c>
      <c r="L1670" s="11">
        <v>1529.6</v>
      </c>
      <c r="M1670" s="11">
        <v>261561.60000000001</v>
      </c>
      <c r="N1670" s="11">
        <v>165762.26999999999</v>
      </c>
      <c r="O1670" s="11">
        <f>CleanedData[[#This Row],[Total Sales ($)]]-CleanedData[[#This Row],[Total Cost ($)]]</f>
        <v>95799.330000000016</v>
      </c>
      <c r="P1670" s="12">
        <f>CleanedData[[#This Row],[Profit ($)]]/CleanedData[[#This Row],[Total Sales ($)]]</f>
        <v>0.3662591527196653</v>
      </c>
      <c r="Q1670" s="8" t="s">
        <v>42</v>
      </c>
      <c r="R1670" s="8" t="s">
        <v>63</v>
      </c>
      <c r="S1670" s="8" t="b">
        <f>_xlfn.SINGLE(CleanedData[[#This Row],[Delivery Status]])="Late"</f>
        <v>0</v>
      </c>
      <c r="T1670" s="10">
        <v>2</v>
      </c>
      <c r="U1670" s="8" t="s">
        <v>86</v>
      </c>
      <c r="V1670" s="10">
        <v>3277</v>
      </c>
      <c r="W1670" s="10">
        <v>4</v>
      </c>
      <c r="X1670" s="12">
        <v>2.3391812865496998E-2</v>
      </c>
      <c r="Y1670" s="8" t="b">
        <f>CleanedData[[#This Row],[Ship Date]]&lt;CleanedData[[#This Row],[Order Date]]</f>
        <v>0</v>
      </c>
      <c r="Z1670" s="10">
        <f>YEAR(CleanedData[[#This Row],[Order Date]])</f>
        <v>2023</v>
      </c>
      <c r="AA1670" s="8">
        <f>MONTH(CleanedData[[#This Row],[Order Date]])</f>
        <v>1</v>
      </c>
    </row>
    <row r="1671" spans="1:27" x14ac:dyDescent="0.35">
      <c r="A1671" s="8" t="s">
        <v>4208</v>
      </c>
      <c r="B1671" s="9">
        <v>45225</v>
      </c>
      <c r="C1671" s="9">
        <v>45000</v>
      </c>
      <c r="D1671" s="8" t="s">
        <v>4209</v>
      </c>
      <c r="E1671" s="8" t="s">
        <v>68</v>
      </c>
      <c r="F1671" s="8" t="s">
        <v>146</v>
      </c>
      <c r="G1671" s="8" t="s">
        <v>93</v>
      </c>
      <c r="H1671" s="8" t="s">
        <v>1442</v>
      </c>
      <c r="I1671" s="8" t="s">
        <v>4979</v>
      </c>
      <c r="J1671" s="10">
        <v>155</v>
      </c>
      <c r="K1671" s="11">
        <v>198.56</v>
      </c>
      <c r="L1671" s="11">
        <v>300.19</v>
      </c>
      <c r="M1671" s="11">
        <v>46529.45</v>
      </c>
      <c r="N1671" s="11">
        <v>30776.799999999999</v>
      </c>
      <c r="O1671" s="11">
        <f>CleanedData[[#This Row],[Total Sales ($)]]-CleanedData[[#This Row],[Total Cost ($)]]</f>
        <v>15752.649999999998</v>
      </c>
      <c r="P1671" s="12">
        <f>CleanedData[[#This Row],[Profit ($)]]/CleanedData[[#This Row],[Total Sales ($)]]</f>
        <v>0.3385522502415137</v>
      </c>
      <c r="Q1671" s="8" t="s">
        <v>95</v>
      </c>
      <c r="R1671" s="8" t="s">
        <v>63</v>
      </c>
      <c r="S1671" s="8" t="b">
        <f>_xlfn.SINGLE(CleanedData[[#This Row],[Delivery Status]])="Late"</f>
        <v>0</v>
      </c>
      <c r="T1671" s="10">
        <v>5</v>
      </c>
      <c r="U1671" s="8" t="s">
        <v>86</v>
      </c>
      <c r="V1671" s="10">
        <v>3541</v>
      </c>
      <c r="W1671" s="10">
        <v>4</v>
      </c>
      <c r="X1671" s="12">
        <v>2.5806451612903201E-2</v>
      </c>
      <c r="Y1671" s="8" t="b">
        <f>CleanedData[[#This Row],[Ship Date]]&lt;CleanedData[[#This Row],[Order Date]]</f>
        <v>1</v>
      </c>
      <c r="Z1671" s="10">
        <f>YEAR(CleanedData[[#This Row],[Order Date]])</f>
        <v>2023</v>
      </c>
      <c r="AA1671" s="8">
        <f>MONTH(CleanedData[[#This Row],[Order Date]])</f>
        <v>10</v>
      </c>
    </row>
    <row r="1672" spans="1:27" x14ac:dyDescent="0.35">
      <c r="A1672" s="8" t="s">
        <v>4210</v>
      </c>
      <c r="B1672" s="9">
        <v>45128</v>
      </c>
      <c r="C1672" s="9">
        <v>45143</v>
      </c>
      <c r="D1672" s="8" t="s">
        <v>4211</v>
      </c>
      <c r="E1672" s="8" t="s">
        <v>26</v>
      </c>
      <c r="F1672" s="8" t="s">
        <v>228</v>
      </c>
      <c r="G1672" s="8" t="s">
        <v>217</v>
      </c>
      <c r="H1672" s="8" t="s">
        <v>335</v>
      </c>
      <c r="I1672" s="8" t="s">
        <v>4975</v>
      </c>
      <c r="J1672" s="10">
        <v>689</v>
      </c>
      <c r="K1672" s="11">
        <v>918.99</v>
      </c>
      <c r="L1672" s="11">
        <v>1436.89</v>
      </c>
      <c r="M1672" s="11">
        <v>990017.21</v>
      </c>
      <c r="N1672" s="11">
        <v>633184.11</v>
      </c>
      <c r="O1672" s="11">
        <f>CleanedData[[#This Row],[Total Sales ($)]]-CleanedData[[#This Row],[Total Cost ($)]]</f>
        <v>356833.1</v>
      </c>
      <c r="P1672" s="12">
        <f>CleanedData[[#This Row],[Profit ($)]]/CleanedData[[#This Row],[Total Sales ($)]]</f>
        <v>0.36043120906958775</v>
      </c>
      <c r="Q1672" s="8" t="s">
        <v>42</v>
      </c>
      <c r="R1672" s="8" t="s">
        <v>63</v>
      </c>
      <c r="S1672" s="8" t="b">
        <f>_xlfn.SINGLE(CleanedData[[#This Row],[Delivery Status]])="Late"</f>
        <v>0</v>
      </c>
      <c r="T1672" s="10">
        <v>4</v>
      </c>
      <c r="U1672" s="8" t="s">
        <v>43</v>
      </c>
      <c r="V1672" s="10">
        <v>1574</v>
      </c>
      <c r="W1672" s="10">
        <v>32</v>
      </c>
      <c r="X1672" s="12">
        <v>4.6444121915820001E-2</v>
      </c>
      <c r="Y1672" s="8" t="b">
        <f>CleanedData[[#This Row],[Ship Date]]&lt;CleanedData[[#This Row],[Order Date]]</f>
        <v>0</v>
      </c>
      <c r="Z1672" s="10">
        <f>YEAR(CleanedData[[#This Row],[Order Date]])</f>
        <v>2023</v>
      </c>
      <c r="AA1672" s="8">
        <f>MONTH(CleanedData[[#This Row],[Order Date]])</f>
        <v>7</v>
      </c>
    </row>
    <row r="1673" spans="1:27" x14ac:dyDescent="0.35">
      <c r="A1673" s="8" t="s">
        <v>4212</v>
      </c>
      <c r="B1673" s="9">
        <v>45158</v>
      </c>
      <c r="C1673" s="9">
        <v>45184</v>
      </c>
      <c r="D1673" s="8" t="s">
        <v>4213</v>
      </c>
      <c r="E1673" s="8" t="s">
        <v>100</v>
      </c>
      <c r="F1673" s="8" t="s">
        <v>538</v>
      </c>
      <c r="G1673" s="8" t="s">
        <v>93</v>
      </c>
      <c r="H1673" s="8" t="s">
        <v>140</v>
      </c>
      <c r="I1673" s="8" t="s">
        <v>4970</v>
      </c>
      <c r="J1673" s="10">
        <v>747</v>
      </c>
      <c r="K1673" s="11">
        <v>289.89999999999998</v>
      </c>
      <c r="L1673" s="11">
        <v>377.56</v>
      </c>
      <c r="M1673" s="11">
        <v>282037.32</v>
      </c>
      <c r="N1673" s="11">
        <v>216555.3</v>
      </c>
      <c r="O1673" s="11">
        <f>CleanedData[[#This Row],[Total Sales ($)]]-CleanedData[[#This Row],[Total Cost ($)]]</f>
        <v>65482.020000000019</v>
      </c>
      <c r="P1673" s="12">
        <f>CleanedData[[#This Row],[Profit ($)]]/CleanedData[[#This Row],[Total Sales ($)]]</f>
        <v>0.23217501854009964</v>
      </c>
      <c r="Q1673" s="8" t="s">
        <v>31</v>
      </c>
      <c r="R1673" s="8" t="s">
        <v>63</v>
      </c>
      <c r="S1673" s="8" t="b">
        <f>_xlfn.SINGLE(CleanedData[[#This Row],[Delivery Status]])="Late"</f>
        <v>0</v>
      </c>
      <c r="T1673" s="10">
        <v>1</v>
      </c>
      <c r="U1673" s="8" t="s">
        <v>86</v>
      </c>
      <c r="V1673" s="10">
        <v>2501.41</v>
      </c>
      <c r="W1673" s="10">
        <v>9</v>
      </c>
      <c r="X1673" s="12">
        <v>1.20481927710843E-2</v>
      </c>
      <c r="Y1673" s="8" t="b">
        <f>CleanedData[[#This Row],[Ship Date]]&lt;CleanedData[[#This Row],[Order Date]]</f>
        <v>0</v>
      </c>
      <c r="Z1673" s="10">
        <f>YEAR(CleanedData[[#This Row],[Order Date]])</f>
        <v>2023</v>
      </c>
      <c r="AA1673" s="8">
        <f>MONTH(CleanedData[[#This Row],[Order Date]])</f>
        <v>8</v>
      </c>
    </row>
    <row r="1674" spans="1:27" x14ac:dyDescent="0.35">
      <c r="A1674" s="8" t="s">
        <v>4214</v>
      </c>
      <c r="B1674" s="9">
        <v>44971</v>
      </c>
      <c r="C1674" s="9">
        <v>45036</v>
      </c>
      <c r="D1674" s="8" t="s">
        <v>4215</v>
      </c>
      <c r="E1674" s="8" t="s">
        <v>26</v>
      </c>
      <c r="F1674" s="8" t="s">
        <v>38</v>
      </c>
      <c r="G1674" s="8" t="s">
        <v>93</v>
      </c>
      <c r="H1674" s="8" t="s">
        <v>302</v>
      </c>
      <c r="I1674" s="8" t="s">
        <v>4969</v>
      </c>
      <c r="J1674" s="10">
        <v>29</v>
      </c>
      <c r="K1674" s="11">
        <v>1026.1099999999999</v>
      </c>
      <c r="L1674" s="11">
        <v>1460.04</v>
      </c>
      <c r="M1674" s="11">
        <v>42341.16</v>
      </c>
      <c r="N1674" s="11">
        <v>29757.19</v>
      </c>
      <c r="O1674" s="11">
        <f>CleanedData[[#This Row],[Total Sales ($)]]-CleanedData[[#This Row],[Total Cost ($)]]</f>
        <v>12583.970000000005</v>
      </c>
      <c r="P1674" s="12">
        <f>CleanedData[[#This Row],[Profit ($)]]/CleanedData[[#This Row],[Total Sales ($)]]</f>
        <v>0.29720418618667993</v>
      </c>
      <c r="Q1674" s="8" t="s">
        <v>31</v>
      </c>
      <c r="R1674" s="8" t="s">
        <v>63</v>
      </c>
      <c r="S1674" s="8" t="b">
        <f>_xlfn.SINGLE(CleanedData[[#This Row],[Delivery Status]])="Late"</f>
        <v>0</v>
      </c>
      <c r="T1674" s="10">
        <v>5</v>
      </c>
      <c r="U1674" s="8" t="s">
        <v>86</v>
      </c>
      <c r="V1674" s="10">
        <v>1127</v>
      </c>
      <c r="W1674" s="10">
        <v>1</v>
      </c>
      <c r="X1674" s="12">
        <v>3.4482758620689599E-2</v>
      </c>
      <c r="Y1674" s="8" t="b">
        <f>CleanedData[[#This Row],[Ship Date]]&lt;CleanedData[[#This Row],[Order Date]]</f>
        <v>0</v>
      </c>
      <c r="Z1674" s="10">
        <f>YEAR(CleanedData[[#This Row],[Order Date]])</f>
        <v>2023</v>
      </c>
      <c r="AA1674" s="8">
        <f>MONTH(CleanedData[[#This Row],[Order Date]])</f>
        <v>2</v>
      </c>
    </row>
    <row r="1675" spans="1:27" x14ac:dyDescent="0.35">
      <c r="A1675" s="8" t="s">
        <v>4216</v>
      </c>
      <c r="B1675" s="9">
        <v>45120</v>
      </c>
      <c r="C1675" s="9">
        <v>45026</v>
      </c>
      <c r="D1675" s="8" t="s">
        <v>4217</v>
      </c>
      <c r="E1675" s="8" t="s">
        <v>4972</v>
      </c>
      <c r="F1675" s="8" t="s">
        <v>69</v>
      </c>
      <c r="G1675" s="8" t="s">
        <v>60</v>
      </c>
      <c r="H1675" s="8" t="s">
        <v>265</v>
      </c>
      <c r="I1675" s="8" t="s">
        <v>4972</v>
      </c>
      <c r="J1675" s="10">
        <v>31</v>
      </c>
      <c r="K1675" s="11">
        <v>990.26</v>
      </c>
      <c r="L1675" s="11">
        <v>1576.6</v>
      </c>
      <c r="M1675" s="11">
        <v>48874.6</v>
      </c>
      <c r="N1675" s="11">
        <v>30698.06</v>
      </c>
      <c r="O1675" s="11">
        <f>CleanedData[[#This Row],[Total Sales ($)]]-CleanedData[[#This Row],[Total Cost ($)]]</f>
        <v>18176.539999999997</v>
      </c>
      <c r="P1675" s="12">
        <f>CleanedData[[#This Row],[Profit ($)]]/CleanedData[[#This Row],[Total Sales ($)]]</f>
        <v>0.3719015603196752</v>
      </c>
      <c r="Q1675" s="8" t="s">
        <v>95</v>
      </c>
      <c r="R1675" s="8" t="s">
        <v>32</v>
      </c>
      <c r="S1675" s="8" t="b">
        <f>_xlfn.SINGLE(CleanedData[[#This Row],[Delivery Status]])="Late"</f>
        <v>1</v>
      </c>
      <c r="T1675" s="10">
        <v>9</v>
      </c>
      <c r="U1675" s="8" t="s">
        <v>53</v>
      </c>
      <c r="V1675" s="10">
        <v>2691</v>
      </c>
      <c r="W1675" s="10">
        <v>0</v>
      </c>
      <c r="X1675" s="12">
        <v>0</v>
      </c>
      <c r="Y1675" s="8" t="b">
        <f>CleanedData[[#This Row],[Ship Date]]&lt;CleanedData[[#This Row],[Order Date]]</f>
        <v>1</v>
      </c>
      <c r="Z1675" s="10">
        <f>YEAR(CleanedData[[#This Row],[Order Date]])</f>
        <v>2023</v>
      </c>
      <c r="AA1675" s="8">
        <f>MONTH(CleanedData[[#This Row],[Order Date]])</f>
        <v>7</v>
      </c>
    </row>
    <row r="1676" spans="1:27" x14ac:dyDescent="0.35">
      <c r="A1676" s="8" t="s">
        <v>4218</v>
      </c>
      <c r="B1676" s="9">
        <v>45079</v>
      </c>
      <c r="C1676" s="9">
        <v>45038</v>
      </c>
      <c r="D1676" s="8" t="s">
        <v>4219</v>
      </c>
      <c r="E1676" s="8" t="s">
        <v>100</v>
      </c>
      <c r="F1676" s="8" t="s">
        <v>330</v>
      </c>
      <c r="G1676" s="8" t="s">
        <v>217</v>
      </c>
      <c r="H1676" s="8" t="s">
        <v>218</v>
      </c>
      <c r="I1676" s="8" t="s">
        <v>4973</v>
      </c>
      <c r="J1676" s="10">
        <v>777</v>
      </c>
      <c r="K1676" s="11">
        <v>569</v>
      </c>
      <c r="L1676" s="11">
        <v>931.83</v>
      </c>
      <c r="M1676" s="11">
        <v>724031.91</v>
      </c>
      <c r="N1676" s="11">
        <v>442113</v>
      </c>
      <c r="O1676" s="11">
        <f>CleanedData[[#This Row],[Total Sales ($)]]-CleanedData[[#This Row],[Total Cost ($)]]</f>
        <v>281918.91000000003</v>
      </c>
      <c r="P1676" s="12">
        <f>CleanedData[[#This Row],[Profit ($)]]/CleanedData[[#This Row],[Total Sales ($)]]</f>
        <v>0.38937359818851081</v>
      </c>
      <c r="Q1676" s="8" t="s">
        <v>42</v>
      </c>
      <c r="R1676" s="8" t="s">
        <v>32</v>
      </c>
      <c r="S1676" s="8" t="b">
        <f>_xlfn.SINGLE(CleanedData[[#This Row],[Delivery Status]])="Late"</f>
        <v>1</v>
      </c>
      <c r="T1676" s="10">
        <v>11</v>
      </c>
      <c r="U1676" s="8" t="s">
        <v>112</v>
      </c>
      <c r="V1676" s="10">
        <v>4026</v>
      </c>
      <c r="W1676" s="10">
        <v>3</v>
      </c>
      <c r="X1676" s="12">
        <v>3.8610038610037999E-3</v>
      </c>
      <c r="Y1676" s="8" t="b">
        <f>CleanedData[[#This Row],[Ship Date]]&lt;CleanedData[[#This Row],[Order Date]]</f>
        <v>1</v>
      </c>
      <c r="Z1676" s="10">
        <f>YEAR(CleanedData[[#This Row],[Order Date]])</f>
        <v>2023</v>
      </c>
      <c r="AA1676" s="8">
        <f>MONTH(CleanedData[[#This Row],[Order Date]])</f>
        <v>6</v>
      </c>
    </row>
    <row r="1677" spans="1:27" x14ac:dyDescent="0.35">
      <c r="A1677" s="8" t="s">
        <v>4220</v>
      </c>
      <c r="B1677" s="9">
        <v>44982</v>
      </c>
      <c r="C1677" s="9">
        <v>45216</v>
      </c>
      <c r="D1677" s="8" t="s">
        <v>4221</v>
      </c>
      <c r="E1677" s="8" t="s">
        <v>68</v>
      </c>
      <c r="F1677" s="8" t="s">
        <v>146</v>
      </c>
      <c r="G1677" s="8" t="s">
        <v>28</v>
      </c>
      <c r="H1677" s="8" t="s">
        <v>507</v>
      </c>
      <c r="I1677" s="8" t="s">
        <v>4969</v>
      </c>
      <c r="J1677" s="10">
        <v>597</v>
      </c>
      <c r="K1677" s="11">
        <v>1088.1400000000001</v>
      </c>
      <c r="L1677" s="11">
        <v>1232.97</v>
      </c>
      <c r="M1677" s="11">
        <v>736083.09</v>
      </c>
      <c r="N1677" s="11">
        <v>649619.57999999996</v>
      </c>
      <c r="O1677" s="11">
        <f>CleanedData[[#This Row],[Total Sales ($)]]-CleanedData[[#This Row],[Total Cost ($)]]</f>
        <v>86463.510000000009</v>
      </c>
      <c r="P1677" s="12">
        <f>CleanedData[[#This Row],[Profit ($)]]/CleanedData[[#This Row],[Total Sales ($)]]</f>
        <v>0.11746433408760962</v>
      </c>
      <c r="Q1677" s="8" t="s">
        <v>31</v>
      </c>
      <c r="R1677" s="8" t="s">
        <v>32</v>
      </c>
      <c r="S1677" s="8" t="b">
        <f>_xlfn.SINGLE(CleanedData[[#This Row],[Delivery Status]])="Late"</f>
        <v>1</v>
      </c>
      <c r="T1677" s="10">
        <v>15</v>
      </c>
      <c r="U1677" s="8" t="s">
        <v>33</v>
      </c>
      <c r="V1677" s="10">
        <v>3081</v>
      </c>
      <c r="W1677" s="10">
        <v>12</v>
      </c>
      <c r="X1677" s="12">
        <v>2.01005025125628E-2</v>
      </c>
      <c r="Y1677" s="8" t="b">
        <f>CleanedData[[#This Row],[Ship Date]]&lt;CleanedData[[#This Row],[Order Date]]</f>
        <v>0</v>
      </c>
      <c r="Z1677" s="10">
        <f>YEAR(CleanedData[[#This Row],[Order Date]])</f>
        <v>2023</v>
      </c>
      <c r="AA1677" s="8">
        <f>MONTH(CleanedData[[#This Row],[Order Date]])</f>
        <v>2</v>
      </c>
    </row>
    <row r="1678" spans="1:27" x14ac:dyDescent="0.35">
      <c r="A1678" s="8" t="s">
        <v>4223</v>
      </c>
      <c r="B1678" s="9">
        <v>45121</v>
      </c>
      <c r="C1678" s="9">
        <v>45074</v>
      </c>
      <c r="D1678" s="8" t="s">
        <v>4224</v>
      </c>
      <c r="E1678" s="8" t="s">
        <v>58</v>
      </c>
      <c r="F1678" s="8" t="s">
        <v>259</v>
      </c>
      <c r="G1678" s="8" t="s">
        <v>28</v>
      </c>
      <c r="H1678" s="8" t="s">
        <v>674</v>
      </c>
      <c r="I1678" s="8" t="s">
        <v>4976</v>
      </c>
      <c r="J1678" s="10">
        <v>13</v>
      </c>
      <c r="K1678" s="11">
        <v>915.28</v>
      </c>
      <c r="L1678" s="11">
        <v>1252.83</v>
      </c>
      <c r="M1678" s="11">
        <v>16286.79</v>
      </c>
      <c r="N1678" s="11">
        <v>11898.64</v>
      </c>
      <c r="O1678" s="11">
        <f>CleanedData[[#This Row],[Total Sales ($)]]-CleanedData[[#This Row],[Total Cost ($)]]</f>
        <v>4388.1500000000015</v>
      </c>
      <c r="P1678" s="12">
        <f>CleanedData[[#This Row],[Profit ($)]]/CleanedData[[#This Row],[Total Sales ($)]]</f>
        <v>0.26943001045632697</v>
      </c>
      <c r="Q1678" s="8" t="s">
        <v>52</v>
      </c>
      <c r="R1678" s="8" t="s">
        <v>32</v>
      </c>
      <c r="S1678" s="8" t="b">
        <f>_xlfn.SINGLE(CleanedData[[#This Row],[Delivery Status]])="Late"</f>
        <v>1</v>
      </c>
      <c r="T1678" s="10">
        <v>9</v>
      </c>
      <c r="U1678" s="8" t="s">
        <v>33</v>
      </c>
      <c r="V1678" s="10">
        <v>3979</v>
      </c>
      <c r="W1678" s="10">
        <v>1</v>
      </c>
      <c r="X1678" s="12">
        <v>7.69230769230769E-2</v>
      </c>
      <c r="Y1678" s="8" t="b">
        <f>CleanedData[[#This Row],[Ship Date]]&lt;CleanedData[[#This Row],[Order Date]]</f>
        <v>1</v>
      </c>
      <c r="Z1678" s="10">
        <f>YEAR(CleanedData[[#This Row],[Order Date]])</f>
        <v>2023</v>
      </c>
      <c r="AA1678" s="8">
        <f>MONTH(CleanedData[[#This Row],[Order Date]])</f>
        <v>7</v>
      </c>
    </row>
    <row r="1679" spans="1:27" x14ac:dyDescent="0.35">
      <c r="A1679" s="8" t="s">
        <v>4226</v>
      </c>
      <c r="B1679" s="9">
        <v>45188</v>
      </c>
      <c r="C1679" s="9">
        <v>45221</v>
      </c>
      <c r="D1679" s="8" t="s">
        <v>4227</v>
      </c>
      <c r="E1679" s="8" t="s">
        <v>68</v>
      </c>
      <c r="F1679" s="8" t="s">
        <v>249</v>
      </c>
      <c r="G1679" s="8" t="s">
        <v>189</v>
      </c>
      <c r="H1679" s="8" t="s">
        <v>271</v>
      </c>
      <c r="I1679" s="8" t="s">
        <v>4979</v>
      </c>
      <c r="J1679" s="10">
        <v>267</v>
      </c>
      <c r="K1679" s="11"/>
      <c r="L1679" s="11">
        <v>343.72</v>
      </c>
      <c r="M1679" s="11">
        <v>91773.24</v>
      </c>
      <c r="N1679" s="11">
        <v>66870.149999999994</v>
      </c>
      <c r="O1679" s="11">
        <f>CleanedData[[#This Row],[Total Sales ($)]]-CleanedData[[#This Row],[Total Cost ($)]]</f>
        <v>24903.090000000011</v>
      </c>
      <c r="P1679" s="12">
        <f>CleanedData[[#This Row],[Profit ($)]]/CleanedData[[#This Row],[Total Sales ($)]]</f>
        <v>0.27135459094611902</v>
      </c>
      <c r="Q1679" s="8" t="s">
        <v>42</v>
      </c>
      <c r="R1679" s="8" t="s">
        <v>32</v>
      </c>
      <c r="S1679" s="8" t="b">
        <f>_xlfn.SINGLE(CleanedData[[#This Row],[Delivery Status]])="Late"</f>
        <v>1</v>
      </c>
      <c r="T1679" s="10">
        <v>8</v>
      </c>
      <c r="U1679" s="8" t="s">
        <v>86</v>
      </c>
      <c r="V1679" s="10">
        <v>3077</v>
      </c>
      <c r="W1679" s="10">
        <v>10</v>
      </c>
      <c r="X1679" s="12">
        <v>3.7453183520599197E-2</v>
      </c>
      <c r="Y1679" s="8" t="b">
        <f>CleanedData[[#This Row],[Ship Date]]&lt;CleanedData[[#This Row],[Order Date]]</f>
        <v>0</v>
      </c>
      <c r="Z1679" s="10">
        <f>YEAR(CleanedData[[#This Row],[Order Date]])</f>
        <v>2023</v>
      </c>
      <c r="AA1679" s="8">
        <f>MONTH(CleanedData[[#This Row],[Order Date]])</f>
        <v>9</v>
      </c>
    </row>
    <row r="1680" spans="1:27" x14ac:dyDescent="0.35">
      <c r="A1680" s="8" t="s">
        <v>4228</v>
      </c>
      <c r="B1680" s="9">
        <v>45264</v>
      </c>
      <c r="C1680" s="9">
        <v>45061</v>
      </c>
      <c r="D1680" s="8" t="s">
        <v>4229</v>
      </c>
      <c r="E1680" s="8" t="s">
        <v>58</v>
      </c>
      <c r="F1680" s="8" t="s">
        <v>259</v>
      </c>
      <c r="G1680" s="8" t="s">
        <v>28</v>
      </c>
      <c r="H1680" s="8" t="s">
        <v>111</v>
      </c>
      <c r="I1680" s="8" t="s">
        <v>4969</v>
      </c>
      <c r="J1680" s="10">
        <v>29</v>
      </c>
      <c r="K1680" s="11">
        <v>1078.1400000000001</v>
      </c>
      <c r="L1680" s="11">
        <v>1248.23</v>
      </c>
      <c r="M1680" s="11">
        <v>36198.67</v>
      </c>
      <c r="N1680" s="11">
        <v>31266.06</v>
      </c>
      <c r="O1680" s="11">
        <f>CleanedData[[#This Row],[Total Sales ($)]]-CleanedData[[#This Row],[Total Cost ($)]]</f>
        <v>4932.6099999999969</v>
      </c>
      <c r="P1680" s="12">
        <f>CleanedData[[#This Row],[Profit ($)]]/CleanedData[[#This Row],[Total Sales ($)]]</f>
        <v>0.13626495117085785</v>
      </c>
      <c r="Q1680" s="8" t="s">
        <v>31</v>
      </c>
      <c r="R1680" s="8" t="s">
        <v>32</v>
      </c>
      <c r="S1680" s="8" t="b">
        <f>_xlfn.SINGLE(CleanedData[[#This Row],[Delivery Status]])="Late"</f>
        <v>1</v>
      </c>
      <c r="T1680" s="10">
        <v>9</v>
      </c>
      <c r="U1680" s="8" t="s">
        <v>86</v>
      </c>
      <c r="V1680" s="10">
        <v>3007</v>
      </c>
      <c r="W1680" s="10">
        <v>0</v>
      </c>
      <c r="X1680" s="12">
        <v>0</v>
      </c>
      <c r="Y1680" s="8" t="b">
        <f>CleanedData[[#This Row],[Ship Date]]&lt;CleanedData[[#This Row],[Order Date]]</f>
        <v>1</v>
      </c>
      <c r="Z1680" s="10">
        <f>YEAR(CleanedData[[#This Row],[Order Date]])</f>
        <v>2023</v>
      </c>
      <c r="AA1680" s="8">
        <f>MONTH(CleanedData[[#This Row],[Order Date]])</f>
        <v>12</v>
      </c>
    </row>
    <row r="1681" spans="1:27" x14ac:dyDescent="0.35">
      <c r="A1681" s="8" t="s">
        <v>4230</v>
      </c>
      <c r="B1681" s="9">
        <v>45425</v>
      </c>
      <c r="C1681" s="9">
        <v>45388</v>
      </c>
      <c r="D1681" s="8" t="s">
        <v>4231</v>
      </c>
      <c r="E1681" s="8" t="s">
        <v>58</v>
      </c>
      <c r="F1681" s="8" t="s">
        <v>116</v>
      </c>
      <c r="G1681" s="8" t="s">
        <v>189</v>
      </c>
      <c r="H1681" s="8" t="s">
        <v>360</v>
      </c>
      <c r="I1681" s="8" t="s">
        <v>4968</v>
      </c>
      <c r="J1681" s="10">
        <v>433</v>
      </c>
      <c r="K1681" s="11">
        <v>486.94</v>
      </c>
      <c r="L1681" s="11">
        <v>793.53</v>
      </c>
      <c r="M1681" s="11">
        <v>343598.49</v>
      </c>
      <c r="N1681" s="11">
        <v>210845.02</v>
      </c>
      <c r="O1681" s="11">
        <f>CleanedData[[#This Row],[Total Sales ($)]]-CleanedData[[#This Row],[Total Cost ($)]]</f>
        <v>132753.47</v>
      </c>
      <c r="P1681" s="12">
        <f>CleanedData[[#This Row],[Profit ($)]]/CleanedData[[#This Row],[Total Sales ($)]]</f>
        <v>0.38636220432749868</v>
      </c>
      <c r="Q1681" s="8" t="s">
        <v>95</v>
      </c>
      <c r="R1681" s="8" t="s">
        <v>32</v>
      </c>
      <c r="S1681" s="8" t="b">
        <f>_xlfn.SINGLE(CleanedData[[#This Row],[Delivery Status]])="Late"</f>
        <v>1</v>
      </c>
      <c r="T1681" s="10">
        <v>11</v>
      </c>
      <c r="U1681" s="8" t="s">
        <v>33</v>
      </c>
      <c r="V1681" s="10">
        <v>1502</v>
      </c>
      <c r="W1681" s="10">
        <v>18</v>
      </c>
      <c r="X1681" s="12">
        <v>4.1570438799076202E-2</v>
      </c>
      <c r="Y1681" s="8" t="b">
        <f>CleanedData[[#This Row],[Ship Date]]&lt;CleanedData[[#This Row],[Order Date]]</f>
        <v>1</v>
      </c>
      <c r="Z1681" s="10">
        <f>YEAR(CleanedData[[#This Row],[Order Date]])</f>
        <v>2024</v>
      </c>
      <c r="AA1681" s="8">
        <f>MONTH(CleanedData[[#This Row],[Order Date]])</f>
        <v>5</v>
      </c>
    </row>
    <row r="1682" spans="1:27" x14ac:dyDescent="0.35">
      <c r="A1682" s="8" t="s">
        <v>4232</v>
      </c>
      <c r="B1682" s="9">
        <v>45064</v>
      </c>
      <c r="C1682" s="9">
        <v>45224</v>
      </c>
      <c r="D1682" s="8" t="s">
        <v>4233</v>
      </c>
      <c r="E1682" s="8" t="s">
        <v>68</v>
      </c>
      <c r="F1682" s="8" t="s">
        <v>276</v>
      </c>
      <c r="G1682" s="8" t="s">
        <v>60</v>
      </c>
      <c r="H1682" s="8" t="s">
        <v>539</v>
      </c>
      <c r="I1682" s="8" t="s">
        <v>4974</v>
      </c>
      <c r="J1682" s="10">
        <v>307</v>
      </c>
      <c r="K1682" s="11">
        <v>475.75</v>
      </c>
      <c r="L1682" s="11">
        <v>534.76</v>
      </c>
      <c r="M1682" s="11">
        <v>164171.32</v>
      </c>
      <c r="N1682" s="11">
        <v>146055.25</v>
      </c>
      <c r="O1682" s="11">
        <f>CleanedData[[#This Row],[Total Sales ($)]]-CleanedData[[#This Row],[Total Cost ($)]]</f>
        <v>18116.070000000007</v>
      </c>
      <c r="P1682" s="12">
        <f>CleanedData[[#This Row],[Profit ($)]]/CleanedData[[#This Row],[Total Sales ($)]]</f>
        <v>0.11034856758171895</v>
      </c>
      <c r="Q1682" s="8" t="s">
        <v>95</v>
      </c>
      <c r="R1682" s="8" t="s">
        <v>32</v>
      </c>
      <c r="S1682" s="8" t="b">
        <f>_xlfn.SINGLE(CleanedData[[#This Row],[Delivery Status]])="Late"</f>
        <v>1</v>
      </c>
      <c r="T1682" s="10">
        <v>10</v>
      </c>
      <c r="U1682" s="8" t="s">
        <v>53</v>
      </c>
      <c r="V1682" s="10">
        <v>3871</v>
      </c>
      <c r="W1682" s="10">
        <v>0</v>
      </c>
      <c r="X1682" s="12">
        <v>0</v>
      </c>
      <c r="Y1682" s="8" t="b">
        <f>CleanedData[[#This Row],[Ship Date]]&lt;CleanedData[[#This Row],[Order Date]]</f>
        <v>0</v>
      </c>
      <c r="Z1682" s="10">
        <f>YEAR(CleanedData[[#This Row],[Order Date]])</f>
        <v>2023</v>
      </c>
      <c r="AA1682" s="8">
        <f>MONTH(CleanedData[[#This Row],[Order Date]])</f>
        <v>5</v>
      </c>
    </row>
    <row r="1683" spans="1:27" x14ac:dyDescent="0.35">
      <c r="A1683" s="8" t="s">
        <v>4234</v>
      </c>
      <c r="B1683" s="9">
        <v>45274</v>
      </c>
      <c r="C1683" s="9">
        <v>45213</v>
      </c>
      <c r="D1683" s="8" t="s">
        <v>4235</v>
      </c>
      <c r="E1683" s="8" t="s">
        <v>100</v>
      </c>
      <c r="F1683" s="8" t="s">
        <v>538</v>
      </c>
      <c r="G1683" s="8" t="s">
        <v>189</v>
      </c>
      <c r="H1683" s="8" t="s">
        <v>190</v>
      </c>
      <c r="I1683" s="8" t="s">
        <v>4977</v>
      </c>
      <c r="J1683" s="10">
        <v>181</v>
      </c>
      <c r="K1683" s="11">
        <v>547.13</v>
      </c>
      <c r="L1683" s="11">
        <v>739.94</v>
      </c>
      <c r="M1683" s="11">
        <v>133929.14000000001</v>
      </c>
      <c r="N1683" s="11">
        <v>99030.53</v>
      </c>
      <c r="O1683" s="11">
        <f>CleanedData[[#This Row],[Total Sales ($)]]-CleanedData[[#This Row],[Total Cost ($)]]</f>
        <v>34898.610000000015</v>
      </c>
      <c r="P1683" s="12">
        <f>CleanedData[[#This Row],[Profit ($)]]/CleanedData[[#This Row],[Total Sales ($)]]</f>
        <v>0.26057518177149508</v>
      </c>
      <c r="Q1683" s="8" t="s">
        <v>52</v>
      </c>
      <c r="R1683" s="8" t="s">
        <v>63</v>
      </c>
      <c r="S1683" s="8" t="b">
        <f>_xlfn.SINGLE(CleanedData[[#This Row],[Delivery Status]])="Late"</f>
        <v>0</v>
      </c>
      <c r="T1683" s="10">
        <v>2</v>
      </c>
      <c r="U1683" s="8" t="s">
        <v>158</v>
      </c>
      <c r="V1683" s="10">
        <v>1587</v>
      </c>
      <c r="W1683" s="10">
        <v>6</v>
      </c>
      <c r="X1683" s="12">
        <v>3.3149171270718203E-2</v>
      </c>
      <c r="Y1683" s="8" t="b">
        <f>CleanedData[[#This Row],[Ship Date]]&lt;CleanedData[[#This Row],[Order Date]]</f>
        <v>1</v>
      </c>
      <c r="Z1683" s="10">
        <f>YEAR(CleanedData[[#This Row],[Order Date]])</f>
        <v>2023</v>
      </c>
      <c r="AA1683" s="8">
        <f>MONTH(CleanedData[[#This Row],[Order Date]])</f>
        <v>12</v>
      </c>
    </row>
    <row r="1684" spans="1:27" x14ac:dyDescent="0.35">
      <c r="A1684" s="8" t="s">
        <v>4236</v>
      </c>
      <c r="B1684" s="9">
        <v>45097</v>
      </c>
      <c r="C1684" s="9">
        <v>44975</v>
      </c>
      <c r="D1684" s="8" t="s">
        <v>4237</v>
      </c>
      <c r="E1684" s="8" t="s">
        <v>26</v>
      </c>
      <c r="F1684" s="8" t="s">
        <v>38</v>
      </c>
      <c r="G1684" s="8" t="s">
        <v>60</v>
      </c>
      <c r="H1684" s="8" t="s">
        <v>834</v>
      </c>
      <c r="I1684" s="8" t="s">
        <v>4967</v>
      </c>
      <c r="J1684" s="10">
        <v>566</v>
      </c>
      <c r="K1684" s="11">
        <v>676.62</v>
      </c>
      <c r="L1684" s="11">
        <v>1093.6500000000001</v>
      </c>
      <c r="M1684" s="11">
        <v>619005.9</v>
      </c>
      <c r="N1684" s="11">
        <v>382966.92</v>
      </c>
      <c r="O1684" s="11">
        <f>CleanedData[[#This Row],[Total Sales ($)]]-CleanedData[[#This Row],[Total Cost ($)]]</f>
        <v>236038.98000000004</v>
      </c>
      <c r="P1684" s="12">
        <f>CleanedData[[#This Row],[Profit ($)]]/CleanedData[[#This Row],[Total Sales ($)]]</f>
        <v>0.38131943491976417</v>
      </c>
      <c r="Q1684" s="8" t="s">
        <v>95</v>
      </c>
      <c r="R1684" s="8" t="s">
        <v>32</v>
      </c>
      <c r="S1684" s="8" t="b">
        <f>_xlfn.SINGLE(CleanedData[[#This Row],[Delivery Status]])="Late"</f>
        <v>1</v>
      </c>
      <c r="T1684" s="10">
        <v>10</v>
      </c>
      <c r="U1684" s="8" t="s">
        <v>53</v>
      </c>
      <c r="V1684" s="10">
        <v>1568</v>
      </c>
      <c r="W1684" s="10">
        <v>1</v>
      </c>
      <c r="X1684" s="12">
        <v>1.7667844522968E-3</v>
      </c>
      <c r="Y1684" s="8" t="b">
        <f>CleanedData[[#This Row],[Ship Date]]&lt;CleanedData[[#This Row],[Order Date]]</f>
        <v>1</v>
      </c>
      <c r="Z1684" s="10">
        <f>YEAR(CleanedData[[#This Row],[Order Date]])</f>
        <v>2023</v>
      </c>
      <c r="AA1684" s="8">
        <f>MONTH(CleanedData[[#This Row],[Order Date]])</f>
        <v>6</v>
      </c>
    </row>
    <row r="1685" spans="1:27" x14ac:dyDescent="0.35">
      <c r="A1685" s="8" t="s">
        <v>4238</v>
      </c>
      <c r="B1685" s="9">
        <v>45574</v>
      </c>
      <c r="C1685" s="9">
        <v>45511</v>
      </c>
      <c r="D1685" s="8" t="s">
        <v>4239</v>
      </c>
      <c r="E1685" s="8" t="s">
        <v>100</v>
      </c>
      <c r="F1685" s="8" t="s">
        <v>106</v>
      </c>
      <c r="G1685" s="8" t="s">
        <v>70</v>
      </c>
      <c r="H1685" s="8" t="s">
        <v>1019</v>
      </c>
      <c r="I1685" s="8" t="s">
        <v>4979</v>
      </c>
      <c r="J1685" s="10">
        <v>779</v>
      </c>
      <c r="K1685" s="11">
        <v>579.15</v>
      </c>
      <c r="L1685" s="11">
        <v>903.88</v>
      </c>
      <c r="M1685" s="11">
        <v>704122.52</v>
      </c>
      <c r="N1685" s="11">
        <v>451157.85</v>
      </c>
      <c r="O1685" s="11">
        <f>CleanedData[[#This Row],[Total Sales ($)]]-CleanedData[[#This Row],[Total Cost ($)]]</f>
        <v>252964.67000000004</v>
      </c>
      <c r="P1685" s="12">
        <f>CleanedData[[#This Row],[Profit ($)]]/CleanedData[[#This Row],[Total Sales ($)]]</f>
        <v>0.35926229145461791</v>
      </c>
      <c r="Q1685" s="8" t="s">
        <v>95</v>
      </c>
      <c r="R1685" s="8" t="s">
        <v>63</v>
      </c>
      <c r="S1685" s="8" t="b">
        <f>_xlfn.SINGLE(CleanedData[[#This Row],[Delivery Status]])="Late"</f>
        <v>0</v>
      </c>
      <c r="T1685" s="10">
        <v>3</v>
      </c>
      <c r="U1685" s="8" t="s">
        <v>33</v>
      </c>
      <c r="V1685" s="10">
        <v>4920</v>
      </c>
      <c r="W1685" s="10">
        <v>14</v>
      </c>
      <c r="X1685" s="12">
        <v>1.7971758664955002E-2</v>
      </c>
      <c r="Y1685" s="8" t="b">
        <f>CleanedData[[#This Row],[Ship Date]]&lt;CleanedData[[#This Row],[Order Date]]</f>
        <v>1</v>
      </c>
      <c r="Z1685" s="10">
        <f>YEAR(CleanedData[[#This Row],[Order Date]])</f>
        <v>2024</v>
      </c>
      <c r="AA1685" s="8">
        <f>MONTH(CleanedData[[#This Row],[Order Date]])</f>
        <v>10</v>
      </c>
    </row>
    <row r="1686" spans="1:27" x14ac:dyDescent="0.35">
      <c r="A1686" s="8" t="s">
        <v>4240</v>
      </c>
      <c r="B1686" s="9">
        <v>45177</v>
      </c>
      <c r="C1686" s="9">
        <v>45211</v>
      </c>
      <c r="D1686" s="8" t="s">
        <v>729</v>
      </c>
      <c r="E1686" s="8" t="s">
        <v>100</v>
      </c>
      <c r="F1686" s="8" t="s">
        <v>106</v>
      </c>
      <c r="G1686" s="8" t="s">
        <v>93</v>
      </c>
      <c r="H1686" s="8" t="s">
        <v>140</v>
      </c>
      <c r="I1686" s="8" t="s">
        <v>4976</v>
      </c>
      <c r="J1686" s="10">
        <v>263</v>
      </c>
      <c r="K1686" s="11">
        <v>601.63</v>
      </c>
      <c r="L1686" s="11">
        <v>876.15</v>
      </c>
      <c r="M1686" s="11">
        <v>230427.45</v>
      </c>
      <c r="N1686" s="11">
        <v>158228.69</v>
      </c>
      <c r="O1686" s="11">
        <f>CleanedData[[#This Row],[Total Sales ($)]]-CleanedData[[#This Row],[Total Cost ($)]]</f>
        <v>72198.760000000009</v>
      </c>
      <c r="P1686" s="12">
        <f>CleanedData[[#This Row],[Profit ($)]]/CleanedData[[#This Row],[Total Sales ($)]]</f>
        <v>0.31332534383381844</v>
      </c>
      <c r="Q1686" s="8" t="s">
        <v>52</v>
      </c>
      <c r="R1686" s="8" t="s">
        <v>63</v>
      </c>
      <c r="S1686" s="8" t="b">
        <f>_xlfn.SINGLE(CleanedData[[#This Row],[Delivery Status]])="Late"</f>
        <v>0</v>
      </c>
      <c r="T1686" s="10">
        <v>5</v>
      </c>
      <c r="U1686" s="8" t="s">
        <v>33</v>
      </c>
      <c r="V1686" s="10">
        <v>1559</v>
      </c>
      <c r="W1686" s="10">
        <v>5</v>
      </c>
      <c r="X1686" s="12">
        <v>1.9011406844106401E-2</v>
      </c>
      <c r="Y1686" s="8" t="b">
        <f>CleanedData[[#This Row],[Ship Date]]&lt;CleanedData[[#This Row],[Order Date]]</f>
        <v>0</v>
      </c>
      <c r="Z1686" s="10">
        <f>YEAR(CleanedData[[#This Row],[Order Date]])</f>
        <v>2023</v>
      </c>
      <c r="AA1686" s="8">
        <f>MONTH(CleanedData[[#This Row],[Order Date]])</f>
        <v>9</v>
      </c>
    </row>
    <row r="1687" spans="1:27" x14ac:dyDescent="0.35">
      <c r="A1687" s="8" t="s">
        <v>4241</v>
      </c>
      <c r="B1687" s="9">
        <v>45209</v>
      </c>
      <c r="C1687" s="9">
        <v>45057</v>
      </c>
      <c r="D1687" s="8" t="s">
        <v>4242</v>
      </c>
      <c r="E1687" s="8" t="s">
        <v>48</v>
      </c>
      <c r="F1687" s="8" t="s">
        <v>270</v>
      </c>
      <c r="G1687" s="8" t="s">
        <v>60</v>
      </c>
      <c r="H1687" s="8" t="s">
        <v>780</v>
      </c>
      <c r="I1687" s="8" t="s">
        <v>4976</v>
      </c>
      <c r="J1687" s="10">
        <v>697</v>
      </c>
      <c r="K1687" s="11">
        <v>780.12</v>
      </c>
      <c r="L1687" s="11">
        <v>1181.26</v>
      </c>
      <c r="M1687" s="11">
        <v>823338.22</v>
      </c>
      <c r="N1687" s="11">
        <v>543743.64</v>
      </c>
      <c r="O1687" s="11">
        <f>CleanedData[[#This Row],[Total Sales ($)]]-CleanedData[[#This Row],[Total Cost ($)]]</f>
        <v>279594.57999999996</v>
      </c>
      <c r="P1687" s="12">
        <f>CleanedData[[#This Row],[Profit ($)]]/CleanedData[[#This Row],[Total Sales ($)]]</f>
        <v>0.33958654318270315</v>
      </c>
      <c r="Q1687" s="8" t="s">
        <v>52</v>
      </c>
      <c r="R1687" s="8" t="s">
        <v>32</v>
      </c>
      <c r="S1687" s="8" t="b">
        <f>_xlfn.SINGLE(CleanedData[[#This Row],[Delivery Status]])="Late"</f>
        <v>1</v>
      </c>
      <c r="T1687" s="10">
        <v>14</v>
      </c>
      <c r="U1687" s="8" t="s">
        <v>33</v>
      </c>
      <c r="V1687" s="10">
        <v>2898</v>
      </c>
      <c r="W1687" s="10">
        <v>11</v>
      </c>
      <c r="X1687" s="12">
        <v>1.57819225251076E-2</v>
      </c>
      <c r="Y1687" s="8" t="b">
        <f>CleanedData[[#This Row],[Ship Date]]&lt;CleanedData[[#This Row],[Order Date]]</f>
        <v>1</v>
      </c>
      <c r="Z1687" s="10">
        <f>YEAR(CleanedData[[#This Row],[Order Date]])</f>
        <v>2023</v>
      </c>
      <c r="AA1687" s="8">
        <f>MONTH(CleanedData[[#This Row],[Order Date]])</f>
        <v>10</v>
      </c>
    </row>
    <row r="1688" spans="1:27" x14ac:dyDescent="0.35">
      <c r="A1688" s="8" t="s">
        <v>4243</v>
      </c>
      <c r="B1688" s="9">
        <v>45537</v>
      </c>
      <c r="C1688" s="9">
        <v>45538</v>
      </c>
      <c r="D1688" s="8" t="s">
        <v>4244</v>
      </c>
      <c r="E1688" s="8" t="s">
        <v>58</v>
      </c>
      <c r="F1688" s="8" t="s">
        <v>4972</v>
      </c>
      <c r="G1688" s="8" t="s">
        <v>93</v>
      </c>
      <c r="H1688" s="8" t="s">
        <v>643</v>
      </c>
      <c r="I1688" s="8" t="s">
        <v>4971</v>
      </c>
      <c r="J1688" s="10">
        <v>742</v>
      </c>
      <c r="K1688" s="11">
        <v>137.53</v>
      </c>
      <c r="L1688" s="11">
        <v>198.05</v>
      </c>
      <c r="M1688" s="11">
        <v>146953.1</v>
      </c>
      <c r="N1688" s="11">
        <v>102047.26</v>
      </c>
      <c r="O1688" s="11">
        <f>CleanedData[[#This Row],[Total Sales ($)]]-CleanedData[[#This Row],[Total Cost ($)]]</f>
        <v>44905.840000000011</v>
      </c>
      <c r="P1688" s="12">
        <f>CleanedData[[#This Row],[Profit ($)]]/CleanedData[[#This Row],[Total Sales ($)]]</f>
        <v>0.30557939914163096</v>
      </c>
      <c r="Q1688" s="8" t="s">
        <v>31</v>
      </c>
      <c r="R1688" s="8" t="s">
        <v>63</v>
      </c>
      <c r="S1688" s="8" t="b">
        <f>_xlfn.SINGLE(CleanedData[[#This Row],[Delivery Status]])="Late"</f>
        <v>0</v>
      </c>
      <c r="T1688" s="10">
        <v>2</v>
      </c>
      <c r="U1688" s="8" t="s">
        <v>86</v>
      </c>
      <c r="V1688" s="10">
        <v>4618</v>
      </c>
      <c r="W1688" s="10">
        <v>32</v>
      </c>
      <c r="X1688" s="12">
        <v>4.3126684636118601E-2</v>
      </c>
      <c r="Y1688" s="8" t="b">
        <f>CleanedData[[#This Row],[Ship Date]]&lt;CleanedData[[#This Row],[Order Date]]</f>
        <v>0</v>
      </c>
      <c r="Z1688" s="10">
        <f>YEAR(CleanedData[[#This Row],[Order Date]])</f>
        <v>2024</v>
      </c>
      <c r="AA1688" s="8">
        <f>MONTH(CleanedData[[#This Row],[Order Date]])</f>
        <v>9</v>
      </c>
    </row>
    <row r="1689" spans="1:27" x14ac:dyDescent="0.35">
      <c r="A1689" s="8" t="s">
        <v>4245</v>
      </c>
      <c r="B1689" s="9">
        <v>45165</v>
      </c>
      <c r="C1689" s="9">
        <v>44991</v>
      </c>
      <c r="D1689" s="8" t="s">
        <v>1857</v>
      </c>
      <c r="E1689" s="8" t="s">
        <v>26</v>
      </c>
      <c r="F1689" s="8" t="s">
        <v>77</v>
      </c>
      <c r="G1689" s="8" t="s">
        <v>78</v>
      </c>
      <c r="H1689" s="8" t="s">
        <v>178</v>
      </c>
      <c r="I1689" s="8" t="s">
        <v>4970</v>
      </c>
      <c r="J1689" s="10">
        <v>792</v>
      </c>
      <c r="K1689" s="11">
        <v>217.17</v>
      </c>
      <c r="L1689" s="11">
        <v>323.87</v>
      </c>
      <c r="M1689" s="11">
        <v>256505.04</v>
      </c>
      <c r="N1689" s="11">
        <v>171998.64</v>
      </c>
      <c r="O1689" s="11">
        <f>CleanedData[[#This Row],[Total Sales ($)]]-CleanedData[[#This Row],[Total Cost ($)]]</f>
        <v>84506.4</v>
      </c>
      <c r="P1689" s="12">
        <f>CleanedData[[#This Row],[Profit ($)]]/CleanedData[[#This Row],[Total Sales ($)]]</f>
        <v>0.32945317565689936</v>
      </c>
      <c r="Q1689" s="8" t="s">
        <v>95</v>
      </c>
      <c r="R1689" s="8" t="s">
        <v>4972</v>
      </c>
      <c r="S1689" s="8" t="b">
        <f>_xlfn.SINGLE(CleanedData[[#This Row],[Delivery Status]])="Late"</f>
        <v>0</v>
      </c>
      <c r="T1689" s="10">
        <v>11</v>
      </c>
      <c r="U1689" s="8" t="s">
        <v>86</v>
      </c>
      <c r="V1689" s="10">
        <v>4198</v>
      </c>
      <c r="W1689" s="10">
        <v>14</v>
      </c>
      <c r="X1689" s="12">
        <v>1.76767676767676E-2</v>
      </c>
      <c r="Y1689" s="8" t="b">
        <f>CleanedData[[#This Row],[Ship Date]]&lt;CleanedData[[#This Row],[Order Date]]</f>
        <v>1</v>
      </c>
      <c r="Z1689" s="10">
        <f>YEAR(CleanedData[[#This Row],[Order Date]])</f>
        <v>2023</v>
      </c>
      <c r="AA1689" s="8">
        <f>MONTH(CleanedData[[#This Row],[Order Date]])</f>
        <v>8</v>
      </c>
    </row>
    <row r="1690" spans="1:27" x14ac:dyDescent="0.35">
      <c r="A1690" s="8" t="s">
        <v>4246</v>
      </c>
      <c r="B1690" s="9">
        <v>44929</v>
      </c>
      <c r="C1690" s="9">
        <v>45100</v>
      </c>
      <c r="D1690" s="8" t="s">
        <v>4247</v>
      </c>
      <c r="E1690" s="8" t="s">
        <v>100</v>
      </c>
      <c r="F1690" s="8" t="s">
        <v>106</v>
      </c>
      <c r="G1690" s="8" t="s">
        <v>78</v>
      </c>
      <c r="H1690" s="8" t="s">
        <v>481</v>
      </c>
      <c r="I1690" s="8" t="s">
        <v>4973</v>
      </c>
      <c r="J1690" s="10">
        <v>7</v>
      </c>
      <c r="K1690" s="11">
        <v>1098.57</v>
      </c>
      <c r="L1690" s="11">
        <v>1367.84</v>
      </c>
      <c r="M1690" s="11">
        <v>9574.8799999999992</v>
      </c>
      <c r="N1690" s="11">
        <v>7689.99</v>
      </c>
      <c r="O1690" s="11">
        <f>CleanedData[[#This Row],[Total Sales ($)]]-CleanedData[[#This Row],[Total Cost ($)]]</f>
        <v>1884.8899999999994</v>
      </c>
      <c r="P1690" s="12">
        <f>CleanedData[[#This Row],[Profit ($)]]/CleanedData[[#This Row],[Total Sales ($)]]</f>
        <v>0.19685781962802662</v>
      </c>
      <c r="Q1690" s="8" t="s">
        <v>31</v>
      </c>
      <c r="R1690" s="8" t="s">
        <v>32</v>
      </c>
      <c r="S1690" s="8" t="b">
        <f>_xlfn.SINGLE(CleanedData[[#This Row],[Delivery Status]])="Late"</f>
        <v>1</v>
      </c>
      <c r="T1690" s="10">
        <v>7</v>
      </c>
      <c r="U1690" s="8" t="s">
        <v>43</v>
      </c>
      <c r="V1690" s="10">
        <v>4857</v>
      </c>
      <c r="W1690" s="10">
        <v>0</v>
      </c>
      <c r="X1690" s="12">
        <v>0</v>
      </c>
      <c r="Y1690" s="8" t="b">
        <f>CleanedData[[#This Row],[Ship Date]]&lt;CleanedData[[#This Row],[Order Date]]</f>
        <v>0</v>
      </c>
      <c r="Z1690" s="10">
        <f>YEAR(CleanedData[[#This Row],[Order Date]])</f>
        <v>2023</v>
      </c>
      <c r="AA1690" s="8">
        <f>MONTH(CleanedData[[#This Row],[Order Date]])</f>
        <v>1</v>
      </c>
    </row>
    <row r="1691" spans="1:27" x14ac:dyDescent="0.35">
      <c r="A1691" s="8" t="s">
        <v>4248</v>
      </c>
      <c r="B1691" s="9">
        <v>44941</v>
      </c>
      <c r="C1691" s="9">
        <v>45081</v>
      </c>
      <c r="D1691" s="8" t="s">
        <v>4972</v>
      </c>
      <c r="E1691" s="8" t="s">
        <v>48</v>
      </c>
      <c r="F1691" s="8" t="s">
        <v>270</v>
      </c>
      <c r="G1691" s="8" t="s">
        <v>70</v>
      </c>
      <c r="H1691" s="8" t="s">
        <v>623</v>
      </c>
      <c r="I1691" s="8" t="s">
        <v>4977</v>
      </c>
      <c r="J1691" s="10">
        <v>667</v>
      </c>
      <c r="K1691" s="11">
        <v>800.08</v>
      </c>
      <c r="L1691" s="11">
        <v>1261.78</v>
      </c>
      <c r="M1691" s="11">
        <v>841607.26</v>
      </c>
      <c r="N1691" s="11">
        <v>533653.36</v>
      </c>
      <c r="O1691" s="11">
        <f>CleanedData[[#This Row],[Total Sales ($)]]-CleanedData[[#This Row],[Total Cost ($)]]</f>
        <v>307953.90000000002</v>
      </c>
      <c r="P1691" s="12">
        <f>CleanedData[[#This Row],[Profit ($)]]/CleanedData[[#This Row],[Total Sales ($)]]</f>
        <v>0.36591164862337333</v>
      </c>
      <c r="Q1691" s="8" t="s">
        <v>31</v>
      </c>
      <c r="R1691" s="8" t="s">
        <v>32</v>
      </c>
      <c r="S1691" s="8" t="b">
        <f>_xlfn.SINGLE(CleanedData[[#This Row],[Delivery Status]])="Late"</f>
        <v>1</v>
      </c>
      <c r="T1691" s="10">
        <v>13</v>
      </c>
      <c r="U1691" s="8" t="s">
        <v>33</v>
      </c>
      <c r="V1691" s="10">
        <v>1129</v>
      </c>
      <c r="W1691" s="10">
        <v>24</v>
      </c>
      <c r="X1691" s="12">
        <v>3.5982008995502197E-2</v>
      </c>
      <c r="Y1691" s="8" t="b">
        <f>CleanedData[[#This Row],[Ship Date]]&lt;CleanedData[[#This Row],[Order Date]]</f>
        <v>0</v>
      </c>
      <c r="Z1691" s="10">
        <f>YEAR(CleanedData[[#This Row],[Order Date]])</f>
        <v>2023</v>
      </c>
      <c r="AA1691" s="8">
        <f>MONTH(CleanedData[[#This Row],[Order Date]])</f>
        <v>1</v>
      </c>
    </row>
    <row r="1692" spans="1:27" x14ac:dyDescent="0.35">
      <c r="A1692" s="8" t="s">
        <v>4249</v>
      </c>
      <c r="B1692" s="9">
        <v>45606</v>
      </c>
      <c r="C1692" s="9">
        <v>45358</v>
      </c>
      <c r="D1692" s="8" t="s">
        <v>4250</v>
      </c>
      <c r="E1692" s="8" t="s">
        <v>100</v>
      </c>
      <c r="F1692" s="8" t="s">
        <v>106</v>
      </c>
      <c r="G1692" s="8" t="s">
        <v>189</v>
      </c>
      <c r="H1692" s="8" t="s">
        <v>271</v>
      </c>
      <c r="I1692" s="8" t="s">
        <v>4967</v>
      </c>
      <c r="J1692" s="10">
        <v>589</v>
      </c>
      <c r="K1692" s="11">
        <v>479.63</v>
      </c>
      <c r="L1692" s="11">
        <v>664.21</v>
      </c>
      <c r="M1692" s="11">
        <v>391219.69</v>
      </c>
      <c r="N1692" s="11">
        <v>282502.07</v>
      </c>
      <c r="O1692" s="11">
        <f>CleanedData[[#This Row],[Total Sales ($)]]-CleanedData[[#This Row],[Total Cost ($)]]</f>
        <v>108717.62</v>
      </c>
      <c r="P1692" s="12">
        <f>CleanedData[[#This Row],[Profit ($)]]/CleanedData[[#This Row],[Total Sales ($)]]</f>
        <v>0.27789403953568897</v>
      </c>
      <c r="Q1692" s="8" t="s">
        <v>42</v>
      </c>
      <c r="R1692" s="8" t="s">
        <v>32</v>
      </c>
      <c r="S1692" s="8" t="b">
        <f>_xlfn.SINGLE(CleanedData[[#This Row],[Delivery Status]])="Late"</f>
        <v>1</v>
      </c>
      <c r="T1692" s="10">
        <v>13</v>
      </c>
      <c r="U1692" s="8" t="s">
        <v>43</v>
      </c>
      <c r="V1692" s="10">
        <v>2665</v>
      </c>
      <c r="W1692" s="10">
        <v>6</v>
      </c>
      <c r="X1692" s="12">
        <v>1.01867572156196E-2</v>
      </c>
      <c r="Y1692" s="8" t="b">
        <f>CleanedData[[#This Row],[Ship Date]]&lt;CleanedData[[#This Row],[Order Date]]</f>
        <v>1</v>
      </c>
      <c r="Z1692" s="10">
        <f>YEAR(CleanedData[[#This Row],[Order Date]])</f>
        <v>2024</v>
      </c>
      <c r="AA1692" s="8">
        <f>MONTH(CleanedData[[#This Row],[Order Date]])</f>
        <v>11</v>
      </c>
    </row>
    <row r="1693" spans="1:27" x14ac:dyDescent="0.35">
      <c r="A1693" s="8" t="s">
        <v>4251</v>
      </c>
      <c r="B1693" s="9">
        <v>45196</v>
      </c>
      <c r="C1693" s="9">
        <v>45271</v>
      </c>
      <c r="D1693" s="8" t="s">
        <v>4252</v>
      </c>
      <c r="E1693" s="8" t="s">
        <v>48</v>
      </c>
      <c r="F1693" s="8" t="s">
        <v>183</v>
      </c>
      <c r="G1693" s="8" t="s">
        <v>189</v>
      </c>
      <c r="H1693" s="8" t="s">
        <v>360</v>
      </c>
      <c r="I1693" s="8" t="s">
        <v>4975</v>
      </c>
      <c r="J1693" s="10">
        <v>242</v>
      </c>
      <c r="K1693" s="11">
        <v>342.36</v>
      </c>
      <c r="L1693" s="11">
        <v>455.22</v>
      </c>
      <c r="M1693" s="11">
        <v>110163.24</v>
      </c>
      <c r="N1693" s="11">
        <v>82851.12</v>
      </c>
      <c r="O1693" s="11">
        <f>CleanedData[[#This Row],[Total Sales ($)]]-CleanedData[[#This Row],[Total Cost ($)]]</f>
        <v>27312.12000000001</v>
      </c>
      <c r="P1693" s="12">
        <f>CleanedData[[#This Row],[Profit ($)]]/CleanedData[[#This Row],[Total Sales ($)]]</f>
        <v>0.24792408066429428</v>
      </c>
      <c r="Q1693" s="8" t="s">
        <v>31</v>
      </c>
      <c r="R1693" s="8" t="s">
        <v>32</v>
      </c>
      <c r="S1693" s="8" t="b">
        <f>_xlfn.SINGLE(CleanedData[[#This Row],[Delivery Status]])="Late"</f>
        <v>1</v>
      </c>
      <c r="T1693" s="10">
        <v>6</v>
      </c>
      <c r="U1693" s="8" t="s">
        <v>33</v>
      </c>
      <c r="V1693" s="10">
        <v>2190</v>
      </c>
      <c r="W1693" s="10">
        <v>1</v>
      </c>
      <c r="X1693" s="12">
        <v>4.1322314049585997E-3</v>
      </c>
      <c r="Y1693" s="8" t="b">
        <f>CleanedData[[#This Row],[Ship Date]]&lt;CleanedData[[#This Row],[Order Date]]</f>
        <v>0</v>
      </c>
      <c r="Z1693" s="10">
        <f>YEAR(CleanedData[[#This Row],[Order Date]])</f>
        <v>2023</v>
      </c>
      <c r="AA1693" s="8">
        <f>MONTH(CleanedData[[#This Row],[Order Date]])</f>
        <v>9</v>
      </c>
    </row>
    <row r="1694" spans="1:27" x14ac:dyDescent="0.35">
      <c r="A1694" s="8" t="s">
        <v>4253</v>
      </c>
      <c r="B1694" s="9">
        <v>44995</v>
      </c>
      <c r="C1694" s="9">
        <v>45237</v>
      </c>
      <c r="D1694" s="8" t="s">
        <v>4254</v>
      </c>
      <c r="E1694" s="8" t="s">
        <v>58</v>
      </c>
      <c r="F1694" s="8" t="s">
        <v>122</v>
      </c>
      <c r="G1694" s="8" t="s">
        <v>189</v>
      </c>
      <c r="H1694" s="8" t="s">
        <v>437</v>
      </c>
      <c r="I1694" s="8" t="s">
        <v>4967</v>
      </c>
      <c r="J1694" s="10">
        <v>252</v>
      </c>
      <c r="K1694" s="11">
        <v>1114.54</v>
      </c>
      <c r="L1694" s="11">
        <v>1537.01</v>
      </c>
      <c r="M1694" s="11">
        <v>387326.52</v>
      </c>
      <c r="N1694" s="11">
        <v>280864.08</v>
      </c>
      <c r="O1694" s="11">
        <f>CleanedData[[#This Row],[Total Sales ($)]]-CleanedData[[#This Row],[Total Cost ($)]]</f>
        <v>106462.44</v>
      </c>
      <c r="P1694" s="12">
        <f>CleanedData[[#This Row],[Profit ($)]]/CleanedData[[#This Row],[Total Sales ($)]]</f>
        <v>0.27486483497179587</v>
      </c>
      <c r="Q1694" s="8" t="s">
        <v>31</v>
      </c>
      <c r="R1694" s="8" t="s">
        <v>32</v>
      </c>
      <c r="S1694" s="8" t="b">
        <f>_xlfn.SINGLE(CleanedData[[#This Row],[Delivery Status]])="Late"</f>
        <v>1</v>
      </c>
      <c r="T1694" s="10">
        <v>15</v>
      </c>
      <c r="U1694" s="8" t="s">
        <v>112</v>
      </c>
      <c r="V1694" s="10">
        <v>4745</v>
      </c>
      <c r="W1694" s="10">
        <v>5</v>
      </c>
      <c r="X1694" s="12">
        <v>1.9841269841269799E-2</v>
      </c>
      <c r="Y1694" s="8" t="b">
        <f>CleanedData[[#This Row],[Ship Date]]&lt;CleanedData[[#This Row],[Order Date]]</f>
        <v>0</v>
      </c>
      <c r="Z1694" s="10">
        <f>YEAR(CleanedData[[#This Row],[Order Date]])</f>
        <v>2023</v>
      </c>
      <c r="AA1694" s="8">
        <f>MONTH(CleanedData[[#This Row],[Order Date]])</f>
        <v>3</v>
      </c>
    </row>
    <row r="1695" spans="1:27" x14ac:dyDescent="0.35">
      <c r="A1695" s="8" t="s">
        <v>4255</v>
      </c>
      <c r="B1695" s="9">
        <v>45126</v>
      </c>
      <c r="C1695" s="9">
        <v>45174</v>
      </c>
      <c r="D1695" s="8" t="s">
        <v>4256</v>
      </c>
      <c r="E1695" s="8" t="s">
        <v>58</v>
      </c>
      <c r="F1695" s="8" t="s">
        <v>417</v>
      </c>
      <c r="G1695" s="8" t="s">
        <v>217</v>
      </c>
      <c r="H1695" s="8" t="s">
        <v>218</v>
      </c>
      <c r="I1695" s="8" t="s">
        <v>4977</v>
      </c>
      <c r="J1695" s="10">
        <v>387</v>
      </c>
      <c r="K1695" s="11">
        <v>1070.96</v>
      </c>
      <c r="L1695" s="11">
        <v>1643.07</v>
      </c>
      <c r="M1695" s="11">
        <v>635868.09</v>
      </c>
      <c r="N1695" s="11">
        <v>414461.52</v>
      </c>
      <c r="O1695" s="11">
        <f>CleanedData[[#This Row],[Total Sales ($)]]-CleanedData[[#This Row],[Total Cost ($)]]</f>
        <v>221406.56999999995</v>
      </c>
      <c r="P1695" s="12">
        <f>CleanedData[[#This Row],[Profit ($)]]/CleanedData[[#This Row],[Total Sales ($)]]</f>
        <v>0.34819575550646042</v>
      </c>
      <c r="Q1695" s="8" t="s">
        <v>52</v>
      </c>
      <c r="R1695" s="8" t="s">
        <v>32</v>
      </c>
      <c r="S1695" s="8" t="b">
        <f>_xlfn.SINGLE(CleanedData[[#This Row],[Delivery Status]])="Late"</f>
        <v>1</v>
      </c>
      <c r="T1695" s="10">
        <v>12</v>
      </c>
      <c r="U1695" s="8" t="s">
        <v>33</v>
      </c>
      <c r="V1695" s="10">
        <v>1126</v>
      </c>
      <c r="W1695" s="10">
        <v>2</v>
      </c>
      <c r="X1695" s="12">
        <v>5.1679586563307001E-3</v>
      </c>
      <c r="Y1695" s="8" t="b">
        <f>CleanedData[[#This Row],[Ship Date]]&lt;CleanedData[[#This Row],[Order Date]]</f>
        <v>0</v>
      </c>
      <c r="Z1695" s="10">
        <f>YEAR(CleanedData[[#This Row],[Order Date]])</f>
        <v>2023</v>
      </c>
      <c r="AA1695" s="8">
        <f>MONTH(CleanedData[[#This Row],[Order Date]])</f>
        <v>7</v>
      </c>
    </row>
    <row r="1696" spans="1:27" x14ac:dyDescent="0.35">
      <c r="A1696" s="8" t="s">
        <v>4257</v>
      </c>
      <c r="B1696" s="9">
        <v>45252</v>
      </c>
      <c r="C1696" s="9">
        <v>45611</v>
      </c>
      <c r="D1696" s="8" t="s">
        <v>2437</v>
      </c>
      <c r="E1696" s="8" t="s">
        <v>26</v>
      </c>
      <c r="F1696" s="8" t="s">
        <v>4972</v>
      </c>
      <c r="G1696" s="8" t="s">
        <v>28</v>
      </c>
      <c r="H1696" s="8" t="s">
        <v>212</v>
      </c>
      <c r="I1696" s="8" t="s">
        <v>4978</v>
      </c>
      <c r="J1696" s="10">
        <v>473</v>
      </c>
      <c r="K1696" s="11">
        <v>-0.5</v>
      </c>
      <c r="L1696" s="11">
        <v>1418.68</v>
      </c>
      <c r="M1696" s="11">
        <v>671035.64</v>
      </c>
      <c r="N1696" s="11">
        <v>473709.5</v>
      </c>
      <c r="O1696" s="11">
        <f>CleanedData[[#This Row],[Total Sales ($)]]-CleanedData[[#This Row],[Total Cost ($)]]</f>
        <v>197326.14</v>
      </c>
      <c r="P1696" s="12">
        <f>CleanedData[[#This Row],[Profit ($)]]/CleanedData[[#This Row],[Total Sales ($)]]</f>
        <v>0.29406208588265148</v>
      </c>
      <c r="Q1696" s="8" t="s">
        <v>42</v>
      </c>
      <c r="R1696" s="8" t="s">
        <v>32</v>
      </c>
      <c r="S1696" s="8" t="b">
        <f>_xlfn.SINGLE(CleanedData[[#This Row],[Delivery Status]])="Late"</f>
        <v>1</v>
      </c>
      <c r="T1696" s="10">
        <v>15</v>
      </c>
      <c r="U1696" s="8" t="s">
        <v>112</v>
      </c>
      <c r="V1696" s="10">
        <v>1306</v>
      </c>
      <c r="W1696" s="10">
        <v>1</v>
      </c>
      <c r="X1696" s="12">
        <v>2.1141649048625E-3</v>
      </c>
      <c r="Y1696" s="8" t="b">
        <f>CleanedData[[#This Row],[Ship Date]]&lt;CleanedData[[#This Row],[Order Date]]</f>
        <v>0</v>
      </c>
      <c r="Z1696" s="10">
        <f>YEAR(CleanedData[[#This Row],[Order Date]])</f>
        <v>2023</v>
      </c>
      <c r="AA1696" s="8">
        <f>MONTH(CleanedData[[#This Row],[Order Date]])</f>
        <v>11</v>
      </c>
    </row>
    <row r="1697" spans="1:27" x14ac:dyDescent="0.35">
      <c r="A1697" s="8" t="s">
        <v>4259</v>
      </c>
      <c r="B1697" s="9">
        <v>45166</v>
      </c>
      <c r="C1697" s="9">
        <v>44941</v>
      </c>
      <c r="D1697" s="8" t="s">
        <v>4260</v>
      </c>
      <c r="E1697" s="8" t="s">
        <v>100</v>
      </c>
      <c r="F1697" s="8" t="s">
        <v>106</v>
      </c>
      <c r="G1697" s="8" t="s">
        <v>28</v>
      </c>
      <c r="H1697" s="8" t="s">
        <v>254</v>
      </c>
      <c r="I1697" s="8" t="s">
        <v>4979</v>
      </c>
      <c r="J1697" s="10">
        <v>333</v>
      </c>
      <c r="K1697" s="11">
        <v>144.63</v>
      </c>
      <c r="L1697" s="11">
        <v>175.01</v>
      </c>
      <c r="M1697" s="11">
        <v>58278.33</v>
      </c>
      <c r="N1697" s="11">
        <v>48161.79</v>
      </c>
      <c r="O1697" s="11">
        <f>CleanedData[[#This Row],[Total Sales ($)]]-CleanedData[[#This Row],[Total Cost ($)]]</f>
        <v>10116.540000000001</v>
      </c>
      <c r="P1697" s="12">
        <f>CleanedData[[#This Row],[Profit ($)]]/CleanedData[[#This Row],[Total Sales ($)]]</f>
        <v>0.17359008056682476</v>
      </c>
      <c r="Q1697" s="8" t="s">
        <v>42</v>
      </c>
      <c r="R1697" s="8" t="s">
        <v>32</v>
      </c>
      <c r="S1697" s="8" t="b">
        <f>_xlfn.SINGLE(CleanedData[[#This Row],[Delivery Status]])="Late"</f>
        <v>1</v>
      </c>
      <c r="T1697" s="10">
        <v>14</v>
      </c>
      <c r="U1697" s="8" t="s">
        <v>86</v>
      </c>
      <c r="V1697" s="10">
        <v>3026</v>
      </c>
      <c r="W1697" s="10">
        <v>12</v>
      </c>
      <c r="X1697" s="12">
        <v>3.6036036036036001E-2</v>
      </c>
      <c r="Y1697" s="8" t="b">
        <f>CleanedData[[#This Row],[Ship Date]]&lt;CleanedData[[#This Row],[Order Date]]</f>
        <v>1</v>
      </c>
      <c r="Z1697" s="10">
        <f>YEAR(CleanedData[[#This Row],[Order Date]])</f>
        <v>2023</v>
      </c>
      <c r="AA1697" s="8">
        <f>MONTH(CleanedData[[#This Row],[Order Date]])</f>
        <v>8</v>
      </c>
    </row>
    <row r="1698" spans="1:27" x14ac:dyDescent="0.35">
      <c r="A1698" s="8" t="s">
        <v>4261</v>
      </c>
      <c r="B1698" s="9">
        <v>45397</v>
      </c>
      <c r="C1698" s="9">
        <v>45416</v>
      </c>
      <c r="D1698" s="8" t="s">
        <v>4262</v>
      </c>
      <c r="E1698" s="8" t="s">
        <v>68</v>
      </c>
      <c r="F1698" s="8" t="s">
        <v>146</v>
      </c>
      <c r="G1698" s="8" t="s">
        <v>93</v>
      </c>
      <c r="H1698" s="8" t="s">
        <v>302</v>
      </c>
      <c r="I1698" s="8" t="s">
        <v>4993</v>
      </c>
      <c r="J1698" s="10">
        <v>-1</v>
      </c>
      <c r="K1698" s="11">
        <v>901.34</v>
      </c>
      <c r="L1698" s="11">
        <v>1069.19</v>
      </c>
      <c r="M1698" s="11">
        <v>32075.7</v>
      </c>
      <c r="N1698" s="11">
        <v>27040.2</v>
      </c>
      <c r="O1698" s="11">
        <f>CleanedData[[#This Row],[Total Sales ($)]]-CleanedData[[#This Row],[Total Cost ($)]]</f>
        <v>5035.5</v>
      </c>
      <c r="P1698" s="12">
        <f>CleanedData[[#This Row],[Profit ($)]]/CleanedData[[#This Row],[Total Sales ($)]]</f>
        <v>0.15698800026188048</v>
      </c>
      <c r="Q1698" s="8" t="s">
        <v>42</v>
      </c>
      <c r="R1698" s="8" t="s">
        <v>63</v>
      </c>
      <c r="S1698" s="8" t="b">
        <f>_xlfn.SINGLE(CleanedData[[#This Row],[Delivery Status]])="Late"</f>
        <v>0</v>
      </c>
      <c r="T1698" s="10">
        <v>4</v>
      </c>
      <c r="U1698" s="8" t="s">
        <v>53</v>
      </c>
      <c r="V1698" s="10">
        <v>2043</v>
      </c>
      <c r="W1698" s="10">
        <v>0</v>
      </c>
      <c r="X1698" s="12"/>
      <c r="Y1698" s="8" t="b">
        <f>CleanedData[[#This Row],[Ship Date]]&lt;CleanedData[[#This Row],[Order Date]]</f>
        <v>0</v>
      </c>
      <c r="Z1698" s="10">
        <f>YEAR(CleanedData[[#This Row],[Order Date]])</f>
        <v>2024</v>
      </c>
      <c r="AA1698" s="8">
        <f>MONTH(CleanedData[[#This Row],[Order Date]])</f>
        <v>4</v>
      </c>
    </row>
    <row r="1699" spans="1:27" x14ac:dyDescent="0.35">
      <c r="A1699" s="8" t="s">
        <v>4264</v>
      </c>
      <c r="B1699" s="9">
        <v>45269</v>
      </c>
      <c r="C1699" s="9">
        <v>45074</v>
      </c>
      <c r="D1699" s="8" t="s">
        <v>4265</v>
      </c>
      <c r="E1699" s="8" t="s">
        <v>58</v>
      </c>
      <c r="F1699" s="8" t="s">
        <v>59</v>
      </c>
      <c r="G1699" s="8" t="s">
        <v>50</v>
      </c>
      <c r="H1699" s="8" t="s">
        <v>117</v>
      </c>
      <c r="I1699" s="8" t="s">
        <v>4970</v>
      </c>
      <c r="J1699" s="10">
        <v>413</v>
      </c>
      <c r="K1699" s="11">
        <v>178.47</v>
      </c>
      <c r="L1699" s="11">
        <v>273.98</v>
      </c>
      <c r="M1699" s="11">
        <v>113153.74</v>
      </c>
      <c r="N1699" s="11">
        <v>73708.11</v>
      </c>
      <c r="O1699" s="11">
        <f>CleanedData[[#This Row],[Total Sales ($)]]-CleanedData[[#This Row],[Total Cost ($)]]</f>
        <v>39445.630000000005</v>
      </c>
      <c r="P1699" s="12">
        <f>CleanedData[[#This Row],[Profit ($)]]/CleanedData[[#This Row],[Total Sales ($)]]</f>
        <v>0.34860208774363094</v>
      </c>
      <c r="Q1699" s="8" t="s">
        <v>31</v>
      </c>
      <c r="R1699" s="8" t="s">
        <v>63</v>
      </c>
      <c r="S1699" s="8" t="b">
        <f>_xlfn.SINGLE(CleanedData[[#This Row],[Delivery Status]])="Late"</f>
        <v>0</v>
      </c>
      <c r="T1699" s="10">
        <v>3</v>
      </c>
      <c r="U1699" s="8" t="s">
        <v>158</v>
      </c>
      <c r="V1699" s="10">
        <v>2977</v>
      </c>
      <c r="W1699" s="10">
        <v>4</v>
      </c>
      <c r="X1699" s="12">
        <v>9.6852300242129992E-3</v>
      </c>
      <c r="Y1699" s="8" t="b">
        <f>CleanedData[[#This Row],[Ship Date]]&lt;CleanedData[[#This Row],[Order Date]]</f>
        <v>1</v>
      </c>
      <c r="Z1699" s="10">
        <f>YEAR(CleanedData[[#This Row],[Order Date]])</f>
        <v>2023</v>
      </c>
      <c r="AA1699" s="8">
        <f>MONTH(CleanedData[[#This Row],[Order Date]])</f>
        <v>12</v>
      </c>
    </row>
    <row r="1700" spans="1:27" x14ac:dyDescent="0.35">
      <c r="A1700" s="8" t="s">
        <v>4266</v>
      </c>
      <c r="B1700" s="9">
        <v>44979</v>
      </c>
      <c r="C1700" s="9">
        <v>45281</v>
      </c>
      <c r="D1700" s="8" t="s">
        <v>4267</v>
      </c>
      <c r="E1700" s="8" t="s">
        <v>100</v>
      </c>
      <c r="F1700" s="8" t="s">
        <v>101</v>
      </c>
      <c r="G1700" s="8" t="s">
        <v>189</v>
      </c>
      <c r="H1700" s="8" t="s">
        <v>360</v>
      </c>
      <c r="I1700" s="8" t="s">
        <v>4967</v>
      </c>
      <c r="J1700" s="10">
        <v>343</v>
      </c>
      <c r="K1700" s="11">
        <v>692.83</v>
      </c>
      <c r="L1700" s="11">
        <v>790.34</v>
      </c>
      <c r="M1700" s="11">
        <v>271086.62</v>
      </c>
      <c r="N1700" s="11">
        <v>237640.69</v>
      </c>
      <c r="O1700" s="11">
        <f>CleanedData[[#This Row],[Total Sales ($)]]-CleanedData[[#This Row],[Total Cost ($)]]</f>
        <v>33445.929999999993</v>
      </c>
      <c r="P1700" s="12">
        <f>CleanedData[[#This Row],[Profit ($)]]/CleanedData[[#This Row],[Total Sales ($)]]</f>
        <v>0.123377280664018</v>
      </c>
      <c r="Q1700" s="8" t="s">
        <v>42</v>
      </c>
      <c r="R1700" s="8" t="s">
        <v>32</v>
      </c>
      <c r="S1700" s="8" t="b">
        <f>_xlfn.SINGLE(CleanedData[[#This Row],[Delivery Status]])="Late"</f>
        <v>1</v>
      </c>
      <c r="T1700" s="10">
        <v>6</v>
      </c>
      <c r="U1700" s="8" t="s">
        <v>158</v>
      </c>
      <c r="V1700" s="10">
        <v>3398</v>
      </c>
      <c r="W1700" s="10">
        <v>15</v>
      </c>
      <c r="X1700" s="12">
        <v>4.3731778425655898E-2</v>
      </c>
      <c r="Y1700" s="8" t="b">
        <f>CleanedData[[#This Row],[Ship Date]]&lt;CleanedData[[#This Row],[Order Date]]</f>
        <v>0</v>
      </c>
      <c r="Z1700" s="10">
        <f>YEAR(CleanedData[[#This Row],[Order Date]])</f>
        <v>2023</v>
      </c>
      <c r="AA1700" s="8">
        <f>MONTH(CleanedData[[#This Row],[Order Date]])</f>
        <v>2</v>
      </c>
    </row>
    <row r="1701" spans="1:27" x14ac:dyDescent="0.35">
      <c r="A1701" s="8" t="s">
        <v>4268</v>
      </c>
      <c r="B1701" s="9">
        <v>45166</v>
      </c>
      <c r="C1701" s="9">
        <v>45173</v>
      </c>
      <c r="D1701" s="8" t="s">
        <v>4269</v>
      </c>
      <c r="E1701" s="8" t="s">
        <v>48</v>
      </c>
      <c r="F1701" s="8" t="s">
        <v>281</v>
      </c>
      <c r="G1701" s="8" t="s">
        <v>217</v>
      </c>
      <c r="H1701" s="8" t="s">
        <v>494</v>
      </c>
      <c r="I1701" s="8" t="s">
        <v>4975</v>
      </c>
      <c r="J1701" s="10">
        <v>281</v>
      </c>
      <c r="K1701" s="11">
        <v>1062.3499999999999</v>
      </c>
      <c r="L1701" s="11">
        <v>1238.52</v>
      </c>
      <c r="M1701" s="11">
        <v>348024.12</v>
      </c>
      <c r="N1701" s="11">
        <v>298520.34999999998</v>
      </c>
      <c r="O1701" s="11">
        <f>CleanedData[[#This Row],[Total Sales ($)]]-CleanedData[[#This Row],[Total Cost ($)]]</f>
        <v>49503.770000000019</v>
      </c>
      <c r="P1701" s="12">
        <f>CleanedData[[#This Row],[Profit ($)]]/CleanedData[[#This Row],[Total Sales ($)]]</f>
        <v>0.14224235377708883</v>
      </c>
      <c r="Q1701" s="8" t="s">
        <v>52</v>
      </c>
      <c r="R1701" s="8" t="s">
        <v>32</v>
      </c>
      <c r="S1701" s="8" t="b">
        <f>_xlfn.SINGLE(CleanedData[[#This Row],[Delivery Status]])="Late"</f>
        <v>1</v>
      </c>
      <c r="T1701" s="10">
        <v>11</v>
      </c>
      <c r="U1701" s="8" t="s">
        <v>158</v>
      </c>
      <c r="V1701" s="10">
        <v>2749</v>
      </c>
      <c r="W1701" s="10">
        <v>9</v>
      </c>
      <c r="X1701" s="12">
        <v>3.2028469750889597E-2</v>
      </c>
      <c r="Y1701" s="8" t="b">
        <f>CleanedData[[#This Row],[Ship Date]]&lt;CleanedData[[#This Row],[Order Date]]</f>
        <v>0</v>
      </c>
      <c r="Z1701" s="10">
        <f>YEAR(CleanedData[[#This Row],[Order Date]])</f>
        <v>2023</v>
      </c>
      <c r="AA1701" s="8">
        <f>MONTH(CleanedData[[#This Row],[Order Date]])</f>
        <v>8</v>
      </c>
    </row>
    <row r="1702" spans="1:27" x14ac:dyDescent="0.35">
      <c r="A1702" s="8" t="s">
        <v>4270</v>
      </c>
      <c r="B1702" s="9">
        <v>45025</v>
      </c>
      <c r="C1702" s="9">
        <v>45090</v>
      </c>
      <c r="D1702" s="8" t="s">
        <v>2989</v>
      </c>
      <c r="E1702" s="8" t="s">
        <v>58</v>
      </c>
      <c r="F1702" s="8" t="s">
        <v>417</v>
      </c>
      <c r="G1702" s="8" t="s">
        <v>28</v>
      </c>
      <c r="H1702" s="8" t="s">
        <v>674</v>
      </c>
      <c r="I1702" s="8" t="s">
        <v>4969</v>
      </c>
      <c r="J1702" s="10">
        <v>149</v>
      </c>
      <c r="K1702" s="11">
        <v>737.9</v>
      </c>
      <c r="L1702" s="11">
        <v>912.95</v>
      </c>
      <c r="M1702" s="11">
        <v>136029.54999999999</v>
      </c>
      <c r="N1702" s="11">
        <v>109947.1</v>
      </c>
      <c r="O1702" s="11">
        <f>CleanedData[[#This Row],[Total Sales ($)]]-CleanedData[[#This Row],[Total Cost ($)]]</f>
        <v>26082.449999999983</v>
      </c>
      <c r="P1702" s="12">
        <f>CleanedData[[#This Row],[Profit ($)]]/CleanedData[[#This Row],[Total Sales ($)]]</f>
        <v>0.19174105920368026</v>
      </c>
      <c r="Q1702" s="8" t="s">
        <v>95</v>
      </c>
      <c r="R1702" s="8" t="s">
        <v>32</v>
      </c>
      <c r="S1702" s="8" t="b">
        <f>_xlfn.SINGLE(CleanedData[[#This Row],[Delivery Status]])="Late"</f>
        <v>1</v>
      </c>
      <c r="T1702" s="10">
        <v>7</v>
      </c>
      <c r="U1702" s="8" t="s">
        <v>43</v>
      </c>
      <c r="V1702" s="10">
        <v>482</v>
      </c>
      <c r="W1702" s="10">
        <v>7</v>
      </c>
      <c r="X1702" s="12">
        <v>4.6979865771811999E-2</v>
      </c>
      <c r="Y1702" s="8" t="b">
        <f>CleanedData[[#This Row],[Ship Date]]&lt;CleanedData[[#This Row],[Order Date]]</f>
        <v>0</v>
      </c>
      <c r="Z1702" s="10">
        <f>YEAR(CleanedData[[#This Row],[Order Date]])</f>
        <v>2023</v>
      </c>
      <c r="AA1702" s="8">
        <f>MONTH(CleanedData[[#This Row],[Order Date]])</f>
        <v>4</v>
      </c>
    </row>
    <row r="1703" spans="1:27" x14ac:dyDescent="0.35">
      <c r="A1703" s="8" t="s">
        <v>4272</v>
      </c>
      <c r="B1703" s="9">
        <v>45153</v>
      </c>
      <c r="C1703" s="9">
        <v>45212</v>
      </c>
      <c r="D1703" s="8" t="s">
        <v>4273</v>
      </c>
      <c r="E1703" s="8" t="s">
        <v>100</v>
      </c>
      <c r="F1703" s="8" t="s">
        <v>106</v>
      </c>
      <c r="G1703" s="8" t="s">
        <v>60</v>
      </c>
      <c r="H1703" s="8" t="s">
        <v>539</v>
      </c>
      <c r="I1703" s="8" t="s">
        <v>4967</v>
      </c>
      <c r="J1703" s="10">
        <v>387</v>
      </c>
      <c r="K1703" s="11">
        <v>125.63</v>
      </c>
      <c r="L1703" s="11">
        <v>157.29</v>
      </c>
      <c r="M1703" s="11">
        <v>60871.23</v>
      </c>
      <c r="N1703" s="11">
        <v>48618.81</v>
      </c>
      <c r="O1703" s="11">
        <f>CleanedData[[#This Row],[Total Sales ($)]]-CleanedData[[#This Row],[Total Cost ($)]]</f>
        <v>12252.420000000006</v>
      </c>
      <c r="P1703" s="12">
        <f>CleanedData[[#This Row],[Profit ($)]]/CleanedData[[#This Row],[Total Sales ($)]]</f>
        <v>0.20128425201856451</v>
      </c>
      <c r="Q1703" s="8" t="s">
        <v>31</v>
      </c>
      <c r="R1703" s="8" t="s">
        <v>63</v>
      </c>
      <c r="S1703" s="8" t="b">
        <f>_xlfn.SINGLE(CleanedData[[#This Row],[Delivery Status]])="Late"</f>
        <v>0</v>
      </c>
      <c r="T1703" s="10">
        <v>5</v>
      </c>
      <c r="U1703" s="8" t="s">
        <v>43</v>
      </c>
      <c r="V1703" s="10">
        <v>3066</v>
      </c>
      <c r="W1703" s="10">
        <v>16</v>
      </c>
      <c r="X1703" s="12">
        <v>4.1343669250645997E-2</v>
      </c>
      <c r="Y1703" s="8" t="b">
        <f>CleanedData[[#This Row],[Ship Date]]&lt;CleanedData[[#This Row],[Order Date]]</f>
        <v>0</v>
      </c>
      <c r="Z1703" s="10">
        <f>YEAR(CleanedData[[#This Row],[Order Date]])</f>
        <v>2023</v>
      </c>
      <c r="AA1703" s="8">
        <f>MONTH(CleanedData[[#This Row],[Order Date]])</f>
        <v>8</v>
      </c>
    </row>
    <row r="1704" spans="1:27" x14ac:dyDescent="0.35">
      <c r="A1704" s="8" t="s">
        <v>336</v>
      </c>
      <c r="B1704" s="9">
        <v>45189</v>
      </c>
      <c r="C1704" s="9">
        <v>45245</v>
      </c>
      <c r="D1704" s="8" t="s">
        <v>339</v>
      </c>
      <c r="E1704" s="8" t="s">
        <v>48</v>
      </c>
      <c r="F1704" s="8" t="s">
        <v>281</v>
      </c>
      <c r="G1704" s="8" t="s">
        <v>217</v>
      </c>
      <c r="H1704" s="8" t="s">
        <v>340</v>
      </c>
      <c r="I1704" s="8" t="s">
        <v>4979</v>
      </c>
      <c r="J1704" s="10">
        <v>177</v>
      </c>
      <c r="K1704" s="11">
        <v>364.66</v>
      </c>
      <c r="L1704" s="11">
        <v>518.63</v>
      </c>
      <c r="M1704" s="11">
        <v>91797.51</v>
      </c>
      <c r="N1704" s="11">
        <v>64544.82</v>
      </c>
      <c r="O1704" s="11">
        <f>CleanedData[[#This Row],[Total Sales ($)]]-CleanedData[[#This Row],[Total Cost ($)]]</f>
        <v>27252.689999999995</v>
      </c>
      <c r="P1704" s="12">
        <f>CleanedData[[#This Row],[Profit ($)]]/CleanedData[[#This Row],[Total Sales ($)]]</f>
        <v>0.29687831401962861</v>
      </c>
      <c r="Q1704" s="8" t="s">
        <v>52</v>
      </c>
      <c r="R1704" s="8" t="s">
        <v>32</v>
      </c>
      <c r="S1704" s="8" t="b">
        <f>_xlfn.SINGLE(CleanedData[[#This Row],[Delivery Status]])="Late"</f>
        <v>1</v>
      </c>
      <c r="T1704" s="10">
        <v>13</v>
      </c>
      <c r="U1704" s="8" t="s">
        <v>158</v>
      </c>
      <c r="V1704" s="10">
        <v>468</v>
      </c>
      <c r="W1704" s="10">
        <v>8</v>
      </c>
      <c r="X1704" s="12">
        <v>4.5197740112994302E-2</v>
      </c>
      <c r="Y1704" s="8" t="b">
        <f>CleanedData[[#This Row],[Ship Date]]&lt;CleanedData[[#This Row],[Order Date]]</f>
        <v>0</v>
      </c>
      <c r="Z1704" s="10">
        <f>YEAR(CleanedData[[#This Row],[Order Date]])</f>
        <v>2023</v>
      </c>
      <c r="AA1704" s="8">
        <f>MONTH(CleanedData[[#This Row],[Order Date]])</f>
        <v>9</v>
      </c>
    </row>
    <row r="1705" spans="1:27" x14ac:dyDescent="0.35">
      <c r="A1705" s="8" t="s">
        <v>4275</v>
      </c>
      <c r="B1705" s="9">
        <v>45131</v>
      </c>
      <c r="C1705" s="9">
        <v>44969</v>
      </c>
      <c r="D1705" s="8" t="s">
        <v>4276</v>
      </c>
      <c r="E1705" s="8" t="s">
        <v>58</v>
      </c>
      <c r="F1705" s="8" t="s">
        <v>116</v>
      </c>
      <c r="G1705" s="8" t="s">
        <v>60</v>
      </c>
      <c r="H1705" s="8" t="s">
        <v>61</v>
      </c>
      <c r="I1705" s="8" t="s">
        <v>4978</v>
      </c>
      <c r="J1705" s="10">
        <v>527</v>
      </c>
      <c r="K1705" s="11">
        <v>170.05</v>
      </c>
      <c r="L1705" s="11">
        <v>190.62</v>
      </c>
      <c r="M1705" s="11">
        <v>100456.74</v>
      </c>
      <c r="N1705" s="11">
        <v>89616.35</v>
      </c>
      <c r="O1705" s="11">
        <f>CleanedData[[#This Row],[Total Sales ($)]]-CleanedData[[#This Row],[Total Cost ($)]]</f>
        <v>10840.39</v>
      </c>
      <c r="P1705" s="12">
        <f>CleanedData[[#This Row],[Profit ($)]]/CleanedData[[#This Row],[Total Sales ($)]]</f>
        <v>0.10791102717448325</v>
      </c>
      <c r="Q1705" s="8" t="s">
        <v>95</v>
      </c>
      <c r="R1705" s="8" t="s">
        <v>63</v>
      </c>
      <c r="S1705" s="8" t="b">
        <f>_xlfn.SINGLE(CleanedData[[#This Row],[Delivery Status]])="Late"</f>
        <v>0</v>
      </c>
      <c r="T1705" s="10">
        <v>3</v>
      </c>
      <c r="U1705" s="8" t="s">
        <v>33</v>
      </c>
      <c r="V1705" s="10">
        <v>3259</v>
      </c>
      <c r="W1705" s="10">
        <v>2</v>
      </c>
      <c r="X1705" s="12">
        <v>3.7950664136622001E-3</v>
      </c>
      <c r="Y1705" s="8" t="b">
        <f>CleanedData[[#This Row],[Ship Date]]&lt;CleanedData[[#This Row],[Order Date]]</f>
        <v>1</v>
      </c>
      <c r="Z1705" s="10">
        <f>YEAR(CleanedData[[#This Row],[Order Date]])</f>
        <v>2023</v>
      </c>
      <c r="AA1705" s="8">
        <f>MONTH(CleanedData[[#This Row],[Order Date]])</f>
        <v>7</v>
      </c>
    </row>
    <row r="1706" spans="1:27" x14ac:dyDescent="0.35">
      <c r="A1706" s="8" t="s">
        <v>4277</v>
      </c>
      <c r="B1706" s="9">
        <v>44986</v>
      </c>
      <c r="C1706" s="9">
        <v>45277</v>
      </c>
      <c r="D1706" s="8" t="s">
        <v>2112</v>
      </c>
      <c r="E1706" s="8" t="s">
        <v>58</v>
      </c>
      <c r="F1706" s="8" t="s">
        <v>259</v>
      </c>
      <c r="G1706" s="8" t="s">
        <v>189</v>
      </c>
      <c r="H1706" s="8" t="s">
        <v>437</v>
      </c>
      <c r="I1706" s="8" t="s">
        <v>4976</v>
      </c>
      <c r="J1706" s="10">
        <v>640</v>
      </c>
      <c r="K1706" s="11">
        <v>494.02</v>
      </c>
      <c r="L1706" s="11">
        <v>786.76</v>
      </c>
      <c r="M1706" s="11">
        <v>503526.40000000002</v>
      </c>
      <c r="N1706" s="11">
        <v>316172.79999999999</v>
      </c>
      <c r="O1706" s="11">
        <f>CleanedData[[#This Row],[Total Sales ($)]]-CleanedData[[#This Row],[Total Cost ($)]]</f>
        <v>187353.60000000003</v>
      </c>
      <c r="P1706" s="12">
        <f>CleanedData[[#This Row],[Profit ($)]]/CleanedData[[#This Row],[Total Sales ($)]]</f>
        <v>0.37208297320656875</v>
      </c>
      <c r="Q1706" s="8" t="s">
        <v>95</v>
      </c>
      <c r="R1706" s="8" t="s">
        <v>32</v>
      </c>
      <c r="S1706" s="8" t="b">
        <f>_xlfn.SINGLE(CleanedData[[#This Row],[Delivery Status]])="Late"</f>
        <v>1</v>
      </c>
      <c r="T1706" s="10">
        <v>14</v>
      </c>
      <c r="U1706" s="8" t="s">
        <v>33</v>
      </c>
      <c r="V1706" s="10">
        <v>2502</v>
      </c>
      <c r="W1706" s="10">
        <v>2</v>
      </c>
      <c r="X1706" s="12">
        <v>3.1250000000000002E-3</v>
      </c>
      <c r="Y1706" s="8" t="b">
        <f>CleanedData[[#This Row],[Ship Date]]&lt;CleanedData[[#This Row],[Order Date]]</f>
        <v>0</v>
      </c>
      <c r="Z1706" s="10">
        <f>YEAR(CleanedData[[#This Row],[Order Date]])</f>
        <v>2023</v>
      </c>
      <c r="AA1706" s="8">
        <f>MONTH(CleanedData[[#This Row],[Order Date]])</f>
        <v>3</v>
      </c>
    </row>
    <row r="1707" spans="1:27" x14ac:dyDescent="0.35">
      <c r="A1707" s="8" t="s">
        <v>4278</v>
      </c>
      <c r="B1707" s="9">
        <v>45287</v>
      </c>
      <c r="C1707" s="9">
        <v>44959</v>
      </c>
      <c r="D1707" s="8" t="s">
        <v>4279</v>
      </c>
      <c r="E1707" s="8" t="s">
        <v>68</v>
      </c>
      <c r="F1707" s="8" t="s">
        <v>146</v>
      </c>
      <c r="G1707" s="8" t="s">
        <v>39</v>
      </c>
      <c r="H1707" s="8" t="s">
        <v>664</v>
      </c>
      <c r="I1707" s="8" t="s">
        <v>4979</v>
      </c>
      <c r="J1707" s="10">
        <v>345</v>
      </c>
      <c r="K1707" s="11">
        <v>389.48</v>
      </c>
      <c r="L1707" s="11">
        <v>483.84</v>
      </c>
      <c r="M1707" s="11">
        <v>166924.79999999999</v>
      </c>
      <c r="N1707" s="11">
        <v>134370.6</v>
      </c>
      <c r="O1707" s="11">
        <f>CleanedData[[#This Row],[Total Sales ($)]]-CleanedData[[#This Row],[Total Cost ($)]]</f>
        <v>32554.199999999983</v>
      </c>
      <c r="P1707" s="12">
        <f>CleanedData[[#This Row],[Profit ($)]]/CleanedData[[#This Row],[Total Sales ($)]]</f>
        <v>0.19502314814814806</v>
      </c>
      <c r="Q1707" s="8" t="s">
        <v>31</v>
      </c>
      <c r="R1707" s="8" t="s">
        <v>63</v>
      </c>
      <c r="S1707" s="8" t="b">
        <f>_xlfn.SINGLE(CleanedData[[#This Row],[Delivery Status]])="Late"</f>
        <v>0</v>
      </c>
      <c r="T1707" s="10">
        <v>3</v>
      </c>
      <c r="U1707" s="8" t="s">
        <v>33</v>
      </c>
      <c r="V1707" s="10">
        <v>2723</v>
      </c>
      <c r="W1707" s="10">
        <v>7</v>
      </c>
      <c r="X1707" s="12">
        <v>2.0289855072463701E-2</v>
      </c>
      <c r="Y1707" s="8" t="b">
        <f>CleanedData[[#This Row],[Ship Date]]&lt;CleanedData[[#This Row],[Order Date]]</f>
        <v>1</v>
      </c>
      <c r="Z1707" s="10">
        <f>YEAR(CleanedData[[#This Row],[Order Date]])</f>
        <v>2023</v>
      </c>
      <c r="AA1707" s="8">
        <f>MONTH(CleanedData[[#This Row],[Order Date]])</f>
        <v>12</v>
      </c>
    </row>
    <row r="1708" spans="1:27" x14ac:dyDescent="0.35">
      <c r="A1708" s="8" t="s">
        <v>4280</v>
      </c>
      <c r="B1708" s="9">
        <v>44929</v>
      </c>
      <c r="C1708" s="9">
        <v>45193</v>
      </c>
      <c r="D1708" s="8" t="s">
        <v>4281</v>
      </c>
      <c r="E1708" s="8" t="s">
        <v>68</v>
      </c>
      <c r="F1708" s="8" t="s">
        <v>249</v>
      </c>
      <c r="G1708" s="8" t="s">
        <v>70</v>
      </c>
      <c r="H1708" s="8" t="s">
        <v>446</v>
      </c>
      <c r="I1708" s="8" t="s">
        <v>4969</v>
      </c>
      <c r="J1708" s="10">
        <v>409</v>
      </c>
      <c r="K1708" s="11">
        <v>1144.82</v>
      </c>
      <c r="L1708" s="11">
        <v>1747.66</v>
      </c>
      <c r="M1708" s="11">
        <v>714792.94</v>
      </c>
      <c r="N1708" s="11">
        <v>468231.38</v>
      </c>
      <c r="O1708" s="11">
        <f>CleanedData[[#This Row],[Total Sales ($)]]-CleanedData[[#This Row],[Total Cost ($)]]</f>
        <v>246561.55999999994</v>
      </c>
      <c r="P1708" s="12">
        <f>CleanedData[[#This Row],[Profit ($)]]/CleanedData[[#This Row],[Total Sales ($)]]</f>
        <v>0.34494123570946289</v>
      </c>
      <c r="Q1708" s="8" t="s">
        <v>31</v>
      </c>
      <c r="R1708" s="8" t="s">
        <v>63</v>
      </c>
      <c r="S1708" s="8" t="b">
        <f>_xlfn.SINGLE(CleanedData[[#This Row],[Delivery Status]])="Late"</f>
        <v>0</v>
      </c>
      <c r="T1708" s="10">
        <v>2</v>
      </c>
      <c r="U1708" s="8" t="s">
        <v>158</v>
      </c>
      <c r="V1708" s="10">
        <v>1624</v>
      </c>
      <c r="W1708" s="10">
        <v>19</v>
      </c>
      <c r="X1708" s="12">
        <v>4.6454767726161299E-2</v>
      </c>
      <c r="Y1708" s="8" t="b">
        <f>CleanedData[[#This Row],[Ship Date]]&lt;CleanedData[[#This Row],[Order Date]]</f>
        <v>0</v>
      </c>
      <c r="Z1708" s="10">
        <f>YEAR(CleanedData[[#This Row],[Order Date]])</f>
        <v>2023</v>
      </c>
      <c r="AA1708" s="8">
        <f>MONTH(CleanedData[[#This Row],[Order Date]])</f>
        <v>1</v>
      </c>
    </row>
    <row r="1709" spans="1:27" x14ac:dyDescent="0.35">
      <c r="A1709" s="8" t="s">
        <v>4282</v>
      </c>
      <c r="B1709" s="9">
        <v>44948</v>
      </c>
      <c r="C1709" s="9">
        <v>45250</v>
      </c>
      <c r="D1709" s="8" t="s">
        <v>4231</v>
      </c>
      <c r="E1709" s="8" t="s">
        <v>68</v>
      </c>
      <c r="F1709" s="8" t="s">
        <v>276</v>
      </c>
      <c r="G1709" s="8" t="s">
        <v>60</v>
      </c>
      <c r="H1709" s="8" t="s">
        <v>400</v>
      </c>
      <c r="I1709" s="8" t="s">
        <v>4971</v>
      </c>
      <c r="J1709" s="10">
        <v>706</v>
      </c>
      <c r="K1709" s="11">
        <v>162.5</v>
      </c>
      <c r="L1709" s="11">
        <v>246.68</v>
      </c>
      <c r="M1709" s="11">
        <v>174156.08</v>
      </c>
      <c r="N1709" s="11">
        <v>114725</v>
      </c>
      <c r="O1709" s="11">
        <f>CleanedData[[#This Row],[Total Sales ($)]]-CleanedData[[#This Row],[Total Cost ($)]]</f>
        <v>59431.079999999987</v>
      </c>
      <c r="P1709" s="12">
        <f>CleanedData[[#This Row],[Profit ($)]]/CleanedData[[#This Row],[Total Sales ($)]]</f>
        <v>0.34125182422571748</v>
      </c>
      <c r="Q1709" s="8" t="s">
        <v>52</v>
      </c>
      <c r="R1709" s="8" t="s">
        <v>63</v>
      </c>
      <c r="S1709" s="8" t="b">
        <f>_xlfn.SINGLE(CleanedData[[#This Row],[Delivery Status]])="Late"</f>
        <v>0</v>
      </c>
      <c r="T1709" s="10">
        <v>2</v>
      </c>
      <c r="U1709" s="8" t="s">
        <v>86</v>
      </c>
      <c r="V1709" s="10">
        <v>3385</v>
      </c>
      <c r="W1709" s="10">
        <v>7</v>
      </c>
      <c r="X1709" s="12">
        <v>9.9150141643059003E-3</v>
      </c>
      <c r="Y1709" s="8" t="b">
        <f>CleanedData[[#This Row],[Ship Date]]&lt;CleanedData[[#This Row],[Order Date]]</f>
        <v>0</v>
      </c>
      <c r="Z1709" s="10">
        <f>YEAR(CleanedData[[#This Row],[Order Date]])</f>
        <v>2023</v>
      </c>
      <c r="AA1709" s="8">
        <f>MONTH(CleanedData[[#This Row],[Order Date]])</f>
        <v>1</v>
      </c>
    </row>
    <row r="1710" spans="1:27" x14ac:dyDescent="0.35">
      <c r="A1710" s="8" t="s">
        <v>4283</v>
      </c>
      <c r="B1710" s="9">
        <v>45056</v>
      </c>
      <c r="C1710" s="9">
        <v>45139</v>
      </c>
      <c r="D1710" s="8" t="s">
        <v>4284</v>
      </c>
      <c r="E1710" s="8" t="s">
        <v>100</v>
      </c>
      <c r="F1710" s="8" t="s">
        <v>106</v>
      </c>
      <c r="G1710" s="8" t="s">
        <v>70</v>
      </c>
      <c r="H1710" s="8" t="s">
        <v>84</v>
      </c>
      <c r="I1710" s="8" t="s">
        <v>4977</v>
      </c>
      <c r="J1710" s="10">
        <v>172</v>
      </c>
      <c r="K1710" s="11">
        <v>229.94</v>
      </c>
      <c r="L1710" s="11">
        <v>293.89999999999998</v>
      </c>
      <c r="M1710" s="11">
        <v>50550.8</v>
      </c>
      <c r="N1710" s="11">
        <v>39549.68</v>
      </c>
      <c r="O1710" s="11">
        <f>CleanedData[[#This Row],[Total Sales ($)]]-CleanedData[[#This Row],[Total Cost ($)]]</f>
        <v>11001.120000000003</v>
      </c>
      <c r="P1710" s="12">
        <f>CleanedData[[#This Row],[Profit ($)]]/CleanedData[[#This Row],[Total Sales ($)]]</f>
        <v>0.21762504253147333</v>
      </c>
      <c r="Q1710" s="8" t="s">
        <v>52</v>
      </c>
      <c r="R1710" s="8" t="s">
        <v>32</v>
      </c>
      <c r="S1710" s="8" t="b">
        <f>_xlfn.SINGLE(CleanedData[[#This Row],[Delivery Status]])="Late"</f>
        <v>1</v>
      </c>
      <c r="T1710" s="10">
        <v>15</v>
      </c>
      <c r="U1710" s="8" t="s">
        <v>53</v>
      </c>
      <c r="V1710" s="10">
        <v>3545</v>
      </c>
      <c r="W1710" s="10">
        <v>1</v>
      </c>
      <c r="X1710" s="12">
        <v>5.8139534883720001E-3</v>
      </c>
      <c r="Y1710" s="8" t="b">
        <f>CleanedData[[#This Row],[Ship Date]]&lt;CleanedData[[#This Row],[Order Date]]</f>
        <v>0</v>
      </c>
      <c r="Z1710" s="10">
        <f>YEAR(CleanedData[[#This Row],[Order Date]])</f>
        <v>2023</v>
      </c>
      <c r="AA1710" s="8">
        <f>MONTH(CleanedData[[#This Row],[Order Date]])</f>
        <v>5</v>
      </c>
    </row>
    <row r="1711" spans="1:27" x14ac:dyDescent="0.35">
      <c r="A1711" s="8" t="s">
        <v>4285</v>
      </c>
      <c r="B1711" s="9">
        <v>44947</v>
      </c>
      <c r="C1711" s="9">
        <v>45232</v>
      </c>
      <c r="D1711" s="8" t="s">
        <v>4286</v>
      </c>
      <c r="E1711" s="8" t="s">
        <v>48</v>
      </c>
      <c r="F1711" s="8" t="s">
        <v>2791</v>
      </c>
      <c r="G1711" s="8" t="s">
        <v>129</v>
      </c>
      <c r="H1711" s="8" t="s">
        <v>316</v>
      </c>
      <c r="I1711" s="8" t="s">
        <v>4969</v>
      </c>
      <c r="J1711" s="10">
        <v>683</v>
      </c>
      <c r="K1711" s="11">
        <v>1091.54</v>
      </c>
      <c r="L1711" s="11">
        <v>1377.12</v>
      </c>
      <c r="M1711" s="11">
        <v>940572.96</v>
      </c>
      <c r="N1711" s="11">
        <v>745521.82</v>
      </c>
      <c r="O1711" s="11">
        <f>CleanedData[[#This Row],[Total Sales ($)]]-CleanedData[[#This Row],[Total Cost ($)]]</f>
        <v>195051.14</v>
      </c>
      <c r="P1711" s="12">
        <f>CleanedData[[#This Row],[Profit ($)]]/CleanedData[[#This Row],[Total Sales ($)]]</f>
        <v>0.20737481120018592</v>
      </c>
      <c r="Q1711" s="8" t="s">
        <v>31</v>
      </c>
      <c r="R1711" s="8" t="s">
        <v>63</v>
      </c>
      <c r="S1711" s="8" t="b">
        <f>_xlfn.SINGLE(CleanedData[[#This Row],[Delivery Status]])="Late"</f>
        <v>0</v>
      </c>
      <c r="T1711" s="10">
        <v>2</v>
      </c>
      <c r="U1711" s="8" t="s">
        <v>112</v>
      </c>
      <c r="V1711" s="10">
        <v>1930</v>
      </c>
      <c r="W1711" s="10">
        <v>3</v>
      </c>
      <c r="X1711" s="12">
        <v>4.3923865300145998E-3</v>
      </c>
      <c r="Y1711" s="8" t="b">
        <f>CleanedData[[#This Row],[Ship Date]]&lt;CleanedData[[#This Row],[Order Date]]</f>
        <v>0</v>
      </c>
      <c r="Z1711" s="10">
        <f>YEAR(CleanedData[[#This Row],[Order Date]])</f>
        <v>2023</v>
      </c>
      <c r="AA1711" s="8">
        <f>MONTH(CleanedData[[#This Row],[Order Date]])</f>
        <v>1</v>
      </c>
    </row>
    <row r="1712" spans="1:27" x14ac:dyDescent="0.35">
      <c r="A1712" s="8" t="s">
        <v>4287</v>
      </c>
      <c r="B1712" s="9">
        <v>44961</v>
      </c>
      <c r="C1712" s="9">
        <v>45091</v>
      </c>
      <c r="D1712" s="8" t="s">
        <v>4288</v>
      </c>
      <c r="E1712" s="8" t="s">
        <v>48</v>
      </c>
      <c r="F1712" s="8" t="s">
        <v>270</v>
      </c>
      <c r="G1712" s="8" t="s">
        <v>39</v>
      </c>
      <c r="H1712" s="8" t="s">
        <v>354</v>
      </c>
      <c r="I1712" s="8" t="s">
        <v>4969</v>
      </c>
      <c r="J1712" s="10">
        <v>469</v>
      </c>
      <c r="K1712" s="11">
        <v>923.32</v>
      </c>
      <c r="L1712" s="11">
        <v>1059.3399999999999</v>
      </c>
      <c r="M1712" s="11">
        <v>496830.46</v>
      </c>
      <c r="N1712" s="11">
        <v>433037.08</v>
      </c>
      <c r="O1712" s="11">
        <f>CleanedData[[#This Row],[Total Sales ($)]]-CleanedData[[#This Row],[Total Cost ($)]]</f>
        <v>63793.380000000005</v>
      </c>
      <c r="P1712" s="12">
        <f>CleanedData[[#This Row],[Profit ($)]]/CleanedData[[#This Row],[Total Sales ($)]]</f>
        <v>0.12840070232408859</v>
      </c>
      <c r="Q1712" s="8" t="s">
        <v>31</v>
      </c>
      <c r="R1712" s="8" t="s">
        <v>32</v>
      </c>
      <c r="S1712" s="8" t="b">
        <f>_xlfn.SINGLE(CleanedData[[#This Row],[Delivery Status]])="Late"</f>
        <v>1</v>
      </c>
      <c r="T1712" s="10">
        <v>10</v>
      </c>
      <c r="U1712" s="8" t="s">
        <v>33</v>
      </c>
      <c r="V1712" s="10">
        <v>4688</v>
      </c>
      <c r="W1712" s="10">
        <v>18</v>
      </c>
      <c r="X1712" s="12">
        <v>3.8379530916844297E-2</v>
      </c>
      <c r="Y1712" s="8" t="b">
        <f>CleanedData[[#This Row],[Ship Date]]&lt;CleanedData[[#This Row],[Order Date]]</f>
        <v>0</v>
      </c>
      <c r="Z1712" s="10">
        <f>YEAR(CleanedData[[#This Row],[Order Date]])</f>
        <v>2023</v>
      </c>
      <c r="AA1712" s="8">
        <f>MONTH(CleanedData[[#This Row],[Order Date]])</f>
        <v>2</v>
      </c>
    </row>
    <row r="1713" spans="1:27" x14ac:dyDescent="0.35">
      <c r="A1713" s="8" t="s">
        <v>4289</v>
      </c>
      <c r="B1713" s="9">
        <v>45004</v>
      </c>
      <c r="C1713" s="9">
        <v>45196</v>
      </c>
      <c r="D1713" s="8" t="s">
        <v>3817</v>
      </c>
      <c r="E1713" s="8" t="s">
        <v>100</v>
      </c>
      <c r="F1713" s="8" t="s">
        <v>101</v>
      </c>
      <c r="G1713" s="8" t="s">
        <v>78</v>
      </c>
      <c r="H1713" s="8" t="s">
        <v>628</v>
      </c>
      <c r="I1713" s="8" t="s">
        <v>4979</v>
      </c>
      <c r="J1713" s="10">
        <v>44</v>
      </c>
      <c r="K1713" s="11">
        <v>344.25</v>
      </c>
      <c r="L1713" s="11">
        <v>516.48</v>
      </c>
      <c r="M1713" s="11">
        <v>22725.119999999999</v>
      </c>
      <c r="N1713" s="11">
        <v>15147</v>
      </c>
      <c r="O1713" s="11">
        <f>CleanedData[[#This Row],[Total Sales ($)]]-CleanedData[[#This Row],[Total Cost ($)]]</f>
        <v>7578.119999999999</v>
      </c>
      <c r="P1713" s="12">
        <f>CleanedData[[#This Row],[Profit ($)]]/CleanedData[[#This Row],[Total Sales ($)]]</f>
        <v>0.33346886617100369</v>
      </c>
      <c r="Q1713" s="8" t="s">
        <v>95</v>
      </c>
      <c r="R1713" s="8" t="s">
        <v>32</v>
      </c>
      <c r="S1713" s="8" t="b">
        <f>_xlfn.SINGLE(CleanedData[[#This Row],[Delivery Status]])="Late"</f>
        <v>1</v>
      </c>
      <c r="T1713" s="10">
        <v>11</v>
      </c>
      <c r="U1713" s="8" t="s">
        <v>158</v>
      </c>
      <c r="V1713" s="10">
        <v>71</v>
      </c>
      <c r="W1713" s="10"/>
      <c r="X1713" s="12"/>
      <c r="Y1713" s="8" t="b">
        <f>CleanedData[[#This Row],[Ship Date]]&lt;CleanedData[[#This Row],[Order Date]]</f>
        <v>0</v>
      </c>
      <c r="Z1713" s="10">
        <f>YEAR(CleanedData[[#This Row],[Order Date]])</f>
        <v>2023</v>
      </c>
      <c r="AA1713" s="8">
        <f>MONTH(CleanedData[[#This Row],[Order Date]])</f>
        <v>3</v>
      </c>
    </row>
    <row r="1714" spans="1:27" x14ac:dyDescent="0.35">
      <c r="A1714" s="8" t="s">
        <v>4290</v>
      </c>
      <c r="B1714" s="9">
        <v>45461</v>
      </c>
      <c r="C1714" s="9">
        <v>45328</v>
      </c>
      <c r="D1714" s="8" t="s">
        <v>4292</v>
      </c>
      <c r="E1714" s="8" t="s">
        <v>26</v>
      </c>
      <c r="F1714" s="8" t="s">
        <v>38</v>
      </c>
      <c r="G1714" s="8" t="s">
        <v>50</v>
      </c>
      <c r="H1714" s="8" t="s">
        <v>51</v>
      </c>
      <c r="I1714" s="8" t="s">
        <v>4979</v>
      </c>
      <c r="J1714" s="10">
        <v>604</v>
      </c>
      <c r="K1714" s="11">
        <v>999.57</v>
      </c>
      <c r="L1714" s="11">
        <v>1298.28</v>
      </c>
      <c r="M1714" s="11">
        <v>784161.12</v>
      </c>
      <c r="N1714" s="11">
        <v>603740.28</v>
      </c>
      <c r="O1714" s="11">
        <f>CleanedData[[#This Row],[Total Sales ($)]]-CleanedData[[#This Row],[Total Cost ($)]]</f>
        <v>180420.83999999997</v>
      </c>
      <c r="P1714" s="12">
        <f>CleanedData[[#This Row],[Profit ($)]]/CleanedData[[#This Row],[Total Sales ($)]]</f>
        <v>0.23008133838617242</v>
      </c>
      <c r="Q1714" s="8" t="s">
        <v>52</v>
      </c>
      <c r="R1714" s="8" t="s">
        <v>32</v>
      </c>
      <c r="S1714" s="8" t="b">
        <f>_xlfn.SINGLE(CleanedData[[#This Row],[Delivery Status]])="Late"</f>
        <v>1</v>
      </c>
      <c r="T1714" s="10">
        <v>7</v>
      </c>
      <c r="U1714" s="8" t="s">
        <v>43</v>
      </c>
      <c r="V1714" s="10">
        <v>3271</v>
      </c>
      <c r="W1714" s="10">
        <v>12</v>
      </c>
      <c r="X1714" s="12">
        <v>1.98675496688741E-2</v>
      </c>
      <c r="Y1714" s="8" t="b">
        <f>CleanedData[[#This Row],[Ship Date]]&lt;CleanedData[[#This Row],[Order Date]]</f>
        <v>1</v>
      </c>
      <c r="Z1714" s="10">
        <f>YEAR(CleanedData[[#This Row],[Order Date]])</f>
        <v>2024</v>
      </c>
      <c r="AA1714" s="8">
        <f>MONTH(CleanedData[[#This Row],[Order Date]])</f>
        <v>6</v>
      </c>
    </row>
    <row r="1715" spans="1:27" x14ac:dyDescent="0.35">
      <c r="A1715" s="8" t="s">
        <v>4293</v>
      </c>
      <c r="B1715" s="9">
        <v>45086</v>
      </c>
      <c r="C1715" s="9">
        <v>45244</v>
      </c>
      <c r="D1715" s="8" t="s">
        <v>1389</v>
      </c>
      <c r="E1715" s="8" t="s">
        <v>48</v>
      </c>
      <c r="F1715" s="8" t="s">
        <v>183</v>
      </c>
      <c r="G1715" s="8" t="s">
        <v>60</v>
      </c>
      <c r="H1715" s="8" t="s">
        <v>164</v>
      </c>
      <c r="I1715" s="8" t="s">
        <v>4973</v>
      </c>
      <c r="J1715" s="10">
        <v>427</v>
      </c>
      <c r="K1715" s="11">
        <v>816.73</v>
      </c>
      <c r="L1715" s="11">
        <v>1193.97</v>
      </c>
      <c r="M1715" s="11">
        <v>509825.19</v>
      </c>
      <c r="N1715" s="11">
        <v>348743.71</v>
      </c>
      <c r="O1715" s="11">
        <f>CleanedData[[#This Row],[Total Sales ($)]]-CleanedData[[#This Row],[Total Cost ($)]]</f>
        <v>161081.47999999998</v>
      </c>
      <c r="P1715" s="12">
        <f>CleanedData[[#This Row],[Profit ($)]]/CleanedData[[#This Row],[Total Sales ($)]]</f>
        <v>0.31595433721115268</v>
      </c>
      <c r="Q1715" s="8" t="s">
        <v>31</v>
      </c>
      <c r="R1715" s="8" t="s">
        <v>32</v>
      </c>
      <c r="S1715" s="8" t="b">
        <f>_xlfn.SINGLE(CleanedData[[#This Row],[Delivery Status]])="Late"</f>
        <v>1</v>
      </c>
      <c r="T1715" s="10">
        <v>7</v>
      </c>
      <c r="U1715" s="8" t="s">
        <v>112</v>
      </c>
      <c r="V1715" s="10">
        <v>1253</v>
      </c>
      <c r="W1715" s="10">
        <v>5</v>
      </c>
      <c r="X1715" s="12">
        <v>1.1709601873536301E-2</v>
      </c>
      <c r="Y1715" s="8" t="b">
        <f>CleanedData[[#This Row],[Ship Date]]&lt;CleanedData[[#This Row],[Order Date]]</f>
        <v>0</v>
      </c>
      <c r="Z1715" s="10">
        <f>YEAR(CleanedData[[#This Row],[Order Date]])</f>
        <v>2023</v>
      </c>
      <c r="AA1715" s="8">
        <f>MONTH(CleanedData[[#This Row],[Order Date]])</f>
        <v>6</v>
      </c>
    </row>
    <row r="1716" spans="1:27" x14ac:dyDescent="0.35">
      <c r="A1716" s="8" t="s">
        <v>4294</v>
      </c>
      <c r="B1716" s="9">
        <v>44970</v>
      </c>
      <c r="C1716" s="9">
        <v>45123</v>
      </c>
      <c r="D1716" s="8" t="s">
        <v>4295</v>
      </c>
      <c r="E1716" s="8" t="s">
        <v>48</v>
      </c>
      <c r="F1716" s="8" t="s">
        <v>281</v>
      </c>
      <c r="G1716" s="8" t="s">
        <v>78</v>
      </c>
      <c r="H1716" s="8" t="s">
        <v>572</v>
      </c>
      <c r="I1716" s="8" t="s">
        <v>4974</v>
      </c>
      <c r="J1716" s="10">
        <v>652</v>
      </c>
      <c r="K1716" s="11">
        <v>862.73</v>
      </c>
      <c r="L1716" s="11">
        <v>1269.9000000000001</v>
      </c>
      <c r="M1716" s="11">
        <v>827974.8</v>
      </c>
      <c r="N1716" s="11">
        <v>562499.96</v>
      </c>
      <c r="O1716" s="11">
        <f>CleanedData[[#This Row],[Total Sales ($)]]-CleanedData[[#This Row],[Total Cost ($)]]</f>
        <v>265474.84000000008</v>
      </c>
      <c r="P1716" s="12">
        <f>CleanedData[[#This Row],[Profit ($)]]/CleanedData[[#This Row],[Total Sales ($)]]</f>
        <v>0.32063154579100722</v>
      </c>
      <c r="Q1716" s="8" t="s">
        <v>31</v>
      </c>
      <c r="R1716" s="8" t="s">
        <v>63</v>
      </c>
      <c r="S1716" s="8" t="b">
        <f>_xlfn.SINGLE(CleanedData[[#This Row],[Delivery Status]])="Late"</f>
        <v>0</v>
      </c>
      <c r="T1716" s="10">
        <v>5</v>
      </c>
      <c r="U1716" s="8" t="s">
        <v>158</v>
      </c>
      <c r="V1716" s="10">
        <v>1914</v>
      </c>
      <c r="W1716" s="10">
        <v>7</v>
      </c>
      <c r="X1716" s="12">
        <v>1.07361963190184E-2</v>
      </c>
      <c r="Y1716" s="8" t="b">
        <f>CleanedData[[#This Row],[Ship Date]]&lt;CleanedData[[#This Row],[Order Date]]</f>
        <v>0</v>
      </c>
      <c r="Z1716" s="10">
        <f>YEAR(CleanedData[[#This Row],[Order Date]])</f>
        <v>2023</v>
      </c>
      <c r="AA1716" s="8">
        <f>MONTH(CleanedData[[#This Row],[Order Date]])</f>
        <v>2</v>
      </c>
    </row>
    <row r="1717" spans="1:27" x14ac:dyDescent="0.35">
      <c r="A1717" s="8" t="s">
        <v>4296</v>
      </c>
      <c r="B1717" s="9">
        <v>44949</v>
      </c>
      <c r="C1717" s="9">
        <v>45145</v>
      </c>
      <c r="D1717" s="8" t="s">
        <v>4297</v>
      </c>
      <c r="E1717" s="8" t="s">
        <v>48</v>
      </c>
      <c r="F1717" s="8" t="s">
        <v>281</v>
      </c>
      <c r="G1717" s="8" t="s">
        <v>78</v>
      </c>
      <c r="H1717" s="8" t="s">
        <v>481</v>
      </c>
      <c r="I1717" s="8" t="s">
        <v>4979</v>
      </c>
      <c r="J1717" s="10">
        <v>691</v>
      </c>
      <c r="K1717" s="11">
        <v>1065.1199999999999</v>
      </c>
      <c r="L1717" s="11">
        <v>1394.86</v>
      </c>
      <c r="M1717" s="11">
        <v>963848.26</v>
      </c>
      <c r="N1717" s="11">
        <v>735997.92</v>
      </c>
      <c r="O1717" s="11">
        <f>CleanedData[[#This Row],[Total Sales ($)]]-CleanedData[[#This Row],[Total Cost ($)]]</f>
        <v>227850.33999999997</v>
      </c>
      <c r="P1717" s="12">
        <f>CleanedData[[#This Row],[Profit ($)]]/CleanedData[[#This Row],[Total Sales ($)]]</f>
        <v>0.23639648423497694</v>
      </c>
      <c r="Q1717" s="8" t="s">
        <v>42</v>
      </c>
      <c r="R1717" s="8" t="s">
        <v>63</v>
      </c>
      <c r="S1717" s="8" t="b">
        <f>_xlfn.SINGLE(CleanedData[[#This Row],[Delivery Status]])="Late"</f>
        <v>0</v>
      </c>
      <c r="T1717" s="10">
        <v>3</v>
      </c>
      <c r="U1717" s="8" t="s">
        <v>33</v>
      </c>
      <c r="V1717" s="10">
        <v>2054</v>
      </c>
      <c r="W1717" s="10">
        <v>24</v>
      </c>
      <c r="X1717" s="12">
        <v>3.4732272069464498E-2</v>
      </c>
      <c r="Y1717" s="8" t="b">
        <f>CleanedData[[#This Row],[Ship Date]]&lt;CleanedData[[#This Row],[Order Date]]</f>
        <v>0</v>
      </c>
      <c r="Z1717" s="10">
        <f>YEAR(CleanedData[[#This Row],[Order Date]])</f>
        <v>2023</v>
      </c>
      <c r="AA1717" s="8">
        <f>MONTH(CleanedData[[#This Row],[Order Date]])</f>
        <v>1</v>
      </c>
    </row>
    <row r="1718" spans="1:27" x14ac:dyDescent="0.35">
      <c r="A1718" s="8" t="s">
        <v>4298</v>
      </c>
      <c r="B1718" s="9">
        <v>45568</v>
      </c>
      <c r="C1718" s="9">
        <v>45609</v>
      </c>
      <c r="D1718" s="8" t="s">
        <v>4299</v>
      </c>
      <c r="E1718" s="8" t="s">
        <v>26</v>
      </c>
      <c r="F1718" s="8" t="s">
        <v>92</v>
      </c>
      <c r="G1718" s="8" t="s">
        <v>39</v>
      </c>
      <c r="H1718" s="8" t="s">
        <v>527</v>
      </c>
      <c r="I1718" s="8" t="s">
        <v>4994</v>
      </c>
      <c r="J1718" s="10">
        <v>748</v>
      </c>
      <c r="K1718" s="11">
        <v>464.11</v>
      </c>
      <c r="L1718" s="11">
        <v>731.43</v>
      </c>
      <c r="M1718" s="11">
        <v>547109.64</v>
      </c>
      <c r="N1718" s="11">
        <v>347154.28</v>
      </c>
      <c r="O1718" s="11">
        <f>CleanedData[[#This Row],[Total Sales ($)]]-CleanedData[[#This Row],[Total Cost ($)]]</f>
        <v>199955.36</v>
      </c>
      <c r="P1718" s="12">
        <f>CleanedData[[#This Row],[Profit ($)]]/CleanedData[[#This Row],[Total Sales ($)]]</f>
        <v>0.36547584867998301</v>
      </c>
      <c r="Q1718" s="8" t="s">
        <v>95</v>
      </c>
      <c r="R1718" s="8" t="s">
        <v>32</v>
      </c>
      <c r="S1718" s="8" t="b">
        <f>_xlfn.SINGLE(CleanedData[[#This Row],[Delivery Status]])="Late"</f>
        <v>1</v>
      </c>
      <c r="T1718" s="10">
        <v>9</v>
      </c>
      <c r="U1718" s="8" t="s">
        <v>158</v>
      </c>
      <c r="V1718" s="10">
        <v>272</v>
      </c>
      <c r="W1718" s="10">
        <v>0</v>
      </c>
      <c r="X1718" s="12">
        <v>0</v>
      </c>
      <c r="Y1718" s="8" t="b">
        <f>CleanedData[[#This Row],[Ship Date]]&lt;CleanedData[[#This Row],[Order Date]]</f>
        <v>0</v>
      </c>
      <c r="Z1718" s="10">
        <f>YEAR(CleanedData[[#This Row],[Order Date]])</f>
        <v>2024</v>
      </c>
      <c r="AA1718" s="8">
        <f>MONTH(CleanedData[[#This Row],[Order Date]])</f>
        <v>10</v>
      </c>
    </row>
    <row r="1719" spans="1:27" x14ac:dyDescent="0.35">
      <c r="A1719" s="8" t="s">
        <v>4301</v>
      </c>
      <c r="B1719" s="9">
        <v>45128</v>
      </c>
      <c r="C1719" s="9">
        <v>45011</v>
      </c>
      <c r="D1719" s="8" t="s">
        <v>2729</v>
      </c>
      <c r="E1719" s="8" t="s">
        <v>58</v>
      </c>
      <c r="F1719" s="8" t="s">
        <v>417</v>
      </c>
      <c r="G1719" s="8" t="s">
        <v>129</v>
      </c>
      <c r="H1719" s="8" t="s">
        <v>130</v>
      </c>
      <c r="I1719" s="8" t="s">
        <v>4971</v>
      </c>
      <c r="J1719" s="10">
        <v>769</v>
      </c>
      <c r="K1719" s="11">
        <v>900.42</v>
      </c>
      <c r="L1719" s="11">
        <v>1472.19</v>
      </c>
      <c r="M1719" s="11">
        <v>1132114.1100000001</v>
      </c>
      <c r="N1719" s="11">
        <v>692422.98</v>
      </c>
      <c r="O1719" s="11">
        <f>CleanedData[[#This Row],[Total Sales ($)]]-CleanedData[[#This Row],[Total Cost ($)]]</f>
        <v>439691.13000000012</v>
      </c>
      <c r="P1719" s="12">
        <f>CleanedData[[#This Row],[Profit ($)]]/CleanedData[[#This Row],[Total Sales ($)]]</f>
        <v>0.38838057587675512</v>
      </c>
      <c r="Q1719" s="8" t="s">
        <v>52</v>
      </c>
      <c r="R1719" s="8" t="s">
        <v>63</v>
      </c>
      <c r="S1719" s="8" t="b">
        <f>_xlfn.SINGLE(CleanedData[[#This Row],[Delivery Status]])="Late"</f>
        <v>0</v>
      </c>
      <c r="T1719" s="10">
        <v>0</v>
      </c>
      <c r="U1719" s="8" t="s">
        <v>53</v>
      </c>
      <c r="V1719" s="10">
        <v>3182</v>
      </c>
      <c r="W1719" s="10">
        <v>11</v>
      </c>
      <c r="X1719" s="12">
        <v>1.43042912873862E-2</v>
      </c>
      <c r="Y1719" s="8" t="b">
        <f>CleanedData[[#This Row],[Ship Date]]&lt;CleanedData[[#This Row],[Order Date]]</f>
        <v>1</v>
      </c>
      <c r="Z1719" s="10">
        <f>YEAR(CleanedData[[#This Row],[Order Date]])</f>
        <v>2023</v>
      </c>
      <c r="AA1719" s="8">
        <f>MONTH(CleanedData[[#This Row],[Order Date]])</f>
        <v>7</v>
      </c>
    </row>
    <row r="1720" spans="1:27" x14ac:dyDescent="0.35">
      <c r="A1720" s="8" t="s">
        <v>4302</v>
      </c>
      <c r="B1720" s="9">
        <v>45071</v>
      </c>
      <c r="C1720" s="9">
        <v>45048</v>
      </c>
      <c r="D1720" s="8" t="s">
        <v>4304</v>
      </c>
      <c r="E1720" s="8" t="s">
        <v>48</v>
      </c>
      <c r="F1720" s="8" t="s">
        <v>223</v>
      </c>
      <c r="G1720" s="8" t="s">
        <v>189</v>
      </c>
      <c r="H1720" s="8" t="s">
        <v>311</v>
      </c>
      <c r="I1720" s="8" t="s">
        <v>4972</v>
      </c>
      <c r="J1720" s="10">
        <v>371</v>
      </c>
      <c r="K1720" s="11">
        <v>-0.5</v>
      </c>
      <c r="L1720" s="11">
        <v>1275.72</v>
      </c>
      <c r="M1720" s="11">
        <v>473292.12</v>
      </c>
      <c r="N1720" s="11">
        <v>414763.16</v>
      </c>
      <c r="O1720" s="11">
        <f>CleanedData[[#This Row],[Total Sales ($)]]-CleanedData[[#This Row],[Total Cost ($)]]</f>
        <v>58528.960000000021</v>
      </c>
      <c r="P1720" s="12">
        <f>CleanedData[[#This Row],[Profit ($)]]/CleanedData[[#This Row],[Total Sales ($)]]</f>
        <v>0.12366349982754841</v>
      </c>
      <c r="Q1720" s="8" t="s">
        <v>52</v>
      </c>
      <c r="R1720" s="8" t="s">
        <v>32</v>
      </c>
      <c r="S1720" s="8" t="b">
        <f>_xlfn.SINGLE(CleanedData[[#This Row],[Delivery Status]])="Late"</f>
        <v>1</v>
      </c>
      <c r="T1720" s="10">
        <v>14</v>
      </c>
      <c r="U1720" s="8" t="s">
        <v>86</v>
      </c>
      <c r="V1720" s="10">
        <v>2501.41</v>
      </c>
      <c r="W1720" s="10">
        <v>2</v>
      </c>
      <c r="X1720" s="12">
        <v>5.3908355795147999E-3</v>
      </c>
      <c r="Y1720" s="8" t="b">
        <f>CleanedData[[#This Row],[Ship Date]]&lt;CleanedData[[#This Row],[Order Date]]</f>
        <v>1</v>
      </c>
      <c r="Z1720" s="10">
        <f>YEAR(CleanedData[[#This Row],[Order Date]])</f>
        <v>2023</v>
      </c>
      <c r="AA1720" s="8">
        <f>MONTH(CleanedData[[#This Row],[Order Date]])</f>
        <v>5</v>
      </c>
    </row>
    <row r="1721" spans="1:27" x14ac:dyDescent="0.35">
      <c r="A1721" s="8" t="s">
        <v>4305</v>
      </c>
      <c r="B1721" s="9">
        <v>45638</v>
      </c>
      <c r="C1721" s="9">
        <v>45573</v>
      </c>
      <c r="D1721" s="8" t="s">
        <v>4307</v>
      </c>
      <c r="E1721" s="8" t="s">
        <v>48</v>
      </c>
      <c r="F1721" s="8" t="s">
        <v>281</v>
      </c>
      <c r="G1721" s="8" t="s">
        <v>93</v>
      </c>
      <c r="H1721" s="8" t="s">
        <v>1442</v>
      </c>
      <c r="I1721" s="8" t="s">
        <v>4974</v>
      </c>
      <c r="J1721" s="10">
        <v>517</v>
      </c>
      <c r="K1721" s="11">
        <v>1025.3599999999999</v>
      </c>
      <c r="L1721" s="11">
        <v>1403.04</v>
      </c>
      <c r="M1721" s="11">
        <v>725371.68</v>
      </c>
      <c r="N1721" s="11">
        <v>530111.12</v>
      </c>
      <c r="O1721" s="11">
        <f>CleanedData[[#This Row],[Total Sales ($)]]-CleanedData[[#This Row],[Total Cost ($)]]</f>
        <v>195260.56000000006</v>
      </c>
      <c r="P1721" s="12">
        <f>CleanedData[[#This Row],[Profit ($)]]/CleanedData[[#This Row],[Total Sales ($)]]</f>
        <v>0.26918690842741483</v>
      </c>
      <c r="Q1721" s="8" t="s">
        <v>52</v>
      </c>
      <c r="R1721" s="8" t="s">
        <v>32</v>
      </c>
      <c r="S1721" s="8" t="b">
        <f>_xlfn.SINGLE(CleanedData[[#This Row],[Delivery Status]])="Late"</f>
        <v>1</v>
      </c>
      <c r="T1721" s="10">
        <v>6</v>
      </c>
      <c r="U1721" s="8" t="s">
        <v>158</v>
      </c>
      <c r="V1721" s="10">
        <v>2879</v>
      </c>
      <c r="W1721" s="10">
        <v>24</v>
      </c>
      <c r="X1721" s="12">
        <v>4.6421663442939999E-2</v>
      </c>
      <c r="Y1721" s="8" t="b">
        <f>CleanedData[[#This Row],[Ship Date]]&lt;CleanedData[[#This Row],[Order Date]]</f>
        <v>1</v>
      </c>
      <c r="Z1721" s="10">
        <f>YEAR(CleanedData[[#This Row],[Order Date]])</f>
        <v>2024</v>
      </c>
      <c r="AA1721" s="8">
        <f>MONTH(CleanedData[[#This Row],[Order Date]])</f>
        <v>12</v>
      </c>
    </row>
    <row r="1722" spans="1:27" x14ac:dyDescent="0.35">
      <c r="A1722" s="8" t="s">
        <v>4308</v>
      </c>
      <c r="B1722" s="9">
        <v>45118</v>
      </c>
      <c r="C1722" s="9">
        <v>44944</v>
      </c>
      <c r="D1722" s="8" t="s">
        <v>4310</v>
      </c>
      <c r="E1722" s="8" t="s">
        <v>26</v>
      </c>
      <c r="F1722" s="8" t="s">
        <v>38</v>
      </c>
      <c r="G1722" s="8" t="s">
        <v>39</v>
      </c>
      <c r="H1722" s="8" t="s">
        <v>647</v>
      </c>
      <c r="I1722" s="8" t="s">
        <v>4971</v>
      </c>
      <c r="J1722" s="10">
        <v>609</v>
      </c>
      <c r="K1722" s="11">
        <v>1098</v>
      </c>
      <c r="L1722" s="11">
        <v>1465.75</v>
      </c>
      <c r="M1722" s="11">
        <v>892641.75</v>
      </c>
      <c r="N1722" s="11">
        <v>668682</v>
      </c>
      <c r="O1722" s="11">
        <f>CleanedData[[#This Row],[Total Sales ($)]]-CleanedData[[#This Row],[Total Cost ($)]]</f>
        <v>223959.75</v>
      </c>
      <c r="P1722" s="12">
        <f>CleanedData[[#This Row],[Profit ($)]]/CleanedData[[#This Row],[Total Sales ($)]]</f>
        <v>0.25089544601739722</v>
      </c>
      <c r="Q1722" s="8" t="s">
        <v>42</v>
      </c>
      <c r="R1722" s="8" t="s">
        <v>63</v>
      </c>
      <c r="S1722" s="8" t="b">
        <f>_xlfn.SINGLE(CleanedData[[#This Row],[Delivery Status]])="Late"</f>
        <v>0</v>
      </c>
      <c r="T1722" s="10">
        <v>5</v>
      </c>
      <c r="U1722" s="8" t="s">
        <v>86</v>
      </c>
      <c r="V1722" s="10">
        <v>397</v>
      </c>
      <c r="W1722" s="10">
        <v>21</v>
      </c>
      <c r="X1722" s="12">
        <v>3.4482758620689599E-2</v>
      </c>
      <c r="Y1722" s="8" t="b">
        <f>CleanedData[[#This Row],[Ship Date]]&lt;CleanedData[[#This Row],[Order Date]]</f>
        <v>1</v>
      </c>
      <c r="Z1722" s="10">
        <f>YEAR(CleanedData[[#This Row],[Order Date]])</f>
        <v>2023</v>
      </c>
      <c r="AA1722" s="8">
        <f>MONTH(CleanedData[[#This Row],[Order Date]])</f>
        <v>7</v>
      </c>
    </row>
    <row r="1723" spans="1:27" x14ac:dyDescent="0.35">
      <c r="A1723" s="8" t="s">
        <v>4311</v>
      </c>
      <c r="B1723" s="9">
        <v>45132</v>
      </c>
      <c r="C1723" s="9">
        <v>45065</v>
      </c>
      <c r="D1723" s="8" t="s">
        <v>4312</v>
      </c>
      <c r="E1723" s="8" t="s">
        <v>26</v>
      </c>
      <c r="F1723" s="8" t="s">
        <v>38</v>
      </c>
      <c r="G1723" s="8" t="s">
        <v>78</v>
      </c>
      <c r="H1723" s="8" t="s">
        <v>628</v>
      </c>
      <c r="I1723" s="8" t="s">
        <v>4974</v>
      </c>
      <c r="J1723" s="10">
        <v>397</v>
      </c>
      <c r="K1723" s="11">
        <v>235.58</v>
      </c>
      <c r="L1723" s="11">
        <v>346.45</v>
      </c>
      <c r="M1723" s="11">
        <v>137540.65</v>
      </c>
      <c r="N1723" s="11">
        <v>93525.26</v>
      </c>
      <c r="O1723" s="11">
        <f>CleanedData[[#This Row],[Total Sales ($)]]-CleanedData[[#This Row],[Total Cost ($)]]</f>
        <v>44015.39</v>
      </c>
      <c r="P1723" s="12">
        <f>CleanedData[[#This Row],[Profit ($)]]/CleanedData[[#This Row],[Total Sales ($)]]</f>
        <v>0.32001731851638043</v>
      </c>
      <c r="Q1723" s="8" t="s">
        <v>95</v>
      </c>
      <c r="R1723" s="8" t="s">
        <v>4972</v>
      </c>
      <c r="S1723" s="8" t="b">
        <f>_xlfn.SINGLE(CleanedData[[#This Row],[Delivery Status]])="Late"</f>
        <v>0</v>
      </c>
      <c r="T1723" s="10">
        <v>13</v>
      </c>
      <c r="U1723" s="8" t="s">
        <v>33</v>
      </c>
      <c r="V1723" s="10">
        <v>4536</v>
      </c>
      <c r="W1723" s="10">
        <v>16</v>
      </c>
      <c r="X1723" s="12">
        <v>4.03022670025188E-2</v>
      </c>
      <c r="Y1723" s="8" t="b">
        <f>CleanedData[[#This Row],[Ship Date]]&lt;CleanedData[[#This Row],[Order Date]]</f>
        <v>1</v>
      </c>
      <c r="Z1723" s="10">
        <f>YEAR(CleanedData[[#This Row],[Order Date]])</f>
        <v>2023</v>
      </c>
      <c r="AA1723" s="8">
        <f>MONTH(CleanedData[[#This Row],[Order Date]])</f>
        <v>7</v>
      </c>
    </row>
    <row r="1724" spans="1:27" x14ac:dyDescent="0.35">
      <c r="A1724" s="8" t="s">
        <v>4313</v>
      </c>
      <c r="B1724" s="9">
        <v>45590</v>
      </c>
      <c r="C1724" s="9">
        <v>45424</v>
      </c>
      <c r="D1724" s="8" t="s">
        <v>4314</v>
      </c>
      <c r="E1724" s="8" t="s">
        <v>48</v>
      </c>
      <c r="F1724" s="8" t="s">
        <v>223</v>
      </c>
      <c r="G1724" s="8" t="s">
        <v>129</v>
      </c>
      <c r="H1724" s="8" t="s">
        <v>345</v>
      </c>
      <c r="I1724" s="8" t="s">
        <v>4970</v>
      </c>
      <c r="J1724" s="10">
        <v>159</v>
      </c>
      <c r="K1724" s="11">
        <v>989.59</v>
      </c>
      <c r="L1724" s="11">
        <v>1374.57</v>
      </c>
      <c r="M1724" s="11">
        <v>218556.63</v>
      </c>
      <c r="N1724" s="11">
        <v>157344.81</v>
      </c>
      <c r="O1724" s="11">
        <f>CleanedData[[#This Row],[Total Sales ($)]]-CleanedData[[#This Row],[Total Cost ($)]]</f>
        <v>61211.820000000007</v>
      </c>
      <c r="P1724" s="12">
        <f>CleanedData[[#This Row],[Profit ($)]]/CleanedData[[#This Row],[Total Sales ($)]]</f>
        <v>0.28007304102373837</v>
      </c>
      <c r="Q1724" s="8" t="s">
        <v>52</v>
      </c>
      <c r="R1724" s="8" t="s">
        <v>63</v>
      </c>
      <c r="S1724" s="8" t="b">
        <f>_xlfn.SINGLE(CleanedData[[#This Row],[Delivery Status]])="Late"</f>
        <v>0</v>
      </c>
      <c r="T1724" s="10">
        <v>3</v>
      </c>
      <c r="U1724" s="8" t="s">
        <v>86</v>
      </c>
      <c r="V1724" s="10">
        <v>1003</v>
      </c>
      <c r="W1724" s="10">
        <v>2</v>
      </c>
      <c r="X1724" s="12">
        <v>1.25786163522012E-2</v>
      </c>
      <c r="Y1724" s="8" t="b">
        <f>CleanedData[[#This Row],[Ship Date]]&lt;CleanedData[[#This Row],[Order Date]]</f>
        <v>1</v>
      </c>
      <c r="Z1724" s="10">
        <f>YEAR(CleanedData[[#This Row],[Order Date]])</f>
        <v>2024</v>
      </c>
      <c r="AA1724" s="8">
        <f>MONTH(CleanedData[[#This Row],[Order Date]])</f>
        <v>10</v>
      </c>
    </row>
    <row r="1725" spans="1:27" x14ac:dyDescent="0.35">
      <c r="A1725" s="8" t="s">
        <v>4315</v>
      </c>
      <c r="B1725" s="9">
        <v>44994</v>
      </c>
      <c r="C1725" s="9">
        <v>45244</v>
      </c>
      <c r="D1725" s="8" t="s">
        <v>3023</v>
      </c>
      <c r="E1725" s="8" t="s">
        <v>4972</v>
      </c>
      <c r="F1725" s="8" t="s">
        <v>77</v>
      </c>
      <c r="G1725" s="8" t="s">
        <v>70</v>
      </c>
      <c r="H1725" s="8" t="s">
        <v>84</v>
      </c>
      <c r="I1725" s="8" t="s">
        <v>4970</v>
      </c>
      <c r="J1725" s="10">
        <v>460</v>
      </c>
      <c r="K1725" s="11">
        <v>168.36</v>
      </c>
      <c r="L1725" s="11">
        <v>241.97</v>
      </c>
      <c r="M1725" s="11">
        <v>111306.2</v>
      </c>
      <c r="N1725" s="11">
        <v>77445.600000000006</v>
      </c>
      <c r="O1725" s="11">
        <f>CleanedData[[#This Row],[Total Sales ($)]]-CleanedData[[#This Row],[Total Cost ($)]]</f>
        <v>33860.599999999991</v>
      </c>
      <c r="P1725" s="12">
        <f>CleanedData[[#This Row],[Profit ($)]]/CleanedData[[#This Row],[Total Sales ($)]]</f>
        <v>0.304211265859404</v>
      </c>
      <c r="Q1725" s="8" t="s">
        <v>95</v>
      </c>
      <c r="R1725" s="8" t="s">
        <v>32</v>
      </c>
      <c r="S1725" s="8" t="b">
        <f>_xlfn.SINGLE(CleanedData[[#This Row],[Delivery Status]])="Late"</f>
        <v>1</v>
      </c>
      <c r="T1725" s="10">
        <v>12</v>
      </c>
      <c r="U1725" s="8" t="s">
        <v>86</v>
      </c>
      <c r="V1725" s="10">
        <v>1947</v>
      </c>
      <c r="W1725" s="10">
        <v>5</v>
      </c>
      <c r="X1725" s="12">
        <v>1.0869565217391301E-2</v>
      </c>
      <c r="Y1725" s="8" t="b">
        <f>CleanedData[[#This Row],[Ship Date]]&lt;CleanedData[[#This Row],[Order Date]]</f>
        <v>0</v>
      </c>
      <c r="Z1725" s="10">
        <f>YEAR(CleanedData[[#This Row],[Order Date]])</f>
        <v>2023</v>
      </c>
      <c r="AA1725" s="8">
        <f>MONTH(CleanedData[[#This Row],[Order Date]])</f>
        <v>3</v>
      </c>
    </row>
    <row r="1726" spans="1:27" x14ac:dyDescent="0.35">
      <c r="A1726" s="8" t="s">
        <v>4316</v>
      </c>
      <c r="B1726" s="9">
        <v>45285</v>
      </c>
      <c r="C1726" s="9">
        <v>44996</v>
      </c>
      <c r="D1726" s="8" t="s">
        <v>4317</v>
      </c>
      <c r="E1726" s="8" t="s">
        <v>68</v>
      </c>
      <c r="F1726" s="8" t="s">
        <v>69</v>
      </c>
      <c r="G1726" s="8" t="s">
        <v>129</v>
      </c>
      <c r="H1726" s="8" t="s">
        <v>811</v>
      </c>
      <c r="I1726" s="8" t="s">
        <v>4973</v>
      </c>
      <c r="J1726" s="10">
        <v>392</v>
      </c>
      <c r="K1726" s="11">
        <v>860.95</v>
      </c>
      <c r="L1726" s="11">
        <v>1054.6099999999999</v>
      </c>
      <c r="M1726" s="11">
        <v>413407.12</v>
      </c>
      <c r="N1726" s="11">
        <v>337492.4</v>
      </c>
      <c r="O1726" s="11">
        <f>CleanedData[[#This Row],[Total Sales ($)]]-CleanedData[[#This Row],[Total Cost ($)]]</f>
        <v>75914.719999999972</v>
      </c>
      <c r="P1726" s="12">
        <f>CleanedData[[#This Row],[Profit ($)]]/CleanedData[[#This Row],[Total Sales ($)]]</f>
        <v>0.18363186391177774</v>
      </c>
      <c r="Q1726" s="8" t="s">
        <v>31</v>
      </c>
      <c r="R1726" s="8" t="s">
        <v>63</v>
      </c>
      <c r="S1726" s="8" t="b">
        <f>_xlfn.SINGLE(CleanedData[[#This Row],[Delivery Status]])="Late"</f>
        <v>0</v>
      </c>
      <c r="T1726" s="10">
        <v>5</v>
      </c>
      <c r="U1726" s="8" t="s">
        <v>33</v>
      </c>
      <c r="V1726" s="10">
        <v>3364</v>
      </c>
      <c r="W1726" s="10">
        <v>11</v>
      </c>
      <c r="X1726" s="12">
        <v>2.8061224489795901E-2</v>
      </c>
      <c r="Y1726" s="8" t="b">
        <f>CleanedData[[#This Row],[Ship Date]]&lt;CleanedData[[#This Row],[Order Date]]</f>
        <v>1</v>
      </c>
      <c r="Z1726" s="10">
        <f>YEAR(CleanedData[[#This Row],[Order Date]])</f>
        <v>2023</v>
      </c>
      <c r="AA1726" s="8">
        <f>MONTH(CleanedData[[#This Row],[Order Date]])</f>
        <v>12</v>
      </c>
    </row>
    <row r="1727" spans="1:27" x14ac:dyDescent="0.35">
      <c r="A1727" s="8" t="s">
        <v>4318</v>
      </c>
      <c r="B1727" s="9">
        <v>45407</v>
      </c>
      <c r="C1727" s="9">
        <v>45644</v>
      </c>
      <c r="D1727" s="8" t="s">
        <v>4319</v>
      </c>
      <c r="E1727" s="8" t="s">
        <v>48</v>
      </c>
      <c r="F1727" s="8" t="s">
        <v>281</v>
      </c>
      <c r="G1727" s="8" t="s">
        <v>129</v>
      </c>
      <c r="H1727" s="8" t="s">
        <v>4972</v>
      </c>
      <c r="I1727" s="8" t="s">
        <v>4967</v>
      </c>
      <c r="J1727" s="10">
        <v>552</v>
      </c>
      <c r="K1727" s="11">
        <v>685.38</v>
      </c>
      <c r="L1727" s="11">
        <v>862.79</v>
      </c>
      <c r="M1727" s="11">
        <v>476260.08</v>
      </c>
      <c r="N1727" s="11">
        <v>378329.76</v>
      </c>
      <c r="O1727" s="11">
        <f>CleanedData[[#This Row],[Total Sales ($)]]-CleanedData[[#This Row],[Total Cost ($)]]</f>
        <v>97930.32</v>
      </c>
      <c r="P1727" s="12">
        <f>CleanedData[[#This Row],[Profit ($)]]/CleanedData[[#This Row],[Total Sales ($)]]</f>
        <v>0.205623616407237</v>
      </c>
      <c r="Q1727" s="8" t="s">
        <v>42</v>
      </c>
      <c r="R1727" s="8" t="s">
        <v>32</v>
      </c>
      <c r="S1727" s="8" t="b">
        <f>_xlfn.SINGLE(CleanedData[[#This Row],[Delivery Status]])="Late"</f>
        <v>1</v>
      </c>
      <c r="T1727" s="10">
        <v>10</v>
      </c>
      <c r="U1727" s="8" t="s">
        <v>33</v>
      </c>
      <c r="V1727" s="10">
        <v>1672</v>
      </c>
      <c r="W1727" s="10">
        <v>26</v>
      </c>
      <c r="X1727" s="12">
        <v>4.7101449275362299E-2</v>
      </c>
      <c r="Y1727" s="8" t="b">
        <f>CleanedData[[#This Row],[Ship Date]]&lt;CleanedData[[#This Row],[Order Date]]</f>
        <v>0</v>
      </c>
      <c r="Z1727" s="10">
        <f>YEAR(CleanedData[[#This Row],[Order Date]])</f>
        <v>2024</v>
      </c>
      <c r="AA1727" s="8">
        <f>MONTH(CleanedData[[#This Row],[Order Date]])</f>
        <v>4</v>
      </c>
    </row>
    <row r="1728" spans="1:27" x14ac:dyDescent="0.35">
      <c r="A1728" s="8" t="s">
        <v>4320</v>
      </c>
      <c r="B1728" s="9">
        <v>44996</v>
      </c>
      <c r="C1728" s="9">
        <v>44940</v>
      </c>
      <c r="D1728" s="8" t="s">
        <v>4321</v>
      </c>
      <c r="E1728" s="8" t="s">
        <v>58</v>
      </c>
      <c r="F1728" s="8" t="s">
        <v>59</v>
      </c>
      <c r="G1728" s="8" t="s">
        <v>28</v>
      </c>
      <c r="H1728" s="8" t="s">
        <v>674</v>
      </c>
      <c r="I1728" s="8" t="s">
        <v>4970</v>
      </c>
      <c r="J1728" s="10">
        <v>784</v>
      </c>
      <c r="K1728" s="11">
        <v>101.77</v>
      </c>
      <c r="L1728" s="11">
        <v>153.13</v>
      </c>
      <c r="M1728" s="11">
        <v>120053.92</v>
      </c>
      <c r="N1728" s="11">
        <v>79787.679999999993</v>
      </c>
      <c r="O1728" s="11">
        <f>CleanedData[[#This Row],[Total Sales ($)]]-CleanedData[[#This Row],[Total Cost ($)]]</f>
        <v>40266.240000000005</v>
      </c>
      <c r="P1728" s="12">
        <f>CleanedData[[#This Row],[Profit ($)]]/CleanedData[[#This Row],[Total Sales ($)]]</f>
        <v>0.33540129301900351</v>
      </c>
      <c r="Q1728" s="8" t="s">
        <v>95</v>
      </c>
      <c r="R1728" s="8" t="s">
        <v>32</v>
      </c>
      <c r="S1728" s="8" t="b">
        <f>_xlfn.SINGLE(CleanedData[[#This Row],[Delivery Status]])="Late"</f>
        <v>1</v>
      </c>
      <c r="T1728" s="10">
        <v>6</v>
      </c>
      <c r="U1728" s="8" t="s">
        <v>158</v>
      </c>
      <c r="V1728" s="10">
        <v>1327</v>
      </c>
      <c r="W1728" s="10">
        <v>30</v>
      </c>
      <c r="X1728" s="12">
        <v>3.8265306122448897E-2</v>
      </c>
      <c r="Y1728" s="8" t="b">
        <f>CleanedData[[#This Row],[Ship Date]]&lt;CleanedData[[#This Row],[Order Date]]</f>
        <v>1</v>
      </c>
      <c r="Z1728" s="10">
        <f>YEAR(CleanedData[[#This Row],[Order Date]])</f>
        <v>2023</v>
      </c>
      <c r="AA1728" s="8">
        <f>MONTH(CleanedData[[#This Row],[Order Date]])</f>
        <v>3</v>
      </c>
    </row>
    <row r="1729" spans="1:27" x14ac:dyDescent="0.35">
      <c r="A1729" s="8" t="s">
        <v>4322</v>
      </c>
      <c r="B1729" s="9">
        <v>45214</v>
      </c>
      <c r="C1729" s="9">
        <v>45193</v>
      </c>
      <c r="D1729" s="8" t="s">
        <v>4323</v>
      </c>
      <c r="E1729" s="8" t="s">
        <v>100</v>
      </c>
      <c r="F1729" s="8" t="s">
        <v>330</v>
      </c>
      <c r="G1729" s="8" t="s">
        <v>50</v>
      </c>
      <c r="H1729" s="8" t="s">
        <v>260</v>
      </c>
      <c r="I1729" s="8" t="s">
        <v>4967</v>
      </c>
      <c r="J1729" s="10">
        <v>562</v>
      </c>
      <c r="K1729" s="11">
        <v>922.41</v>
      </c>
      <c r="L1729" s="11">
        <v>1046.6600000000001</v>
      </c>
      <c r="M1729" s="11">
        <v>588222.92000000004</v>
      </c>
      <c r="N1729" s="11">
        <v>518394.42</v>
      </c>
      <c r="O1729" s="11">
        <f>CleanedData[[#This Row],[Total Sales ($)]]-CleanedData[[#This Row],[Total Cost ($)]]</f>
        <v>69828.500000000058</v>
      </c>
      <c r="P1729" s="12">
        <f>CleanedData[[#This Row],[Profit ($)]]/CleanedData[[#This Row],[Total Sales ($)]]</f>
        <v>0.11871094720348546</v>
      </c>
      <c r="Q1729" s="8" t="s">
        <v>42</v>
      </c>
      <c r="R1729" s="8" t="s">
        <v>32</v>
      </c>
      <c r="S1729" s="8" t="b">
        <f>_xlfn.SINGLE(CleanedData[[#This Row],[Delivery Status]])="Late"</f>
        <v>1</v>
      </c>
      <c r="T1729" s="10">
        <v>11</v>
      </c>
      <c r="U1729" s="8" t="s">
        <v>33</v>
      </c>
      <c r="V1729" s="10">
        <v>2337</v>
      </c>
      <c r="W1729" s="10">
        <v>20</v>
      </c>
      <c r="X1729" s="12">
        <v>3.5587188612099599E-2</v>
      </c>
      <c r="Y1729" s="8" t="b">
        <f>CleanedData[[#This Row],[Ship Date]]&lt;CleanedData[[#This Row],[Order Date]]</f>
        <v>1</v>
      </c>
      <c r="Z1729" s="10">
        <f>YEAR(CleanedData[[#This Row],[Order Date]])</f>
        <v>2023</v>
      </c>
      <c r="AA1729" s="8">
        <f>MONTH(CleanedData[[#This Row],[Order Date]])</f>
        <v>10</v>
      </c>
    </row>
    <row r="1730" spans="1:27" x14ac:dyDescent="0.35">
      <c r="A1730" s="8" t="s">
        <v>4324</v>
      </c>
      <c r="B1730" s="9">
        <v>45026</v>
      </c>
      <c r="C1730" s="9">
        <v>45132</v>
      </c>
      <c r="D1730" s="8" t="s">
        <v>4325</v>
      </c>
      <c r="E1730" s="8" t="s">
        <v>26</v>
      </c>
      <c r="F1730" s="8" t="s">
        <v>38</v>
      </c>
      <c r="G1730" s="8" t="s">
        <v>93</v>
      </c>
      <c r="H1730" s="8" t="s">
        <v>321</v>
      </c>
      <c r="I1730" s="8" t="s">
        <v>4979</v>
      </c>
      <c r="J1730" s="10">
        <v>475</v>
      </c>
      <c r="K1730" s="11">
        <v>577.79</v>
      </c>
      <c r="L1730" s="11">
        <v>939.49</v>
      </c>
      <c r="M1730" s="11">
        <v>446257.75</v>
      </c>
      <c r="N1730" s="11">
        <v>274450.25</v>
      </c>
      <c r="O1730" s="11">
        <f>CleanedData[[#This Row],[Total Sales ($)]]-CleanedData[[#This Row],[Total Cost ($)]]</f>
        <v>171807.5</v>
      </c>
      <c r="P1730" s="12">
        <f>CleanedData[[#This Row],[Profit ($)]]/CleanedData[[#This Row],[Total Sales ($)]]</f>
        <v>0.38499611491341046</v>
      </c>
      <c r="Q1730" s="8" t="s">
        <v>42</v>
      </c>
      <c r="R1730" s="8" t="s">
        <v>63</v>
      </c>
      <c r="S1730" s="8" t="b">
        <f>_xlfn.SINGLE(CleanedData[[#This Row],[Delivery Status]])="Late"</f>
        <v>0</v>
      </c>
      <c r="T1730" s="10">
        <v>4</v>
      </c>
      <c r="U1730" s="8" t="s">
        <v>53</v>
      </c>
      <c r="V1730" s="10">
        <v>2686</v>
      </c>
      <c r="W1730" s="10">
        <v>22</v>
      </c>
      <c r="X1730" s="12">
        <v>4.6315789473684199E-2</v>
      </c>
      <c r="Y1730" s="8" t="b">
        <f>CleanedData[[#This Row],[Ship Date]]&lt;CleanedData[[#This Row],[Order Date]]</f>
        <v>0</v>
      </c>
      <c r="Z1730" s="10">
        <f>YEAR(CleanedData[[#This Row],[Order Date]])</f>
        <v>2023</v>
      </c>
      <c r="AA1730" s="8">
        <f>MONTH(CleanedData[[#This Row],[Order Date]])</f>
        <v>4</v>
      </c>
    </row>
    <row r="1731" spans="1:27" x14ac:dyDescent="0.35">
      <c r="A1731" s="8" t="s">
        <v>4326</v>
      </c>
      <c r="B1731" s="9">
        <v>45041</v>
      </c>
      <c r="C1731" s="9">
        <v>45241</v>
      </c>
      <c r="D1731" s="8" t="s">
        <v>913</v>
      </c>
      <c r="E1731" s="8" t="s">
        <v>100</v>
      </c>
      <c r="F1731" s="8" t="s">
        <v>330</v>
      </c>
      <c r="G1731" s="8" t="s">
        <v>129</v>
      </c>
      <c r="H1731" s="8" t="s">
        <v>152</v>
      </c>
      <c r="I1731" s="8" t="s">
        <v>4977</v>
      </c>
      <c r="J1731" s="10">
        <v>429</v>
      </c>
      <c r="K1731" s="11">
        <v>476.22</v>
      </c>
      <c r="L1731" s="11">
        <v>720.41</v>
      </c>
      <c r="M1731" s="11">
        <v>309055.89</v>
      </c>
      <c r="N1731" s="11">
        <v>204298.38</v>
      </c>
      <c r="O1731" s="11">
        <f>CleanedData[[#This Row],[Total Sales ($)]]-CleanedData[[#This Row],[Total Cost ($)]]</f>
        <v>104757.51000000001</v>
      </c>
      <c r="P1731" s="12">
        <f>CleanedData[[#This Row],[Profit ($)]]/CleanedData[[#This Row],[Total Sales ($)]]</f>
        <v>0.33895975902611014</v>
      </c>
      <c r="Q1731" s="8" t="s">
        <v>52</v>
      </c>
      <c r="R1731" s="8" t="s">
        <v>63</v>
      </c>
      <c r="S1731" s="8" t="b">
        <f>_xlfn.SINGLE(CleanedData[[#This Row],[Delivery Status]])="Late"</f>
        <v>0</v>
      </c>
      <c r="T1731" s="10">
        <v>3</v>
      </c>
      <c r="U1731" s="8" t="s">
        <v>158</v>
      </c>
      <c r="V1731" s="10">
        <v>3325</v>
      </c>
      <c r="W1731" s="10">
        <v>6</v>
      </c>
      <c r="X1731" s="12">
        <v>1.3986013986013899E-2</v>
      </c>
      <c r="Y1731" s="8" t="b">
        <f>CleanedData[[#This Row],[Ship Date]]&lt;CleanedData[[#This Row],[Order Date]]</f>
        <v>0</v>
      </c>
      <c r="Z1731" s="10">
        <f>YEAR(CleanedData[[#This Row],[Order Date]])</f>
        <v>2023</v>
      </c>
      <c r="AA1731" s="8">
        <f>MONTH(CleanedData[[#This Row],[Order Date]])</f>
        <v>4</v>
      </c>
    </row>
    <row r="1732" spans="1:27" x14ac:dyDescent="0.35">
      <c r="A1732" s="8" t="s">
        <v>4327</v>
      </c>
      <c r="B1732" s="9">
        <v>45179</v>
      </c>
      <c r="C1732" s="9">
        <v>45039</v>
      </c>
      <c r="D1732" s="8" t="s">
        <v>4328</v>
      </c>
      <c r="E1732" s="8" t="s">
        <v>100</v>
      </c>
      <c r="F1732" s="8" t="s">
        <v>238</v>
      </c>
      <c r="G1732" s="8" t="s">
        <v>217</v>
      </c>
      <c r="H1732" s="8" t="s">
        <v>725</v>
      </c>
      <c r="I1732" s="8" t="s">
        <v>4970</v>
      </c>
      <c r="J1732" s="10">
        <v>31</v>
      </c>
      <c r="K1732" s="11">
        <v>845.34</v>
      </c>
      <c r="L1732" s="11">
        <v>1198.0899999999999</v>
      </c>
      <c r="M1732" s="11">
        <v>37140.79</v>
      </c>
      <c r="N1732" s="11">
        <v>26205.54</v>
      </c>
      <c r="O1732" s="11">
        <f>CleanedData[[#This Row],[Total Sales ($)]]-CleanedData[[#This Row],[Total Cost ($)]]</f>
        <v>10935.25</v>
      </c>
      <c r="P1732" s="12">
        <f>CleanedData[[#This Row],[Profit ($)]]/CleanedData[[#This Row],[Total Sales ($)]]</f>
        <v>0.29442696291597459</v>
      </c>
      <c r="Q1732" s="8" t="s">
        <v>95</v>
      </c>
      <c r="R1732" s="8" t="s">
        <v>32</v>
      </c>
      <c r="S1732" s="8" t="b">
        <f>_xlfn.SINGLE(CleanedData[[#This Row],[Delivery Status]])="Late"</f>
        <v>1</v>
      </c>
      <c r="T1732" s="10">
        <v>11</v>
      </c>
      <c r="U1732" s="8" t="s">
        <v>33</v>
      </c>
      <c r="V1732" s="10">
        <v>3638</v>
      </c>
      <c r="W1732" s="10">
        <v>0</v>
      </c>
      <c r="X1732" s="12">
        <v>0</v>
      </c>
      <c r="Y1732" s="8" t="b">
        <f>CleanedData[[#This Row],[Ship Date]]&lt;CleanedData[[#This Row],[Order Date]]</f>
        <v>1</v>
      </c>
      <c r="Z1732" s="10">
        <f>YEAR(CleanedData[[#This Row],[Order Date]])</f>
        <v>2023</v>
      </c>
      <c r="AA1732" s="8">
        <f>MONTH(CleanedData[[#This Row],[Order Date]])</f>
        <v>9</v>
      </c>
    </row>
    <row r="1733" spans="1:27" x14ac:dyDescent="0.35">
      <c r="A1733" s="8" t="s">
        <v>4329</v>
      </c>
      <c r="B1733" s="9">
        <v>45176</v>
      </c>
      <c r="C1733" s="9">
        <v>45002</v>
      </c>
      <c r="D1733" s="8" t="s">
        <v>4330</v>
      </c>
      <c r="E1733" s="8" t="s">
        <v>100</v>
      </c>
      <c r="F1733" s="8" t="s">
        <v>238</v>
      </c>
      <c r="G1733" s="8" t="s">
        <v>78</v>
      </c>
      <c r="H1733" s="8" t="s">
        <v>79</v>
      </c>
      <c r="I1733" s="8" t="s">
        <v>4976</v>
      </c>
      <c r="J1733" s="10">
        <v>442</v>
      </c>
      <c r="K1733" s="11">
        <v>835.06</v>
      </c>
      <c r="L1733" s="11">
        <v>949.95</v>
      </c>
      <c r="M1733" s="11">
        <v>419877.9</v>
      </c>
      <c r="N1733" s="11">
        <v>369096.52</v>
      </c>
      <c r="O1733" s="11">
        <f>CleanedData[[#This Row],[Total Sales ($)]]-CleanedData[[#This Row],[Total Cost ($)]]</f>
        <v>50781.380000000005</v>
      </c>
      <c r="P1733" s="12">
        <f>CleanedData[[#This Row],[Profit ($)]]/CleanedData[[#This Row],[Total Sales ($)]]</f>
        <v>0.12094320753723881</v>
      </c>
      <c r="Q1733" s="8" t="s">
        <v>52</v>
      </c>
      <c r="R1733" s="8" t="s">
        <v>32</v>
      </c>
      <c r="S1733" s="8" t="b">
        <f>_xlfn.SINGLE(CleanedData[[#This Row],[Delivery Status]])="Late"</f>
        <v>1</v>
      </c>
      <c r="T1733" s="10">
        <v>11</v>
      </c>
      <c r="U1733" s="8" t="s">
        <v>53</v>
      </c>
      <c r="V1733" s="10">
        <v>4386</v>
      </c>
      <c r="W1733" s="10">
        <v>0</v>
      </c>
      <c r="X1733" s="12">
        <v>0</v>
      </c>
      <c r="Y1733" s="8" t="b">
        <f>CleanedData[[#This Row],[Ship Date]]&lt;CleanedData[[#This Row],[Order Date]]</f>
        <v>1</v>
      </c>
      <c r="Z1733" s="10">
        <f>YEAR(CleanedData[[#This Row],[Order Date]])</f>
        <v>2023</v>
      </c>
      <c r="AA1733" s="8">
        <f>MONTH(CleanedData[[#This Row],[Order Date]])</f>
        <v>9</v>
      </c>
    </row>
    <row r="1734" spans="1:27" x14ac:dyDescent="0.35">
      <c r="A1734" s="8" t="s">
        <v>4331</v>
      </c>
      <c r="B1734" s="9">
        <v>45223</v>
      </c>
      <c r="C1734" s="9">
        <v>45084</v>
      </c>
      <c r="D1734" s="8" t="s">
        <v>4332</v>
      </c>
      <c r="E1734" s="8" t="s">
        <v>26</v>
      </c>
      <c r="F1734" s="8" t="s">
        <v>92</v>
      </c>
      <c r="G1734" s="8" t="s">
        <v>93</v>
      </c>
      <c r="H1734" s="8" t="s">
        <v>94</v>
      </c>
      <c r="I1734" s="8" t="s">
        <v>4974</v>
      </c>
      <c r="J1734" s="10">
        <v>178</v>
      </c>
      <c r="K1734" s="11">
        <v>739.23</v>
      </c>
      <c r="L1734" s="11">
        <v>964.88</v>
      </c>
      <c r="M1734" s="11">
        <v>171748.64</v>
      </c>
      <c r="N1734" s="11">
        <v>131582.94</v>
      </c>
      <c r="O1734" s="11">
        <f>CleanedData[[#This Row],[Total Sales ($)]]-CleanedData[[#This Row],[Total Cost ($)]]</f>
        <v>40165.700000000012</v>
      </c>
      <c r="P1734" s="12">
        <f>CleanedData[[#This Row],[Profit ($)]]/CleanedData[[#This Row],[Total Sales ($)]]</f>
        <v>0.23386327833512979</v>
      </c>
      <c r="Q1734" s="8" t="s">
        <v>95</v>
      </c>
      <c r="R1734" s="8" t="s">
        <v>32</v>
      </c>
      <c r="S1734" s="8" t="b">
        <f>_xlfn.SINGLE(CleanedData[[#This Row],[Delivery Status]])="Late"</f>
        <v>1</v>
      </c>
      <c r="T1734" s="10">
        <v>15</v>
      </c>
      <c r="U1734" s="8" t="s">
        <v>43</v>
      </c>
      <c r="V1734" s="10">
        <v>2746</v>
      </c>
      <c r="W1734" s="10">
        <v>3</v>
      </c>
      <c r="X1734" s="12">
        <v>1.68539325842696E-2</v>
      </c>
      <c r="Y1734" s="8" t="b">
        <f>CleanedData[[#This Row],[Ship Date]]&lt;CleanedData[[#This Row],[Order Date]]</f>
        <v>1</v>
      </c>
      <c r="Z1734" s="10">
        <f>YEAR(CleanedData[[#This Row],[Order Date]])</f>
        <v>2023</v>
      </c>
      <c r="AA1734" s="8">
        <f>MONTH(CleanedData[[#This Row],[Order Date]])</f>
        <v>10</v>
      </c>
    </row>
    <row r="1735" spans="1:27" x14ac:dyDescent="0.35">
      <c r="A1735" s="8" t="s">
        <v>4333</v>
      </c>
      <c r="B1735" s="9">
        <v>45115</v>
      </c>
      <c r="C1735" s="9">
        <v>45128</v>
      </c>
      <c r="D1735" s="8" t="s">
        <v>2421</v>
      </c>
      <c r="E1735" s="8" t="s">
        <v>68</v>
      </c>
      <c r="F1735" s="8" t="s">
        <v>163</v>
      </c>
      <c r="G1735" s="8" t="s">
        <v>78</v>
      </c>
      <c r="H1735" s="8" t="s">
        <v>840</v>
      </c>
      <c r="I1735" s="8" t="s">
        <v>4978</v>
      </c>
      <c r="J1735" s="10">
        <v>449</v>
      </c>
      <c r="K1735" s="11">
        <v>977.99</v>
      </c>
      <c r="L1735" s="11">
        <v>1336.75</v>
      </c>
      <c r="M1735" s="11">
        <v>600200.75</v>
      </c>
      <c r="N1735" s="11">
        <v>439117.51</v>
      </c>
      <c r="O1735" s="11">
        <f>CleanedData[[#This Row],[Total Sales ($)]]-CleanedData[[#This Row],[Total Cost ($)]]</f>
        <v>161083.24</v>
      </c>
      <c r="P1735" s="12">
        <f>CleanedData[[#This Row],[Profit ($)]]/CleanedData[[#This Row],[Total Sales ($)]]</f>
        <v>0.26838227043201796</v>
      </c>
      <c r="Q1735" s="8" t="s">
        <v>31</v>
      </c>
      <c r="R1735" s="8" t="s">
        <v>63</v>
      </c>
      <c r="S1735" s="8" t="b">
        <f>_xlfn.SINGLE(CleanedData[[#This Row],[Delivery Status]])="Late"</f>
        <v>0</v>
      </c>
      <c r="T1735" s="10">
        <v>4</v>
      </c>
      <c r="U1735" s="8" t="s">
        <v>158</v>
      </c>
      <c r="V1735" s="10">
        <v>2739</v>
      </c>
      <c r="W1735" s="10">
        <v>7</v>
      </c>
      <c r="X1735" s="12">
        <v>1.55902004454342E-2</v>
      </c>
      <c r="Y1735" s="8" t="b">
        <f>CleanedData[[#This Row],[Ship Date]]&lt;CleanedData[[#This Row],[Order Date]]</f>
        <v>0</v>
      </c>
      <c r="Z1735" s="10">
        <f>YEAR(CleanedData[[#This Row],[Order Date]])</f>
        <v>2023</v>
      </c>
      <c r="AA1735" s="8">
        <f>MONTH(CleanedData[[#This Row],[Order Date]])</f>
        <v>7</v>
      </c>
    </row>
    <row r="1736" spans="1:27" x14ac:dyDescent="0.35">
      <c r="A1736" s="8" t="s">
        <v>4336</v>
      </c>
      <c r="B1736" s="9">
        <v>45266</v>
      </c>
      <c r="C1736" s="9">
        <v>45114</v>
      </c>
      <c r="D1736" s="8" t="s">
        <v>4337</v>
      </c>
      <c r="E1736" s="8" t="s">
        <v>68</v>
      </c>
      <c r="F1736" s="8" t="s">
        <v>276</v>
      </c>
      <c r="G1736" s="8" t="s">
        <v>28</v>
      </c>
      <c r="H1736" s="8" t="s">
        <v>29</v>
      </c>
      <c r="I1736" s="8" t="s">
        <v>4979</v>
      </c>
      <c r="J1736" s="10">
        <v>600</v>
      </c>
      <c r="K1736" s="11">
        <v>390.91</v>
      </c>
      <c r="L1736" s="11">
        <v>561.77</v>
      </c>
      <c r="M1736" s="11">
        <v>337062</v>
      </c>
      <c r="N1736" s="11">
        <v>234546</v>
      </c>
      <c r="O1736" s="11">
        <f>CleanedData[[#This Row],[Total Sales ($)]]-CleanedData[[#This Row],[Total Cost ($)]]</f>
        <v>102516</v>
      </c>
      <c r="P1736" s="12">
        <f>CleanedData[[#This Row],[Profit ($)]]/CleanedData[[#This Row],[Total Sales ($)]]</f>
        <v>0.3041458248037453</v>
      </c>
      <c r="Q1736" s="8" t="s">
        <v>31</v>
      </c>
      <c r="R1736" s="8" t="s">
        <v>32</v>
      </c>
      <c r="S1736" s="8" t="b">
        <f>_xlfn.SINGLE(CleanedData[[#This Row],[Delivery Status]])="Late"</f>
        <v>1</v>
      </c>
      <c r="T1736" s="10">
        <v>13</v>
      </c>
      <c r="U1736" s="8" t="s">
        <v>53</v>
      </c>
      <c r="V1736" s="10">
        <v>3877</v>
      </c>
      <c r="W1736" s="10">
        <v>12</v>
      </c>
      <c r="X1736" s="12">
        <v>0.02</v>
      </c>
      <c r="Y1736" s="8" t="b">
        <f>CleanedData[[#This Row],[Ship Date]]&lt;CleanedData[[#This Row],[Order Date]]</f>
        <v>1</v>
      </c>
      <c r="Z1736" s="10">
        <f>YEAR(CleanedData[[#This Row],[Order Date]])</f>
        <v>2023</v>
      </c>
      <c r="AA1736" s="8">
        <f>MONTH(CleanedData[[#This Row],[Order Date]])</f>
        <v>12</v>
      </c>
    </row>
    <row r="1737" spans="1:27" x14ac:dyDescent="0.35">
      <c r="A1737" s="8" t="s">
        <v>4338</v>
      </c>
      <c r="B1737" s="9">
        <v>45189</v>
      </c>
      <c r="C1737" s="9">
        <v>45284</v>
      </c>
      <c r="D1737" s="8" t="s">
        <v>4339</v>
      </c>
      <c r="E1737" s="8" t="s">
        <v>58</v>
      </c>
      <c r="F1737" s="8" t="s">
        <v>116</v>
      </c>
      <c r="G1737" s="8" t="s">
        <v>70</v>
      </c>
      <c r="H1737" s="8" t="s">
        <v>623</v>
      </c>
      <c r="I1737" s="8" t="s">
        <v>4969</v>
      </c>
      <c r="J1737" s="10">
        <v>265</v>
      </c>
      <c r="K1737" s="11">
        <v>136.94</v>
      </c>
      <c r="L1737" s="11">
        <v>220.03</v>
      </c>
      <c r="M1737" s="11">
        <v>58307.95</v>
      </c>
      <c r="N1737" s="11">
        <v>36289.1</v>
      </c>
      <c r="O1737" s="11">
        <f>CleanedData[[#This Row],[Total Sales ($)]]-CleanedData[[#This Row],[Total Cost ($)]]</f>
        <v>22018.85</v>
      </c>
      <c r="P1737" s="12">
        <f>CleanedData[[#This Row],[Profit ($)]]/CleanedData[[#This Row],[Total Sales ($)]]</f>
        <v>0.37763032313775391</v>
      </c>
      <c r="Q1737" s="8" t="s">
        <v>52</v>
      </c>
      <c r="R1737" s="8" t="s">
        <v>32</v>
      </c>
      <c r="S1737" s="8" t="b">
        <f>_xlfn.SINGLE(CleanedData[[#This Row],[Delivery Status]])="Late"</f>
        <v>1</v>
      </c>
      <c r="T1737" s="10">
        <v>6</v>
      </c>
      <c r="U1737" s="8" t="s">
        <v>86</v>
      </c>
      <c r="V1737" s="10">
        <v>3710</v>
      </c>
      <c r="W1737" s="10">
        <v>2</v>
      </c>
      <c r="X1737" s="12">
        <v>7.5471698113207001E-3</v>
      </c>
      <c r="Y1737" s="8" t="b">
        <f>CleanedData[[#This Row],[Ship Date]]&lt;CleanedData[[#This Row],[Order Date]]</f>
        <v>0</v>
      </c>
      <c r="Z1737" s="10">
        <f>YEAR(CleanedData[[#This Row],[Order Date]])</f>
        <v>2023</v>
      </c>
      <c r="AA1737" s="8">
        <f>MONTH(CleanedData[[#This Row],[Order Date]])</f>
        <v>9</v>
      </c>
    </row>
    <row r="1738" spans="1:27" x14ac:dyDescent="0.35">
      <c r="A1738" s="8" t="s">
        <v>4340</v>
      </c>
      <c r="B1738" s="9">
        <v>45429</v>
      </c>
      <c r="C1738" s="9">
        <v>45385</v>
      </c>
      <c r="D1738" s="8" t="s">
        <v>4341</v>
      </c>
      <c r="E1738" s="8" t="s">
        <v>100</v>
      </c>
      <c r="F1738" s="8" t="s">
        <v>538</v>
      </c>
      <c r="G1738" s="8" t="s">
        <v>78</v>
      </c>
      <c r="H1738" s="8" t="s">
        <v>840</v>
      </c>
      <c r="I1738" s="8" t="s">
        <v>4977</v>
      </c>
      <c r="J1738" s="10">
        <v>74</v>
      </c>
      <c r="K1738" s="11">
        <v>36.86</v>
      </c>
      <c r="L1738" s="11">
        <v>43.27</v>
      </c>
      <c r="M1738" s="11">
        <v>3201.98</v>
      </c>
      <c r="N1738" s="11">
        <v>2727.64</v>
      </c>
      <c r="O1738" s="11">
        <f>CleanedData[[#This Row],[Total Sales ($)]]-CleanedData[[#This Row],[Total Cost ($)]]</f>
        <v>474.34000000000015</v>
      </c>
      <c r="P1738" s="12">
        <f>CleanedData[[#This Row],[Profit ($)]]/CleanedData[[#This Row],[Total Sales ($)]]</f>
        <v>0.14813958862953552</v>
      </c>
      <c r="Q1738" s="8" t="s">
        <v>42</v>
      </c>
      <c r="R1738" s="8" t="s">
        <v>32</v>
      </c>
      <c r="S1738" s="8" t="b">
        <f>_xlfn.SINGLE(CleanedData[[#This Row],[Delivery Status]])="Late"</f>
        <v>1</v>
      </c>
      <c r="T1738" s="10">
        <v>15</v>
      </c>
      <c r="U1738" s="8" t="s">
        <v>33</v>
      </c>
      <c r="V1738" s="10">
        <v>2060</v>
      </c>
      <c r="W1738" s="10">
        <v>2</v>
      </c>
      <c r="X1738" s="12">
        <v>2.7027027027027001E-2</v>
      </c>
      <c r="Y1738" s="8" t="b">
        <f>CleanedData[[#This Row],[Ship Date]]&lt;CleanedData[[#This Row],[Order Date]]</f>
        <v>1</v>
      </c>
      <c r="Z1738" s="10">
        <f>YEAR(CleanedData[[#This Row],[Order Date]])</f>
        <v>2024</v>
      </c>
      <c r="AA1738" s="8">
        <f>MONTH(CleanedData[[#This Row],[Order Date]])</f>
        <v>5</v>
      </c>
    </row>
    <row r="1739" spans="1:27" x14ac:dyDescent="0.35">
      <c r="A1739" s="8" t="s">
        <v>4342</v>
      </c>
      <c r="B1739" s="9">
        <v>44942</v>
      </c>
      <c r="C1739" s="9">
        <v>45044</v>
      </c>
      <c r="D1739" s="8" t="s">
        <v>4344</v>
      </c>
      <c r="E1739" s="8" t="s">
        <v>100</v>
      </c>
      <c r="F1739" s="8" t="s">
        <v>330</v>
      </c>
      <c r="G1739" s="8" t="s">
        <v>28</v>
      </c>
      <c r="H1739" s="8" t="s">
        <v>4972</v>
      </c>
      <c r="I1739" s="8" t="s">
        <v>4968</v>
      </c>
      <c r="J1739" s="10">
        <v>168</v>
      </c>
      <c r="K1739" s="11">
        <v>94.55</v>
      </c>
      <c r="L1739" s="11">
        <v>139.94999999999999</v>
      </c>
      <c r="M1739" s="11">
        <v>23511.599999999999</v>
      </c>
      <c r="N1739" s="11">
        <v>15884.4</v>
      </c>
      <c r="O1739" s="11">
        <f>CleanedData[[#This Row],[Total Sales ($)]]-CleanedData[[#This Row],[Total Cost ($)]]</f>
        <v>7627.1999999999989</v>
      </c>
      <c r="P1739" s="12">
        <f>CleanedData[[#This Row],[Profit ($)]]/CleanedData[[#This Row],[Total Sales ($)]]</f>
        <v>0.32440157198999642</v>
      </c>
      <c r="Q1739" s="8" t="s">
        <v>31</v>
      </c>
      <c r="R1739" s="8" t="s">
        <v>32</v>
      </c>
      <c r="S1739" s="8" t="b">
        <f>_xlfn.SINGLE(CleanedData[[#This Row],[Delivery Status]])="Late"</f>
        <v>1</v>
      </c>
      <c r="T1739" s="10">
        <v>12</v>
      </c>
      <c r="U1739" s="8" t="s">
        <v>33</v>
      </c>
      <c r="V1739" s="10">
        <v>3162</v>
      </c>
      <c r="W1739" s="10">
        <v>0</v>
      </c>
      <c r="X1739" s="12">
        <v>0</v>
      </c>
      <c r="Y1739" s="8" t="b">
        <f>CleanedData[[#This Row],[Ship Date]]&lt;CleanedData[[#This Row],[Order Date]]</f>
        <v>0</v>
      </c>
      <c r="Z1739" s="10">
        <f>YEAR(CleanedData[[#This Row],[Order Date]])</f>
        <v>2023</v>
      </c>
      <c r="AA1739" s="8">
        <f>MONTH(CleanedData[[#This Row],[Order Date]])</f>
        <v>1</v>
      </c>
    </row>
    <row r="1740" spans="1:27" x14ac:dyDescent="0.35">
      <c r="A1740" s="8" t="s">
        <v>4345</v>
      </c>
      <c r="B1740" s="9">
        <v>45148</v>
      </c>
      <c r="C1740" s="9">
        <v>45126</v>
      </c>
      <c r="D1740" s="8" t="s">
        <v>4346</v>
      </c>
      <c r="E1740" s="8" t="s">
        <v>68</v>
      </c>
      <c r="F1740" s="8" t="s">
        <v>163</v>
      </c>
      <c r="G1740" s="8" t="s">
        <v>129</v>
      </c>
      <c r="H1740" s="8" t="s">
        <v>811</v>
      </c>
      <c r="I1740" s="8" t="s">
        <v>4976</v>
      </c>
      <c r="J1740" s="10">
        <v>184</v>
      </c>
      <c r="K1740" s="11">
        <v>1053.8699999999999</v>
      </c>
      <c r="L1740" s="11">
        <v>1724.28</v>
      </c>
      <c r="M1740" s="11">
        <v>317267.52</v>
      </c>
      <c r="N1740" s="11">
        <v>193912.08</v>
      </c>
      <c r="O1740" s="11">
        <f>CleanedData[[#This Row],[Total Sales ($)]]-CleanedData[[#This Row],[Total Cost ($)]]</f>
        <v>123355.44000000003</v>
      </c>
      <c r="P1740" s="12">
        <f>CleanedData[[#This Row],[Profit ($)]]/CleanedData[[#This Row],[Total Sales ($)]]</f>
        <v>0.38880576240517789</v>
      </c>
      <c r="Q1740" s="8" t="s">
        <v>95</v>
      </c>
      <c r="R1740" s="8" t="s">
        <v>32</v>
      </c>
      <c r="S1740" s="8" t="b">
        <f>_xlfn.SINGLE(CleanedData[[#This Row],[Delivery Status]])="Late"</f>
        <v>1</v>
      </c>
      <c r="T1740" s="10">
        <v>15</v>
      </c>
      <c r="U1740" s="8" t="s">
        <v>158</v>
      </c>
      <c r="V1740" s="10">
        <v>3219</v>
      </c>
      <c r="W1740" s="10">
        <v>6</v>
      </c>
      <c r="X1740" s="12">
        <v>3.2608695652173898E-2</v>
      </c>
      <c r="Y1740" s="8" t="b">
        <f>CleanedData[[#This Row],[Ship Date]]&lt;CleanedData[[#This Row],[Order Date]]</f>
        <v>1</v>
      </c>
      <c r="Z1740" s="10">
        <f>YEAR(CleanedData[[#This Row],[Order Date]])</f>
        <v>2023</v>
      </c>
      <c r="AA1740" s="8">
        <f>MONTH(CleanedData[[#This Row],[Order Date]])</f>
        <v>8</v>
      </c>
    </row>
    <row r="1741" spans="1:27" x14ac:dyDescent="0.35">
      <c r="A1741" s="8" t="s">
        <v>4347</v>
      </c>
      <c r="B1741" s="9">
        <v>45188</v>
      </c>
      <c r="C1741" s="9">
        <v>45048</v>
      </c>
      <c r="D1741" s="8" t="s">
        <v>4348</v>
      </c>
      <c r="E1741" s="8" t="s">
        <v>26</v>
      </c>
      <c r="F1741" s="8" t="s">
        <v>38</v>
      </c>
      <c r="G1741" s="8" t="s">
        <v>189</v>
      </c>
      <c r="H1741" s="8" t="s">
        <v>365</v>
      </c>
      <c r="I1741" s="8" t="s">
        <v>4968</v>
      </c>
      <c r="J1741" s="10">
        <v>433</v>
      </c>
      <c r="K1741" s="11">
        <v>581.49</v>
      </c>
      <c r="L1741" s="11">
        <v>850.03</v>
      </c>
      <c r="M1741" s="11">
        <v>368062.99</v>
      </c>
      <c r="N1741" s="11">
        <v>251785.17</v>
      </c>
      <c r="O1741" s="11">
        <f>CleanedData[[#This Row],[Total Sales ($)]]-CleanedData[[#This Row],[Total Cost ($)]]</f>
        <v>116277.81999999998</v>
      </c>
      <c r="P1741" s="12">
        <f>CleanedData[[#This Row],[Profit ($)]]/CleanedData[[#This Row],[Total Sales ($)]]</f>
        <v>0.31591826170841025</v>
      </c>
      <c r="Q1741" s="8" t="s">
        <v>31</v>
      </c>
      <c r="R1741" s="8" t="s">
        <v>32</v>
      </c>
      <c r="S1741" s="8" t="b">
        <f>_xlfn.SINGLE(CleanedData[[#This Row],[Delivery Status]])="Late"</f>
        <v>1</v>
      </c>
      <c r="T1741" s="10">
        <v>11</v>
      </c>
      <c r="U1741" s="8" t="s">
        <v>86</v>
      </c>
      <c r="V1741" s="10">
        <v>3134</v>
      </c>
      <c r="W1741" s="10">
        <v>21</v>
      </c>
      <c r="X1741" s="12">
        <v>4.8498845265588897E-2</v>
      </c>
      <c r="Y1741" s="8" t="b">
        <f>CleanedData[[#This Row],[Ship Date]]&lt;CleanedData[[#This Row],[Order Date]]</f>
        <v>1</v>
      </c>
      <c r="Z1741" s="10">
        <f>YEAR(CleanedData[[#This Row],[Order Date]])</f>
        <v>2023</v>
      </c>
      <c r="AA1741" s="8">
        <f>MONTH(CleanedData[[#This Row],[Order Date]])</f>
        <v>9</v>
      </c>
    </row>
    <row r="1742" spans="1:27" x14ac:dyDescent="0.35">
      <c r="A1742" s="8" t="s">
        <v>4349</v>
      </c>
      <c r="B1742" s="9">
        <v>45286</v>
      </c>
      <c r="C1742" s="9">
        <v>45157</v>
      </c>
      <c r="D1742" s="8" t="s">
        <v>4350</v>
      </c>
      <c r="E1742" s="8" t="s">
        <v>68</v>
      </c>
      <c r="F1742" s="8" t="s">
        <v>163</v>
      </c>
      <c r="G1742" s="8" t="s">
        <v>78</v>
      </c>
      <c r="H1742" s="8" t="s">
        <v>123</v>
      </c>
      <c r="I1742" s="8" t="s">
        <v>4975</v>
      </c>
      <c r="J1742" s="10">
        <v>433</v>
      </c>
      <c r="K1742" s="11">
        <v>346.94</v>
      </c>
      <c r="L1742" s="11">
        <v>405.3</v>
      </c>
      <c r="M1742" s="11">
        <v>175494.9</v>
      </c>
      <c r="N1742" s="11">
        <v>150225.01999999999</v>
      </c>
      <c r="O1742" s="11">
        <f>CleanedData[[#This Row],[Total Sales ($)]]-CleanedData[[#This Row],[Total Cost ($)]]</f>
        <v>25269.880000000005</v>
      </c>
      <c r="P1742" s="12">
        <f>CleanedData[[#This Row],[Profit ($)]]/CleanedData[[#This Row],[Total Sales ($)]]</f>
        <v>0.1439921046138663</v>
      </c>
      <c r="Q1742" s="8" t="s">
        <v>42</v>
      </c>
      <c r="R1742" s="8" t="s">
        <v>63</v>
      </c>
      <c r="S1742" s="8" t="b">
        <f>_xlfn.SINGLE(CleanedData[[#This Row],[Delivery Status]])="Late"</f>
        <v>0</v>
      </c>
      <c r="T1742" s="10">
        <v>2</v>
      </c>
      <c r="U1742" s="8" t="s">
        <v>43</v>
      </c>
      <c r="V1742" s="10">
        <v>1232</v>
      </c>
      <c r="W1742" s="10">
        <v>15</v>
      </c>
      <c r="X1742" s="12">
        <v>3.4642032332563501E-2</v>
      </c>
      <c r="Y1742" s="8" t="b">
        <f>CleanedData[[#This Row],[Ship Date]]&lt;CleanedData[[#This Row],[Order Date]]</f>
        <v>1</v>
      </c>
      <c r="Z1742" s="10">
        <f>YEAR(CleanedData[[#This Row],[Order Date]])</f>
        <v>2023</v>
      </c>
      <c r="AA1742" s="8">
        <f>MONTH(CleanedData[[#This Row],[Order Date]])</f>
        <v>12</v>
      </c>
    </row>
    <row r="1743" spans="1:27" x14ac:dyDescent="0.35">
      <c r="A1743" s="8" t="s">
        <v>4351</v>
      </c>
      <c r="B1743" s="9">
        <v>45294</v>
      </c>
      <c r="C1743" s="9">
        <v>45458</v>
      </c>
      <c r="D1743" s="8" t="s">
        <v>4353</v>
      </c>
      <c r="E1743" s="8" t="s">
        <v>68</v>
      </c>
      <c r="F1743" s="8" t="s">
        <v>163</v>
      </c>
      <c r="G1743" s="8" t="s">
        <v>217</v>
      </c>
      <c r="H1743" s="8" t="s">
        <v>494</v>
      </c>
      <c r="I1743" s="8" t="s">
        <v>4971</v>
      </c>
      <c r="J1743" s="10">
        <v>667</v>
      </c>
      <c r="K1743" s="11">
        <v>828.4</v>
      </c>
      <c r="L1743" s="11">
        <v>957.4</v>
      </c>
      <c r="M1743" s="11">
        <v>638585.80000000005</v>
      </c>
      <c r="N1743" s="11">
        <v>552542.80000000005</v>
      </c>
      <c r="O1743" s="11">
        <f>CleanedData[[#This Row],[Total Sales ($)]]-CleanedData[[#This Row],[Total Cost ($)]]</f>
        <v>86043</v>
      </c>
      <c r="P1743" s="12">
        <f>CleanedData[[#This Row],[Profit ($)]]/CleanedData[[#This Row],[Total Sales ($)]]</f>
        <v>0.13473992061834134</v>
      </c>
      <c r="Q1743" s="8" t="s">
        <v>42</v>
      </c>
      <c r="R1743" s="8" t="s">
        <v>63</v>
      </c>
      <c r="S1743" s="8" t="b">
        <f>_xlfn.SINGLE(CleanedData[[#This Row],[Delivery Status]])="Late"</f>
        <v>0</v>
      </c>
      <c r="T1743" s="10">
        <v>1</v>
      </c>
      <c r="U1743" s="8" t="s">
        <v>86</v>
      </c>
      <c r="V1743" s="10">
        <v>4558</v>
      </c>
      <c r="W1743" s="10">
        <v>2</v>
      </c>
      <c r="X1743" s="12">
        <v>2.9985007496251001E-3</v>
      </c>
      <c r="Y1743" s="8" t="b">
        <f>CleanedData[[#This Row],[Ship Date]]&lt;CleanedData[[#This Row],[Order Date]]</f>
        <v>0</v>
      </c>
      <c r="Z1743" s="10">
        <f>YEAR(CleanedData[[#This Row],[Order Date]])</f>
        <v>2024</v>
      </c>
      <c r="AA1743" s="8">
        <f>MONTH(CleanedData[[#This Row],[Order Date]])</f>
        <v>1</v>
      </c>
    </row>
    <row r="1744" spans="1:27" x14ac:dyDescent="0.35">
      <c r="A1744" s="8" t="s">
        <v>4354</v>
      </c>
      <c r="B1744" s="9">
        <v>45428</v>
      </c>
      <c r="C1744" s="9">
        <v>45423</v>
      </c>
      <c r="D1744" s="8" t="s">
        <v>4355</v>
      </c>
      <c r="E1744" s="8" t="s">
        <v>58</v>
      </c>
      <c r="F1744" s="8" t="s">
        <v>259</v>
      </c>
      <c r="G1744" s="8" t="s">
        <v>60</v>
      </c>
      <c r="H1744" s="8" t="s">
        <v>780</v>
      </c>
      <c r="I1744" s="8" t="s">
        <v>4967</v>
      </c>
      <c r="J1744" s="10">
        <v>755</v>
      </c>
      <c r="K1744" s="11">
        <v>699.09</v>
      </c>
      <c r="L1744" s="11">
        <v>1028.07</v>
      </c>
      <c r="M1744" s="11">
        <v>776192.85</v>
      </c>
      <c r="N1744" s="11">
        <v>527812.94999999995</v>
      </c>
      <c r="O1744" s="11">
        <f>CleanedData[[#This Row],[Total Sales ($)]]-CleanedData[[#This Row],[Total Cost ($)]]</f>
        <v>248379.90000000002</v>
      </c>
      <c r="P1744" s="12">
        <f>CleanedData[[#This Row],[Profit ($)]]/CleanedData[[#This Row],[Total Sales ($)]]</f>
        <v>0.31999766552861192</v>
      </c>
      <c r="Q1744" s="8" t="s">
        <v>42</v>
      </c>
      <c r="R1744" s="8" t="s">
        <v>32</v>
      </c>
      <c r="S1744" s="8" t="b">
        <f>_xlfn.SINGLE(CleanedData[[#This Row],[Delivery Status]])="Late"</f>
        <v>1</v>
      </c>
      <c r="T1744" s="10">
        <v>11</v>
      </c>
      <c r="U1744" s="8" t="s">
        <v>158</v>
      </c>
      <c r="V1744" s="10">
        <v>1642</v>
      </c>
      <c r="W1744" s="10">
        <v>12</v>
      </c>
      <c r="X1744" s="12">
        <v>1.58940397350993E-2</v>
      </c>
      <c r="Y1744" s="8" t="b">
        <f>CleanedData[[#This Row],[Ship Date]]&lt;CleanedData[[#This Row],[Order Date]]</f>
        <v>1</v>
      </c>
      <c r="Z1744" s="10">
        <f>YEAR(CleanedData[[#This Row],[Order Date]])</f>
        <v>2024</v>
      </c>
      <c r="AA1744" s="8">
        <f>MONTH(CleanedData[[#This Row],[Order Date]])</f>
        <v>5</v>
      </c>
    </row>
    <row r="1745" spans="1:27" x14ac:dyDescent="0.35">
      <c r="A1745" s="8" t="s">
        <v>4356</v>
      </c>
      <c r="B1745" s="9">
        <v>45615</v>
      </c>
      <c r="C1745" s="9">
        <v>45407</v>
      </c>
      <c r="D1745" s="8" t="s">
        <v>4357</v>
      </c>
      <c r="E1745" s="8" t="s">
        <v>68</v>
      </c>
      <c r="F1745" s="8" t="s">
        <v>146</v>
      </c>
      <c r="G1745" s="8" t="s">
        <v>50</v>
      </c>
      <c r="H1745" s="8" t="s">
        <v>51</v>
      </c>
      <c r="I1745" s="8" t="s">
        <v>4974</v>
      </c>
      <c r="J1745" s="10">
        <v>317</v>
      </c>
      <c r="K1745" s="11">
        <v>431.66</v>
      </c>
      <c r="L1745" s="11">
        <v>542.98</v>
      </c>
      <c r="M1745" s="11">
        <v>172124.66</v>
      </c>
      <c r="N1745" s="11">
        <v>136836.22</v>
      </c>
      <c r="O1745" s="11">
        <f>CleanedData[[#This Row],[Total Sales ($)]]-CleanedData[[#This Row],[Total Cost ($)]]</f>
        <v>35288.44</v>
      </c>
      <c r="P1745" s="12">
        <f>CleanedData[[#This Row],[Profit ($)]]/CleanedData[[#This Row],[Total Sales ($)]]</f>
        <v>0.20501675936498584</v>
      </c>
      <c r="Q1745" s="8" t="s">
        <v>42</v>
      </c>
      <c r="R1745" s="8" t="s">
        <v>63</v>
      </c>
      <c r="S1745" s="8" t="b">
        <f>_xlfn.SINGLE(CleanedData[[#This Row],[Delivery Status]])="Late"</f>
        <v>0</v>
      </c>
      <c r="T1745" s="10">
        <v>2</v>
      </c>
      <c r="U1745" s="8" t="s">
        <v>43</v>
      </c>
      <c r="V1745" s="10">
        <v>410</v>
      </c>
      <c r="W1745" s="10">
        <v>9</v>
      </c>
      <c r="X1745" s="12">
        <v>2.8391167192429002E-2</v>
      </c>
      <c r="Y1745" s="8" t="b">
        <f>CleanedData[[#This Row],[Ship Date]]&lt;CleanedData[[#This Row],[Order Date]]</f>
        <v>1</v>
      </c>
      <c r="Z1745" s="10">
        <f>YEAR(CleanedData[[#This Row],[Order Date]])</f>
        <v>2024</v>
      </c>
      <c r="AA1745" s="8">
        <f>MONTH(CleanedData[[#This Row],[Order Date]])</f>
        <v>11</v>
      </c>
    </row>
    <row r="1746" spans="1:27" x14ac:dyDescent="0.35">
      <c r="A1746" s="8" t="s">
        <v>4358</v>
      </c>
      <c r="B1746" s="9">
        <v>45432</v>
      </c>
      <c r="C1746" s="9">
        <v>44981</v>
      </c>
      <c r="D1746" s="8" t="s">
        <v>4361</v>
      </c>
      <c r="E1746" s="8" t="s">
        <v>100</v>
      </c>
      <c r="F1746" s="8" t="s">
        <v>330</v>
      </c>
      <c r="G1746" s="8" t="s">
        <v>189</v>
      </c>
      <c r="H1746" s="8" t="s">
        <v>437</v>
      </c>
      <c r="I1746" s="8" t="s">
        <v>4976</v>
      </c>
      <c r="J1746" s="10">
        <v>234</v>
      </c>
      <c r="K1746" s="11">
        <v>285.81</v>
      </c>
      <c r="L1746" s="11">
        <v>452.75</v>
      </c>
      <c r="M1746" s="11">
        <v>105943.5</v>
      </c>
      <c r="N1746" s="11">
        <v>66879.539999999994</v>
      </c>
      <c r="O1746" s="11">
        <f>CleanedData[[#This Row],[Total Sales ($)]]-CleanedData[[#This Row],[Total Cost ($)]]</f>
        <v>39063.960000000006</v>
      </c>
      <c r="P1746" s="12">
        <f>CleanedData[[#This Row],[Profit ($)]]/CleanedData[[#This Row],[Total Sales ($)]]</f>
        <v>0.36872446162341255</v>
      </c>
      <c r="Q1746" s="8" t="s">
        <v>52</v>
      </c>
      <c r="R1746" s="8" t="s">
        <v>32</v>
      </c>
      <c r="S1746" s="8" t="b">
        <f>_xlfn.SINGLE(CleanedData[[#This Row],[Delivery Status]])="Late"</f>
        <v>1</v>
      </c>
      <c r="T1746" s="10">
        <v>13</v>
      </c>
      <c r="U1746" s="8" t="s">
        <v>86</v>
      </c>
      <c r="V1746" s="10">
        <v>4780</v>
      </c>
      <c r="W1746" s="10">
        <v>2</v>
      </c>
      <c r="X1746" s="12">
        <v>8.5470085470084993E-3</v>
      </c>
      <c r="Y1746" s="8" t="b">
        <f>CleanedData[[#This Row],[Ship Date]]&lt;CleanedData[[#This Row],[Order Date]]</f>
        <v>1</v>
      </c>
      <c r="Z1746" s="10">
        <f>YEAR(CleanedData[[#This Row],[Order Date]])</f>
        <v>2024</v>
      </c>
      <c r="AA1746" s="8">
        <f>MONTH(CleanedData[[#This Row],[Order Date]])</f>
        <v>5</v>
      </c>
    </row>
    <row r="1747" spans="1:27" x14ac:dyDescent="0.35">
      <c r="A1747" s="8" t="s">
        <v>4363</v>
      </c>
      <c r="B1747" s="9">
        <v>44928</v>
      </c>
      <c r="C1747" s="9">
        <v>45061</v>
      </c>
      <c r="D1747" s="8" t="s">
        <v>4364</v>
      </c>
      <c r="E1747" s="8" t="s">
        <v>58</v>
      </c>
      <c r="F1747" s="8" t="s">
        <v>116</v>
      </c>
      <c r="G1747" s="8" t="s">
        <v>129</v>
      </c>
      <c r="H1747" s="8" t="s">
        <v>152</v>
      </c>
      <c r="I1747" s="8" t="s">
        <v>4976</v>
      </c>
      <c r="J1747" s="10">
        <v>728</v>
      </c>
      <c r="K1747" s="11">
        <v>129.25</v>
      </c>
      <c r="L1747" s="11">
        <v>200.12</v>
      </c>
      <c r="M1747" s="11">
        <v>145687.35999999999</v>
      </c>
      <c r="N1747" s="11">
        <v>94094</v>
      </c>
      <c r="O1747" s="11">
        <f>CleanedData[[#This Row],[Total Sales ($)]]-CleanedData[[#This Row],[Total Cost ($)]]</f>
        <v>51593.359999999986</v>
      </c>
      <c r="P1747" s="12">
        <f>CleanedData[[#This Row],[Profit ($)]]/CleanedData[[#This Row],[Total Sales ($)]]</f>
        <v>0.35413751748950623</v>
      </c>
      <c r="Q1747" s="8" t="s">
        <v>31</v>
      </c>
      <c r="R1747" s="8" t="s">
        <v>32</v>
      </c>
      <c r="S1747" s="8" t="b">
        <f>_xlfn.SINGLE(CleanedData[[#This Row],[Delivery Status]])="Late"</f>
        <v>1</v>
      </c>
      <c r="T1747" s="10">
        <v>12</v>
      </c>
      <c r="U1747" s="8" t="s">
        <v>112</v>
      </c>
      <c r="V1747" s="10">
        <v>2379</v>
      </c>
      <c r="W1747" s="10">
        <v>22</v>
      </c>
      <c r="X1747" s="12">
        <v>3.0219780219780199E-2</v>
      </c>
      <c r="Y1747" s="8" t="b">
        <f>CleanedData[[#This Row],[Ship Date]]&lt;CleanedData[[#This Row],[Order Date]]</f>
        <v>0</v>
      </c>
      <c r="Z1747" s="10">
        <f>YEAR(CleanedData[[#This Row],[Order Date]])</f>
        <v>2023</v>
      </c>
      <c r="AA1747" s="8">
        <f>MONTH(CleanedData[[#This Row],[Order Date]])</f>
        <v>1</v>
      </c>
    </row>
    <row r="1748" spans="1:27" x14ac:dyDescent="0.35">
      <c r="A1748" s="8" t="s">
        <v>4365</v>
      </c>
      <c r="B1748" s="9">
        <v>45242</v>
      </c>
      <c r="C1748" s="9">
        <v>45037</v>
      </c>
      <c r="D1748" s="8" t="s">
        <v>4366</v>
      </c>
      <c r="E1748" s="8" t="s">
        <v>68</v>
      </c>
      <c r="F1748" s="8" t="s">
        <v>163</v>
      </c>
      <c r="G1748" s="8" t="s">
        <v>70</v>
      </c>
      <c r="H1748" s="8" t="s">
        <v>623</v>
      </c>
      <c r="I1748" s="8" t="s">
        <v>4979</v>
      </c>
      <c r="J1748" s="10">
        <v>170</v>
      </c>
      <c r="K1748" s="11">
        <v>472.75</v>
      </c>
      <c r="L1748" s="11">
        <v>581.64</v>
      </c>
      <c r="M1748" s="11">
        <v>98878.8</v>
      </c>
      <c r="N1748" s="11">
        <v>80367.5</v>
      </c>
      <c r="O1748" s="11">
        <f>CleanedData[[#This Row],[Total Sales ($)]]-CleanedData[[#This Row],[Total Cost ($)]]</f>
        <v>18511.300000000003</v>
      </c>
      <c r="P1748" s="12">
        <f>CleanedData[[#This Row],[Profit ($)]]/CleanedData[[#This Row],[Total Sales ($)]]</f>
        <v>0.18721202118148686</v>
      </c>
      <c r="Q1748" s="8" t="s">
        <v>42</v>
      </c>
      <c r="R1748" s="8" t="s">
        <v>32</v>
      </c>
      <c r="S1748" s="8" t="b">
        <f>_xlfn.SINGLE(CleanedData[[#This Row],[Delivery Status]])="Late"</f>
        <v>1</v>
      </c>
      <c r="T1748" s="10">
        <v>10</v>
      </c>
      <c r="U1748" s="8" t="s">
        <v>86</v>
      </c>
      <c r="V1748" s="10">
        <v>244</v>
      </c>
      <c r="W1748" s="10">
        <v>8</v>
      </c>
      <c r="X1748" s="12">
        <v>4.7058823529411702E-2</v>
      </c>
      <c r="Y1748" s="8" t="b">
        <f>CleanedData[[#This Row],[Ship Date]]&lt;CleanedData[[#This Row],[Order Date]]</f>
        <v>1</v>
      </c>
      <c r="Z1748" s="10">
        <f>YEAR(CleanedData[[#This Row],[Order Date]])</f>
        <v>2023</v>
      </c>
      <c r="AA1748" s="8">
        <f>MONTH(CleanedData[[#This Row],[Order Date]])</f>
        <v>11</v>
      </c>
    </row>
    <row r="1749" spans="1:27" x14ac:dyDescent="0.35">
      <c r="A1749" s="8" t="s">
        <v>3556</v>
      </c>
      <c r="B1749" s="9">
        <v>45245</v>
      </c>
      <c r="C1749" s="9">
        <v>45323</v>
      </c>
      <c r="D1749" s="8" t="s">
        <v>1809</v>
      </c>
      <c r="E1749" s="8" t="s">
        <v>48</v>
      </c>
      <c r="F1749" s="8" t="s">
        <v>49</v>
      </c>
      <c r="G1749" s="8" t="s">
        <v>60</v>
      </c>
      <c r="H1749" s="8" t="s">
        <v>61</v>
      </c>
      <c r="I1749" s="8" t="s">
        <v>4976</v>
      </c>
      <c r="J1749" s="10">
        <v>593</v>
      </c>
      <c r="K1749" s="11">
        <v>198.57</v>
      </c>
      <c r="L1749" s="11">
        <v>230.59</v>
      </c>
      <c r="M1749" s="11">
        <v>136739.87</v>
      </c>
      <c r="N1749" s="11">
        <v>117752.01</v>
      </c>
      <c r="O1749" s="11">
        <f>CleanedData[[#This Row],[Total Sales ($)]]-CleanedData[[#This Row],[Total Cost ($)]]</f>
        <v>18987.86</v>
      </c>
      <c r="P1749" s="12">
        <f>CleanedData[[#This Row],[Profit ($)]]/CleanedData[[#This Row],[Total Sales ($)]]</f>
        <v>0.13886118218483023</v>
      </c>
      <c r="Q1749" s="8" t="s">
        <v>31</v>
      </c>
      <c r="R1749" s="8" t="s">
        <v>63</v>
      </c>
      <c r="S1749" s="8" t="b">
        <f>_xlfn.SINGLE(CleanedData[[#This Row],[Delivery Status]])="Late"</f>
        <v>0</v>
      </c>
      <c r="T1749" s="10">
        <v>1</v>
      </c>
      <c r="U1749" s="8" t="s">
        <v>86</v>
      </c>
      <c r="V1749" s="10">
        <v>4634</v>
      </c>
      <c r="W1749" s="10">
        <v>9</v>
      </c>
      <c r="X1749" s="12">
        <v>1.5177065767284901E-2</v>
      </c>
      <c r="Y1749" s="8" t="b">
        <f>CleanedData[[#This Row],[Ship Date]]&lt;CleanedData[[#This Row],[Order Date]]</f>
        <v>0</v>
      </c>
      <c r="Z1749" s="10">
        <f>YEAR(CleanedData[[#This Row],[Order Date]])</f>
        <v>2023</v>
      </c>
      <c r="AA1749" s="8">
        <f>MONTH(CleanedData[[#This Row],[Order Date]])</f>
        <v>11</v>
      </c>
    </row>
    <row r="1750" spans="1:27" x14ac:dyDescent="0.35">
      <c r="A1750" s="8" t="s">
        <v>4367</v>
      </c>
      <c r="B1750" s="9">
        <v>45108</v>
      </c>
      <c r="C1750" s="9">
        <v>45002</v>
      </c>
      <c r="D1750" s="8" t="s">
        <v>4369</v>
      </c>
      <c r="E1750" s="8" t="s">
        <v>68</v>
      </c>
      <c r="F1750" s="8" t="s">
        <v>249</v>
      </c>
      <c r="G1750" s="8" t="s">
        <v>39</v>
      </c>
      <c r="H1750" s="8" t="s">
        <v>527</v>
      </c>
      <c r="I1750" s="8" t="s">
        <v>4970</v>
      </c>
      <c r="J1750" s="10">
        <v>208</v>
      </c>
      <c r="K1750" s="11">
        <v>25.35</v>
      </c>
      <c r="L1750" s="11">
        <v>30.78</v>
      </c>
      <c r="M1750" s="11">
        <v>6402.24</v>
      </c>
      <c r="N1750" s="11">
        <v>5272.8</v>
      </c>
      <c r="O1750" s="11">
        <f>CleanedData[[#This Row],[Total Sales ($)]]-CleanedData[[#This Row],[Total Cost ($)]]</f>
        <v>1129.4399999999996</v>
      </c>
      <c r="P1750" s="12">
        <f>CleanedData[[#This Row],[Profit ($)]]/CleanedData[[#This Row],[Total Sales ($)]]</f>
        <v>0.17641325536062372</v>
      </c>
      <c r="Q1750" s="8" t="s">
        <v>52</v>
      </c>
      <c r="R1750" s="8" t="s">
        <v>32</v>
      </c>
      <c r="S1750" s="8" t="b">
        <f>_xlfn.SINGLE(CleanedData[[#This Row],[Delivery Status]])="Late"</f>
        <v>1</v>
      </c>
      <c r="T1750" s="10">
        <v>10</v>
      </c>
      <c r="U1750" s="8" t="s">
        <v>43</v>
      </c>
      <c r="V1750" s="10">
        <v>1442</v>
      </c>
      <c r="W1750" s="10">
        <v>1</v>
      </c>
      <c r="X1750" s="12">
        <v>4.8076923076923002E-3</v>
      </c>
      <c r="Y1750" s="8" t="b">
        <f>CleanedData[[#This Row],[Ship Date]]&lt;CleanedData[[#This Row],[Order Date]]</f>
        <v>1</v>
      </c>
      <c r="Z1750" s="10">
        <f>YEAR(CleanedData[[#This Row],[Order Date]])</f>
        <v>2023</v>
      </c>
      <c r="AA1750" s="8">
        <f>MONTH(CleanedData[[#This Row],[Order Date]])</f>
        <v>7</v>
      </c>
    </row>
    <row r="1751" spans="1:27" x14ac:dyDescent="0.35">
      <c r="A1751" s="8" t="s">
        <v>4370</v>
      </c>
      <c r="B1751" s="9">
        <v>45522</v>
      </c>
      <c r="C1751" s="9">
        <v>45335</v>
      </c>
      <c r="D1751" s="8" t="s">
        <v>4372</v>
      </c>
      <c r="E1751" s="8" t="s">
        <v>48</v>
      </c>
      <c r="F1751" s="8" t="s">
        <v>281</v>
      </c>
      <c r="G1751" s="8" t="s">
        <v>50</v>
      </c>
      <c r="H1751" s="8" t="s">
        <v>135</v>
      </c>
      <c r="I1751" s="8" t="s">
        <v>4977</v>
      </c>
      <c r="J1751" s="10">
        <v>418</v>
      </c>
      <c r="K1751" s="11">
        <v>1161.22</v>
      </c>
      <c r="L1751" s="11">
        <v>1319.08</v>
      </c>
      <c r="M1751" s="11">
        <v>551375.43999999994</v>
      </c>
      <c r="N1751" s="11">
        <v>485389.96</v>
      </c>
      <c r="O1751" s="11">
        <f>CleanedData[[#This Row],[Total Sales ($)]]-CleanedData[[#This Row],[Total Cost ($)]]</f>
        <v>65985.479999999923</v>
      </c>
      <c r="P1751" s="12">
        <f>CleanedData[[#This Row],[Profit ($)]]/CleanedData[[#This Row],[Total Sales ($)]]</f>
        <v>0.11967431846438414</v>
      </c>
      <c r="Q1751" s="8" t="s">
        <v>42</v>
      </c>
      <c r="R1751" s="8" t="s">
        <v>63</v>
      </c>
      <c r="S1751" s="8" t="b">
        <f>_xlfn.SINGLE(CleanedData[[#This Row],[Delivery Status]])="Late"</f>
        <v>0</v>
      </c>
      <c r="T1751" s="10">
        <v>1</v>
      </c>
      <c r="U1751" s="8" t="s">
        <v>86</v>
      </c>
      <c r="V1751" s="10">
        <v>3463</v>
      </c>
      <c r="W1751" s="10">
        <v>18</v>
      </c>
      <c r="X1751" s="12">
        <v>4.3062200956937802E-2</v>
      </c>
      <c r="Y1751" s="8" t="b">
        <f>CleanedData[[#This Row],[Ship Date]]&lt;CleanedData[[#This Row],[Order Date]]</f>
        <v>1</v>
      </c>
      <c r="Z1751" s="10">
        <f>YEAR(CleanedData[[#This Row],[Order Date]])</f>
        <v>2024</v>
      </c>
      <c r="AA1751" s="8">
        <f>MONTH(CleanedData[[#This Row],[Order Date]])</f>
        <v>8</v>
      </c>
    </row>
    <row r="1752" spans="1:27" x14ac:dyDescent="0.35">
      <c r="A1752" s="8" t="s">
        <v>4373</v>
      </c>
      <c r="B1752" s="9">
        <v>45135</v>
      </c>
      <c r="C1752" s="9">
        <v>44951</v>
      </c>
      <c r="D1752" s="8" t="s">
        <v>4374</v>
      </c>
      <c r="E1752" s="8" t="s">
        <v>68</v>
      </c>
      <c r="F1752" s="8" t="s">
        <v>249</v>
      </c>
      <c r="G1752" s="8" t="s">
        <v>28</v>
      </c>
      <c r="H1752" s="8" t="s">
        <v>111</v>
      </c>
      <c r="I1752" s="8" t="s">
        <v>4973</v>
      </c>
      <c r="J1752" s="10">
        <v>593</v>
      </c>
      <c r="K1752" s="11">
        <v>22.73</v>
      </c>
      <c r="L1752" s="11">
        <v>28.18</v>
      </c>
      <c r="M1752" s="11">
        <v>16710.740000000002</v>
      </c>
      <c r="N1752" s="11">
        <v>13478.89</v>
      </c>
      <c r="O1752" s="11">
        <f>CleanedData[[#This Row],[Total Sales ($)]]-CleanedData[[#This Row],[Total Cost ($)]]</f>
        <v>3231.8500000000022</v>
      </c>
      <c r="P1752" s="12">
        <f>CleanedData[[#This Row],[Profit ($)]]/CleanedData[[#This Row],[Total Sales ($)]]</f>
        <v>0.19339957416607534</v>
      </c>
      <c r="Q1752" s="8" t="s">
        <v>31</v>
      </c>
      <c r="R1752" s="8" t="s">
        <v>63</v>
      </c>
      <c r="S1752" s="8" t="b">
        <f>_xlfn.SINGLE(CleanedData[[#This Row],[Delivery Status]])="Late"</f>
        <v>0</v>
      </c>
      <c r="T1752" s="10">
        <v>2</v>
      </c>
      <c r="U1752" s="8" t="s">
        <v>43</v>
      </c>
      <c r="V1752" s="10">
        <v>1580</v>
      </c>
      <c r="W1752" s="10">
        <v>1</v>
      </c>
      <c r="X1752" s="12">
        <v>1.6863406408094E-3</v>
      </c>
      <c r="Y1752" s="8" t="b">
        <f>CleanedData[[#This Row],[Ship Date]]&lt;CleanedData[[#This Row],[Order Date]]</f>
        <v>1</v>
      </c>
      <c r="Z1752" s="10">
        <f>YEAR(CleanedData[[#This Row],[Order Date]])</f>
        <v>2023</v>
      </c>
      <c r="AA1752" s="8">
        <f>MONTH(CleanedData[[#This Row],[Order Date]])</f>
        <v>7</v>
      </c>
    </row>
    <row r="1753" spans="1:27" x14ac:dyDescent="0.35">
      <c r="A1753" s="8" t="s">
        <v>4375</v>
      </c>
      <c r="B1753" s="9">
        <v>45554</v>
      </c>
      <c r="C1753" s="9">
        <v>45507</v>
      </c>
      <c r="D1753" s="8" t="s">
        <v>4376</v>
      </c>
      <c r="E1753" s="8" t="s">
        <v>68</v>
      </c>
      <c r="F1753" s="8" t="s">
        <v>163</v>
      </c>
      <c r="G1753" s="8" t="s">
        <v>129</v>
      </c>
      <c r="H1753" s="8" t="s">
        <v>811</v>
      </c>
      <c r="I1753" s="8" t="s">
        <v>4968</v>
      </c>
      <c r="J1753" s="10">
        <v>510</v>
      </c>
      <c r="K1753" s="11">
        <v>915.29</v>
      </c>
      <c r="L1753" s="11">
        <v>1239.6400000000001</v>
      </c>
      <c r="M1753" s="11">
        <v>632216.4</v>
      </c>
      <c r="N1753" s="11">
        <v>466797.9</v>
      </c>
      <c r="O1753" s="11">
        <f>CleanedData[[#This Row],[Total Sales ($)]]-CleanedData[[#This Row],[Total Cost ($)]]</f>
        <v>165418.5</v>
      </c>
      <c r="P1753" s="12">
        <f>CleanedData[[#This Row],[Profit ($)]]/CleanedData[[#This Row],[Total Sales ($)]]</f>
        <v>0.26164854312542352</v>
      </c>
      <c r="Q1753" s="8" t="s">
        <v>52</v>
      </c>
      <c r="R1753" s="8" t="s">
        <v>32</v>
      </c>
      <c r="S1753" s="8" t="b">
        <f>_xlfn.SINGLE(CleanedData[[#This Row],[Delivery Status]])="Late"</f>
        <v>1</v>
      </c>
      <c r="T1753" s="10">
        <v>10</v>
      </c>
      <c r="U1753" s="8" t="s">
        <v>43</v>
      </c>
      <c r="V1753" s="10">
        <v>596</v>
      </c>
      <c r="W1753" s="10">
        <v>11</v>
      </c>
      <c r="X1753" s="12">
        <v>2.1568627450980302E-2</v>
      </c>
      <c r="Y1753" s="8" t="b">
        <f>CleanedData[[#This Row],[Ship Date]]&lt;CleanedData[[#This Row],[Order Date]]</f>
        <v>1</v>
      </c>
      <c r="Z1753" s="10">
        <f>YEAR(CleanedData[[#This Row],[Order Date]])</f>
        <v>2024</v>
      </c>
      <c r="AA1753" s="8">
        <f>MONTH(CleanedData[[#This Row],[Order Date]])</f>
        <v>9</v>
      </c>
    </row>
    <row r="1754" spans="1:27" x14ac:dyDescent="0.35">
      <c r="A1754" s="8" t="s">
        <v>4377</v>
      </c>
      <c r="B1754" s="9">
        <v>44992</v>
      </c>
      <c r="C1754" s="9">
        <v>45202</v>
      </c>
      <c r="D1754" s="8" t="s">
        <v>2037</v>
      </c>
      <c r="E1754" s="8" t="s">
        <v>68</v>
      </c>
      <c r="F1754" s="8" t="s">
        <v>276</v>
      </c>
      <c r="G1754" s="8" t="s">
        <v>93</v>
      </c>
      <c r="H1754" s="8" t="s">
        <v>1442</v>
      </c>
      <c r="I1754" s="8" t="s">
        <v>4968</v>
      </c>
      <c r="J1754" s="10">
        <v>493</v>
      </c>
      <c r="K1754" s="11">
        <v>948.14</v>
      </c>
      <c r="L1754" s="11">
        <v>1217.2</v>
      </c>
      <c r="M1754" s="11">
        <v>600079.6</v>
      </c>
      <c r="N1754" s="11">
        <v>467433.02</v>
      </c>
      <c r="O1754" s="11">
        <f>CleanedData[[#This Row],[Total Sales ($)]]-CleanedData[[#This Row],[Total Cost ($)]]</f>
        <v>132646.57999999996</v>
      </c>
      <c r="P1754" s="12">
        <f>CleanedData[[#This Row],[Profit ($)]]/CleanedData[[#This Row],[Total Sales ($)]]</f>
        <v>0.22104830759119284</v>
      </c>
      <c r="Q1754" s="8" t="s">
        <v>52</v>
      </c>
      <c r="R1754" s="8" t="s">
        <v>32</v>
      </c>
      <c r="S1754" s="8" t="b">
        <f>_xlfn.SINGLE(CleanedData[[#This Row],[Delivery Status]])="Late"</f>
        <v>1</v>
      </c>
      <c r="T1754" s="10">
        <v>14</v>
      </c>
      <c r="U1754" s="8" t="s">
        <v>53</v>
      </c>
      <c r="V1754" s="10">
        <v>3786</v>
      </c>
      <c r="W1754" s="10">
        <v>8</v>
      </c>
      <c r="X1754" s="12">
        <v>1.6227180527383301E-2</v>
      </c>
      <c r="Y1754" s="8" t="b">
        <f>CleanedData[[#This Row],[Ship Date]]&lt;CleanedData[[#This Row],[Order Date]]</f>
        <v>0</v>
      </c>
      <c r="Z1754" s="10">
        <f>YEAR(CleanedData[[#This Row],[Order Date]])</f>
        <v>2023</v>
      </c>
      <c r="AA1754" s="8">
        <f>MONTH(CleanedData[[#This Row],[Order Date]])</f>
        <v>3</v>
      </c>
    </row>
    <row r="1755" spans="1:27" x14ac:dyDescent="0.35">
      <c r="A1755" s="8" t="s">
        <v>4378</v>
      </c>
      <c r="B1755" s="9">
        <v>44966</v>
      </c>
      <c r="C1755" s="9">
        <v>45151</v>
      </c>
      <c r="D1755" s="8" t="s">
        <v>4379</v>
      </c>
      <c r="E1755" s="8" t="s">
        <v>58</v>
      </c>
      <c r="F1755" s="8" t="s">
        <v>259</v>
      </c>
      <c r="G1755" s="8" t="s">
        <v>217</v>
      </c>
      <c r="H1755" s="8" t="s">
        <v>340</v>
      </c>
      <c r="I1755" s="8" t="s">
        <v>4973</v>
      </c>
      <c r="J1755" s="10">
        <v>536</v>
      </c>
      <c r="K1755" s="11">
        <v>468.73</v>
      </c>
      <c r="L1755" s="11">
        <v>620.49</v>
      </c>
      <c r="M1755" s="11">
        <v>332582.64</v>
      </c>
      <c r="N1755" s="11">
        <v>251239.28</v>
      </c>
      <c r="O1755" s="11">
        <f>CleanedData[[#This Row],[Total Sales ($)]]-CleanedData[[#This Row],[Total Cost ($)]]</f>
        <v>81343.360000000015</v>
      </c>
      <c r="P1755" s="12">
        <f>CleanedData[[#This Row],[Profit ($)]]/CleanedData[[#This Row],[Total Sales ($)]]</f>
        <v>0.24458089574368647</v>
      </c>
      <c r="Q1755" s="8" t="s">
        <v>52</v>
      </c>
      <c r="R1755" s="8" t="s">
        <v>63</v>
      </c>
      <c r="S1755" s="8" t="b">
        <f>_xlfn.SINGLE(CleanedData[[#This Row],[Delivery Status]])="Late"</f>
        <v>0</v>
      </c>
      <c r="T1755" s="10">
        <v>3</v>
      </c>
      <c r="U1755" s="8" t="s">
        <v>43</v>
      </c>
      <c r="V1755" s="10">
        <v>3673</v>
      </c>
      <c r="W1755" s="10">
        <v>6</v>
      </c>
      <c r="X1755" s="12">
        <v>1.11940298507462E-2</v>
      </c>
      <c r="Y1755" s="8" t="b">
        <f>CleanedData[[#This Row],[Ship Date]]&lt;CleanedData[[#This Row],[Order Date]]</f>
        <v>0</v>
      </c>
      <c r="Z1755" s="10">
        <f>YEAR(CleanedData[[#This Row],[Order Date]])</f>
        <v>2023</v>
      </c>
      <c r="AA1755" s="8">
        <f>MONTH(CleanedData[[#This Row],[Order Date]])</f>
        <v>2</v>
      </c>
    </row>
    <row r="1756" spans="1:27" x14ac:dyDescent="0.35">
      <c r="A1756" s="8" t="s">
        <v>4380</v>
      </c>
      <c r="B1756" s="9">
        <v>45089</v>
      </c>
      <c r="C1756" s="9">
        <v>45270</v>
      </c>
      <c r="D1756" s="8" t="s">
        <v>4381</v>
      </c>
      <c r="E1756" s="8" t="s">
        <v>48</v>
      </c>
      <c r="F1756" s="8" t="s">
        <v>183</v>
      </c>
      <c r="G1756" s="8" t="s">
        <v>70</v>
      </c>
      <c r="H1756" s="8" t="s">
        <v>623</v>
      </c>
      <c r="I1756" s="8" t="s">
        <v>4970</v>
      </c>
      <c r="J1756" s="10">
        <v>132</v>
      </c>
      <c r="K1756" s="11">
        <v>8.5500000000000007</v>
      </c>
      <c r="L1756" s="11">
        <v>12.3</v>
      </c>
      <c r="M1756" s="11">
        <v>1623.6</v>
      </c>
      <c r="N1756" s="11">
        <v>1128.5999999999999</v>
      </c>
      <c r="O1756" s="11">
        <f>CleanedData[[#This Row],[Total Sales ($)]]-CleanedData[[#This Row],[Total Cost ($)]]</f>
        <v>495</v>
      </c>
      <c r="P1756" s="12">
        <f>CleanedData[[#This Row],[Profit ($)]]/CleanedData[[#This Row],[Total Sales ($)]]</f>
        <v>0.3048780487804878</v>
      </c>
      <c r="Q1756" s="8" t="s">
        <v>42</v>
      </c>
      <c r="R1756" s="8" t="s">
        <v>63</v>
      </c>
      <c r="S1756" s="8" t="b">
        <f>_xlfn.SINGLE(CleanedData[[#This Row],[Delivery Status]])="Late"</f>
        <v>0</v>
      </c>
      <c r="T1756" s="10">
        <v>2</v>
      </c>
      <c r="U1756" s="8" t="s">
        <v>86</v>
      </c>
      <c r="V1756" s="10">
        <v>892</v>
      </c>
      <c r="W1756" s="10">
        <v>1</v>
      </c>
      <c r="X1756" s="12">
        <v>7.5757575757574996E-3</v>
      </c>
      <c r="Y1756" s="8" t="b">
        <f>CleanedData[[#This Row],[Ship Date]]&lt;CleanedData[[#This Row],[Order Date]]</f>
        <v>0</v>
      </c>
      <c r="Z1756" s="10">
        <f>YEAR(CleanedData[[#This Row],[Order Date]])</f>
        <v>2023</v>
      </c>
      <c r="AA1756" s="8">
        <f>MONTH(CleanedData[[#This Row],[Order Date]])</f>
        <v>6</v>
      </c>
    </row>
    <row r="1757" spans="1:27" x14ac:dyDescent="0.35">
      <c r="A1757" s="8" t="s">
        <v>4382</v>
      </c>
      <c r="B1757" s="9">
        <v>45206</v>
      </c>
      <c r="C1757" s="9">
        <v>45241</v>
      </c>
      <c r="D1757" s="8" t="s">
        <v>4383</v>
      </c>
      <c r="E1757" s="8" t="s">
        <v>68</v>
      </c>
      <c r="F1757" s="8" t="s">
        <v>163</v>
      </c>
      <c r="G1757" s="8" t="s">
        <v>70</v>
      </c>
      <c r="H1757" s="8" t="s">
        <v>1019</v>
      </c>
      <c r="I1757" s="8" t="s">
        <v>4968</v>
      </c>
      <c r="J1757" s="10">
        <v>544</v>
      </c>
      <c r="K1757" s="11">
        <v>53.94</v>
      </c>
      <c r="L1757" s="11">
        <v>82.6</v>
      </c>
      <c r="M1757" s="11">
        <v>44934.400000000001</v>
      </c>
      <c r="N1757" s="11">
        <v>29343.360000000001</v>
      </c>
      <c r="O1757" s="11">
        <f>CleanedData[[#This Row],[Total Sales ($)]]-CleanedData[[#This Row],[Total Cost ($)]]</f>
        <v>15591.04</v>
      </c>
      <c r="P1757" s="12">
        <f>CleanedData[[#This Row],[Profit ($)]]/CleanedData[[#This Row],[Total Sales ($)]]</f>
        <v>0.34697336561743342</v>
      </c>
      <c r="Q1757" s="8" t="s">
        <v>95</v>
      </c>
      <c r="R1757" s="8" t="s">
        <v>32</v>
      </c>
      <c r="S1757" s="8" t="b">
        <f>_xlfn.SINGLE(CleanedData[[#This Row],[Delivery Status]])="Late"</f>
        <v>1</v>
      </c>
      <c r="T1757" s="10">
        <v>8</v>
      </c>
      <c r="U1757" s="8" t="s">
        <v>158</v>
      </c>
      <c r="V1757" s="10">
        <v>4149</v>
      </c>
      <c r="W1757" s="10">
        <v>11</v>
      </c>
      <c r="X1757" s="12">
        <v>2.0220588235294101E-2</v>
      </c>
      <c r="Y1757" s="8" t="b">
        <f>CleanedData[[#This Row],[Ship Date]]&lt;CleanedData[[#This Row],[Order Date]]</f>
        <v>0</v>
      </c>
      <c r="Z1757" s="10">
        <f>YEAR(CleanedData[[#This Row],[Order Date]])</f>
        <v>2023</v>
      </c>
      <c r="AA1757" s="8">
        <f>MONTH(CleanedData[[#This Row],[Order Date]])</f>
        <v>10</v>
      </c>
    </row>
    <row r="1758" spans="1:27" x14ac:dyDescent="0.35">
      <c r="A1758" s="8" t="s">
        <v>4384</v>
      </c>
      <c r="B1758" s="9">
        <v>45133</v>
      </c>
      <c r="C1758" s="9">
        <v>45063</v>
      </c>
      <c r="D1758" s="8" t="s">
        <v>4385</v>
      </c>
      <c r="E1758" s="8" t="s">
        <v>100</v>
      </c>
      <c r="F1758" s="8" t="s">
        <v>538</v>
      </c>
      <c r="G1758" s="8" t="s">
        <v>50</v>
      </c>
      <c r="H1758" s="8" t="s">
        <v>117</v>
      </c>
      <c r="I1758" s="8" t="s">
        <v>4976</v>
      </c>
      <c r="J1758" s="10">
        <v>747</v>
      </c>
      <c r="K1758" s="11">
        <v>177.43</v>
      </c>
      <c r="L1758" s="11">
        <v>232.01</v>
      </c>
      <c r="M1758" s="11">
        <v>173311.47</v>
      </c>
      <c r="N1758" s="11">
        <v>132540.21</v>
      </c>
      <c r="O1758" s="11">
        <f>CleanedData[[#This Row],[Total Sales ($)]]-CleanedData[[#This Row],[Total Cost ($)]]</f>
        <v>40771.260000000009</v>
      </c>
      <c r="P1758" s="12">
        <f>CleanedData[[#This Row],[Profit ($)]]/CleanedData[[#This Row],[Total Sales ($)]]</f>
        <v>0.23524848066893675</v>
      </c>
      <c r="Q1758" s="8" t="s">
        <v>31</v>
      </c>
      <c r="R1758" s="8" t="s">
        <v>32</v>
      </c>
      <c r="S1758" s="8" t="b">
        <f>_xlfn.SINGLE(CleanedData[[#This Row],[Delivery Status]])="Late"</f>
        <v>1</v>
      </c>
      <c r="T1758" s="10">
        <v>13</v>
      </c>
      <c r="U1758" s="8" t="s">
        <v>33</v>
      </c>
      <c r="V1758" s="10">
        <v>2667</v>
      </c>
      <c r="W1758" s="10">
        <v>32</v>
      </c>
      <c r="X1758" s="12">
        <v>4.2838018741633198E-2</v>
      </c>
      <c r="Y1758" s="8" t="b">
        <f>CleanedData[[#This Row],[Ship Date]]&lt;CleanedData[[#This Row],[Order Date]]</f>
        <v>1</v>
      </c>
      <c r="Z1758" s="10">
        <f>YEAR(CleanedData[[#This Row],[Order Date]])</f>
        <v>2023</v>
      </c>
      <c r="AA1758" s="8">
        <f>MONTH(CleanedData[[#This Row],[Order Date]])</f>
        <v>7</v>
      </c>
    </row>
    <row r="1759" spans="1:27" x14ac:dyDescent="0.35">
      <c r="A1759" s="8" t="s">
        <v>4386</v>
      </c>
      <c r="B1759" s="9">
        <v>45058</v>
      </c>
      <c r="C1759" s="9">
        <v>45242</v>
      </c>
      <c r="D1759" s="8" t="s">
        <v>4387</v>
      </c>
      <c r="E1759" s="8" t="s">
        <v>48</v>
      </c>
      <c r="F1759" s="8" t="s">
        <v>183</v>
      </c>
      <c r="G1759" s="8" t="s">
        <v>93</v>
      </c>
      <c r="H1759" s="8" t="s">
        <v>485</v>
      </c>
      <c r="I1759" s="8" t="s">
        <v>4978</v>
      </c>
      <c r="J1759" s="10">
        <v>37</v>
      </c>
      <c r="K1759" s="11">
        <v>510.31</v>
      </c>
      <c r="L1759" s="11">
        <v>751.96</v>
      </c>
      <c r="M1759" s="11">
        <v>27822.52</v>
      </c>
      <c r="N1759" s="11">
        <v>18881.47</v>
      </c>
      <c r="O1759" s="11">
        <f>CleanedData[[#This Row],[Total Sales ($)]]-CleanedData[[#This Row],[Total Cost ($)]]</f>
        <v>8941.0499999999993</v>
      </c>
      <c r="P1759" s="12">
        <f>CleanedData[[#This Row],[Profit ($)]]/CleanedData[[#This Row],[Total Sales ($)]]</f>
        <v>0.32136017873291128</v>
      </c>
      <c r="Q1759" s="8" t="s">
        <v>95</v>
      </c>
      <c r="R1759" s="8" t="s">
        <v>63</v>
      </c>
      <c r="S1759" s="8" t="b">
        <f>_xlfn.SINGLE(CleanedData[[#This Row],[Delivery Status]])="Late"</f>
        <v>0</v>
      </c>
      <c r="T1759" s="10">
        <v>4</v>
      </c>
      <c r="U1759" s="8" t="s">
        <v>53</v>
      </c>
      <c r="V1759" s="10">
        <v>4914</v>
      </c>
      <c r="W1759" s="10"/>
      <c r="X1759" s="12"/>
      <c r="Y1759" s="8" t="b">
        <f>CleanedData[[#This Row],[Ship Date]]&lt;CleanedData[[#This Row],[Order Date]]</f>
        <v>0</v>
      </c>
      <c r="Z1759" s="10">
        <f>YEAR(CleanedData[[#This Row],[Order Date]])</f>
        <v>2023</v>
      </c>
      <c r="AA1759" s="8">
        <f>MONTH(CleanedData[[#This Row],[Order Date]])</f>
        <v>5</v>
      </c>
    </row>
    <row r="1760" spans="1:27" x14ac:dyDescent="0.35">
      <c r="A1760" s="8" t="s">
        <v>4388</v>
      </c>
      <c r="B1760" s="9">
        <v>45261</v>
      </c>
      <c r="C1760" s="9">
        <v>45017</v>
      </c>
      <c r="D1760" s="8" t="s">
        <v>4389</v>
      </c>
      <c r="E1760" s="8" t="s">
        <v>68</v>
      </c>
      <c r="F1760" s="8" t="s">
        <v>163</v>
      </c>
      <c r="G1760" s="8" t="s">
        <v>217</v>
      </c>
      <c r="H1760" s="8" t="s">
        <v>340</v>
      </c>
      <c r="I1760" s="8" t="s">
        <v>4967</v>
      </c>
      <c r="J1760" s="10">
        <v>89</v>
      </c>
      <c r="K1760" s="11">
        <v>190.25</v>
      </c>
      <c r="L1760" s="11">
        <v>227.34</v>
      </c>
      <c r="M1760" s="11">
        <v>20233.259999999998</v>
      </c>
      <c r="N1760" s="11">
        <v>16932.25</v>
      </c>
      <c r="O1760" s="11">
        <f>CleanedData[[#This Row],[Total Sales ($)]]-CleanedData[[#This Row],[Total Cost ($)]]</f>
        <v>3301.0099999999984</v>
      </c>
      <c r="P1760" s="12">
        <f>CleanedData[[#This Row],[Profit ($)]]/CleanedData[[#This Row],[Total Sales ($)]]</f>
        <v>0.16314770827834954</v>
      </c>
      <c r="Q1760" s="8" t="s">
        <v>52</v>
      </c>
      <c r="R1760" s="8" t="s">
        <v>32</v>
      </c>
      <c r="S1760" s="8" t="b">
        <f>_xlfn.SINGLE(CleanedData[[#This Row],[Delivery Status]])="Late"</f>
        <v>1</v>
      </c>
      <c r="T1760" s="10">
        <v>10</v>
      </c>
      <c r="U1760" s="8" t="s">
        <v>112</v>
      </c>
      <c r="V1760" s="10">
        <v>3835</v>
      </c>
      <c r="W1760" s="10">
        <v>2</v>
      </c>
      <c r="X1760" s="12">
        <v>2.2471910112359501E-2</v>
      </c>
      <c r="Y1760" s="8" t="b">
        <f>CleanedData[[#This Row],[Ship Date]]&lt;CleanedData[[#This Row],[Order Date]]</f>
        <v>1</v>
      </c>
      <c r="Z1760" s="10">
        <f>YEAR(CleanedData[[#This Row],[Order Date]])</f>
        <v>2023</v>
      </c>
      <c r="AA1760" s="8">
        <f>MONTH(CleanedData[[#This Row],[Order Date]])</f>
        <v>12</v>
      </c>
    </row>
    <row r="1761" spans="1:27" x14ac:dyDescent="0.35">
      <c r="A1761" s="8" t="s">
        <v>4390</v>
      </c>
      <c r="B1761" s="9">
        <v>45653</v>
      </c>
      <c r="C1761" s="9">
        <v>45651</v>
      </c>
      <c r="D1761" s="8" t="s">
        <v>4391</v>
      </c>
      <c r="E1761" s="8" t="s">
        <v>26</v>
      </c>
      <c r="F1761" s="8" t="s">
        <v>38</v>
      </c>
      <c r="G1761" s="8" t="s">
        <v>217</v>
      </c>
      <c r="H1761" s="8" t="s">
        <v>494</v>
      </c>
      <c r="I1761" s="8" t="s">
        <v>4969</v>
      </c>
      <c r="J1761" s="10">
        <v>710</v>
      </c>
      <c r="K1761" s="11">
        <v>212.49</v>
      </c>
      <c r="L1761" s="11">
        <v>317.29000000000002</v>
      </c>
      <c r="M1761" s="11">
        <v>225275.9</v>
      </c>
      <c r="N1761" s="11">
        <v>150867.9</v>
      </c>
      <c r="O1761" s="11">
        <f>CleanedData[[#This Row],[Total Sales ($)]]-CleanedData[[#This Row],[Total Cost ($)]]</f>
        <v>74408</v>
      </c>
      <c r="P1761" s="12">
        <f>CleanedData[[#This Row],[Profit ($)]]/CleanedData[[#This Row],[Total Sales ($)]]</f>
        <v>0.33029720445018751</v>
      </c>
      <c r="Q1761" s="8" t="s">
        <v>42</v>
      </c>
      <c r="R1761" s="8" t="s">
        <v>32</v>
      </c>
      <c r="S1761" s="8" t="b">
        <f>_xlfn.SINGLE(CleanedData[[#This Row],[Delivery Status]])="Late"</f>
        <v>1</v>
      </c>
      <c r="T1761" s="10">
        <v>12</v>
      </c>
      <c r="U1761" s="8" t="s">
        <v>33</v>
      </c>
      <c r="V1761" s="10">
        <v>2964</v>
      </c>
      <c r="W1761" s="10">
        <v>10</v>
      </c>
      <c r="X1761" s="12">
        <v>1.4084507042253501E-2</v>
      </c>
      <c r="Y1761" s="8" t="b">
        <f>CleanedData[[#This Row],[Ship Date]]&lt;CleanedData[[#This Row],[Order Date]]</f>
        <v>1</v>
      </c>
      <c r="Z1761" s="10">
        <f>YEAR(CleanedData[[#This Row],[Order Date]])</f>
        <v>2024</v>
      </c>
      <c r="AA1761" s="8">
        <f>MONTH(CleanedData[[#This Row],[Order Date]])</f>
        <v>12</v>
      </c>
    </row>
    <row r="1762" spans="1:27" x14ac:dyDescent="0.35">
      <c r="A1762" s="8" t="s">
        <v>4392</v>
      </c>
      <c r="B1762" s="9">
        <v>45134</v>
      </c>
      <c r="C1762" s="9">
        <v>45010</v>
      </c>
      <c r="D1762" s="8" t="s">
        <v>4393</v>
      </c>
      <c r="E1762" s="8" t="s">
        <v>58</v>
      </c>
      <c r="F1762" s="8" t="s">
        <v>417</v>
      </c>
      <c r="G1762" s="8" t="s">
        <v>39</v>
      </c>
      <c r="H1762" s="8" t="s">
        <v>664</v>
      </c>
      <c r="I1762" s="8" t="s">
        <v>4978</v>
      </c>
      <c r="J1762" s="10">
        <v>292</v>
      </c>
      <c r="K1762" s="11">
        <v>861.26</v>
      </c>
      <c r="L1762" s="11">
        <v>1100.06</v>
      </c>
      <c r="M1762" s="11">
        <v>321217.52</v>
      </c>
      <c r="N1762" s="11">
        <v>251487.92</v>
      </c>
      <c r="O1762" s="11">
        <f>CleanedData[[#This Row],[Total Sales ($)]]-CleanedData[[#This Row],[Total Cost ($)]]</f>
        <v>69729.600000000006</v>
      </c>
      <c r="P1762" s="12">
        <f>CleanedData[[#This Row],[Profit ($)]]/CleanedData[[#This Row],[Total Sales ($)]]</f>
        <v>0.21707906841445013</v>
      </c>
      <c r="Q1762" s="8" t="s">
        <v>52</v>
      </c>
      <c r="R1762" s="8" t="s">
        <v>32</v>
      </c>
      <c r="S1762" s="8" t="b">
        <f>_xlfn.SINGLE(CleanedData[[#This Row],[Delivery Status]])="Late"</f>
        <v>1</v>
      </c>
      <c r="T1762" s="10">
        <v>6</v>
      </c>
      <c r="U1762" s="8" t="s">
        <v>158</v>
      </c>
      <c r="V1762" s="10">
        <v>4375</v>
      </c>
      <c r="W1762" s="10">
        <v>13</v>
      </c>
      <c r="X1762" s="12">
        <v>4.4520547945205401E-2</v>
      </c>
      <c r="Y1762" s="8" t="b">
        <f>CleanedData[[#This Row],[Ship Date]]&lt;CleanedData[[#This Row],[Order Date]]</f>
        <v>1</v>
      </c>
      <c r="Z1762" s="10">
        <f>YEAR(CleanedData[[#This Row],[Order Date]])</f>
        <v>2023</v>
      </c>
      <c r="AA1762" s="8">
        <f>MONTH(CleanedData[[#This Row],[Order Date]])</f>
        <v>7</v>
      </c>
    </row>
    <row r="1763" spans="1:27" x14ac:dyDescent="0.35">
      <c r="A1763" s="8" t="s">
        <v>4394</v>
      </c>
      <c r="B1763" s="9">
        <v>45606</v>
      </c>
      <c r="C1763" s="9">
        <v>45404</v>
      </c>
      <c r="D1763" s="8" t="s">
        <v>4395</v>
      </c>
      <c r="E1763" s="8" t="s">
        <v>48</v>
      </c>
      <c r="F1763" s="8" t="s">
        <v>183</v>
      </c>
      <c r="G1763" s="8" t="s">
        <v>189</v>
      </c>
      <c r="H1763" s="8" t="s">
        <v>190</v>
      </c>
      <c r="I1763" s="8" t="s">
        <v>4968</v>
      </c>
      <c r="J1763" s="10">
        <v>59</v>
      </c>
      <c r="K1763" s="11">
        <v>1194.4000000000001</v>
      </c>
      <c r="L1763" s="11">
        <v>1576.66</v>
      </c>
      <c r="M1763" s="11">
        <v>93022.94</v>
      </c>
      <c r="N1763" s="11">
        <v>70469.600000000006</v>
      </c>
      <c r="O1763" s="11">
        <f>CleanedData[[#This Row],[Total Sales ($)]]-CleanedData[[#This Row],[Total Cost ($)]]</f>
        <v>22553.339999999997</v>
      </c>
      <c r="P1763" s="12">
        <f>CleanedData[[#This Row],[Profit ($)]]/CleanedData[[#This Row],[Total Sales ($)]]</f>
        <v>0.24244922811512939</v>
      </c>
      <c r="Q1763" s="8" t="s">
        <v>42</v>
      </c>
      <c r="R1763" s="8" t="s">
        <v>32</v>
      </c>
      <c r="S1763" s="8" t="b">
        <f>_xlfn.SINGLE(CleanedData[[#This Row],[Delivery Status]])="Late"</f>
        <v>1</v>
      </c>
      <c r="T1763" s="10">
        <v>12</v>
      </c>
      <c r="U1763" s="8" t="s">
        <v>86</v>
      </c>
      <c r="V1763" s="10">
        <v>3108</v>
      </c>
      <c r="W1763" s="10">
        <v>0</v>
      </c>
      <c r="X1763" s="12">
        <v>0</v>
      </c>
      <c r="Y1763" s="8" t="b">
        <f>CleanedData[[#This Row],[Ship Date]]&lt;CleanedData[[#This Row],[Order Date]]</f>
        <v>1</v>
      </c>
      <c r="Z1763" s="10">
        <f>YEAR(CleanedData[[#This Row],[Order Date]])</f>
        <v>2024</v>
      </c>
      <c r="AA1763" s="8">
        <f>MONTH(CleanedData[[#This Row],[Order Date]])</f>
        <v>11</v>
      </c>
    </row>
    <row r="1764" spans="1:27" x14ac:dyDescent="0.35">
      <c r="A1764" s="8" t="s">
        <v>4396</v>
      </c>
      <c r="B1764" s="9">
        <v>45002</v>
      </c>
      <c r="C1764" s="9">
        <v>44977</v>
      </c>
      <c r="D1764" s="8" t="s">
        <v>4397</v>
      </c>
      <c r="E1764" s="8" t="s">
        <v>26</v>
      </c>
      <c r="F1764" s="8" t="s">
        <v>228</v>
      </c>
      <c r="G1764" s="8" t="s">
        <v>50</v>
      </c>
      <c r="H1764" s="8" t="s">
        <v>117</v>
      </c>
      <c r="I1764" s="8" t="s">
        <v>4976</v>
      </c>
      <c r="J1764" s="10">
        <v>661</v>
      </c>
      <c r="K1764" s="11">
        <v>1078.67</v>
      </c>
      <c r="L1764" s="11">
        <v>1692.76</v>
      </c>
      <c r="M1764" s="11">
        <v>1118914.3600000001</v>
      </c>
      <c r="N1764" s="11">
        <v>713000.87</v>
      </c>
      <c r="O1764" s="11">
        <f>CleanedData[[#This Row],[Total Sales ($)]]-CleanedData[[#This Row],[Total Cost ($)]]</f>
        <v>405913.49000000011</v>
      </c>
      <c r="P1764" s="12">
        <f>CleanedData[[#This Row],[Profit ($)]]/CleanedData[[#This Row],[Total Sales ($)]]</f>
        <v>0.36277440393204002</v>
      </c>
      <c r="Q1764" s="8" t="s">
        <v>42</v>
      </c>
      <c r="R1764" s="8" t="s">
        <v>32</v>
      </c>
      <c r="S1764" s="8" t="b">
        <f>_xlfn.SINGLE(CleanedData[[#This Row],[Delivery Status]])="Late"</f>
        <v>1</v>
      </c>
      <c r="T1764" s="10">
        <v>10</v>
      </c>
      <c r="U1764" s="8" t="s">
        <v>43</v>
      </c>
      <c r="V1764" s="10">
        <v>3679</v>
      </c>
      <c r="W1764" s="10">
        <v>2</v>
      </c>
      <c r="X1764" s="12">
        <v>3.0257186081694E-3</v>
      </c>
      <c r="Y1764" s="8" t="b">
        <f>CleanedData[[#This Row],[Ship Date]]&lt;CleanedData[[#This Row],[Order Date]]</f>
        <v>1</v>
      </c>
      <c r="Z1764" s="10">
        <f>YEAR(CleanedData[[#This Row],[Order Date]])</f>
        <v>2023</v>
      </c>
      <c r="AA1764" s="8">
        <f>MONTH(CleanedData[[#This Row],[Order Date]])</f>
        <v>3</v>
      </c>
    </row>
    <row r="1765" spans="1:27" x14ac:dyDescent="0.35">
      <c r="A1765" s="8" t="s">
        <v>4398</v>
      </c>
      <c r="B1765" s="9">
        <v>45647</v>
      </c>
      <c r="C1765" s="9">
        <v>45306</v>
      </c>
      <c r="D1765" s="8" t="s">
        <v>4399</v>
      </c>
      <c r="E1765" s="8" t="s">
        <v>48</v>
      </c>
      <c r="F1765" s="8" t="s">
        <v>4972</v>
      </c>
      <c r="G1765" s="8" t="s">
        <v>93</v>
      </c>
      <c r="H1765" s="8" t="s">
        <v>94</v>
      </c>
      <c r="I1765" s="8" t="s">
        <v>4976</v>
      </c>
      <c r="J1765" s="10">
        <v>639</v>
      </c>
      <c r="K1765" s="11">
        <v>842.38</v>
      </c>
      <c r="L1765" s="11">
        <v>978</v>
      </c>
      <c r="M1765" s="11">
        <v>624942</v>
      </c>
      <c r="N1765" s="11">
        <v>538280.81999999995</v>
      </c>
      <c r="O1765" s="11">
        <f>CleanedData[[#This Row],[Total Sales ($)]]-CleanedData[[#This Row],[Total Cost ($)]]</f>
        <v>86661.180000000051</v>
      </c>
      <c r="P1765" s="12">
        <f>CleanedData[[#This Row],[Profit ($)]]/CleanedData[[#This Row],[Total Sales ($)]]</f>
        <v>0.13867075664621686</v>
      </c>
      <c r="Q1765" s="8" t="s">
        <v>52</v>
      </c>
      <c r="R1765" s="8" t="s">
        <v>32</v>
      </c>
      <c r="S1765" s="8" t="b">
        <f>_xlfn.SINGLE(CleanedData[[#This Row],[Delivery Status]])="Late"</f>
        <v>1</v>
      </c>
      <c r="T1765" s="10">
        <v>12</v>
      </c>
      <c r="U1765" s="8" t="s">
        <v>158</v>
      </c>
      <c r="V1765" s="10">
        <v>4488</v>
      </c>
      <c r="W1765" s="10">
        <v>9</v>
      </c>
      <c r="X1765" s="12">
        <v>1.4084507042253501E-2</v>
      </c>
      <c r="Y1765" s="8" t="b">
        <f>CleanedData[[#This Row],[Ship Date]]&lt;CleanedData[[#This Row],[Order Date]]</f>
        <v>1</v>
      </c>
      <c r="Z1765" s="10">
        <f>YEAR(CleanedData[[#This Row],[Order Date]])</f>
        <v>2024</v>
      </c>
      <c r="AA1765" s="8">
        <f>MONTH(CleanedData[[#This Row],[Order Date]])</f>
        <v>12</v>
      </c>
    </row>
    <row r="1766" spans="1:27" x14ac:dyDescent="0.35">
      <c r="A1766" s="8" t="s">
        <v>4400</v>
      </c>
      <c r="B1766" s="9">
        <v>44997</v>
      </c>
      <c r="C1766" s="9">
        <v>45093</v>
      </c>
      <c r="D1766" s="8" t="s">
        <v>4402</v>
      </c>
      <c r="E1766" s="8" t="s">
        <v>68</v>
      </c>
      <c r="F1766" s="8" t="s">
        <v>69</v>
      </c>
      <c r="G1766" s="8" t="s">
        <v>70</v>
      </c>
      <c r="H1766" s="8" t="s">
        <v>623</v>
      </c>
      <c r="I1766" s="8" t="s">
        <v>4974</v>
      </c>
      <c r="J1766" s="10">
        <v>61</v>
      </c>
      <c r="K1766" s="11">
        <v>464.78</v>
      </c>
      <c r="L1766" s="11">
        <v>648.79999999999995</v>
      </c>
      <c r="M1766" s="11">
        <v>39576.800000000003</v>
      </c>
      <c r="N1766" s="11">
        <v>28351.58</v>
      </c>
      <c r="O1766" s="11">
        <f>CleanedData[[#This Row],[Total Sales ($)]]-CleanedData[[#This Row],[Total Cost ($)]]</f>
        <v>11225.220000000001</v>
      </c>
      <c r="P1766" s="12">
        <f>CleanedData[[#This Row],[Profit ($)]]/CleanedData[[#This Row],[Total Sales ($)]]</f>
        <v>0.2836313193588163</v>
      </c>
      <c r="Q1766" s="8" t="s">
        <v>95</v>
      </c>
      <c r="R1766" s="8" t="s">
        <v>63</v>
      </c>
      <c r="S1766" s="8" t="b">
        <f>_xlfn.SINGLE(CleanedData[[#This Row],[Delivery Status]])="Late"</f>
        <v>0</v>
      </c>
      <c r="T1766" s="10">
        <v>3</v>
      </c>
      <c r="U1766" s="8" t="s">
        <v>33</v>
      </c>
      <c r="V1766" s="10">
        <v>4376</v>
      </c>
      <c r="W1766" s="10">
        <v>0</v>
      </c>
      <c r="X1766" s="12">
        <v>0</v>
      </c>
      <c r="Y1766" s="8" t="b">
        <f>CleanedData[[#This Row],[Ship Date]]&lt;CleanedData[[#This Row],[Order Date]]</f>
        <v>0</v>
      </c>
      <c r="Z1766" s="10">
        <f>YEAR(CleanedData[[#This Row],[Order Date]])</f>
        <v>2023</v>
      </c>
      <c r="AA1766" s="8">
        <f>MONTH(CleanedData[[#This Row],[Order Date]])</f>
        <v>3</v>
      </c>
    </row>
    <row r="1767" spans="1:27" x14ac:dyDescent="0.35">
      <c r="A1767" s="8" t="s">
        <v>4403</v>
      </c>
      <c r="B1767" s="9">
        <v>45042</v>
      </c>
      <c r="C1767" s="9">
        <v>45188</v>
      </c>
      <c r="D1767" s="8" t="s">
        <v>4231</v>
      </c>
      <c r="E1767" s="8" t="s">
        <v>26</v>
      </c>
      <c r="F1767" s="8" t="s">
        <v>228</v>
      </c>
      <c r="G1767" s="8" t="s">
        <v>50</v>
      </c>
      <c r="H1767" s="8" t="s">
        <v>260</v>
      </c>
      <c r="I1767" s="8" t="s">
        <v>4970</v>
      </c>
      <c r="J1767" s="10">
        <v>469</v>
      </c>
      <c r="K1767" s="11">
        <v>903.81</v>
      </c>
      <c r="L1767" s="11">
        <v>1157.1600000000001</v>
      </c>
      <c r="M1767" s="11">
        <v>542708.04</v>
      </c>
      <c r="N1767" s="11">
        <v>423886.89</v>
      </c>
      <c r="O1767" s="11">
        <f>CleanedData[[#This Row],[Total Sales ($)]]-CleanedData[[#This Row],[Total Cost ($)]]</f>
        <v>118821.15000000002</v>
      </c>
      <c r="P1767" s="12">
        <f>CleanedData[[#This Row],[Profit ($)]]/CleanedData[[#This Row],[Total Sales ($)]]</f>
        <v>0.21894120087109822</v>
      </c>
      <c r="Q1767" s="8" t="s">
        <v>52</v>
      </c>
      <c r="R1767" s="8" t="s">
        <v>32</v>
      </c>
      <c r="S1767" s="8" t="b">
        <f>_xlfn.SINGLE(CleanedData[[#This Row],[Delivery Status]])="Late"</f>
        <v>1</v>
      </c>
      <c r="T1767" s="10">
        <v>11</v>
      </c>
      <c r="U1767" s="8" t="s">
        <v>43</v>
      </c>
      <c r="V1767" s="10">
        <v>1566</v>
      </c>
      <c r="W1767" s="10">
        <v>23</v>
      </c>
      <c r="X1767" s="12">
        <v>4.9040511727078802E-2</v>
      </c>
      <c r="Y1767" s="8" t="b">
        <f>CleanedData[[#This Row],[Ship Date]]&lt;CleanedData[[#This Row],[Order Date]]</f>
        <v>0</v>
      </c>
      <c r="Z1767" s="10">
        <f>YEAR(CleanedData[[#This Row],[Order Date]])</f>
        <v>2023</v>
      </c>
      <c r="AA1767" s="8">
        <f>MONTH(CleanedData[[#This Row],[Order Date]])</f>
        <v>4</v>
      </c>
    </row>
    <row r="1768" spans="1:27" x14ac:dyDescent="0.35">
      <c r="A1768" s="8" t="s">
        <v>4404</v>
      </c>
      <c r="B1768" s="9">
        <v>45207</v>
      </c>
      <c r="C1768" s="9">
        <v>45273</v>
      </c>
      <c r="D1768" s="8" t="s">
        <v>4405</v>
      </c>
      <c r="E1768" s="8" t="s">
        <v>48</v>
      </c>
      <c r="F1768" s="8" t="s">
        <v>270</v>
      </c>
      <c r="G1768" s="8" t="s">
        <v>93</v>
      </c>
      <c r="H1768" s="8" t="s">
        <v>184</v>
      </c>
      <c r="I1768" s="8" t="s">
        <v>4969</v>
      </c>
      <c r="J1768" s="10">
        <v>565</v>
      </c>
      <c r="K1768" s="11">
        <v>1175.8900000000001</v>
      </c>
      <c r="L1768" s="11">
        <v>1534.08</v>
      </c>
      <c r="M1768" s="11">
        <v>866755.2</v>
      </c>
      <c r="N1768" s="11">
        <v>664377.85</v>
      </c>
      <c r="O1768" s="11">
        <f>CleanedData[[#This Row],[Total Sales ($)]]-CleanedData[[#This Row],[Total Cost ($)]]</f>
        <v>202377.34999999998</v>
      </c>
      <c r="P1768" s="12">
        <f>CleanedData[[#This Row],[Profit ($)]]/CleanedData[[#This Row],[Total Sales ($)]]</f>
        <v>0.23348847517730495</v>
      </c>
      <c r="Q1768" s="8" t="s">
        <v>52</v>
      </c>
      <c r="R1768" s="8" t="s">
        <v>32</v>
      </c>
      <c r="S1768" s="8" t="b">
        <f>_xlfn.SINGLE(CleanedData[[#This Row],[Delivery Status]])="Late"</f>
        <v>1</v>
      </c>
      <c r="T1768" s="10">
        <v>14</v>
      </c>
      <c r="U1768" s="8" t="s">
        <v>112</v>
      </c>
      <c r="V1768" s="10">
        <v>4526</v>
      </c>
      <c r="W1768" s="10"/>
      <c r="X1768" s="12"/>
      <c r="Y1768" s="8" t="b">
        <f>CleanedData[[#This Row],[Ship Date]]&lt;CleanedData[[#This Row],[Order Date]]</f>
        <v>0</v>
      </c>
      <c r="Z1768" s="10">
        <f>YEAR(CleanedData[[#This Row],[Order Date]])</f>
        <v>2023</v>
      </c>
      <c r="AA1768" s="8">
        <f>MONTH(CleanedData[[#This Row],[Order Date]])</f>
        <v>10</v>
      </c>
    </row>
    <row r="1769" spans="1:27" x14ac:dyDescent="0.35">
      <c r="A1769" s="8" t="s">
        <v>4406</v>
      </c>
      <c r="B1769" s="9">
        <v>45256</v>
      </c>
      <c r="C1769" s="9">
        <v>44927</v>
      </c>
      <c r="D1769" s="8" t="s">
        <v>2922</v>
      </c>
      <c r="E1769" s="8" t="s">
        <v>58</v>
      </c>
      <c r="F1769" s="8" t="s">
        <v>59</v>
      </c>
      <c r="G1769" s="8" t="s">
        <v>70</v>
      </c>
      <c r="H1769" s="8" t="s">
        <v>1019</v>
      </c>
      <c r="I1769" s="8" t="s">
        <v>4973</v>
      </c>
      <c r="J1769" s="10">
        <v>69</v>
      </c>
      <c r="K1769" s="11">
        <v>600.94000000000005</v>
      </c>
      <c r="L1769" s="11">
        <v>702.32</v>
      </c>
      <c r="M1769" s="11">
        <v>48460.08</v>
      </c>
      <c r="N1769" s="11">
        <v>41464.86</v>
      </c>
      <c r="O1769" s="11">
        <f>CleanedData[[#This Row],[Total Sales ($)]]-CleanedData[[#This Row],[Total Cost ($)]]</f>
        <v>6995.2200000000012</v>
      </c>
      <c r="P1769" s="12">
        <f>CleanedData[[#This Row],[Profit ($)]]/CleanedData[[#This Row],[Total Sales ($)]]</f>
        <v>0.14435015377605651</v>
      </c>
      <c r="Q1769" s="8" t="s">
        <v>42</v>
      </c>
      <c r="R1769" s="8" t="s">
        <v>32</v>
      </c>
      <c r="S1769" s="8" t="b">
        <f>_xlfn.SINGLE(CleanedData[[#This Row],[Delivery Status]])="Late"</f>
        <v>1</v>
      </c>
      <c r="T1769" s="10">
        <v>10</v>
      </c>
      <c r="U1769" s="8" t="s">
        <v>53</v>
      </c>
      <c r="V1769" s="10">
        <v>4838</v>
      </c>
      <c r="W1769" s="10">
        <v>1</v>
      </c>
      <c r="X1769" s="12">
        <v>1.4492753623188401E-2</v>
      </c>
      <c r="Y1769" s="8" t="b">
        <f>CleanedData[[#This Row],[Ship Date]]&lt;CleanedData[[#This Row],[Order Date]]</f>
        <v>1</v>
      </c>
      <c r="Z1769" s="10">
        <f>YEAR(CleanedData[[#This Row],[Order Date]])</f>
        <v>2023</v>
      </c>
      <c r="AA1769" s="8">
        <f>MONTH(CleanedData[[#This Row],[Order Date]])</f>
        <v>11</v>
      </c>
    </row>
    <row r="1770" spans="1:27" x14ac:dyDescent="0.35">
      <c r="A1770" s="8" t="s">
        <v>4407</v>
      </c>
      <c r="B1770" s="9">
        <v>45273</v>
      </c>
      <c r="C1770" s="9">
        <v>44983</v>
      </c>
      <c r="D1770" s="8" t="s">
        <v>4408</v>
      </c>
      <c r="E1770" s="8" t="s">
        <v>26</v>
      </c>
      <c r="F1770" s="8" t="s">
        <v>38</v>
      </c>
      <c r="G1770" s="8" t="s">
        <v>70</v>
      </c>
      <c r="H1770" s="8" t="s">
        <v>384</v>
      </c>
      <c r="I1770" s="8" t="s">
        <v>4970</v>
      </c>
      <c r="J1770" s="10">
        <v>118</v>
      </c>
      <c r="K1770" s="11">
        <v>695.08</v>
      </c>
      <c r="L1770" s="11">
        <v>875.72</v>
      </c>
      <c r="M1770" s="11">
        <v>103334.96</v>
      </c>
      <c r="N1770" s="11">
        <v>82019.44</v>
      </c>
      <c r="O1770" s="11">
        <f>CleanedData[[#This Row],[Total Sales ($)]]-CleanedData[[#This Row],[Total Cost ($)]]</f>
        <v>21315.520000000004</v>
      </c>
      <c r="P1770" s="12">
        <f>CleanedData[[#This Row],[Profit ($)]]/CleanedData[[#This Row],[Total Sales ($)]]</f>
        <v>0.20627597862330427</v>
      </c>
      <c r="Q1770" s="8" t="s">
        <v>31</v>
      </c>
      <c r="R1770" s="8" t="s">
        <v>63</v>
      </c>
      <c r="S1770" s="8" t="b">
        <f>_xlfn.SINGLE(CleanedData[[#This Row],[Delivery Status]])="Late"</f>
        <v>0</v>
      </c>
      <c r="T1770" s="10">
        <v>1</v>
      </c>
      <c r="U1770" s="8" t="s">
        <v>43</v>
      </c>
      <c r="V1770" s="10">
        <v>877</v>
      </c>
      <c r="W1770" s="10">
        <v>3</v>
      </c>
      <c r="X1770" s="12">
        <v>2.5423728813559299E-2</v>
      </c>
      <c r="Y1770" s="8" t="b">
        <f>CleanedData[[#This Row],[Ship Date]]&lt;CleanedData[[#This Row],[Order Date]]</f>
        <v>1</v>
      </c>
      <c r="Z1770" s="10">
        <f>YEAR(CleanedData[[#This Row],[Order Date]])</f>
        <v>2023</v>
      </c>
      <c r="AA1770" s="8">
        <f>MONTH(CleanedData[[#This Row],[Order Date]])</f>
        <v>12</v>
      </c>
    </row>
    <row r="1771" spans="1:27" x14ac:dyDescent="0.35">
      <c r="A1771" s="8" t="s">
        <v>4409</v>
      </c>
      <c r="B1771" s="9">
        <v>45128</v>
      </c>
      <c r="C1771" s="9">
        <v>45243</v>
      </c>
      <c r="D1771" s="8" t="s">
        <v>4295</v>
      </c>
      <c r="E1771" s="8" t="s">
        <v>68</v>
      </c>
      <c r="F1771" s="8" t="s">
        <v>146</v>
      </c>
      <c r="G1771" s="8" t="s">
        <v>217</v>
      </c>
      <c r="H1771" s="8" t="s">
        <v>684</v>
      </c>
      <c r="I1771" s="8" t="s">
        <v>4968</v>
      </c>
      <c r="J1771" s="10">
        <v>205</v>
      </c>
      <c r="K1771" s="11">
        <v>1194.82</v>
      </c>
      <c r="L1771" s="11">
        <v>1410.63</v>
      </c>
      <c r="M1771" s="11">
        <v>289179.15000000002</v>
      </c>
      <c r="N1771" s="11">
        <v>244938.1</v>
      </c>
      <c r="O1771" s="11">
        <f>CleanedData[[#This Row],[Total Sales ($)]]-CleanedData[[#This Row],[Total Cost ($)]]</f>
        <v>44241.050000000017</v>
      </c>
      <c r="P1771" s="12">
        <f>CleanedData[[#This Row],[Profit ($)]]/CleanedData[[#This Row],[Total Sales ($)]]</f>
        <v>0.15298838107795812</v>
      </c>
      <c r="Q1771" s="8" t="s">
        <v>31</v>
      </c>
      <c r="R1771" s="8" t="s">
        <v>32</v>
      </c>
      <c r="S1771" s="8" t="b">
        <f>_xlfn.SINGLE(CleanedData[[#This Row],[Delivery Status]])="Late"</f>
        <v>1</v>
      </c>
      <c r="T1771" s="10">
        <v>8</v>
      </c>
      <c r="U1771" s="8" t="s">
        <v>33</v>
      </c>
      <c r="V1771" s="10">
        <v>3849</v>
      </c>
      <c r="W1771" s="10">
        <v>4</v>
      </c>
      <c r="X1771" s="12">
        <v>1.9512195121951199E-2</v>
      </c>
      <c r="Y1771" s="8" t="b">
        <f>CleanedData[[#This Row],[Ship Date]]&lt;CleanedData[[#This Row],[Order Date]]</f>
        <v>0</v>
      </c>
      <c r="Z1771" s="10">
        <f>YEAR(CleanedData[[#This Row],[Order Date]])</f>
        <v>2023</v>
      </c>
      <c r="AA1771" s="8">
        <f>MONTH(CleanedData[[#This Row],[Order Date]])</f>
        <v>7</v>
      </c>
    </row>
    <row r="1772" spans="1:27" x14ac:dyDescent="0.35">
      <c r="A1772" s="8" t="s">
        <v>4410</v>
      </c>
      <c r="B1772" s="9">
        <v>44949</v>
      </c>
      <c r="C1772" s="9">
        <v>45037</v>
      </c>
      <c r="D1772" s="8" t="s">
        <v>4411</v>
      </c>
      <c r="E1772" s="8" t="s">
        <v>58</v>
      </c>
      <c r="F1772" s="8" t="s">
        <v>417</v>
      </c>
      <c r="G1772" s="8" t="s">
        <v>93</v>
      </c>
      <c r="H1772" s="8" t="s">
        <v>643</v>
      </c>
      <c r="I1772" s="8" t="s">
        <v>4969</v>
      </c>
      <c r="J1772" s="10">
        <v>54</v>
      </c>
      <c r="K1772" s="11">
        <v>230.67</v>
      </c>
      <c r="L1772" s="11">
        <v>355</v>
      </c>
      <c r="M1772" s="11">
        <v>19170</v>
      </c>
      <c r="N1772" s="11">
        <v>12456.18</v>
      </c>
      <c r="O1772" s="11">
        <f>CleanedData[[#This Row],[Total Sales ($)]]-CleanedData[[#This Row],[Total Cost ($)]]</f>
        <v>6713.82</v>
      </c>
      <c r="P1772" s="12">
        <f>CleanedData[[#This Row],[Profit ($)]]/CleanedData[[#This Row],[Total Sales ($)]]</f>
        <v>0.35022535211267602</v>
      </c>
      <c r="Q1772" s="8" t="s">
        <v>31</v>
      </c>
      <c r="R1772" s="8" t="s">
        <v>32</v>
      </c>
      <c r="S1772" s="8" t="b">
        <f>_xlfn.SINGLE(CleanedData[[#This Row],[Delivery Status]])="Late"</f>
        <v>1</v>
      </c>
      <c r="T1772" s="10">
        <v>14</v>
      </c>
      <c r="U1772" s="8" t="s">
        <v>33</v>
      </c>
      <c r="V1772" s="10">
        <v>727</v>
      </c>
      <c r="W1772" s="10">
        <v>0</v>
      </c>
      <c r="X1772" s="12">
        <v>0</v>
      </c>
      <c r="Y1772" s="8" t="b">
        <f>CleanedData[[#This Row],[Ship Date]]&lt;CleanedData[[#This Row],[Order Date]]</f>
        <v>0</v>
      </c>
      <c r="Z1772" s="10">
        <f>YEAR(CleanedData[[#This Row],[Order Date]])</f>
        <v>2023</v>
      </c>
      <c r="AA1772" s="8">
        <f>MONTH(CleanedData[[#This Row],[Order Date]])</f>
        <v>1</v>
      </c>
    </row>
    <row r="1773" spans="1:27" x14ac:dyDescent="0.35">
      <c r="A1773" s="8" t="s">
        <v>4412</v>
      </c>
      <c r="B1773" s="9">
        <v>44975</v>
      </c>
      <c r="C1773" s="9">
        <v>44934</v>
      </c>
      <c r="D1773" s="8" t="s">
        <v>4413</v>
      </c>
      <c r="E1773" s="8" t="s">
        <v>58</v>
      </c>
      <c r="F1773" s="8" t="s">
        <v>259</v>
      </c>
      <c r="G1773" s="8" t="s">
        <v>217</v>
      </c>
      <c r="H1773" s="8" t="s">
        <v>340</v>
      </c>
      <c r="I1773" s="8" t="s">
        <v>4970</v>
      </c>
      <c r="J1773" s="10">
        <v>762</v>
      </c>
      <c r="K1773" s="11">
        <v>312.20999999999998</v>
      </c>
      <c r="L1773" s="11">
        <v>406.38</v>
      </c>
      <c r="M1773" s="11">
        <v>309661.56</v>
      </c>
      <c r="N1773" s="11">
        <v>237904.02</v>
      </c>
      <c r="O1773" s="11">
        <f>CleanedData[[#This Row],[Total Sales ($)]]-CleanedData[[#This Row],[Total Cost ($)]]</f>
        <v>71757.540000000008</v>
      </c>
      <c r="P1773" s="12">
        <f>CleanedData[[#This Row],[Profit ($)]]/CleanedData[[#This Row],[Total Sales ($)]]</f>
        <v>0.23172892366750336</v>
      </c>
      <c r="Q1773" s="8" t="s">
        <v>31</v>
      </c>
      <c r="R1773" s="8" t="s">
        <v>63</v>
      </c>
      <c r="S1773" s="8" t="b">
        <f>_xlfn.SINGLE(CleanedData[[#This Row],[Delivery Status]])="Late"</f>
        <v>0</v>
      </c>
      <c r="T1773" s="10">
        <v>5</v>
      </c>
      <c r="U1773" s="8" t="s">
        <v>53</v>
      </c>
      <c r="V1773" s="10">
        <v>4582</v>
      </c>
      <c r="W1773" s="10">
        <v>36</v>
      </c>
      <c r="X1773" s="12">
        <v>4.7244094488188899E-2</v>
      </c>
      <c r="Y1773" s="8" t="b">
        <f>CleanedData[[#This Row],[Ship Date]]&lt;CleanedData[[#This Row],[Order Date]]</f>
        <v>1</v>
      </c>
      <c r="Z1773" s="10">
        <f>YEAR(CleanedData[[#This Row],[Order Date]])</f>
        <v>2023</v>
      </c>
      <c r="AA1773" s="8">
        <f>MONTH(CleanedData[[#This Row],[Order Date]])</f>
        <v>2</v>
      </c>
    </row>
    <row r="1774" spans="1:27" x14ac:dyDescent="0.35">
      <c r="A1774" s="8" t="s">
        <v>4414</v>
      </c>
      <c r="B1774" s="9">
        <v>45262</v>
      </c>
      <c r="C1774" s="9">
        <v>45112</v>
      </c>
      <c r="D1774" s="8" t="s">
        <v>4415</v>
      </c>
      <c r="E1774" s="8" t="s">
        <v>68</v>
      </c>
      <c r="F1774" s="8" t="s">
        <v>69</v>
      </c>
      <c r="G1774" s="8" t="s">
        <v>28</v>
      </c>
      <c r="H1774" s="8" t="s">
        <v>674</v>
      </c>
      <c r="I1774" s="8" t="s">
        <v>4976</v>
      </c>
      <c r="J1774" s="10">
        <v>168</v>
      </c>
      <c r="K1774" s="11">
        <v>473.74</v>
      </c>
      <c r="L1774" s="11">
        <v>703.12</v>
      </c>
      <c r="M1774" s="11">
        <v>118124.16</v>
      </c>
      <c r="N1774" s="11">
        <v>79588.320000000007</v>
      </c>
      <c r="O1774" s="11">
        <f>CleanedData[[#This Row],[Total Sales ($)]]-CleanedData[[#This Row],[Total Cost ($)]]</f>
        <v>38535.839999999997</v>
      </c>
      <c r="P1774" s="12">
        <f>CleanedData[[#This Row],[Profit ($)]]/CleanedData[[#This Row],[Total Sales ($)]]</f>
        <v>0.32623165320286718</v>
      </c>
      <c r="Q1774" s="8" t="s">
        <v>52</v>
      </c>
      <c r="R1774" s="8" t="s">
        <v>32</v>
      </c>
      <c r="S1774" s="8" t="b">
        <f>_xlfn.SINGLE(CleanedData[[#This Row],[Delivery Status]])="Late"</f>
        <v>1</v>
      </c>
      <c r="T1774" s="10">
        <v>11</v>
      </c>
      <c r="U1774" s="8" t="s">
        <v>86</v>
      </c>
      <c r="V1774" s="10">
        <v>1498</v>
      </c>
      <c r="W1774" s="10">
        <v>7</v>
      </c>
      <c r="X1774" s="12">
        <v>4.1666666666666602E-2</v>
      </c>
      <c r="Y1774" s="8" t="b">
        <f>CleanedData[[#This Row],[Ship Date]]&lt;CleanedData[[#This Row],[Order Date]]</f>
        <v>1</v>
      </c>
      <c r="Z1774" s="10">
        <f>YEAR(CleanedData[[#This Row],[Order Date]])</f>
        <v>2023</v>
      </c>
      <c r="AA1774" s="8">
        <f>MONTH(CleanedData[[#This Row],[Order Date]])</f>
        <v>12</v>
      </c>
    </row>
    <row r="1775" spans="1:27" x14ac:dyDescent="0.35">
      <c r="A1775" s="8" t="s">
        <v>4416</v>
      </c>
      <c r="B1775" s="9">
        <v>45257</v>
      </c>
      <c r="C1775" s="9">
        <v>45055</v>
      </c>
      <c r="D1775" s="8" t="s">
        <v>4417</v>
      </c>
      <c r="E1775" s="8" t="s">
        <v>26</v>
      </c>
      <c r="F1775" s="8" t="s">
        <v>77</v>
      </c>
      <c r="G1775" s="8" t="s">
        <v>28</v>
      </c>
      <c r="H1775" s="8" t="s">
        <v>714</v>
      </c>
      <c r="I1775" s="8" t="s">
        <v>4970</v>
      </c>
      <c r="J1775" s="10">
        <v>600</v>
      </c>
      <c r="K1775" s="11">
        <v>1100.42</v>
      </c>
      <c r="L1775" s="11">
        <v>1517.13</v>
      </c>
      <c r="M1775" s="11">
        <v>910278</v>
      </c>
      <c r="N1775" s="11">
        <v>660252</v>
      </c>
      <c r="O1775" s="11">
        <f>CleanedData[[#This Row],[Total Sales ($)]]-CleanedData[[#This Row],[Total Cost ($)]]</f>
        <v>250026</v>
      </c>
      <c r="P1775" s="12">
        <f>CleanedData[[#This Row],[Profit ($)]]/CleanedData[[#This Row],[Total Sales ($)]]</f>
        <v>0.27466993599757439</v>
      </c>
      <c r="Q1775" s="8" t="s">
        <v>31</v>
      </c>
      <c r="R1775" s="8" t="s">
        <v>32</v>
      </c>
      <c r="S1775" s="8" t="b">
        <f>_xlfn.SINGLE(CleanedData[[#This Row],[Delivery Status]])="Late"</f>
        <v>1</v>
      </c>
      <c r="T1775" s="10">
        <v>11</v>
      </c>
      <c r="U1775" s="8" t="s">
        <v>43</v>
      </c>
      <c r="V1775" s="10">
        <v>4788</v>
      </c>
      <c r="W1775" s="10">
        <v>13</v>
      </c>
      <c r="X1775" s="12">
        <v>2.1666666666666601E-2</v>
      </c>
      <c r="Y1775" s="8" t="b">
        <f>CleanedData[[#This Row],[Ship Date]]&lt;CleanedData[[#This Row],[Order Date]]</f>
        <v>1</v>
      </c>
      <c r="Z1775" s="10">
        <f>YEAR(CleanedData[[#This Row],[Order Date]])</f>
        <v>2023</v>
      </c>
      <c r="AA1775" s="8">
        <f>MONTH(CleanedData[[#This Row],[Order Date]])</f>
        <v>11</v>
      </c>
    </row>
    <row r="1776" spans="1:27" x14ac:dyDescent="0.35">
      <c r="A1776" s="8" t="s">
        <v>4418</v>
      </c>
      <c r="B1776" s="9">
        <v>45265</v>
      </c>
      <c r="C1776" s="9">
        <v>45021</v>
      </c>
      <c r="D1776" s="8" t="s">
        <v>4419</v>
      </c>
      <c r="E1776" s="8" t="s">
        <v>48</v>
      </c>
      <c r="F1776" s="8" t="s">
        <v>281</v>
      </c>
      <c r="G1776" s="8" t="s">
        <v>217</v>
      </c>
      <c r="H1776" s="8" t="s">
        <v>292</v>
      </c>
      <c r="I1776" s="8" t="s">
        <v>4974</v>
      </c>
      <c r="J1776" s="10">
        <v>53</v>
      </c>
      <c r="K1776" s="11">
        <v>713.88</v>
      </c>
      <c r="L1776" s="11">
        <v>961.08</v>
      </c>
      <c r="M1776" s="11">
        <v>50937.24</v>
      </c>
      <c r="N1776" s="11">
        <v>37835.64</v>
      </c>
      <c r="O1776" s="11">
        <f>CleanedData[[#This Row],[Total Sales ($)]]-CleanedData[[#This Row],[Total Cost ($)]]</f>
        <v>13101.599999999999</v>
      </c>
      <c r="P1776" s="12">
        <f>CleanedData[[#This Row],[Profit ($)]]/CleanedData[[#This Row],[Total Sales ($)]]</f>
        <v>0.25721063803221372</v>
      </c>
      <c r="Q1776" s="8" t="s">
        <v>95</v>
      </c>
      <c r="R1776" s="8" t="s">
        <v>32</v>
      </c>
      <c r="S1776" s="8" t="b">
        <f>_xlfn.SINGLE(CleanedData[[#This Row],[Delivery Status]])="Late"</f>
        <v>1</v>
      </c>
      <c r="T1776" s="10">
        <v>9</v>
      </c>
      <c r="U1776" s="8" t="s">
        <v>53</v>
      </c>
      <c r="V1776" s="10">
        <v>4947</v>
      </c>
      <c r="W1776" s="10">
        <v>2</v>
      </c>
      <c r="X1776" s="12">
        <v>3.7735849056603703E-2</v>
      </c>
      <c r="Y1776" s="8" t="b">
        <f>CleanedData[[#This Row],[Ship Date]]&lt;CleanedData[[#This Row],[Order Date]]</f>
        <v>1</v>
      </c>
      <c r="Z1776" s="10">
        <f>YEAR(CleanedData[[#This Row],[Order Date]])</f>
        <v>2023</v>
      </c>
      <c r="AA1776" s="8">
        <f>MONTH(CleanedData[[#This Row],[Order Date]])</f>
        <v>12</v>
      </c>
    </row>
    <row r="1777" spans="1:27" x14ac:dyDescent="0.35">
      <c r="A1777" s="8" t="s">
        <v>4420</v>
      </c>
      <c r="B1777" s="9">
        <v>45052</v>
      </c>
      <c r="C1777" s="9">
        <v>45209</v>
      </c>
      <c r="D1777" s="8" t="s">
        <v>4421</v>
      </c>
      <c r="E1777" s="8" t="s">
        <v>26</v>
      </c>
      <c r="F1777" s="8" t="s">
        <v>709</v>
      </c>
      <c r="G1777" s="8" t="s">
        <v>28</v>
      </c>
      <c r="H1777" s="8" t="s">
        <v>111</v>
      </c>
      <c r="I1777" s="8" t="s">
        <v>1335</v>
      </c>
      <c r="J1777" s="10">
        <v>451</v>
      </c>
      <c r="K1777" s="11">
        <v>776.46</v>
      </c>
      <c r="L1777" s="11">
        <v>1059.44</v>
      </c>
      <c r="M1777" s="11">
        <v>477807.44</v>
      </c>
      <c r="N1777" s="11">
        <v>350183.46</v>
      </c>
      <c r="O1777" s="11">
        <f>CleanedData[[#This Row],[Total Sales ($)]]-CleanedData[[#This Row],[Total Cost ($)]]</f>
        <v>127623.97999999998</v>
      </c>
      <c r="P1777" s="12">
        <f>CleanedData[[#This Row],[Profit ($)]]/CleanedData[[#This Row],[Total Sales ($)]]</f>
        <v>0.26710337536811896</v>
      </c>
      <c r="Q1777" s="8" t="s">
        <v>52</v>
      </c>
      <c r="R1777" s="8" t="s">
        <v>63</v>
      </c>
      <c r="S1777" s="8" t="b">
        <f>_xlfn.SINGLE(CleanedData[[#This Row],[Delivery Status]])="Late"</f>
        <v>0</v>
      </c>
      <c r="T1777" s="10">
        <v>5</v>
      </c>
      <c r="U1777" s="8" t="s">
        <v>158</v>
      </c>
      <c r="V1777" s="10">
        <v>206</v>
      </c>
      <c r="W1777" s="10">
        <v>20</v>
      </c>
      <c r="X1777" s="12">
        <v>4.4345898004434503E-2</v>
      </c>
      <c r="Y1777" s="8" t="b">
        <f>CleanedData[[#This Row],[Ship Date]]&lt;CleanedData[[#This Row],[Order Date]]</f>
        <v>0</v>
      </c>
      <c r="Z1777" s="10">
        <f>YEAR(CleanedData[[#This Row],[Order Date]])</f>
        <v>2023</v>
      </c>
      <c r="AA1777" s="8">
        <f>MONTH(CleanedData[[#This Row],[Order Date]])</f>
        <v>5</v>
      </c>
    </row>
    <row r="1778" spans="1:27" x14ac:dyDescent="0.35">
      <c r="A1778" s="8" t="s">
        <v>4422</v>
      </c>
      <c r="B1778" s="9">
        <v>45516</v>
      </c>
      <c r="C1778" s="9">
        <v>45461</v>
      </c>
      <c r="D1778" s="8" t="s">
        <v>4423</v>
      </c>
      <c r="E1778" s="8" t="s">
        <v>26</v>
      </c>
      <c r="F1778" s="8" t="s">
        <v>38</v>
      </c>
      <c r="G1778" s="8" t="s">
        <v>28</v>
      </c>
      <c r="H1778" s="8" t="s">
        <v>254</v>
      </c>
      <c r="I1778" s="8" t="s">
        <v>4967</v>
      </c>
      <c r="J1778" s="10">
        <v>533</v>
      </c>
      <c r="K1778" s="11">
        <v>803.54</v>
      </c>
      <c r="L1778" s="11">
        <v>950.31</v>
      </c>
      <c r="M1778" s="11">
        <v>506515.23</v>
      </c>
      <c r="N1778" s="11">
        <v>428286.82</v>
      </c>
      <c r="O1778" s="11">
        <f>CleanedData[[#This Row],[Total Sales ($)]]-CleanedData[[#This Row],[Total Cost ($)]]</f>
        <v>78228.409999999974</v>
      </c>
      <c r="P1778" s="12">
        <f>CleanedData[[#This Row],[Profit ($)]]/CleanedData[[#This Row],[Total Sales ($)]]</f>
        <v>0.15444433921562434</v>
      </c>
      <c r="Q1778" s="8" t="s">
        <v>52</v>
      </c>
      <c r="R1778" s="8" t="s">
        <v>63</v>
      </c>
      <c r="S1778" s="8" t="b">
        <f>_xlfn.SINGLE(CleanedData[[#This Row],[Delivery Status]])="Late"</f>
        <v>0</v>
      </c>
      <c r="T1778" s="10">
        <v>5</v>
      </c>
      <c r="U1778" s="8" t="s">
        <v>158</v>
      </c>
      <c r="V1778" s="10">
        <v>3004</v>
      </c>
      <c r="W1778" s="10">
        <v>11</v>
      </c>
      <c r="X1778" s="12">
        <v>2.0637898686679101E-2</v>
      </c>
      <c r="Y1778" s="8" t="b">
        <f>CleanedData[[#This Row],[Ship Date]]&lt;CleanedData[[#This Row],[Order Date]]</f>
        <v>1</v>
      </c>
      <c r="Z1778" s="10">
        <f>YEAR(CleanedData[[#This Row],[Order Date]])</f>
        <v>2024</v>
      </c>
      <c r="AA1778" s="8">
        <f>MONTH(CleanedData[[#This Row],[Order Date]])</f>
        <v>8</v>
      </c>
    </row>
    <row r="1779" spans="1:27" x14ac:dyDescent="0.35">
      <c r="A1779" s="8" t="s">
        <v>4424</v>
      </c>
      <c r="B1779" s="9">
        <v>45276</v>
      </c>
      <c r="C1779" s="9">
        <v>45247</v>
      </c>
      <c r="D1779" s="8" t="s">
        <v>4425</v>
      </c>
      <c r="E1779" s="8" t="s">
        <v>26</v>
      </c>
      <c r="F1779" s="8" t="s">
        <v>27</v>
      </c>
      <c r="G1779" s="8" t="s">
        <v>60</v>
      </c>
      <c r="H1779" s="8" t="s">
        <v>780</v>
      </c>
      <c r="I1779" s="8" t="s">
        <v>4979</v>
      </c>
      <c r="J1779" s="10">
        <v>249</v>
      </c>
      <c r="K1779" s="11">
        <v>1125.97</v>
      </c>
      <c r="L1779" s="11">
        <v>1274.6099999999999</v>
      </c>
      <c r="M1779" s="11">
        <v>317377.89</v>
      </c>
      <c r="N1779" s="11">
        <v>280366.53000000003</v>
      </c>
      <c r="O1779" s="11">
        <f>CleanedData[[#This Row],[Total Sales ($)]]-CleanedData[[#This Row],[Total Cost ($)]]</f>
        <v>37011.359999999986</v>
      </c>
      <c r="P1779" s="12">
        <f>CleanedData[[#This Row],[Profit ($)]]/CleanedData[[#This Row],[Total Sales ($)]]</f>
        <v>0.11661606295258937</v>
      </c>
      <c r="Q1779" s="8" t="s">
        <v>42</v>
      </c>
      <c r="R1779" s="8" t="s">
        <v>32</v>
      </c>
      <c r="S1779" s="8" t="b">
        <f>_xlfn.SINGLE(CleanedData[[#This Row],[Delivery Status]])="Late"</f>
        <v>1</v>
      </c>
      <c r="T1779" s="10">
        <v>15</v>
      </c>
      <c r="U1779" s="8" t="s">
        <v>86</v>
      </c>
      <c r="V1779" s="10">
        <v>909</v>
      </c>
      <c r="W1779" s="10">
        <v>11</v>
      </c>
      <c r="X1779" s="12">
        <v>4.4176706827309203E-2</v>
      </c>
      <c r="Y1779" s="8" t="b">
        <f>CleanedData[[#This Row],[Ship Date]]&lt;CleanedData[[#This Row],[Order Date]]</f>
        <v>1</v>
      </c>
      <c r="Z1779" s="10">
        <f>YEAR(CleanedData[[#This Row],[Order Date]])</f>
        <v>2023</v>
      </c>
      <c r="AA1779" s="8">
        <f>MONTH(CleanedData[[#This Row],[Order Date]])</f>
        <v>12</v>
      </c>
    </row>
    <row r="1780" spans="1:27" x14ac:dyDescent="0.35">
      <c r="A1780" s="8" t="s">
        <v>4426</v>
      </c>
      <c r="B1780" s="9">
        <v>45622</v>
      </c>
      <c r="C1780" s="9">
        <v>45601</v>
      </c>
      <c r="D1780" s="8" t="s">
        <v>4428</v>
      </c>
      <c r="E1780" s="8" t="s">
        <v>48</v>
      </c>
      <c r="F1780" s="8" t="s">
        <v>270</v>
      </c>
      <c r="G1780" s="8" t="s">
        <v>129</v>
      </c>
      <c r="H1780" s="8" t="s">
        <v>704</v>
      </c>
      <c r="I1780" s="8" t="s">
        <v>4974</v>
      </c>
      <c r="J1780" s="10">
        <v>800</v>
      </c>
      <c r="K1780" s="11">
        <v>82.58</v>
      </c>
      <c r="L1780" s="11">
        <v>134.97</v>
      </c>
      <c r="M1780" s="11">
        <v>107976</v>
      </c>
      <c r="N1780" s="11">
        <v>66064</v>
      </c>
      <c r="O1780" s="11">
        <f>CleanedData[[#This Row],[Total Sales ($)]]-CleanedData[[#This Row],[Total Cost ($)]]</f>
        <v>41912</v>
      </c>
      <c r="P1780" s="12">
        <f>CleanedData[[#This Row],[Profit ($)]]/CleanedData[[#This Row],[Total Sales ($)]]</f>
        <v>0.38816033192561311</v>
      </c>
      <c r="Q1780" s="8" t="s">
        <v>42</v>
      </c>
      <c r="R1780" s="8" t="s">
        <v>63</v>
      </c>
      <c r="S1780" s="8" t="b">
        <f>_xlfn.SINGLE(CleanedData[[#This Row],[Delivery Status]])="Late"</f>
        <v>0</v>
      </c>
      <c r="T1780" s="10">
        <v>4</v>
      </c>
      <c r="U1780" s="8" t="s">
        <v>43</v>
      </c>
      <c r="V1780" s="10">
        <v>2124</v>
      </c>
      <c r="W1780" s="10">
        <v>22</v>
      </c>
      <c r="X1780" s="12">
        <v>2.75E-2</v>
      </c>
      <c r="Y1780" s="8" t="b">
        <f>CleanedData[[#This Row],[Ship Date]]&lt;CleanedData[[#This Row],[Order Date]]</f>
        <v>1</v>
      </c>
      <c r="Z1780" s="10">
        <f>YEAR(CleanedData[[#This Row],[Order Date]])</f>
        <v>2024</v>
      </c>
      <c r="AA1780" s="8">
        <f>MONTH(CleanedData[[#This Row],[Order Date]])</f>
        <v>11</v>
      </c>
    </row>
    <row r="1781" spans="1:27" x14ac:dyDescent="0.35">
      <c r="A1781" s="8" t="s">
        <v>4429</v>
      </c>
      <c r="B1781" s="9">
        <v>45590</v>
      </c>
      <c r="C1781" s="9">
        <v>45385</v>
      </c>
      <c r="D1781" s="8" t="s">
        <v>4430</v>
      </c>
      <c r="E1781" s="8" t="s">
        <v>100</v>
      </c>
      <c r="F1781" s="8" t="s">
        <v>101</v>
      </c>
      <c r="G1781" s="8" t="s">
        <v>189</v>
      </c>
      <c r="H1781" s="8" t="s">
        <v>360</v>
      </c>
      <c r="I1781" s="8" t="s">
        <v>4977</v>
      </c>
      <c r="J1781" s="10">
        <v>122</v>
      </c>
      <c r="K1781" s="11">
        <v>618.15</v>
      </c>
      <c r="L1781" s="11">
        <v>804.74</v>
      </c>
      <c r="M1781" s="11">
        <v>98178.28</v>
      </c>
      <c r="N1781" s="11">
        <v>75414.3</v>
      </c>
      <c r="O1781" s="11">
        <f>CleanedData[[#This Row],[Total Sales ($)]]-CleanedData[[#This Row],[Total Cost ($)]]</f>
        <v>22763.979999999996</v>
      </c>
      <c r="P1781" s="12">
        <f>CleanedData[[#This Row],[Profit ($)]]/CleanedData[[#This Row],[Total Sales ($)]]</f>
        <v>0.23186370753286772</v>
      </c>
      <c r="Q1781" s="8" t="s">
        <v>31</v>
      </c>
      <c r="R1781" s="8" t="s">
        <v>32</v>
      </c>
      <c r="S1781" s="8" t="b">
        <f>_xlfn.SINGLE(CleanedData[[#This Row],[Delivery Status]])="Late"</f>
        <v>1</v>
      </c>
      <c r="T1781" s="10">
        <v>7</v>
      </c>
      <c r="U1781" s="8" t="s">
        <v>53</v>
      </c>
      <c r="V1781" s="10">
        <v>2955</v>
      </c>
      <c r="W1781" s="10">
        <v>1</v>
      </c>
      <c r="X1781" s="12">
        <v>8.1967213114753999E-3</v>
      </c>
      <c r="Y1781" s="8" t="b">
        <f>CleanedData[[#This Row],[Ship Date]]&lt;CleanedData[[#This Row],[Order Date]]</f>
        <v>1</v>
      </c>
      <c r="Z1781" s="10">
        <f>YEAR(CleanedData[[#This Row],[Order Date]])</f>
        <v>2024</v>
      </c>
      <c r="AA1781" s="8">
        <f>MONTH(CleanedData[[#This Row],[Order Date]])</f>
        <v>10</v>
      </c>
    </row>
    <row r="1782" spans="1:27" x14ac:dyDescent="0.35">
      <c r="A1782" s="8" t="s">
        <v>4431</v>
      </c>
      <c r="B1782" s="9">
        <v>45033</v>
      </c>
      <c r="C1782" s="9">
        <v>45030</v>
      </c>
      <c r="D1782" s="8" t="s">
        <v>4432</v>
      </c>
      <c r="E1782" s="8" t="s">
        <v>26</v>
      </c>
      <c r="F1782" s="8" t="s">
        <v>27</v>
      </c>
      <c r="G1782" s="8" t="s">
        <v>60</v>
      </c>
      <c r="H1782" s="8" t="s">
        <v>780</v>
      </c>
      <c r="I1782" s="8" t="s">
        <v>4974</v>
      </c>
      <c r="J1782" s="10">
        <v>685</v>
      </c>
      <c r="K1782" s="11">
        <v>284.11</v>
      </c>
      <c r="L1782" s="11">
        <v>419.64</v>
      </c>
      <c r="M1782" s="11">
        <v>287453.40000000002</v>
      </c>
      <c r="N1782" s="11">
        <v>194615.35</v>
      </c>
      <c r="O1782" s="11">
        <f>CleanedData[[#This Row],[Total Sales ($)]]-CleanedData[[#This Row],[Total Cost ($)]]</f>
        <v>92838.050000000017</v>
      </c>
      <c r="P1782" s="12">
        <f>CleanedData[[#This Row],[Profit ($)]]/CleanedData[[#This Row],[Total Sales ($)]]</f>
        <v>0.32296730530931278</v>
      </c>
      <c r="Q1782" s="8" t="s">
        <v>95</v>
      </c>
      <c r="R1782" s="8" t="s">
        <v>32</v>
      </c>
      <c r="S1782" s="8" t="b">
        <f>_xlfn.SINGLE(CleanedData[[#This Row],[Delivery Status]])="Late"</f>
        <v>1</v>
      </c>
      <c r="T1782" s="10">
        <v>999</v>
      </c>
      <c r="U1782" s="8" t="s">
        <v>158</v>
      </c>
      <c r="V1782" s="10">
        <v>2655</v>
      </c>
      <c r="W1782" s="10">
        <v>18</v>
      </c>
      <c r="X1782" s="12">
        <v>2.6277372262773699E-2</v>
      </c>
      <c r="Y1782" s="8" t="b">
        <f>CleanedData[[#This Row],[Ship Date]]&lt;CleanedData[[#This Row],[Order Date]]</f>
        <v>1</v>
      </c>
      <c r="Z1782" s="10">
        <f>YEAR(CleanedData[[#This Row],[Order Date]])</f>
        <v>2023</v>
      </c>
      <c r="AA1782" s="8">
        <f>MONTH(CleanedData[[#This Row],[Order Date]])</f>
        <v>4</v>
      </c>
    </row>
    <row r="1783" spans="1:27" x14ac:dyDescent="0.35">
      <c r="A1783" s="8" t="s">
        <v>4433</v>
      </c>
      <c r="B1783" s="9">
        <v>45201</v>
      </c>
      <c r="C1783" s="9">
        <v>45022</v>
      </c>
      <c r="D1783" s="8" t="s">
        <v>4434</v>
      </c>
      <c r="E1783" s="8" t="s">
        <v>26</v>
      </c>
      <c r="F1783" s="8" t="s">
        <v>77</v>
      </c>
      <c r="G1783" s="8" t="s">
        <v>189</v>
      </c>
      <c r="H1783" s="8" t="s">
        <v>365</v>
      </c>
      <c r="I1783" s="8" t="s">
        <v>4972</v>
      </c>
      <c r="J1783" s="10">
        <v>627</v>
      </c>
      <c r="K1783" s="11">
        <v>606.6</v>
      </c>
      <c r="L1783" s="11">
        <v>741.74</v>
      </c>
      <c r="M1783" s="11">
        <v>465070.98</v>
      </c>
      <c r="N1783" s="11">
        <v>380338.2</v>
      </c>
      <c r="O1783" s="11">
        <f>CleanedData[[#This Row],[Total Sales ($)]]-CleanedData[[#This Row],[Total Cost ($)]]</f>
        <v>84732.77999999997</v>
      </c>
      <c r="P1783" s="12">
        <f>CleanedData[[#This Row],[Profit ($)]]/CleanedData[[#This Row],[Total Sales ($)]]</f>
        <v>0.18219322134440633</v>
      </c>
      <c r="Q1783" s="8" t="s">
        <v>42</v>
      </c>
      <c r="R1783" s="8" t="s">
        <v>32</v>
      </c>
      <c r="S1783" s="8" t="b">
        <f>_xlfn.SINGLE(CleanedData[[#This Row],[Delivery Status]])="Late"</f>
        <v>1</v>
      </c>
      <c r="T1783" s="10">
        <v>6</v>
      </c>
      <c r="U1783" s="8" t="s">
        <v>53</v>
      </c>
      <c r="V1783" s="10">
        <v>1437</v>
      </c>
      <c r="W1783" s="10">
        <v>6</v>
      </c>
      <c r="X1783" s="12">
        <v>9.5693779904306008E-3</v>
      </c>
      <c r="Y1783" s="8" t="b">
        <f>CleanedData[[#This Row],[Ship Date]]&lt;CleanedData[[#This Row],[Order Date]]</f>
        <v>1</v>
      </c>
      <c r="Z1783" s="10">
        <f>YEAR(CleanedData[[#This Row],[Order Date]])</f>
        <v>2023</v>
      </c>
      <c r="AA1783" s="8">
        <f>MONTH(CleanedData[[#This Row],[Order Date]])</f>
        <v>10</v>
      </c>
    </row>
    <row r="1784" spans="1:27" x14ac:dyDescent="0.35">
      <c r="A1784" s="8" t="s">
        <v>4435</v>
      </c>
      <c r="B1784" s="9">
        <v>45017</v>
      </c>
      <c r="C1784" s="9">
        <v>44990</v>
      </c>
      <c r="D1784" s="8" t="s">
        <v>4436</v>
      </c>
      <c r="E1784" s="8" t="s">
        <v>26</v>
      </c>
      <c r="F1784" s="8" t="s">
        <v>38</v>
      </c>
      <c r="G1784" s="8" t="s">
        <v>189</v>
      </c>
      <c r="H1784" s="8" t="s">
        <v>190</v>
      </c>
      <c r="I1784" s="8" t="s">
        <v>4973</v>
      </c>
      <c r="J1784" s="10">
        <v>543</v>
      </c>
      <c r="K1784" s="11">
        <v>419.7</v>
      </c>
      <c r="L1784" s="11">
        <v>519.57000000000005</v>
      </c>
      <c r="M1784" s="11">
        <v>282126.51</v>
      </c>
      <c r="N1784" s="11">
        <v>227897.1</v>
      </c>
      <c r="O1784" s="11">
        <f>CleanedData[[#This Row],[Total Sales ($)]]-CleanedData[[#This Row],[Total Cost ($)]]</f>
        <v>54229.41</v>
      </c>
      <c r="P1784" s="12">
        <f>CleanedData[[#This Row],[Profit ($)]]/CleanedData[[#This Row],[Total Sales ($)]]</f>
        <v>0.19221664068364225</v>
      </c>
      <c r="Q1784" s="8" t="s">
        <v>42</v>
      </c>
      <c r="R1784" s="8" t="s">
        <v>32</v>
      </c>
      <c r="S1784" s="8" t="b">
        <f>_xlfn.SINGLE(CleanedData[[#This Row],[Delivery Status]])="Late"</f>
        <v>1</v>
      </c>
      <c r="T1784" s="10">
        <v>6</v>
      </c>
      <c r="U1784" s="8" t="s">
        <v>53</v>
      </c>
      <c r="V1784" s="10">
        <v>3601</v>
      </c>
      <c r="W1784" s="10">
        <v>20</v>
      </c>
      <c r="X1784" s="12">
        <v>3.6832412523020198E-2</v>
      </c>
      <c r="Y1784" s="8" t="b">
        <f>CleanedData[[#This Row],[Ship Date]]&lt;CleanedData[[#This Row],[Order Date]]</f>
        <v>1</v>
      </c>
      <c r="Z1784" s="10">
        <f>YEAR(CleanedData[[#This Row],[Order Date]])</f>
        <v>2023</v>
      </c>
      <c r="AA1784" s="8">
        <f>MONTH(CleanedData[[#This Row],[Order Date]])</f>
        <v>4</v>
      </c>
    </row>
    <row r="1785" spans="1:27" x14ac:dyDescent="0.35">
      <c r="A1785" s="8" t="s">
        <v>4437</v>
      </c>
      <c r="B1785" s="9">
        <v>45177</v>
      </c>
      <c r="C1785" s="9">
        <v>45164</v>
      </c>
      <c r="D1785" s="8" t="s">
        <v>4438</v>
      </c>
      <c r="E1785" s="8" t="s">
        <v>100</v>
      </c>
      <c r="F1785" s="8" t="s">
        <v>1606</v>
      </c>
      <c r="G1785" s="8" t="s">
        <v>70</v>
      </c>
      <c r="H1785" s="8" t="s">
        <v>446</v>
      </c>
      <c r="I1785" s="8" t="s">
        <v>4971</v>
      </c>
      <c r="J1785" s="10">
        <v>787</v>
      </c>
      <c r="K1785" s="11">
        <v>569.25</v>
      </c>
      <c r="L1785" s="11">
        <v>639.63</v>
      </c>
      <c r="M1785" s="11">
        <v>503388.81</v>
      </c>
      <c r="N1785" s="11">
        <v>447999.75</v>
      </c>
      <c r="O1785" s="11">
        <f>CleanedData[[#This Row],[Total Sales ($)]]-CleanedData[[#This Row],[Total Cost ($)]]</f>
        <v>55389.06</v>
      </c>
      <c r="P1785" s="12">
        <f>CleanedData[[#This Row],[Profit ($)]]/CleanedData[[#This Row],[Total Sales ($)]]</f>
        <v>0.11003236245954692</v>
      </c>
      <c r="Q1785" s="8" t="s">
        <v>31</v>
      </c>
      <c r="R1785" s="8" t="s">
        <v>32</v>
      </c>
      <c r="S1785" s="8" t="b">
        <f>_xlfn.SINGLE(CleanedData[[#This Row],[Delivery Status]])="Late"</f>
        <v>1</v>
      </c>
      <c r="T1785" s="10">
        <v>9</v>
      </c>
      <c r="U1785" s="8" t="s">
        <v>53</v>
      </c>
      <c r="V1785" s="10">
        <v>2568</v>
      </c>
      <c r="W1785" s="10">
        <v>33</v>
      </c>
      <c r="X1785" s="12">
        <v>4.1931385006353197E-2</v>
      </c>
      <c r="Y1785" s="8" t="b">
        <f>CleanedData[[#This Row],[Ship Date]]&lt;CleanedData[[#This Row],[Order Date]]</f>
        <v>1</v>
      </c>
      <c r="Z1785" s="10">
        <f>YEAR(CleanedData[[#This Row],[Order Date]])</f>
        <v>2023</v>
      </c>
      <c r="AA1785" s="8">
        <f>MONTH(CleanedData[[#This Row],[Order Date]])</f>
        <v>9</v>
      </c>
    </row>
    <row r="1786" spans="1:27" x14ac:dyDescent="0.35">
      <c r="A1786" s="8" t="s">
        <v>4440</v>
      </c>
      <c r="B1786" s="9">
        <v>45307</v>
      </c>
      <c r="C1786" s="9">
        <v>45357</v>
      </c>
      <c r="D1786" s="8" t="s">
        <v>4442</v>
      </c>
      <c r="E1786" s="8" t="s">
        <v>48</v>
      </c>
      <c r="F1786" s="8" t="s">
        <v>49</v>
      </c>
      <c r="G1786" s="8" t="s">
        <v>217</v>
      </c>
      <c r="H1786" s="8" t="s">
        <v>340</v>
      </c>
      <c r="I1786" s="8" t="s">
        <v>4967</v>
      </c>
      <c r="J1786" s="10">
        <v>115</v>
      </c>
      <c r="K1786" s="11">
        <v>54.06</v>
      </c>
      <c r="L1786" s="11">
        <v>82.42</v>
      </c>
      <c r="M1786" s="11">
        <v>9478.2999999999993</v>
      </c>
      <c r="N1786" s="11">
        <v>6216.9</v>
      </c>
      <c r="O1786" s="11">
        <f>CleanedData[[#This Row],[Total Sales ($)]]-CleanedData[[#This Row],[Total Cost ($)]]</f>
        <v>3261.3999999999996</v>
      </c>
      <c r="P1786" s="12">
        <f>CleanedData[[#This Row],[Profit ($)]]/CleanedData[[#This Row],[Total Sales ($)]]</f>
        <v>0.34409123999029362</v>
      </c>
      <c r="Q1786" s="8" t="s">
        <v>42</v>
      </c>
      <c r="R1786" s="8" t="s">
        <v>32</v>
      </c>
      <c r="S1786" s="8" t="b">
        <f>_xlfn.SINGLE(CleanedData[[#This Row],[Delivery Status]])="Late"</f>
        <v>1</v>
      </c>
      <c r="T1786" s="10">
        <v>8</v>
      </c>
      <c r="U1786" s="8" t="s">
        <v>53</v>
      </c>
      <c r="V1786" s="10">
        <v>1014</v>
      </c>
      <c r="W1786" s="10">
        <v>0</v>
      </c>
      <c r="X1786" s="12">
        <v>0</v>
      </c>
      <c r="Y1786" s="8" t="b">
        <f>CleanedData[[#This Row],[Ship Date]]&lt;CleanedData[[#This Row],[Order Date]]</f>
        <v>0</v>
      </c>
      <c r="Z1786" s="10">
        <f>YEAR(CleanedData[[#This Row],[Order Date]])</f>
        <v>2024</v>
      </c>
      <c r="AA1786" s="8">
        <f>MONTH(CleanedData[[#This Row],[Order Date]])</f>
        <v>1</v>
      </c>
    </row>
    <row r="1787" spans="1:27" x14ac:dyDescent="0.35">
      <c r="A1787" s="8" t="s">
        <v>4443</v>
      </c>
      <c r="B1787" s="9">
        <v>45129</v>
      </c>
      <c r="C1787" s="9">
        <v>45174</v>
      </c>
      <c r="D1787" s="8" t="s">
        <v>4444</v>
      </c>
      <c r="E1787" s="8" t="s">
        <v>58</v>
      </c>
      <c r="F1787" s="8" t="s">
        <v>259</v>
      </c>
      <c r="G1787" s="8" t="s">
        <v>39</v>
      </c>
      <c r="H1787" s="8" t="s">
        <v>412</v>
      </c>
      <c r="I1787" s="8" t="s">
        <v>4970</v>
      </c>
      <c r="J1787" s="10">
        <v>235</v>
      </c>
      <c r="K1787" s="11">
        <v>600.29999999999995</v>
      </c>
      <c r="L1787" s="11"/>
      <c r="M1787" s="11">
        <v>182195.5</v>
      </c>
      <c r="N1787" s="11">
        <v>141070.5</v>
      </c>
      <c r="O1787" s="11">
        <f>CleanedData[[#This Row],[Total Sales ($)]]-CleanedData[[#This Row],[Total Cost ($)]]</f>
        <v>41125</v>
      </c>
      <c r="P1787" s="12">
        <f>CleanedData[[#This Row],[Profit ($)]]/CleanedData[[#This Row],[Total Sales ($)]]</f>
        <v>0.22571907648652134</v>
      </c>
      <c r="Q1787" s="8" t="s">
        <v>52</v>
      </c>
      <c r="R1787" s="8" t="s">
        <v>32</v>
      </c>
      <c r="S1787" s="8" t="b">
        <f>_xlfn.SINGLE(CleanedData[[#This Row],[Delivery Status]])="Late"</f>
        <v>1</v>
      </c>
      <c r="T1787" s="10">
        <v>4</v>
      </c>
      <c r="U1787" s="8" t="s">
        <v>158</v>
      </c>
      <c r="V1787" s="10">
        <v>1998</v>
      </c>
      <c r="W1787" s="10">
        <v>11</v>
      </c>
      <c r="X1787" s="12">
        <v>4.6808510638297801E-2</v>
      </c>
      <c r="Y1787" s="8" t="b">
        <f>CleanedData[[#This Row],[Ship Date]]&lt;CleanedData[[#This Row],[Order Date]]</f>
        <v>0</v>
      </c>
      <c r="Z1787" s="10">
        <f>YEAR(CleanedData[[#This Row],[Order Date]])</f>
        <v>2023</v>
      </c>
      <c r="AA1787" s="8">
        <f>MONTH(CleanedData[[#This Row],[Order Date]])</f>
        <v>7</v>
      </c>
    </row>
    <row r="1788" spans="1:27" x14ac:dyDescent="0.35">
      <c r="A1788" s="8" t="s">
        <v>4445</v>
      </c>
      <c r="B1788" s="9">
        <v>45592</v>
      </c>
      <c r="C1788" s="9">
        <v>45494</v>
      </c>
      <c r="D1788" s="8" t="s">
        <v>4447</v>
      </c>
      <c r="E1788" s="8" t="s">
        <v>58</v>
      </c>
      <c r="F1788" s="8" t="s">
        <v>122</v>
      </c>
      <c r="G1788" s="8" t="s">
        <v>28</v>
      </c>
      <c r="H1788" s="8" t="s">
        <v>714</v>
      </c>
      <c r="I1788" s="8" t="s">
        <v>4969</v>
      </c>
      <c r="J1788" s="10">
        <v>250</v>
      </c>
      <c r="K1788" s="11">
        <v>180.07</v>
      </c>
      <c r="L1788" s="11">
        <v>213.09</v>
      </c>
      <c r="M1788" s="11">
        <v>53272.5</v>
      </c>
      <c r="N1788" s="11">
        <v>45017.5</v>
      </c>
      <c r="O1788" s="11">
        <f>CleanedData[[#This Row],[Total Sales ($)]]-CleanedData[[#This Row],[Total Cost ($)]]</f>
        <v>8255</v>
      </c>
      <c r="P1788" s="12">
        <f>CleanedData[[#This Row],[Profit ($)]]/CleanedData[[#This Row],[Total Sales ($)]]</f>
        <v>0.1549579989675724</v>
      </c>
      <c r="Q1788" s="8" t="s">
        <v>42</v>
      </c>
      <c r="R1788" s="8" t="s">
        <v>32</v>
      </c>
      <c r="S1788" s="8" t="b">
        <f>_xlfn.SINGLE(CleanedData[[#This Row],[Delivery Status]])="Late"</f>
        <v>1</v>
      </c>
      <c r="T1788" s="10">
        <v>6</v>
      </c>
      <c r="U1788" s="8" t="s">
        <v>112</v>
      </c>
      <c r="V1788" s="10">
        <v>2501.41</v>
      </c>
      <c r="W1788" s="10">
        <v>10</v>
      </c>
      <c r="X1788" s="12">
        <v>0.04</v>
      </c>
      <c r="Y1788" s="8" t="b">
        <f>CleanedData[[#This Row],[Ship Date]]&lt;CleanedData[[#This Row],[Order Date]]</f>
        <v>1</v>
      </c>
      <c r="Z1788" s="10">
        <f>YEAR(CleanedData[[#This Row],[Order Date]])</f>
        <v>2024</v>
      </c>
      <c r="AA1788" s="8">
        <f>MONTH(CleanedData[[#This Row],[Order Date]])</f>
        <v>10</v>
      </c>
    </row>
    <row r="1789" spans="1:27" x14ac:dyDescent="0.35">
      <c r="A1789" s="8" t="s">
        <v>4448</v>
      </c>
      <c r="B1789" s="9">
        <v>44998</v>
      </c>
      <c r="C1789" s="9">
        <v>44994</v>
      </c>
      <c r="D1789" s="8" t="s">
        <v>4449</v>
      </c>
      <c r="E1789" s="8" t="s">
        <v>26</v>
      </c>
      <c r="F1789" s="8" t="s">
        <v>27</v>
      </c>
      <c r="G1789" s="8" t="s">
        <v>189</v>
      </c>
      <c r="H1789" s="8" t="s">
        <v>190</v>
      </c>
      <c r="I1789" s="8" t="s">
        <v>4970</v>
      </c>
      <c r="J1789" s="10">
        <v>97</v>
      </c>
      <c r="K1789" s="11">
        <v>835.35</v>
      </c>
      <c r="L1789" s="11">
        <v>1170.6300000000001</v>
      </c>
      <c r="M1789" s="11">
        <v>113551.11</v>
      </c>
      <c r="N1789" s="11">
        <v>81028.95</v>
      </c>
      <c r="O1789" s="11">
        <f>CleanedData[[#This Row],[Total Sales ($)]]-CleanedData[[#This Row],[Total Cost ($)]]</f>
        <v>32522.160000000003</v>
      </c>
      <c r="P1789" s="12">
        <f>CleanedData[[#This Row],[Profit ($)]]/CleanedData[[#This Row],[Total Sales ($)]]</f>
        <v>0.28640988185848648</v>
      </c>
      <c r="Q1789" s="8" t="s">
        <v>95</v>
      </c>
      <c r="R1789" s="8" t="s">
        <v>63</v>
      </c>
      <c r="S1789" s="8" t="b">
        <f>_xlfn.SINGLE(CleanedData[[#This Row],[Delivery Status]])="Late"</f>
        <v>0</v>
      </c>
      <c r="T1789" s="10">
        <v>3</v>
      </c>
      <c r="U1789" s="8" t="s">
        <v>158</v>
      </c>
      <c r="V1789" s="10">
        <v>2054</v>
      </c>
      <c r="W1789" s="10">
        <v>1</v>
      </c>
      <c r="X1789" s="12">
        <v>1.03092783505154E-2</v>
      </c>
      <c r="Y1789" s="8" t="b">
        <f>CleanedData[[#This Row],[Ship Date]]&lt;CleanedData[[#This Row],[Order Date]]</f>
        <v>1</v>
      </c>
      <c r="Z1789" s="10">
        <f>YEAR(CleanedData[[#This Row],[Order Date]])</f>
        <v>2023</v>
      </c>
      <c r="AA1789" s="8">
        <f>MONTH(CleanedData[[#This Row],[Order Date]])</f>
        <v>3</v>
      </c>
    </row>
    <row r="1790" spans="1:27" x14ac:dyDescent="0.35">
      <c r="A1790" s="8" t="s">
        <v>4450</v>
      </c>
      <c r="B1790" s="9">
        <v>45245</v>
      </c>
      <c r="C1790" s="9">
        <v>44999</v>
      </c>
      <c r="D1790" s="8" t="s">
        <v>4449</v>
      </c>
      <c r="E1790" s="8" t="s">
        <v>26</v>
      </c>
      <c r="F1790" s="8" t="s">
        <v>27</v>
      </c>
      <c r="G1790" s="8" t="s">
        <v>217</v>
      </c>
      <c r="H1790" s="8" t="s">
        <v>524</v>
      </c>
      <c r="I1790" s="8" t="s">
        <v>4978</v>
      </c>
      <c r="J1790" s="10">
        <v>540</v>
      </c>
      <c r="K1790" s="11">
        <v>678.19</v>
      </c>
      <c r="L1790" s="11">
        <v>869.45</v>
      </c>
      <c r="M1790" s="11">
        <v>469503</v>
      </c>
      <c r="N1790" s="11">
        <v>366222.6</v>
      </c>
      <c r="O1790" s="11">
        <f>CleanedData[[#This Row],[Total Sales ($)]]-CleanedData[[#This Row],[Total Cost ($)]]</f>
        <v>103280.40000000002</v>
      </c>
      <c r="P1790" s="12">
        <f>CleanedData[[#This Row],[Profit ($)]]/CleanedData[[#This Row],[Total Sales ($)]]</f>
        <v>0.2199781471044914</v>
      </c>
      <c r="Q1790" s="8" t="s">
        <v>95</v>
      </c>
      <c r="R1790" s="8" t="s">
        <v>63</v>
      </c>
      <c r="S1790" s="8" t="b">
        <f>_xlfn.SINGLE(CleanedData[[#This Row],[Delivery Status]])="Late"</f>
        <v>0</v>
      </c>
      <c r="T1790" s="10">
        <v>1</v>
      </c>
      <c r="U1790" s="8" t="s">
        <v>158</v>
      </c>
      <c r="V1790" s="10">
        <v>650</v>
      </c>
      <c r="W1790" s="10">
        <v>7</v>
      </c>
      <c r="X1790" s="12">
        <v>1.29629629629629E-2</v>
      </c>
      <c r="Y1790" s="8" t="b">
        <f>CleanedData[[#This Row],[Ship Date]]&lt;CleanedData[[#This Row],[Order Date]]</f>
        <v>1</v>
      </c>
      <c r="Z1790" s="10">
        <f>YEAR(CleanedData[[#This Row],[Order Date]])</f>
        <v>2023</v>
      </c>
      <c r="AA1790" s="8">
        <f>MONTH(CleanedData[[#This Row],[Order Date]])</f>
        <v>11</v>
      </c>
    </row>
    <row r="1791" spans="1:27" x14ac:dyDescent="0.35">
      <c r="A1791" s="8" t="s">
        <v>4451</v>
      </c>
      <c r="B1791" s="9">
        <v>45038</v>
      </c>
      <c r="C1791" s="9">
        <v>45110</v>
      </c>
      <c r="D1791" s="8" t="s">
        <v>4452</v>
      </c>
      <c r="E1791" s="8" t="s">
        <v>58</v>
      </c>
      <c r="F1791" s="8" t="s">
        <v>417</v>
      </c>
      <c r="G1791" s="8" t="s">
        <v>39</v>
      </c>
      <c r="H1791" s="8" t="s">
        <v>477</v>
      </c>
      <c r="I1791" s="8" t="s">
        <v>4970</v>
      </c>
      <c r="J1791" s="10">
        <v>86</v>
      </c>
      <c r="K1791" s="11">
        <v>421.02</v>
      </c>
      <c r="L1791" s="11">
        <v>551.32000000000005</v>
      </c>
      <c r="M1791" s="11">
        <v>47413.52</v>
      </c>
      <c r="N1791" s="11">
        <v>36207.72</v>
      </c>
      <c r="O1791" s="11">
        <f>CleanedData[[#This Row],[Total Sales ($)]]-CleanedData[[#This Row],[Total Cost ($)]]</f>
        <v>11205.799999999996</v>
      </c>
      <c r="P1791" s="12">
        <f>CleanedData[[#This Row],[Profit ($)]]/CleanedData[[#This Row],[Total Sales ($)]]</f>
        <v>0.23634187042008264</v>
      </c>
      <c r="Q1791" s="8" t="s">
        <v>95</v>
      </c>
      <c r="R1791" s="8" t="s">
        <v>63</v>
      </c>
      <c r="S1791" s="8" t="b">
        <f>_xlfn.SINGLE(CleanedData[[#This Row],[Delivery Status]])="Late"</f>
        <v>0</v>
      </c>
      <c r="T1791" s="10">
        <v>5</v>
      </c>
      <c r="U1791" s="8" t="s">
        <v>86</v>
      </c>
      <c r="V1791" s="10">
        <v>773</v>
      </c>
      <c r="W1791" s="10">
        <v>1</v>
      </c>
      <c r="X1791" s="12">
        <v>1.1627906976744099E-2</v>
      </c>
      <c r="Y1791" s="8" t="b">
        <f>CleanedData[[#This Row],[Ship Date]]&lt;CleanedData[[#This Row],[Order Date]]</f>
        <v>0</v>
      </c>
      <c r="Z1791" s="10">
        <f>YEAR(CleanedData[[#This Row],[Order Date]])</f>
        <v>2023</v>
      </c>
      <c r="AA1791" s="8">
        <f>MONTH(CleanedData[[#This Row],[Order Date]])</f>
        <v>4</v>
      </c>
    </row>
    <row r="1792" spans="1:27" x14ac:dyDescent="0.35">
      <c r="A1792" s="8" t="s">
        <v>4453</v>
      </c>
      <c r="B1792" s="9">
        <v>44973</v>
      </c>
      <c r="C1792" s="9">
        <v>45096</v>
      </c>
      <c r="D1792" s="8" t="s">
        <v>4454</v>
      </c>
      <c r="E1792" s="8" t="s">
        <v>68</v>
      </c>
      <c r="F1792" s="8" t="s">
        <v>146</v>
      </c>
      <c r="G1792" s="8" t="s">
        <v>217</v>
      </c>
      <c r="H1792" s="8" t="s">
        <v>524</v>
      </c>
      <c r="I1792" s="8" t="s">
        <v>4978</v>
      </c>
      <c r="J1792" s="10">
        <v>633</v>
      </c>
      <c r="K1792" s="11">
        <v>286.77</v>
      </c>
      <c r="L1792" s="11">
        <v>428.19</v>
      </c>
      <c r="M1792" s="11">
        <v>271044.27</v>
      </c>
      <c r="N1792" s="11">
        <v>181525.41</v>
      </c>
      <c r="O1792" s="11">
        <f>CleanedData[[#This Row],[Total Sales ($)]]-CleanedData[[#This Row],[Total Cost ($)]]</f>
        <v>89518.860000000015</v>
      </c>
      <c r="P1792" s="12">
        <f>CleanedData[[#This Row],[Profit ($)]]/CleanedData[[#This Row],[Total Sales ($)]]</f>
        <v>0.33027394380999092</v>
      </c>
      <c r="Q1792" s="8" t="s">
        <v>31</v>
      </c>
      <c r="R1792" s="8" t="s">
        <v>32</v>
      </c>
      <c r="S1792" s="8" t="b">
        <f>_xlfn.SINGLE(CleanedData[[#This Row],[Delivery Status]])="Late"</f>
        <v>1</v>
      </c>
      <c r="T1792" s="10">
        <v>10</v>
      </c>
      <c r="U1792" s="8" t="s">
        <v>33</v>
      </c>
      <c r="V1792" s="10">
        <v>1953</v>
      </c>
      <c r="W1792" s="10">
        <v>29</v>
      </c>
      <c r="X1792" s="12">
        <v>4.5813586097946203E-2</v>
      </c>
      <c r="Y1792" s="8" t="b">
        <f>CleanedData[[#This Row],[Ship Date]]&lt;CleanedData[[#This Row],[Order Date]]</f>
        <v>0</v>
      </c>
      <c r="Z1792" s="10">
        <f>YEAR(CleanedData[[#This Row],[Order Date]])</f>
        <v>2023</v>
      </c>
      <c r="AA1792" s="8">
        <f>MONTH(CleanedData[[#This Row],[Order Date]])</f>
        <v>2</v>
      </c>
    </row>
    <row r="1793" spans="1:27" x14ac:dyDescent="0.35">
      <c r="A1793" s="8" t="s">
        <v>4455</v>
      </c>
      <c r="B1793" s="9">
        <v>44952</v>
      </c>
      <c r="C1793" s="9">
        <v>45125</v>
      </c>
      <c r="D1793" s="8" t="s">
        <v>4456</v>
      </c>
      <c r="E1793" s="8" t="s">
        <v>48</v>
      </c>
      <c r="F1793" s="8" t="s">
        <v>270</v>
      </c>
      <c r="G1793" s="8" t="s">
        <v>189</v>
      </c>
      <c r="H1793" s="8" t="s">
        <v>360</v>
      </c>
      <c r="I1793" s="8" t="s">
        <v>4978</v>
      </c>
      <c r="J1793" s="10">
        <v>170</v>
      </c>
      <c r="K1793" s="11">
        <v>868.74</v>
      </c>
      <c r="L1793" s="11">
        <v>1193.99</v>
      </c>
      <c r="M1793" s="11">
        <v>202978.3</v>
      </c>
      <c r="N1793" s="11">
        <v>147685.79999999999</v>
      </c>
      <c r="O1793" s="11">
        <f>CleanedData[[#This Row],[Total Sales ($)]]-CleanedData[[#This Row],[Total Cost ($)]]</f>
        <v>55292.5</v>
      </c>
      <c r="P1793" s="12">
        <f>CleanedData[[#This Row],[Profit ($)]]/CleanedData[[#This Row],[Total Sales ($)]]</f>
        <v>0.27240596654913357</v>
      </c>
      <c r="Q1793" s="8" t="s">
        <v>42</v>
      </c>
      <c r="R1793" s="8" t="s">
        <v>63</v>
      </c>
      <c r="S1793" s="8" t="b">
        <f>_xlfn.SINGLE(CleanedData[[#This Row],[Delivery Status]])="Late"</f>
        <v>0</v>
      </c>
      <c r="T1793" s="10">
        <v>4</v>
      </c>
      <c r="U1793" s="8" t="s">
        <v>158</v>
      </c>
      <c r="V1793" s="10">
        <v>2250</v>
      </c>
      <c r="W1793" s="10">
        <v>6</v>
      </c>
      <c r="X1793" s="12">
        <v>3.5294117647058802E-2</v>
      </c>
      <c r="Y1793" s="8" t="b">
        <f>CleanedData[[#This Row],[Ship Date]]&lt;CleanedData[[#This Row],[Order Date]]</f>
        <v>0</v>
      </c>
      <c r="Z1793" s="10">
        <f>YEAR(CleanedData[[#This Row],[Order Date]])</f>
        <v>2023</v>
      </c>
      <c r="AA1793" s="8">
        <f>MONTH(CleanedData[[#This Row],[Order Date]])</f>
        <v>1</v>
      </c>
    </row>
    <row r="1794" spans="1:27" x14ac:dyDescent="0.35">
      <c r="A1794" s="8" t="s">
        <v>4457</v>
      </c>
      <c r="B1794" s="9">
        <v>45212</v>
      </c>
      <c r="C1794" s="9">
        <v>45279</v>
      </c>
      <c r="D1794" s="8" t="s">
        <v>4458</v>
      </c>
      <c r="E1794" s="8" t="s">
        <v>68</v>
      </c>
      <c r="F1794" s="8" t="s">
        <v>249</v>
      </c>
      <c r="G1794" s="8" t="s">
        <v>28</v>
      </c>
      <c r="H1794" s="8" t="s">
        <v>714</v>
      </c>
      <c r="I1794" s="8" t="s">
        <v>4971</v>
      </c>
      <c r="J1794" s="10">
        <v>567</v>
      </c>
      <c r="K1794" s="11">
        <v>123.01</v>
      </c>
      <c r="L1794" s="11">
        <v>189.3</v>
      </c>
      <c r="M1794" s="11">
        <v>107333.1</v>
      </c>
      <c r="N1794" s="11">
        <v>69746.67</v>
      </c>
      <c r="O1794" s="11">
        <f>CleanedData[[#This Row],[Total Sales ($)]]-CleanedData[[#This Row],[Total Cost ($)]]</f>
        <v>37586.430000000008</v>
      </c>
      <c r="P1794" s="12">
        <f>CleanedData[[#This Row],[Profit ($)]]/CleanedData[[#This Row],[Total Sales ($)]]</f>
        <v>0.35018489170628636</v>
      </c>
      <c r="Q1794" s="8" t="s">
        <v>95</v>
      </c>
      <c r="R1794" s="8" t="s">
        <v>32</v>
      </c>
      <c r="S1794" s="8" t="b">
        <f>_xlfn.SINGLE(CleanedData[[#This Row],[Delivery Status]])="Late"</f>
        <v>1</v>
      </c>
      <c r="T1794" s="10">
        <v>8</v>
      </c>
      <c r="U1794" s="8" t="s">
        <v>158</v>
      </c>
      <c r="V1794" s="10">
        <v>4477</v>
      </c>
      <c r="W1794" s="10">
        <v>23</v>
      </c>
      <c r="X1794" s="12">
        <v>4.0564373897707201E-2</v>
      </c>
      <c r="Y1794" s="8" t="b">
        <f>CleanedData[[#This Row],[Ship Date]]&lt;CleanedData[[#This Row],[Order Date]]</f>
        <v>0</v>
      </c>
      <c r="Z1794" s="10">
        <f>YEAR(CleanedData[[#This Row],[Order Date]])</f>
        <v>2023</v>
      </c>
      <c r="AA1794" s="8">
        <f>MONTH(CleanedData[[#This Row],[Order Date]])</f>
        <v>10</v>
      </c>
    </row>
    <row r="1795" spans="1:27" x14ac:dyDescent="0.35">
      <c r="A1795" s="8" t="s">
        <v>4000</v>
      </c>
      <c r="B1795" s="9">
        <v>45618</v>
      </c>
      <c r="C1795" s="9">
        <v>45017</v>
      </c>
      <c r="D1795" s="8" t="s">
        <v>4001</v>
      </c>
      <c r="E1795" s="8" t="s">
        <v>26</v>
      </c>
      <c r="F1795" s="8" t="s">
        <v>27</v>
      </c>
      <c r="G1795" s="8" t="s">
        <v>60</v>
      </c>
      <c r="H1795" s="8" t="s">
        <v>400</v>
      </c>
      <c r="I1795" s="8" t="s">
        <v>4968</v>
      </c>
      <c r="J1795" s="10">
        <v>75</v>
      </c>
      <c r="K1795" s="11">
        <v>883.54</v>
      </c>
      <c r="L1795" s="11">
        <v>1298.25</v>
      </c>
      <c r="M1795" s="11">
        <v>97368.75</v>
      </c>
      <c r="N1795" s="11">
        <v>66265.5</v>
      </c>
      <c r="O1795" s="11">
        <f>CleanedData[[#This Row],[Total Sales ($)]]-CleanedData[[#This Row],[Total Cost ($)]]</f>
        <v>31103.25</v>
      </c>
      <c r="P1795" s="12">
        <f>CleanedData[[#This Row],[Profit ($)]]/CleanedData[[#This Row],[Total Sales ($)]]</f>
        <v>0.31943770460234933</v>
      </c>
      <c r="Q1795" s="8" t="s">
        <v>31</v>
      </c>
      <c r="R1795" s="8" t="s">
        <v>63</v>
      </c>
      <c r="S1795" s="8" t="b">
        <f>_xlfn.SINGLE(CleanedData[[#This Row],[Delivery Status]])="Late"</f>
        <v>0</v>
      </c>
      <c r="T1795" s="10">
        <v>3</v>
      </c>
      <c r="U1795" s="8" t="s">
        <v>158</v>
      </c>
      <c r="V1795" s="10">
        <v>1980</v>
      </c>
      <c r="W1795" s="10">
        <v>1</v>
      </c>
      <c r="X1795" s="12">
        <v>1.3333333333333299E-2</v>
      </c>
      <c r="Y1795" s="8" t="b">
        <f>CleanedData[[#This Row],[Ship Date]]&lt;CleanedData[[#This Row],[Order Date]]</f>
        <v>1</v>
      </c>
      <c r="Z1795" s="10">
        <f>YEAR(CleanedData[[#This Row],[Order Date]])</f>
        <v>2024</v>
      </c>
      <c r="AA1795" s="8">
        <f>MONTH(CleanedData[[#This Row],[Order Date]])</f>
        <v>11</v>
      </c>
    </row>
    <row r="1796" spans="1:27" x14ac:dyDescent="0.35">
      <c r="A1796" s="8" t="s">
        <v>4460</v>
      </c>
      <c r="B1796" s="9">
        <v>44998</v>
      </c>
      <c r="C1796" s="9">
        <v>44971</v>
      </c>
      <c r="D1796" s="8" t="s">
        <v>4461</v>
      </c>
      <c r="E1796" s="8" t="s">
        <v>48</v>
      </c>
      <c r="F1796" s="8" t="s">
        <v>49</v>
      </c>
      <c r="G1796" s="8" t="s">
        <v>70</v>
      </c>
      <c r="H1796" s="8" t="s">
        <v>446</v>
      </c>
      <c r="I1796" s="8" t="s">
        <v>4969</v>
      </c>
      <c r="J1796" s="10">
        <v>81</v>
      </c>
      <c r="K1796" s="11">
        <v>215.84</v>
      </c>
      <c r="L1796" s="11">
        <v>274.75</v>
      </c>
      <c r="M1796" s="11">
        <v>22254.75</v>
      </c>
      <c r="N1796" s="11">
        <v>17483.04</v>
      </c>
      <c r="O1796" s="11">
        <f>CleanedData[[#This Row],[Total Sales ($)]]-CleanedData[[#This Row],[Total Cost ($)]]</f>
        <v>4771.7099999999991</v>
      </c>
      <c r="P1796" s="12">
        <f>CleanedData[[#This Row],[Profit ($)]]/CleanedData[[#This Row],[Total Sales ($)]]</f>
        <v>0.2144131028207461</v>
      </c>
      <c r="Q1796" s="8" t="s">
        <v>95</v>
      </c>
      <c r="R1796" s="8" t="s">
        <v>63</v>
      </c>
      <c r="S1796" s="8" t="b">
        <f>_xlfn.SINGLE(CleanedData[[#This Row],[Delivery Status]])="Late"</f>
        <v>0</v>
      </c>
      <c r="T1796" s="10">
        <v>5</v>
      </c>
      <c r="U1796" s="8" t="s">
        <v>112</v>
      </c>
      <c r="V1796" s="10">
        <v>3381</v>
      </c>
      <c r="W1796" s="10">
        <v>1</v>
      </c>
      <c r="X1796" s="12">
        <v>1.23456790123456E-2</v>
      </c>
      <c r="Y1796" s="8" t="b">
        <f>CleanedData[[#This Row],[Ship Date]]&lt;CleanedData[[#This Row],[Order Date]]</f>
        <v>1</v>
      </c>
      <c r="Z1796" s="10">
        <f>YEAR(CleanedData[[#This Row],[Order Date]])</f>
        <v>2023</v>
      </c>
      <c r="AA1796" s="8">
        <f>MONTH(CleanedData[[#This Row],[Order Date]])</f>
        <v>3</v>
      </c>
    </row>
    <row r="1797" spans="1:27" x14ac:dyDescent="0.35">
      <c r="A1797" s="8" t="s">
        <v>4462</v>
      </c>
      <c r="B1797" s="9">
        <v>45141</v>
      </c>
      <c r="C1797" s="9">
        <v>45050</v>
      </c>
      <c r="D1797" s="8" t="s">
        <v>4463</v>
      </c>
      <c r="E1797" s="8" t="s">
        <v>100</v>
      </c>
      <c r="F1797" s="8" t="s">
        <v>238</v>
      </c>
      <c r="G1797" s="8" t="s">
        <v>78</v>
      </c>
      <c r="H1797" s="8" t="s">
        <v>840</v>
      </c>
      <c r="I1797" s="8" t="s">
        <v>4967</v>
      </c>
      <c r="J1797" s="10">
        <v>50</v>
      </c>
      <c r="K1797" s="11">
        <v>804.46</v>
      </c>
      <c r="L1797" s="11">
        <v>940.63</v>
      </c>
      <c r="M1797" s="11">
        <v>47031.5</v>
      </c>
      <c r="N1797" s="11">
        <v>40223</v>
      </c>
      <c r="O1797" s="11">
        <f>CleanedData[[#This Row],[Total Sales ($)]]-CleanedData[[#This Row],[Total Cost ($)]]</f>
        <v>6808.5</v>
      </c>
      <c r="P1797" s="12">
        <f>CleanedData[[#This Row],[Profit ($)]]/CleanedData[[#This Row],[Total Sales ($)]]</f>
        <v>0.14476467899173959</v>
      </c>
      <c r="Q1797" s="8" t="s">
        <v>95</v>
      </c>
      <c r="R1797" s="8" t="s">
        <v>32</v>
      </c>
      <c r="S1797" s="8" t="b">
        <f>_xlfn.SINGLE(CleanedData[[#This Row],[Delivery Status]])="Late"</f>
        <v>1</v>
      </c>
      <c r="T1797" s="10">
        <v>9</v>
      </c>
      <c r="U1797" s="8" t="s">
        <v>158</v>
      </c>
      <c r="V1797" s="10">
        <v>2804</v>
      </c>
      <c r="W1797" s="10">
        <v>1</v>
      </c>
      <c r="X1797" s="12">
        <v>0.02</v>
      </c>
      <c r="Y1797" s="8" t="b">
        <f>CleanedData[[#This Row],[Ship Date]]&lt;CleanedData[[#This Row],[Order Date]]</f>
        <v>1</v>
      </c>
      <c r="Z1797" s="10">
        <f>YEAR(CleanedData[[#This Row],[Order Date]])</f>
        <v>2023</v>
      </c>
      <c r="AA1797" s="8">
        <f>MONTH(CleanedData[[#This Row],[Order Date]])</f>
        <v>8</v>
      </c>
    </row>
    <row r="1798" spans="1:27" x14ac:dyDescent="0.35">
      <c r="A1798" s="8" t="s">
        <v>4464</v>
      </c>
      <c r="B1798" s="9">
        <v>45148</v>
      </c>
      <c r="C1798" s="9">
        <v>45237</v>
      </c>
      <c r="D1798" s="8" t="s">
        <v>4465</v>
      </c>
      <c r="E1798" s="8" t="s">
        <v>58</v>
      </c>
      <c r="F1798" s="8" t="s">
        <v>116</v>
      </c>
      <c r="G1798" s="8" t="s">
        <v>189</v>
      </c>
      <c r="H1798" s="8" t="s">
        <v>271</v>
      </c>
      <c r="I1798" s="8" t="s">
        <v>4978</v>
      </c>
      <c r="J1798" s="10">
        <v>563</v>
      </c>
      <c r="K1798" s="11">
        <v>234.65</v>
      </c>
      <c r="L1798" s="11">
        <v>358.86</v>
      </c>
      <c r="M1798" s="11">
        <v>202038.18</v>
      </c>
      <c r="N1798" s="11">
        <v>132107.95000000001</v>
      </c>
      <c r="O1798" s="11">
        <f>CleanedData[[#This Row],[Total Sales ($)]]-CleanedData[[#This Row],[Total Cost ($)]]</f>
        <v>69930.229999999981</v>
      </c>
      <c r="P1798" s="12">
        <f>CleanedData[[#This Row],[Profit ($)]]/CleanedData[[#This Row],[Total Sales ($)]]</f>
        <v>0.34612383659365764</v>
      </c>
      <c r="Q1798" s="8" t="s">
        <v>31</v>
      </c>
      <c r="R1798" s="8" t="s">
        <v>32</v>
      </c>
      <c r="S1798" s="8" t="b">
        <f>_xlfn.SINGLE(CleanedData[[#This Row],[Delivery Status]])="Late"</f>
        <v>1</v>
      </c>
      <c r="T1798" s="10">
        <v>9</v>
      </c>
      <c r="U1798" s="8" t="s">
        <v>158</v>
      </c>
      <c r="V1798" s="10">
        <v>4731</v>
      </c>
      <c r="W1798" s="10">
        <v>19</v>
      </c>
      <c r="X1798" s="12">
        <v>3.3747779751332099E-2</v>
      </c>
      <c r="Y1798" s="8" t="b">
        <f>CleanedData[[#This Row],[Ship Date]]&lt;CleanedData[[#This Row],[Order Date]]</f>
        <v>0</v>
      </c>
      <c r="Z1798" s="10">
        <f>YEAR(CleanedData[[#This Row],[Order Date]])</f>
        <v>2023</v>
      </c>
      <c r="AA1798" s="8">
        <f>MONTH(CleanedData[[#This Row],[Order Date]])</f>
        <v>8</v>
      </c>
    </row>
    <row r="1799" spans="1:27" x14ac:dyDescent="0.35">
      <c r="A1799" s="8" t="s">
        <v>4466</v>
      </c>
      <c r="B1799" s="9">
        <v>45538</v>
      </c>
      <c r="C1799" s="9">
        <v>45592</v>
      </c>
      <c r="D1799" s="8" t="s">
        <v>1888</v>
      </c>
      <c r="E1799" s="8" t="s">
        <v>100</v>
      </c>
      <c r="F1799" s="8" t="s">
        <v>101</v>
      </c>
      <c r="G1799" s="8" t="s">
        <v>50</v>
      </c>
      <c r="H1799" s="8" t="s">
        <v>282</v>
      </c>
      <c r="I1799" s="8" t="s">
        <v>4979</v>
      </c>
      <c r="J1799" s="10">
        <v>129</v>
      </c>
      <c r="K1799" s="11">
        <v>706.05</v>
      </c>
      <c r="L1799" s="11">
        <v>926.14</v>
      </c>
      <c r="M1799" s="11">
        <v>119472.06</v>
      </c>
      <c r="N1799" s="11">
        <v>91080.45</v>
      </c>
      <c r="O1799" s="11">
        <f>CleanedData[[#This Row],[Total Sales ($)]]-CleanedData[[#This Row],[Total Cost ($)]]</f>
        <v>28391.61</v>
      </c>
      <c r="P1799" s="12">
        <f>CleanedData[[#This Row],[Profit ($)]]/CleanedData[[#This Row],[Total Sales ($)]]</f>
        <v>0.23764225711015613</v>
      </c>
      <c r="Q1799" s="8" t="s">
        <v>52</v>
      </c>
      <c r="R1799" s="8" t="s">
        <v>32</v>
      </c>
      <c r="S1799" s="8" t="b">
        <f>_xlfn.SINGLE(CleanedData[[#This Row],[Delivery Status]])="Late"</f>
        <v>1</v>
      </c>
      <c r="T1799" s="10">
        <v>10</v>
      </c>
      <c r="U1799" s="8" t="s">
        <v>43</v>
      </c>
      <c r="V1799" s="10">
        <v>4948</v>
      </c>
      <c r="W1799" s="10">
        <v>4</v>
      </c>
      <c r="X1799" s="12">
        <v>3.1007751937984399E-2</v>
      </c>
      <c r="Y1799" s="8" t="b">
        <f>CleanedData[[#This Row],[Ship Date]]&lt;CleanedData[[#This Row],[Order Date]]</f>
        <v>0</v>
      </c>
      <c r="Z1799" s="10">
        <f>YEAR(CleanedData[[#This Row],[Order Date]])</f>
        <v>2024</v>
      </c>
      <c r="AA1799" s="8">
        <f>MONTH(CleanedData[[#This Row],[Order Date]])</f>
        <v>9</v>
      </c>
    </row>
    <row r="1800" spans="1:27" x14ac:dyDescent="0.35">
      <c r="A1800" s="8" t="s">
        <v>4467</v>
      </c>
      <c r="B1800" s="9">
        <v>45245</v>
      </c>
      <c r="C1800" s="9">
        <v>45214</v>
      </c>
      <c r="D1800" s="8" t="s">
        <v>2215</v>
      </c>
      <c r="E1800" s="8" t="s">
        <v>100</v>
      </c>
      <c r="F1800" s="8" t="s">
        <v>330</v>
      </c>
      <c r="G1800" s="8" t="s">
        <v>189</v>
      </c>
      <c r="H1800" s="8" t="s">
        <v>360</v>
      </c>
      <c r="I1800" s="8" t="s">
        <v>4978</v>
      </c>
      <c r="J1800" s="10">
        <v>47</v>
      </c>
      <c r="K1800" s="11">
        <v>951.29</v>
      </c>
      <c r="L1800" s="11">
        <v>1292.7</v>
      </c>
      <c r="M1800" s="11">
        <v>60756.9</v>
      </c>
      <c r="N1800" s="11">
        <v>44710.63</v>
      </c>
      <c r="O1800" s="11">
        <f>CleanedData[[#This Row],[Total Sales ($)]]-CleanedData[[#This Row],[Total Cost ($)]]</f>
        <v>16046.270000000004</v>
      </c>
      <c r="P1800" s="12">
        <f>CleanedData[[#This Row],[Profit ($)]]/CleanedData[[#This Row],[Total Sales ($)]]</f>
        <v>0.26410613444728093</v>
      </c>
      <c r="Q1800" s="8" t="s">
        <v>52</v>
      </c>
      <c r="R1800" s="8" t="s">
        <v>32</v>
      </c>
      <c r="S1800" s="8" t="b">
        <f>_xlfn.SINGLE(CleanedData[[#This Row],[Delivery Status]])="Late"</f>
        <v>1</v>
      </c>
      <c r="T1800" s="10">
        <v>7</v>
      </c>
      <c r="U1800" s="8" t="s">
        <v>43</v>
      </c>
      <c r="V1800" s="10">
        <v>3594</v>
      </c>
      <c r="W1800" s="10">
        <v>2</v>
      </c>
      <c r="X1800" s="12">
        <v>4.2553191489361701E-2</v>
      </c>
      <c r="Y1800" s="8" t="b">
        <f>CleanedData[[#This Row],[Ship Date]]&lt;CleanedData[[#This Row],[Order Date]]</f>
        <v>1</v>
      </c>
      <c r="Z1800" s="10">
        <f>YEAR(CleanedData[[#This Row],[Order Date]])</f>
        <v>2023</v>
      </c>
      <c r="AA1800" s="8">
        <f>MONTH(CleanedData[[#This Row],[Order Date]])</f>
        <v>11</v>
      </c>
    </row>
    <row r="1801" spans="1:27" x14ac:dyDescent="0.35">
      <c r="A1801" s="8" t="s">
        <v>4468</v>
      </c>
      <c r="B1801" s="9">
        <v>45109</v>
      </c>
      <c r="C1801" s="9">
        <v>44937</v>
      </c>
      <c r="D1801" s="8" t="s">
        <v>4469</v>
      </c>
      <c r="E1801" s="8" t="s">
        <v>48</v>
      </c>
      <c r="F1801" s="8" t="s">
        <v>223</v>
      </c>
      <c r="G1801" s="8" t="s">
        <v>217</v>
      </c>
      <c r="H1801" s="8" t="s">
        <v>684</v>
      </c>
      <c r="I1801" s="8" t="s">
        <v>4968</v>
      </c>
      <c r="J1801" s="10">
        <v>701</v>
      </c>
      <c r="K1801" s="11">
        <v>641.02</v>
      </c>
      <c r="L1801" s="11">
        <v>933.17</v>
      </c>
      <c r="M1801" s="11">
        <v>654152.17000000004</v>
      </c>
      <c r="N1801" s="11">
        <v>449355.02</v>
      </c>
      <c r="O1801" s="11">
        <f>CleanedData[[#This Row],[Total Sales ($)]]-CleanedData[[#This Row],[Total Cost ($)]]</f>
        <v>204797.15000000002</v>
      </c>
      <c r="P1801" s="12">
        <f>CleanedData[[#This Row],[Profit ($)]]/CleanedData[[#This Row],[Total Sales ($)]]</f>
        <v>0.31307264485570691</v>
      </c>
      <c r="Q1801" s="8" t="s">
        <v>42</v>
      </c>
      <c r="R1801" s="8" t="s">
        <v>32</v>
      </c>
      <c r="S1801" s="8" t="b">
        <f>_xlfn.SINGLE(CleanedData[[#This Row],[Delivery Status]])="Late"</f>
        <v>1</v>
      </c>
      <c r="T1801" s="10">
        <v>7</v>
      </c>
      <c r="U1801" s="8" t="s">
        <v>43</v>
      </c>
      <c r="V1801" s="10">
        <v>1359</v>
      </c>
      <c r="W1801" s="10">
        <v>8</v>
      </c>
      <c r="X1801" s="12">
        <v>1.1412268188302399E-2</v>
      </c>
      <c r="Y1801" s="8" t="b">
        <f>CleanedData[[#This Row],[Ship Date]]&lt;CleanedData[[#This Row],[Order Date]]</f>
        <v>1</v>
      </c>
      <c r="Z1801" s="10">
        <f>YEAR(CleanedData[[#This Row],[Order Date]])</f>
        <v>2023</v>
      </c>
      <c r="AA1801" s="8">
        <f>MONTH(CleanedData[[#This Row],[Order Date]])</f>
        <v>7</v>
      </c>
    </row>
    <row r="1802" spans="1:27" x14ac:dyDescent="0.35">
      <c r="A1802" s="8" t="s">
        <v>4470</v>
      </c>
      <c r="B1802" s="9">
        <v>45089</v>
      </c>
      <c r="C1802" s="9">
        <v>44933</v>
      </c>
      <c r="D1802" s="8" t="s">
        <v>4471</v>
      </c>
      <c r="E1802" s="8" t="s">
        <v>26</v>
      </c>
      <c r="F1802" s="8" t="s">
        <v>38</v>
      </c>
      <c r="G1802" s="8" t="s">
        <v>78</v>
      </c>
      <c r="H1802" s="8" t="s">
        <v>572</v>
      </c>
      <c r="I1802" s="8" t="s">
        <v>4977</v>
      </c>
      <c r="J1802" s="10">
        <v>669</v>
      </c>
      <c r="K1802" s="11">
        <v>509.4</v>
      </c>
      <c r="L1802" s="11">
        <v>642.36</v>
      </c>
      <c r="M1802" s="11">
        <v>429738.84</v>
      </c>
      <c r="N1802" s="11">
        <v>340788.6</v>
      </c>
      <c r="O1802" s="11">
        <f>CleanedData[[#This Row],[Total Sales ($)]]-CleanedData[[#This Row],[Total Cost ($)]]</f>
        <v>88950.240000000049</v>
      </c>
      <c r="P1802" s="12">
        <f>CleanedData[[#This Row],[Profit ($)]]/CleanedData[[#This Row],[Total Sales ($)]]</f>
        <v>0.20698673640949011</v>
      </c>
      <c r="Q1802" s="8" t="s">
        <v>42</v>
      </c>
      <c r="R1802" s="8" t="s">
        <v>32</v>
      </c>
      <c r="S1802" s="8" t="b">
        <f>_xlfn.SINGLE(CleanedData[[#This Row],[Delivery Status]])="Late"</f>
        <v>1</v>
      </c>
      <c r="T1802" s="10">
        <v>13</v>
      </c>
      <c r="U1802" s="8" t="s">
        <v>43</v>
      </c>
      <c r="V1802" s="10">
        <v>2738</v>
      </c>
      <c r="W1802" s="10">
        <v>4</v>
      </c>
      <c r="X1802" s="12">
        <v>5.9790732436472002E-3</v>
      </c>
      <c r="Y1802" s="8" t="b">
        <f>CleanedData[[#This Row],[Ship Date]]&lt;CleanedData[[#This Row],[Order Date]]</f>
        <v>1</v>
      </c>
      <c r="Z1802" s="10">
        <f>YEAR(CleanedData[[#This Row],[Order Date]])</f>
        <v>2023</v>
      </c>
      <c r="AA1802" s="8">
        <f>MONTH(CleanedData[[#This Row],[Order Date]])</f>
        <v>6</v>
      </c>
    </row>
    <row r="1803" spans="1:27" x14ac:dyDescent="0.35">
      <c r="A1803" s="8" t="s">
        <v>4472</v>
      </c>
      <c r="B1803" s="9">
        <v>45224</v>
      </c>
      <c r="C1803" s="9">
        <v>45130</v>
      </c>
      <c r="D1803" s="8" t="s">
        <v>4473</v>
      </c>
      <c r="E1803" s="8" t="s">
        <v>58</v>
      </c>
      <c r="F1803" s="8" t="s">
        <v>259</v>
      </c>
      <c r="G1803" s="8" t="s">
        <v>93</v>
      </c>
      <c r="H1803" s="8" t="s">
        <v>643</v>
      </c>
      <c r="I1803" s="8" t="s">
        <v>4978</v>
      </c>
      <c r="J1803" s="10">
        <v>178</v>
      </c>
      <c r="K1803" s="11">
        <v>1015.99</v>
      </c>
      <c r="L1803" s="11">
        <v>1206.1400000000001</v>
      </c>
      <c r="M1803" s="11">
        <v>214692.92</v>
      </c>
      <c r="N1803" s="11">
        <v>180846.22</v>
      </c>
      <c r="O1803" s="11">
        <f>CleanedData[[#This Row],[Total Sales ($)]]-CleanedData[[#This Row],[Total Cost ($)]]</f>
        <v>33846.700000000012</v>
      </c>
      <c r="P1803" s="12">
        <f>CleanedData[[#This Row],[Profit ($)]]/CleanedData[[#This Row],[Total Sales ($)]]</f>
        <v>0.15765168222594397</v>
      </c>
      <c r="Q1803" s="8" t="s">
        <v>52</v>
      </c>
      <c r="R1803" s="8" t="s">
        <v>32</v>
      </c>
      <c r="S1803" s="8" t="b">
        <f>_xlfn.SINGLE(CleanedData[[#This Row],[Delivery Status]])="Late"</f>
        <v>1</v>
      </c>
      <c r="T1803" s="10">
        <v>12</v>
      </c>
      <c r="U1803" s="8" t="s">
        <v>53</v>
      </c>
      <c r="V1803" s="10">
        <v>2854</v>
      </c>
      <c r="W1803" s="10">
        <v>6</v>
      </c>
      <c r="X1803" s="12">
        <v>3.3707865168539297E-2</v>
      </c>
      <c r="Y1803" s="8" t="b">
        <f>CleanedData[[#This Row],[Ship Date]]&lt;CleanedData[[#This Row],[Order Date]]</f>
        <v>1</v>
      </c>
      <c r="Z1803" s="10">
        <f>YEAR(CleanedData[[#This Row],[Order Date]])</f>
        <v>2023</v>
      </c>
      <c r="AA1803" s="8">
        <f>MONTH(CleanedData[[#This Row],[Order Date]])</f>
        <v>10</v>
      </c>
    </row>
    <row r="1804" spans="1:27" x14ac:dyDescent="0.35">
      <c r="A1804" s="8" t="s">
        <v>4474</v>
      </c>
      <c r="B1804" s="9">
        <v>44946</v>
      </c>
      <c r="C1804" s="9">
        <v>45247</v>
      </c>
      <c r="D1804" s="8" t="s">
        <v>4475</v>
      </c>
      <c r="E1804" s="8" t="s">
        <v>68</v>
      </c>
      <c r="F1804" s="8" t="s">
        <v>146</v>
      </c>
      <c r="G1804" s="8" t="s">
        <v>93</v>
      </c>
      <c r="H1804" s="8" t="s">
        <v>321</v>
      </c>
      <c r="I1804" s="8" t="s">
        <v>4968</v>
      </c>
      <c r="J1804" s="10">
        <v>399</v>
      </c>
      <c r="K1804" s="11">
        <v>548.14</v>
      </c>
      <c r="L1804" s="11">
        <v>903.45</v>
      </c>
      <c r="M1804" s="11">
        <v>360476.55</v>
      </c>
      <c r="N1804" s="11">
        <v>218707.86</v>
      </c>
      <c r="O1804" s="11">
        <f>CleanedData[[#This Row],[Total Sales ($)]]-CleanedData[[#This Row],[Total Cost ($)]]</f>
        <v>141768.69</v>
      </c>
      <c r="P1804" s="12">
        <f>CleanedData[[#This Row],[Profit ($)]]/CleanedData[[#This Row],[Total Sales ($)]]</f>
        <v>0.39328131053185017</v>
      </c>
      <c r="Q1804" s="8" t="s">
        <v>42</v>
      </c>
      <c r="R1804" s="8" t="s">
        <v>32</v>
      </c>
      <c r="S1804" s="8" t="b">
        <f>_xlfn.SINGLE(CleanedData[[#This Row],[Delivery Status]])="Late"</f>
        <v>1</v>
      </c>
      <c r="T1804" s="10">
        <v>9</v>
      </c>
      <c r="U1804" s="8" t="s">
        <v>33</v>
      </c>
      <c r="V1804" s="10">
        <v>1651</v>
      </c>
      <c r="W1804" s="10">
        <v>2</v>
      </c>
      <c r="X1804" s="12">
        <v>5.0125313283208E-3</v>
      </c>
      <c r="Y1804" s="8" t="b">
        <f>CleanedData[[#This Row],[Ship Date]]&lt;CleanedData[[#This Row],[Order Date]]</f>
        <v>0</v>
      </c>
      <c r="Z1804" s="10">
        <f>YEAR(CleanedData[[#This Row],[Order Date]])</f>
        <v>2023</v>
      </c>
      <c r="AA1804" s="8">
        <f>MONTH(CleanedData[[#This Row],[Order Date]])</f>
        <v>1</v>
      </c>
    </row>
    <row r="1805" spans="1:27" x14ac:dyDescent="0.35">
      <c r="A1805" s="8" t="s">
        <v>4476</v>
      </c>
      <c r="B1805" s="9">
        <v>45242</v>
      </c>
      <c r="C1805" s="9">
        <v>44975</v>
      </c>
      <c r="D1805" s="8" t="s">
        <v>1369</v>
      </c>
      <c r="E1805" s="8" t="s">
        <v>26</v>
      </c>
      <c r="F1805" s="8" t="s">
        <v>228</v>
      </c>
      <c r="G1805" s="8" t="s">
        <v>28</v>
      </c>
      <c r="H1805" s="8" t="s">
        <v>254</v>
      </c>
      <c r="I1805" s="8" t="s">
        <v>4976</v>
      </c>
      <c r="J1805" s="10">
        <v>63</v>
      </c>
      <c r="K1805" s="11">
        <v>835.56</v>
      </c>
      <c r="L1805" s="11">
        <v>1120.81</v>
      </c>
      <c r="M1805" s="11">
        <v>70611.03</v>
      </c>
      <c r="N1805" s="11">
        <v>52640.28</v>
      </c>
      <c r="O1805" s="11">
        <f>CleanedData[[#This Row],[Total Sales ($)]]-CleanedData[[#This Row],[Total Cost ($)]]</f>
        <v>17970.75</v>
      </c>
      <c r="P1805" s="12">
        <f>CleanedData[[#This Row],[Profit ($)]]/CleanedData[[#This Row],[Total Sales ($)]]</f>
        <v>0.25450343947680698</v>
      </c>
      <c r="Q1805" s="8" t="s">
        <v>31</v>
      </c>
      <c r="R1805" s="8" t="s">
        <v>63</v>
      </c>
      <c r="S1805" s="8" t="b">
        <f>_xlfn.SINGLE(CleanedData[[#This Row],[Delivery Status]])="Late"</f>
        <v>0</v>
      </c>
      <c r="T1805" s="10">
        <v>2</v>
      </c>
      <c r="U1805" s="8" t="s">
        <v>86</v>
      </c>
      <c r="V1805" s="10">
        <v>1407</v>
      </c>
      <c r="W1805" s="10">
        <v>2</v>
      </c>
      <c r="X1805" s="12">
        <v>3.1746031746031703E-2</v>
      </c>
      <c r="Y1805" s="8" t="b">
        <f>CleanedData[[#This Row],[Ship Date]]&lt;CleanedData[[#This Row],[Order Date]]</f>
        <v>1</v>
      </c>
      <c r="Z1805" s="10">
        <f>YEAR(CleanedData[[#This Row],[Order Date]])</f>
        <v>2023</v>
      </c>
      <c r="AA1805" s="8">
        <f>MONTH(CleanedData[[#This Row],[Order Date]])</f>
        <v>11</v>
      </c>
    </row>
    <row r="1806" spans="1:27" x14ac:dyDescent="0.35">
      <c r="A1806" s="8" t="s">
        <v>4477</v>
      </c>
      <c r="B1806" s="9">
        <v>45604</v>
      </c>
      <c r="C1806" s="9">
        <v>45366</v>
      </c>
      <c r="D1806" s="8" t="s">
        <v>4478</v>
      </c>
      <c r="E1806" s="8" t="s">
        <v>100</v>
      </c>
      <c r="F1806" s="8" t="s">
        <v>101</v>
      </c>
      <c r="G1806" s="8" t="s">
        <v>78</v>
      </c>
      <c r="H1806" s="8" t="s">
        <v>178</v>
      </c>
      <c r="I1806" s="8" t="s">
        <v>4969</v>
      </c>
      <c r="J1806" s="10">
        <v>589</v>
      </c>
      <c r="K1806" s="11">
        <v>490.8</v>
      </c>
      <c r="L1806" s="11">
        <v>752.5</v>
      </c>
      <c r="M1806" s="11">
        <v>443222.5</v>
      </c>
      <c r="N1806" s="11">
        <v>289081.2</v>
      </c>
      <c r="O1806" s="11">
        <f>CleanedData[[#This Row],[Total Sales ($)]]-CleanedData[[#This Row],[Total Cost ($)]]</f>
        <v>154141.29999999999</v>
      </c>
      <c r="P1806" s="12">
        <f>CleanedData[[#This Row],[Profit ($)]]/CleanedData[[#This Row],[Total Sales ($)]]</f>
        <v>0.34777408637873752</v>
      </c>
      <c r="Q1806" s="8" t="s">
        <v>42</v>
      </c>
      <c r="R1806" s="8" t="s">
        <v>32</v>
      </c>
      <c r="S1806" s="8" t="b">
        <f>_xlfn.SINGLE(CleanedData[[#This Row],[Delivery Status]])="Late"</f>
        <v>1</v>
      </c>
      <c r="T1806" s="10">
        <v>6</v>
      </c>
      <c r="U1806" s="8" t="s">
        <v>53</v>
      </c>
      <c r="V1806" s="10">
        <v>2118</v>
      </c>
      <c r="W1806" s="10">
        <v>19</v>
      </c>
      <c r="X1806" s="12">
        <v>3.2258064516128997E-2</v>
      </c>
      <c r="Y1806" s="8" t="b">
        <f>CleanedData[[#This Row],[Ship Date]]&lt;CleanedData[[#This Row],[Order Date]]</f>
        <v>1</v>
      </c>
      <c r="Z1806" s="10">
        <f>YEAR(CleanedData[[#This Row],[Order Date]])</f>
        <v>2024</v>
      </c>
      <c r="AA1806" s="8">
        <f>MONTH(CleanedData[[#This Row],[Order Date]])</f>
        <v>11</v>
      </c>
    </row>
    <row r="1807" spans="1:27" x14ac:dyDescent="0.35">
      <c r="A1807" s="8" t="s">
        <v>4479</v>
      </c>
      <c r="B1807" s="9">
        <v>45254</v>
      </c>
      <c r="C1807" s="9">
        <v>44980</v>
      </c>
      <c r="D1807" s="8" t="s">
        <v>4480</v>
      </c>
      <c r="E1807" s="8" t="s">
        <v>26</v>
      </c>
      <c r="F1807" s="8" t="s">
        <v>38</v>
      </c>
      <c r="G1807" s="8" t="s">
        <v>129</v>
      </c>
      <c r="H1807" s="8" t="s">
        <v>811</v>
      </c>
      <c r="I1807" s="8" t="s">
        <v>4979</v>
      </c>
      <c r="J1807" s="10">
        <v>425</v>
      </c>
      <c r="K1807" s="11">
        <v>69.3</v>
      </c>
      <c r="L1807" s="11">
        <v>97.69</v>
      </c>
      <c r="M1807" s="11">
        <v>41518.25</v>
      </c>
      <c r="N1807" s="11">
        <v>29452.5</v>
      </c>
      <c r="O1807" s="11">
        <f>CleanedData[[#This Row],[Total Sales ($)]]-CleanedData[[#This Row],[Total Cost ($)]]</f>
        <v>12065.75</v>
      </c>
      <c r="P1807" s="12">
        <f>CleanedData[[#This Row],[Profit ($)]]/CleanedData[[#This Row],[Total Sales ($)]]</f>
        <v>0.29061316409049032</v>
      </c>
      <c r="Q1807" s="8" t="s">
        <v>42</v>
      </c>
      <c r="R1807" s="8" t="s">
        <v>32</v>
      </c>
      <c r="S1807" s="8" t="b">
        <f>_xlfn.SINGLE(CleanedData[[#This Row],[Delivery Status]])="Late"</f>
        <v>1</v>
      </c>
      <c r="T1807" s="10">
        <v>7</v>
      </c>
      <c r="U1807" s="8" t="s">
        <v>86</v>
      </c>
      <c r="V1807" s="10">
        <v>846</v>
      </c>
      <c r="W1807" s="10">
        <v>21</v>
      </c>
      <c r="X1807" s="12">
        <v>4.9411764705882301E-2</v>
      </c>
      <c r="Y1807" s="8" t="b">
        <f>CleanedData[[#This Row],[Ship Date]]&lt;CleanedData[[#This Row],[Order Date]]</f>
        <v>1</v>
      </c>
      <c r="Z1807" s="10">
        <f>YEAR(CleanedData[[#This Row],[Order Date]])</f>
        <v>2023</v>
      </c>
      <c r="AA1807" s="8">
        <f>MONTH(CleanedData[[#This Row],[Order Date]])</f>
        <v>11</v>
      </c>
    </row>
    <row r="1808" spans="1:27" x14ac:dyDescent="0.35">
      <c r="A1808" s="8" t="s">
        <v>4481</v>
      </c>
      <c r="B1808" s="9">
        <v>45025</v>
      </c>
      <c r="C1808" s="9">
        <v>45265</v>
      </c>
      <c r="D1808" s="8" t="s">
        <v>4482</v>
      </c>
      <c r="E1808" s="8" t="s">
        <v>26</v>
      </c>
      <c r="F1808" s="8" t="s">
        <v>27</v>
      </c>
      <c r="G1808" s="8" t="s">
        <v>129</v>
      </c>
      <c r="H1808" s="8" t="s">
        <v>345</v>
      </c>
      <c r="I1808" s="8" t="s">
        <v>4972</v>
      </c>
      <c r="J1808" s="10">
        <v>125</v>
      </c>
      <c r="K1808" s="11">
        <v>569.1</v>
      </c>
      <c r="L1808" s="11">
        <v>670.56</v>
      </c>
      <c r="M1808" s="11">
        <v>83820</v>
      </c>
      <c r="N1808" s="11">
        <v>71137.5</v>
      </c>
      <c r="O1808" s="11">
        <f>CleanedData[[#This Row],[Total Sales ($)]]-CleanedData[[#This Row],[Total Cost ($)]]</f>
        <v>12682.5</v>
      </c>
      <c r="P1808" s="12">
        <f>CleanedData[[#This Row],[Profit ($)]]/CleanedData[[#This Row],[Total Sales ($)]]</f>
        <v>0.15130637079455977</v>
      </c>
      <c r="Q1808" s="8" t="s">
        <v>42</v>
      </c>
      <c r="R1808" s="8" t="s">
        <v>63</v>
      </c>
      <c r="S1808" s="8" t="b">
        <f>_xlfn.SINGLE(CleanedData[[#This Row],[Delivery Status]])="Late"</f>
        <v>0</v>
      </c>
      <c r="T1808" s="10">
        <v>1</v>
      </c>
      <c r="U1808" s="8" t="s">
        <v>112</v>
      </c>
      <c r="V1808" s="10">
        <v>1264</v>
      </c>
      <c r="W1808" s="10">
        <v>3</v>
      </c>
      <c r="X1808" s="12">
        <v>2.4E-2</v>
      </c>
      <c r="Y1808" s="8" t="b">
        <f>CleanedData[[#This Row],[Ship Date]]&lt;CleanedData[[#This Row],[Order Date]]</f>
        <v>0</v>
      </c>
      <c r="Z1808" s="10">
        <f>YEAR(CleanedData[[#This Row],[Order Date]])</f>
        <v>2023</v>
      </c>
      <c r="AA1808" s="8">
        <f>MONTH(CleanedData[[#This Row],[Order Date]])</f>
        <v>4</v>
      </c>
    </row>
    <row r="1809" spans="1:27" x14ac:dyDescent="0.35">
      <c r="A1809" s="8" t="s">
        <v>4483</v>
      </c>
      <c r="B1809" s="9">
        <v>45178</v>
      </c>
      <c r="C1809" s="9">
        <v>45059</v>
      </c>
      <c r="D1809" s="8" t="s">
        <v>4485</v>
      </c>
      <c r="E1809" s="8" t="s">
        <v>48</v>
      </c>
      <c r="F1809" s="8" t="s">
        <v>49</v>
      </c>
      <c r="G1809" s="8" t="s">
        <v>78</v>
      </c>
      <c r="H1809" s="8" t="s">
        <v>572</v>
      </c>
      <c r="I1809" s="8" t="s">
        <v>4979</v>
      </c>
      <c r="J1809" s="10">
        <v>402</v>
      </c>
      <c r="K1809" s="11">
        <v>1141</v>
      </c>
      <c r="L1809" s="11">
        <v>1524.9</v>
      </c>
      <c r="M1809" s="11">
        <v>613009.80000000005</v>
      </c>
      <c r="N1809" s="11">
        <v>458682</v>
      </c>
      <c r="O1809" s="11">
        <f>CleanedData[[#This Row],[Total Sales ($)]]-CleanedData[[#This Row],[Total Cost ($)]]</f>
        <v>154327.80000000005</v>
      </c>
      <c r="P1809" s="12">
        <f>CleanedData[[#This Row],[Profit ($)]]/CleanedData[[#This Row],[Total Sales ($)]]</f>
        <v>0.25175421339104209</v>
      </c>
      <c r="Q1809" s="8" t="s">
        <v>42</v>
      </c>
      <c r="R1809" s="8" t="s">
        <v>63</v>
      </c>
      <c r="S1809" s="8" t="b">
        <f>_xlfn.SINGLE(CleanedData[[#This Row],[Delivery Status]])="Late"</f>
        <v>0</v>
      </c>
      <c r="T1809" s="10">
        <v>3</v>
      </c>
      <c r="U1809" s="8" t="s">
        <v>158</v>
      </c>
      <c r="V1809" s="10">
        <v>567</v>
      </c>
      <c r="W1809" s="10">
        <v>7</v>
      </c>
      <c r="X1809" s="12">
        <v>1.7412935323382998E-2</v>
      </c>
      <c r="Y1809" s="8" t="b">
        <f>CleanedData[[#This Row],[Ship Date]]&lt;CleanedData[[#This Row],[Order Date]]</f>
        <v>1</v>
      </c>
      <c r="Z1809" s="10">
        <f>YEAR(CleanedData[[#This Row],[Order Date]])</f>
        <v>2023</v>
      </c>
      <c r="AA1809" s="8">
        <f>MONTH(CleanedData[[#This Row],[Order Date]])</f>
        <v>9</v>
      </c>
    </row>
    <row r="1810" spans="1:27" x14ac:dyDescent="0.35">
      <c r="A1810" s="8" t="s">
        <v>4486</v>
      </c>
      <c r="B1810" s="9">
        <v>45073</v>
      </c>
      <c r="C1810" s="9">
        <v>45251</v>
      </c>
      <c r="D1810" s="8" t="s">
        <v>4487</v>
      </c>
      <c r="E1810" s="8" t="s">
        <v>58</v>
      </c>
      <c r="F1810" s="8" t="s">
        <v>59</v>
      </c>
      <c r="G1810" s="8" t="s">
        <v>129</v>
      </c>
      <c r="H1810" s="8" t="s">
        <v>168</v>
      </c>
      <c r="I1810" s="8" t="s">
        <v>4977</v>
      </c>
      <c r="J1810" s="10">
        <v>359</v>
      </c>
      <c r="K1810" s="11">
        <v>689.17</v>
      </c>
      <c r="L1810" s="11">
        <v>1021.7</v>
      </c>
      <c r="M1810" s="11">
        <v>366790.3</v>
      </c>
      <c r="N1810" s="11">
        <v>247412.03</v>
      </c>
      <c r="O1810" s="11">
        <f>CleanedData[[#This Row],[Total Sales ($)]]-CleanedData[[#This Row],[Total Cost ($)]]</f>
        <v>119378.26999999999</v>
      </c>
      <c r="P1810" s="12">
        <f>CleanedData[[#This Row],[Profit ($)]]/CleanedData[[#This Row],[Total Sales ($)]]</f>
        <v>0.32546735832436136</v>
      </c>
      <c r="Q1810" s="8" t="s">
        <v>42</v>
      </c>
      <c r="R1810" s="8" t="s">
        <v>32</v>
      </c>
      <c r="S1810" s="8" t="b">
        <f>_xlfn.SINGLE(CleanedData[[#This Row],[Delivery Status]])="Late"</f>
        <v>1</v>
      </c>
      <c r="T1810" s="10">
        <v>6</v>
      </c>
      <c r="U1810" s="8" t="s">
        <v>86</v>
      </c>
      <c r="V1810" s="10">
        <v>2401</v>
      </c>
      <c r="W1810" s="10">
        <v>7</v>
      </c>
      <c r="X1810" s="12">
        <v>1.9498607242339799E-2</v>
      </c>
      <c r="Y1810" s="8" t="b">
        <f>CleanedData[[#This Row],[Ship Date]]&lt;CleanedData[[#This Row],[Order Date]]</f>
        <v>0</v>
      </c>
      <c r="Z1810" s="10">
        <f>YEAR(CleanedData[[#This Row],[Order Date]])</f>
        <v>2023</v>
      </c>
      <c r="AA1810" s="8">
        <f>MONTH(CleanedData[[#This Row],[Order Date]])</f>
        <v>5</v>
      </c>
    </row>
    <row r="1811" spans="1:27" x14ac:dyDescent="0.35">
      <c r="A1811" s="8" t="s">
        <v>4488</v>
      </c>
      <c r="B1811" s="9">
        <v>45245</v>
      </c>
      <c r="C1811" s="9">
        <v>45007</v>
      </c>
      <c r="D1811" s="8" t="s">
        <v>4489</v>
      </c>
      <c r="E1811" s="8" t="s">
        <v>26</v>
      </c>
      <c r="F1811" s="8" t="s">
        <v>92</v>
      </c>
      <c r="G1811" s="8" t="s">
        <v>93</v>
      </c>
      <c r="H1811" s="8" t="s">
        <v>643</v>
      </c>
      <c r="I1811" s="8" t="s">
        <v>4967</v>
      </c>
      <c r="J1811" s="10"/>
      <c r="K1811" s="11">
        <v>1160.02</v>
      </c>
      <c r="L1811" s="11">
        <v>1785.26</v>
      </c>
      <c r="M1811" s="11">
        <v>1337159.74</v>
      </c>
      <c r="N1811" s="11">
        <v>868854.98</v>
      </c>
      <c r="O1811" s="11">
        <f>CleanedData[[#This Row],[Total Sales ($)]]-CleanedData[[#This Row],[Total Cost ($)]]</f>
        <v>468304.76</v>
      </c>
      <c r="P1811" s="12">
        <f>CleanedData[[#This Row],[Profit ($)]]/CleanedData[[#This Row],[Total Sales ($)]]</f>
        <v>0.35022349685760057</v>
      </c>
      <c r="Q1811" s="8" t="s">
        <v>52</v>
      </c>
      <c r="R1811" s="8" t="s">
        <v>32</v>
      </c>
      <c r="S1811" s="8" t="b">
        <f>_xlfn.SINGLE(CleanedData[[#This Row],[Delivery Status]])="Late"</f>
        <v>1</v>
      </c>
      <c r="T1811" s="10">
        <v>11</v>
      </c>
      <c r="U1811" s="8" t="s">
        <v>86</v>
      </c>
      <c r="V1811" s="10">
        <v>689</v>
      </c>
      <c r="W1811" s="10">
        <v>13</v>
      </c>
      <c r="X1811" s="12"/>
      <c r="Y1811" s="8" t="b">
        <f>CleanedData[[#This Row],[Ship Date]]&lt;CleanedData[[#This Row],[Order Date]]</f>
        <v>1</v>
      </c>
      <c r="Z1811" s="10">
        <f>YEAR(CleanedData[[#This Row],[Order Date]])</f>
        <v>2023</v>
      </c>
      <c r="AA1811" s="8">
        <f>MONTH(CleanedData[[#This Row],[Order Date]])</f>
        <v>11</v>
      </c>
    </row>
    <row r="1812" spans="1:27" x14ac:dyDescent="0.35">
      <c r="A1812" s="8" t="s">
        <v>4490</v>
      </c>
      <c r="B1812" s="9">
        <v>45361</v>
      </c>
      <c r="C1812" s="9">
        <v>45333</v>
      </c>
      <c r="D1812" s="8" t="s">
        <v>4491</v>
      </c>
      <c r="E1812" s="8" t="s">
        <v>26</v>
      </c>
      <c r="F1812" s="8" t="s">
        <v>27</v>
      </c>
      <c r="G1812" s="8" t="s">
        <v>50</v>
      </c>
      <c r="H1812" s="8" t="s">
        <v>107</v>
      </c>
      <c r="I1812" s="8" t="s">
        <v>4979</v>
      </c>
      <c r="J1812" s="10">
        <v>288</v>
      </c>
      <c r="K1812" s="11">
        <v>666.78</v>
      </c>
      <c r="L1812" s="11">
        <v>815.47</v>
      </c>
      <c r="M1812" s="11">
        <v>234855.36</v>
      </c>
      <c r="N1812" s="11">
        <v>192032.64000000001</v>
      </c>
      <c r="O1812" s="11">
        <f>CleanedData[[#This Row],[Total Sales ($)]]-CleanedData[[#This Row],[Total Cost ($)]]</f>
        <v>42822.719999999972</v>
      </c>
      <c r="P1812" s="12">
        <f>CleanedData[[#This Row],[Profit ($)]]/CleanedData[[#This Row],[Total Sales ($)]]</f>
        <v>0.18233656664254957</v>
      </c>
      <c r="Q1812" s="8" t="s">
        <v>42</v>
      </c>
      <c r="R1812" s="8" t="s">
        <v>63</v>
      </c>
      <c r="S1812" s="8" t="b">
        <f>_xlfn.SINGLE(CleanedData[[#This Row],[Delivery Status]])="Late"</f>
        <v>0</v>
      </c>
      <c r="T1812" s="10">
        <v>1</v>
      </c>
      <c r="U1812" s="8" t="s">
        <v>158</v>
      </c>
      <c r="V1812" s="10">
        <v>2196</v>
      </c>
      <c r="W1812" s="10">
        <v>13</v>
      </c>
      <c r="X1812" s="12">
        <v>4.5138888888888798E-2</v>
      </c>
      <c r="Y1812" s="8" t="b">
        <f>CleanedData[[#This Row],[Ship Date]]&lt;CleanedData[[#This Row],[Order Date]]</f>
        <v>1</v>
      </c>
      <c r="Z1812" s="10">
        <f>YEAR(CleanedData[[#This Row],[Order Date]])</f>
        <v>2024</v>
      </c>
      <c r="AA1812" s="8">
        <f>MONTH(CleanedData[[#This Row],[Order Date]])</f>
        <v>3</v>
      </c>
    </row>
    <row r="1813" spans="1:27" x14ac:dyDescent="0.35">
      <c r="A1813" s="8" t="s">
        <v>4492</v>
      </c>
      <c r="B1813" s="9">
        <v>45133</v>
      </c>
      <c r="C1813" s="9">
        <v>44941</v>
      </c>
      <c r="D1813" s="8" t="s">
        <v>4493</v>
      </c>
      <c r="E1813" s="8" t="s">
        <v>58</v>
      </c>
      <c r="F1813" s="8" t="s">
        <v>122</v>
      </c>
      <c r="G1813" s="8" t="s">
        <v>93</v>
      </c>
      <c r="H1813" s="8" t="s">
        <v>1442</v>
      </c>
      <c r="I1813" s="8" t="s">
        <v>4975</v>
      </c>
      <c r="J1813" s="10">
        <v>395</v>
      </c>
      <c r="K1813" s="11">
        <v>623.59</v>
      </c>
      <c r="L1813" s="11"/>
      <c r="M1813" s="11">
        <v>367263.1</v>
      </c>
      <c r="N1813" s="11">
        <v>246318.05</v>
      </c>
      <c r="O1813" s="11">
        <f>CleanedData[[#This Row],[Total Sales ($)]]-CleanedData[[#This Row],[Total Cost ($)]]</f>
        <v>120945.04999999999</v>
      </c>
      <c r="P1813" s="12">
        <f>CleanedData[[#This Row],[Profit ($)]]/CleanedData[[#This Row],[Total Sales ($)]]</f>
        <v>0.32931446148551269</v>
      </c>
      <c r="Q1813" s="8" t="s">
        <v>95</v>
      </c>
      <c r="R1813" s="8" t="s">
        <v>32</v>
      </c>
      <c r="S1813" s="8" t="b">
        <f>_xlfn.SINGLE(CleanedData[[#This Row],[Delivery Status]])="Late"</f>
        <v>1</v>
      </c>
      <c r="T1813" s="10">
        <v>14</v>
      </c>
      <c r="U1813" s="8" t="s">
        <v>43</v>
      </c>
      <c r="V1813" s="10">
        <v>2105</v>
      </c>
      <c r="W1813" s="10">
        <v>15</v>
      </c>
      <c r="X1813" s="12">
        <v>3.7974683544303799E-2</v>
      </c>
      <c r="Y1813" s="8" t="b">
        <f>CleanedData[[#This Row],[Ship Date]]&lt;CleanedData[[#This Row],[Order Date]]</f>
        <v>1</v>
      </c>
      <c r="Z1813" s="10">
        <f>YEAR(CleanedData[[#This Row],[Order Date]])</f>
        <v>2023</v>
      </c>
      <c r="AA1813" s="8">
        <f>MONTH(CleanedData[[#This Row],[Order Date]])</f>
        <v>7</v>
      </c>
    </row>
    <row r="1814" spans="1:27" x14ac:dyDescent="0.35">
      <c r="A1814" s="8" t="s">
        <v>4494</v>
      </c>
      <c r="B1814" s="9">
        <v>45056</v>
      </c>
      <c r="C1814" s="9">
        <v>44992</v>
      </c>
      <c r="D1814" s="8" t="s">
        <v>4495</v>
      </c>
      <c r="E1814" s="8" t="s">
        <v>68</v>
      </c>
      <c r="F1814" s="8" t="s">
        <v>276</v>
      </c>
      <c r="G1814" s="8" t="s">
        <v>60</v>
      </c>
      <c r="H1814" s="8" t="s">
        <v>265</v>
      </c>
      <c r="I1814" s="8" t="s">
        <v>4976</v>
      </c>
      <c r="J1814" s="10">
        <v>631</v>
      </c>
      <c r="K1814" s="11">
        <v>892.02</v>
      </c>
      <c r="L1814" s="11">
        <v>1264.0999999999999</v>
      </c>
      <c r="M1814" s="11">
        <v>797647.1</v>
      </c>
      <c r="N1814" s="11">
        <v>562864.62</v>
      </c>
      <c r="O1814" s="11">
        <f>CleanedData[[#This Row],[Total Sales ($)]]-CleanedData[[#This Row],[Total Cost ($)]]</f>
        <v>234782.47999999998</v>
      </c>
      <c r="P1814" s="12">
        <f>CleanedData[[#This Row],[Profit ($)]]/CleanedData[[#This Row],[Total Sales ($)]]</f>
        <v>0.29434380191440551</v>
      </c>
      <c r="Q1814" s="8" t="s">
        <v>52</v>
      </c>
      <c r="R1814" s="8" t="s">
        <v>32</v>
      </c>
      <c r="S1814" s="8" t="b">
        <f>_xlfn.SINGLE(CleanedData[[#This Row],[Delivery Status]])="Late"</f>
        <v>1</v>
      </c>
      <c r="T1814" s="10">
        <v>7</v>
      </c>
      <c r="U1814" s="8" t="s">
        <v>43</v>
      </c>
      <c r="V1814" s="10">
        <v>4749</v>
      </c>
      <c r="W1814" s="10">
        <v>27</v>
      </c>
      <c r="X1814" s="12">
        <v>4.2789223454833498E-2</v>
      </c>
      <c r="Y1814" s="8" t="b">
        <f>CleanedData[[#This Row],[Ship Date]]&lt;CleanedData[[#This Row],[Order Date]]</f>
        <v>1</v>
      </c>
      <c r="Z1814" s="10">
        <f>YEAR(CleanedData[[#This Row],[Order Date]])</f>
        <v>2023</v>
      </c>
      <c r="AA1814" s="8">
        <f>MONTH(CleanedData[[#This Row],[Order Date]])</f>
        <v>5</v>
      </c>
    </row>
    <row r="1815" spans="1:27" x14ac:dyDescent="0.35">
      <c r="A1815" s="8" t="s">
        <v>4496</v>
      </c>
      <c r="B1815" s="9">
        <v>45486</v>
      </c>
      <c r="C1815" s="9">
        <v>45637</v>
      </c>
      <c r="D1815" s="8" t="s">
        <v>4497</v>
      </c>
      <c r="E1815" s="8" t="s">
        <v>100</v>
      </c>
      <c r="F1815" s="8" t="s">
        <v>101</v>
      </c>
      <c r="G1815" s="8" t="s">
        <v>28</v>
      </c>
      <c r="H1815" s="8" t="s">
        <v>714</v>
      </c>
      <c r="I1815" s="8" t="s">
        <v>4972</v>
      </c>
      <c r="J1815" s="10">
        <v>497</v>
      </c>
      <c r="K1815" s="11">
        <v>962.18</v>
      </c>
      <c r="L1815" s="11">
        <v>1477.86</v>
      </c>
      <c r="M1815" s="11">
        <v>734496.42</v>
      </c>
      <c r="N1815" s="11">
        <v>478203.46</v>
      </c>
      <c r="O1815" s="11">
        <f>CleanedData[[#This Row],[Total Sales ($)]]-CleanedData[[#This Row],[Total Cost ($)]]</f>
        <v>256292.96000000002</v>
      </c>
      <c r="P1815" s="12">
        <f>CleanedData[[#This Row],[Profit ($)]]/CleanedData[[#This Row],[Total Sales ($)]]</f>
        <v>0.34893697643890492</v>
      </c>
      <c r="Q1815" s="8" t="s">
        <v>42</v>
      </c>
      <c r="R1815" s="8" t="s">
        <v>32</v>
      </c>
      <c r="S1815" s="8" t="b">
        <f>_xlfn.SINGLE(CleanedData[[#This Row],[Delivery Status]])="Late"</f>
        <v>1</v>
      </c>
      <c r="T1815" s="10">
        <v>15</v>
      </c>
      <c r="U1815" s="8" t="s">
        <v>43</v>
      </c>
      <c r="V1815" s="10">
        <v>171</v>
      </c>
      <c r="W1815" s="10">
        <v>14</v>
      </c>
      <c r="X1815" s="12">
        <v>2.8169014084507001E-2</v>
      </c>
      <c r="Y1815" s="8" t="b">
        <f>CleanedData[[#This Row],[Ship Date]]&lt;CleanedData[[#This Row],[Order Date]]</f>
        <v>0</v>
      </c>
      <c r="Z1815" s="10">
        <f>YEAR(CleanedData[[#This Row],[Order Date]])</f>
        <v>2024</v>
      </c>
      <c r="AA1815" s="8">
        <f>MONTH(CleanedData[[#This Row],[Order Date]])</f>
        <v>7</v>
      </c>
    </row>
    <row r="1816" spans="1:27" x14ac:dyDescent="0.35">
      <c r="A1816" s="8" t="s">
        <v>4498</v>
      </c>
      <c r="B1816" s="9">
        <v>45277</v>
      </c>
      <c r="C1816" s="9">
        <v>45095</v>
      </c>
      <c r="D1816" s="8" t="s">
        <v>4499</v>
      </c>
      <c r="E1816" s="8" t="s">
        <v>100</v>
      </c>
      <c r="F1816" s="8" t="s">
        <v>538</v>
      </c>
      <c r="G1816" s="8" t="s">
        <v>39</v>
      </c>
      <c r="H1816" s="8" t="s">
        <v>354</v>
      </c>
      <c r="I1816" s="8" t="s">
        <v>4979</v>
      </c>
      <c r="J1816" s="10">
        <v>536</v>
      </c>
      <c r="K1816" s="11">
        <v>1008.14</v>
      </c>
      <c r="L1816" s="11">
        <v>1474.82</v>
      </c>
      <c r="M1816" s="11">
        <v>790503.52</v>
      </c>
      <c r="N1816" s="11">
        <v>540363.04</v>
      </c>
      <c r="O1816" s="11">
        <f>CleanedData[[#This Row],[Total Sales ($)]]-CleanedData[[#This Row],[Total Cost ($)]]</f>
        <v>250140.47999999998</v>
      </c>
      <c r="P1816" s="12">
        <f>CleanedData[[#This Row],[Profit ($)]]/CleanedData[[#This Row],[Total Sales ($)]]</f>
        <v>0.31643183574944733</v>
      </c>
      <c r="Q1816" s="8" t="s">
        <v>31</v>
      </c>
      <c r="R1816" s="8" t="s">
        <v>32</v>
      </c>
      <c r="S1816" s="8" t="b">
        <f>_xlfn.SINGLE(CleanedData[[#This Row],[Delivery Status]])="Late"</f>
        <v>1</v>
      </c>
      <c r="T1816" s="10">
        <v>13</v>
      </c>
      <c r="U1816" s="8" t="s">
        <v>112</v>
      </c>
      <c r="V1816" s="10">
        <v>2769</v>
      </c>
      <c r="W1816" s="10">
        <v>26</v>
      </c>
      <c r="X1816" s="12">
        <v>4.8507462686567103E-2</v>
      </c>
      <c r="Y1816" s="8" t="b">
        <f>CleanedData[[#This Row],[Ship Date]]&lt;CleanedData[[#This Row],[Order Date]]</f>
        <v>1</v>
      </c>
      <c r="Z1816" s="10">
        <f>YEAR(CleanedData[[#This Row],[Order Date]])</f>
        <v>2023</v>
      </c>
      <c r="AA1816" s="8">
        <f>MONTH(CleanedData[[#This Row],[Order Date]])</f>
        <v>12</v>
      </c>
    </row>
    <row r="1817" spans="1:27" x14ac:dyDescent="0.35">
      <c r="A1817" s="8" t="s">
        <v>4500</v>
      </c>
      <c r="B1817" s="9">
        <v>45092</v>
      </c>
      <c r="C1817" s="9">
        <v>45047</v>
      </c>
      <c r="D1817" s="8" t="s">
        <v>4502</v>
      </c>
      <c r="E1817" s="8" t="s">
        <v>68</v>
      </c>
      <c r="F1817" s="8" t="s">
        <v>146</v>
      </c>
      <c r="G1817" s="8" t="s">
        <v>189</v>
      </c>
      <c r="H1817" s="8" t="s">
        <v>365</v>
      </c>
      <c r="I1817" s="8" t="s">
        <v>4978</v>
      </c>
      <c r="J1817" s="10">
        <v>381</v>
      </c>
      <c r="K1817" s="11">
        <v>597.17999999999995</v>
      </c>
      <c r="L1817" s="11">
        <v>775.67</v>
      </c>
      <c r="M1817" s="11">
        <v>295530.27</v>
      </c>
      <c r="N1817" s="11">
        <v>227525.58</v>
      </c>
      <c r="O1817" s="11">
        <f>CleanedData[[#This Row],[Total Sales ($)]]-CleanedData[[#This Row],[Total Cost ($)]]</f>
        <v>68004.690000000031</v>
      </c>
      <c r="P1817" s="12">
        <f>CleanedData[[#This Row],[Profit ($)]]/CleanedData[[#This Row],[Total Sales ($)]]</f>
        <v>0.23011074297059325</v>
      </c>
      <c r="Q1817" s="8" t="s">
        <v>42</v>
      </c>
      <c r="R1817" s="8" t="s">
        <v>32</v>
      </c>
      <c r="S1817" s="8" t="b">
        <f>_xlfn.SINGLE(CleanedData[[#This Row],[Delivery Status]])="Late"</f>
        <v>1</v>
      </c>
      <c r="T1817" s="10">
        <v>9</v>
      </c>
      <c r="U1817" s="8" t="s">
        <v>112</v>
      </c>
      <c r="V1817" s="10">
        <v>1731</v>
      </c>
      <c r="W1817" s="10">
        <v>9</v>
      </c>
      <c r="X1817" s="12">
        <v>2.3622047244094401E-2</v>
      </c>
      <c r="Y1817" s="8" t="b">
        <f>CleanedData[[#This Row],[Ship Date]]&lt;CleanedData[[#This Row],[Order Date]]</f>
        <v>1</v>
      </c>
      <c r="Z1817" s="10">
        <f>YEAR(CleanedData[[#This Row],[Order Date]])</f>
        <v>2023</v>
      </c>
      <c r="AA1817" s="8">
        <f>MONTH(CleanedData[[#This Row],[Order Date]])</f>
        <v>6</v>
      </c>
    </row>
    <row r="1818" spans="1:27" x14ac:dyDescent="0.35">
      <c r="A1818" s="8" t="s">
        <v>4503</v>
      </c>
      <c r="B1818" s="9">
        <v>44940</v>
      </c>
      <c r="C1818" s="9">
        <v>45134</v>
      </c>
      <c r="D1818" s="8" t="s">
        <v>4504</v>
      </c>
      <c r="E1818" s="8" t="s">
        <v>100</v>
      </c>
      <c r="F1818" s="8" t="s">
        <v>238</v>
      </c>
      <c r="G1818" s="8" t="s">
        <v>189</v>
      </c>
      <c r="H1818" s="8" t="s">
        <v>190</v>
      </c>
      <c r="I1818" s="8" t="s">
        <v>4969</v>
      </c>
      <c r="J1818" s="10">
        <v>459</v>
      </c>
      <c r="K1818" s="11">
        <v>646.64</v>
      </c>
      <c r="L1818" s="11">
        <v>764.43</v>
      </c>
      <c r="M1818" s="11">
        <v>350873.37</v>
      </c>
      <c r="N1818" s="11">
        <v>296807.76</v>
      </c>
      <c r="O1818" s="11">
        <f>CleanedData[[#This Row],[Total Sales ($)]]-CleanedData[[#This Row],[Total Cost ($)]]</f>
        <v>54065.609999999986</v>
      </c>
      <c r="P1818" s="12">
        <f>CleanedData[[#This Row],[Profit ($)]]/CleanedData[[#This Row],[Total Sales ($)]]</f>
        <v>0.15408866737307533</v>
      </c>
      <c r="Q1818" s="8" t="s">
        <v>42</v>
      </c>
      <c r="R1818" s="8" t="s">
        <v>63</v>
      </c>
      <c r="S1818" s="8" t="b">
        <f>_xlfn.SINGLE(CleanedData[[#This Row],[Delivery Status]])="Late"</f>
        <v>0</v>
      </c>
      <c r="T1818" s="10">
        <v>1</v>
      </c>
      <c r="U1818" s="8" t="s">
        <v>158</v>
      </c>
      <c r="V1818" s="10">
        <v>551</v>
      </c>
      <c r="W1818" s="10">
        <v>18</v>
      </c>
      <c r="X1818" s="12">
        <v>3.9215686274509803E-2</v>
      </c>
      <c r="Y1818" s="8" t="b">
        <f>CleanedData[[#This Row],[Ship Date]]&lt;CleanedData[[#This Row],[Order Date]]</f>
        <v>0</v>
      </c>
      <c r="Z1818" s="10">
        <f>YEAR(CleanedData[[#This Row],[Order Date]])</f>
        <v>2023</v>
      </c>
      <c r="AA1818" s="8">
        <f>MONTH(CleanedData[[#This Row],[Order Date]])</f>
        <v>1</v>
      </c>
    </row>
    <row r="1819" spans="1:27" x14ac:dyDescent="0.35">
      <c r="A1819" s="8" t="s">
        <v>4505</v>
      </c>
      <c r="B1819" s="9">
        <v>45517</v>
      </c>
      <c r="C1819" s="9">
        <v>45371</v>
      </c>
      <c r="D1819" s="8" t="s">
        <v>4507</v>
      </c>
      <c r="E1819" s="8" t="s">
        <v>68</v>
      </c>
      <c r="F1819" s="8" t="s">
        <v>69</v>
      </c>
      <c r="G1819" s="8" t="s">
        <v>60</v>
      </c>
      <c r="H1819" s="8" t="s">
        <v>164</v>
      </c>
      <c r="I1819" s="8" t="s">
        <v>4977</v>
      </c>
      <c r="J1819" s="10">
        <v>382</v>
      </c>
      <c r="K1819" s="11">
        <v>151.68</v>
      </c>
      <c r="L1819" s="11">
        <v>186.5</v>
      </c>
      <c r="M1819" s="11">
        <v>71243</v>
      </c>
      <c r="N1819" s="11">
        <v>57941.760000000002</v>
      </c>
      <c r="O1819" s="11">
        <f>CleanedData[[#This Row],[Total Sales ($)]]-CleanedData[[#This Row],[Total Cost ($)]]</f>
        <v>13301.239999999998</v>
      </c>
      <c r="P1819" s="12">
        <f>CleanedData[[#This Row],[Profit ($)]]/CleanedData[[#This Row],[Total Sales ($)]]</f>
        <v>0.18670241286863268</v>
      </c>
      <c r="Q1819" s="8" t="s">
        <v>31</v>
      </c>
      <c r="R1819" s="8" t="s">
        <v>63</v>
      </c>
      <c r="S1819" s="8" t="b">
        <f>_xlfn.SINGLE(CleanedData[[#This Row],[Delivery Status]])="Late"</f>
        <v>0</v>
      </c>
      <c r="T1819" s="10">
        <v>4</v>
      </c>
      <c r="U1819" s="8" t="s">
        <v>112</v>
      </c>
      <c r="V1819" s="10">
        <v>2841</v>
      </c>
      <c r="W1819" s="10">
        <v>2</v>
      </c>
      <c r="X1819" s="12">
        <v>5.2356020942407999E-3</v>
      </c>
      <c r="Y1819" s="8" t="b">
        <f>CleanedData[[#This Row],[Ship Date]]&lt;CleanedData[[#This Row],[Order Date]]</f>
        <v>1</v>
      </c>
      <c r="Z1819" s="10">
        <f>YEAR(CleanedData[[#This Row],[Order Date]])</f>
        <v>2024</v>
      </c>
      <c r="AA1819" s="8">
        <f>MONTH(CleanedData[[#This Row],[Order Date]])</f>
        <v>8</v>
      </c>
    </row>
    <row r="1820" spans="1:27" x14ac:dyDescent="0.35">
      <c r="A1820" s="8" t="s">
        <v>4508</v>
      </c>
      <c r="B1820" s="9">
        <v>45040</v>
      </c>
      <c r="C1820" s="9">
        <v>45048</v>
      </c>
      <c r="D1820" s="8" t="s">
        <v>4509</v>
      </c>
      <c r="E1820" s="8" t="s">
        <v>68</v>
      </c>
      <c r="F1820" s="8" t="s">
        <v>163</v>
      </c>
      <c r="G1820" s="8" t="s">
        <v>39</v>
      </c>
      <c r="H1820" s="8" t="s">
        <v>664</v>
      </c>
      <c r="I1820" s="8" t="s">
        <v>4971</v>
      </c>
      <c r="J1820" s="10">
        <v>234</v>
      </c>
      <c r="K1820" s="11">
        <v>1069.8399999999999</v>
      </c>
      <c r="L1820" s="11">
        <v>1673.15</v>
      </c>
      <c r="M1820" s="11">
        <v>391517.1</v>
      </c>
      <c r="N1820" s="11">
        <v>250342.56</v>
      </c>
      <c r="O1820" s="11">
        <f>CleanedData[[#This Row],[Total Sales ($)]]-CleanedData[[#This Row],[Total Cost ($)]]</f>
        <v>141174.53999999998</v>
      </c>
      <c r="P1820" s="12">
        <f>CleanedData[[#This Row],[Profit ($)]]/CleanedData[[#This Row],[Total Sales ($)]]</f>
        <v>0.36058333084302063</v>
      </c>
      <c r="Q1820" s="8" t="s">
        <v>52</v>
      </c>
      <c r="R1820" s="8" t="s">
        <v>32</v>
      </c>
      <c r="S1820" s="8" t="b">
        <f>_xlfn.SINGLE(CleanedData[[#This Row],[Delivery Status]])="Late"</f>
        <v>1</v>
      </c>
      <c r="T1820" s="10">
        <v>12</v>
      </c>
      <c r="U1820" s="8" t="s">
        <v>43</v>
      </c>
      <c r="V1820" s="10">
        <v>337</v>
      </c>
      <c r="W1820" s="10">
        <v>6</v>
      </c>
      <c r="X1820" s="12">
        <v>2.5641025641025599E-2</v>
      </c>
      <c r="Y1820" s="8" t="b">
        <f>CleanedData[[#This Row],[Ship Date]]&lt;CleanedData[[#This Row],[Order Date]]</f>
        <v>0</v>
      </c>
      <c r="Z1820" s="10">
        <f>YEAR(CleanedData[[#This Row],[Order Date]])</f>
        <v>2023</v>
      </c>
      <c r="AA1820" s="8">
        <f>MONTH(CleanedData[[#This Row],[Order Date]])</f>
        <v>4</v>
      </c>
    </row>
    <row r="1821" spans="1:27" x14ac:dyDescent="0.35">
      <c r="A1821" s="8" t="s">
        <v>4510</v>
      </c>
      <c r="B1821" s="9">
        <v>45056</v>
      </c>
      <c r="C1821" s="9">
        <v>45113</v>
      </c>
      <c r="D1821" s="8" t="s">
        <v>4511</v>
      </c>
      <c r="E1821" s="8" t="s">
        <v>26</v>
      </c>
      <c r="F1821" s="8" t="s">
        <v>38</v>
      </c>
      <c r="G1821" s="8" t="s">
        <v>50</v>
      </c>
      <c r="H1821" s="8" t="s">
        <v>734</v>
      </c>
      <c r="I1821" s="8" t="s">
        <v>4970</v>
      </c>
      <c r="J1821" s="10">
        <v>116</v>
      </c>
      <c r="K1821" s="11">
        <v>685.98</v>
      </c>
      <c r="L1821" s="11">
        <v>980.08</v>
      </c>
      <c r="M1821" s="11">
        <v>113689.28</v>
      </c>
      <c r="N1821" s="11">
        <v>79573.679999999993</v>
      </c>
      <c r="O1821" s="11">
        <f>CleanedData[[#This Row],[Total Sales ($)]]-CleanedData[[#This Row],[Total Cost ($)]]</f>
        <v>34115.600000000006</v>
      </c>
      <c r="P1821" s="12">
        <f>CleanedData[[#This Row],[Profit ($)]]/CleanedData[[#This Row],[Total Sales ($)]]</f>
        <v>0.3000775446902294</v>
      </c>
      <c r="Q1821" s="8" t="s">
        <v>52</v>
      </c>
      <c r="R1821" s="8" t="s">
        <v>32</v>
      </c>
      <c r="S1821" s="8" t="b">
        <f>_xlfn.SINGLE(CleanedData[[#This Row],[Delivery Status]])="Late"</f>
        <v>1</v>
      </c>
      <c r="T1821" s="10">
        <v>7</v>
      </c>
      <c r="U1821" s="8" t="s">
        <v>53</v>
      </c>
      <c r="V1821" s="10">
        <v>3503</v>
      </c>
      <c r="W1821" s="10">
        <v>1</v>
      </c>
      <c r="X1821" s="12">
        <v>8.6206896551723998E-3</v>
      </c>
      <c r="Y1821" s="8" t="b">
        <f>CleanedData[[#This Row],[Ship Date]]&lt;CleanedData[[#This Row],[Order Date]]</f>
        <v>0</v>
      </c>
      <c r="Z1821" s="10">
        <f>YEAR(CleanedData[[#This Row],[Order Date]])</f>
        <v>2023</v>
      </c>
      <c r="AA1821" s="8">
        <f>MONTH(CleanedData[[#This Row],[Order Date]])</f>
        <v>5</v>
      </c>
    </row>
    <row r="1822" spans="1:27" x14ac:dyDescent="0.35">
      <c r="A1822" s="8" t="s">
        <v>4512</v>
      </c>
      <c r="B1822" s="9">
        <v>45531</v>
      </c>
      <c r="C1822" s="9">
        <v>45353</v>
      </c>
      <c r="D1822" s="8" t="s">
        <v>4513</v>
      </c>
      <c r="E1822" s="8" t="s">
        <v>100</v>
      </c>
      <c r="F1822" s="8" t="s">
        <v>238</v>
      </c>
      <c r="G1822" s="8" t="s">
        <v>78</v>
      </c>
      <c r="H1822" s="8" t="s">
        <v>572</v>
      </c>
      <c r="I1822" s="8" t="s">
        <v>4976</v>
      </c>
      <c r="J1822" s="10">
        <v>302</v>
      </c>
      <c r="K1822" s="11">
        <v>25.88</v>
      </c>
      <c r="L1822" s="11">
        <v>34.270000000000003</v>
      </c>
      <c r="M1822" s="11">
        <v>10349.540000000001</v>
      </c>
      <c r="N1822" s="11">
        <v>7815.76</v>
      </c>
      <c r="O1822" s="11">
        <f>CleanedData[[#This Row],[Total Sales ($)]]-CleanedData[[#This Row],[Total Cost ($)]]</f>
        <v>2533.7800000000007</v>
      </c>
      <c r="P1822" s="12">
        <f>CleanedData[[#This Row],[Profit ($)]]/CleanedData[[#This Row],[Total Sales ($)]]</f>
        <v>0.24482054274875989</v>
      </c>
      <c r="Q1822" s="8" t="s">
        <v>42</v>
      </c>
      <c r="R1822" s="8" t="s">
        <v>32</v>
      </c>
      <c r="S1822" s="8" t="b">
        <f>_xlfn.SINGLE(CleanedData[[#This Row],[Delivery Status]])="Late"</f>
        <v>1</v>
      </c>
      <c r="T1822" s="10">
        <v>9</v>
      </c>
      <c r="U1822" s="8" t="s">
        <v>43</v>
      </c>
      <c r="V1822" s="10">
        <v>219</v>
      </c>
      <c r="W1822" s="10">
        <v>13</v>
      </c>
      <c r="X1822" s="12">
        <v>4.3046357615894003E-2</v>
      </c>
      <c r="Y1822" s="8" t="b">
        <f>CleanedData[[#This Row],[Ship Date]]&lt;CleanedData[[#This Row],[Order Date]]</f>
        <v>1</v>
      </c>
      <c r="Z1822" s="10">
        <f>YEAR(CleanedData[[#This Row],[Order Date]])</f>
        <v>2024</v>
      </c>
      <c r="AA1822" s="8">
        <f>MONTH(CleanedData[[#This Row],[Order Date]])</f>
        <v>8</v>
      </c>
    </row>
    <row r="1823" spans="1:27" x14ac:dyDescent="0.35">
      <c r="A1823" s="8" t="s">
        <v>4514</v>
      </c>
      <c r="B1823" s="9">
        <v>45227</v>
      </c>
      <c r="C1823" s="9">
        <v>45000</v>
      </c>
      <c r="D1823" s="8" t="s">
        <v>4515</v>
      </c>
      <c r="E1823" s="8" t="s">
        <v>58</v>
      </c>
      <c r="F1823" s="8" t="s">
        <v>59</v>
      </c>
      <c r="G1823" s="8" t="s">
        <v>28</v>
      </c>
      <c r="H1823" s="8" t="s">
        <v>507</v>
      </c>
      <c r="I1823" s="8" t="s">
        <v>4976</v>
      </c>
      <c r="J1823" s="10">
        <v>235</v>
      </c>
      <c r="K1823" s="11">
        <v>568.17999999999995</v>
      </c>
      <c r="L1823" s="11">
        <v>875.93</v>
      </c>
      <c r="M1823" s="11">
        <v>205843.55</v>
      </c>
      <c r="N1823" s="11">
        <v>133522.29999999999</v>
      </c>
      <c r="O1823" s="11">
        <f>CleanedData[[#This Row],[Total Sales ($)]]-CleanedData[[#This Row],[Total Cost ($)]]</f>
        <v>72321.25</v>
      </c>
      <c r="P1823" s="12">
        <f>CleanedData[[#This Row],[Profit ($)]]/CleanedData[[#This Row],[Total Sales ($)]]</f>
        <v>0.35134086057105024</v>
      </c>
      <c r="Q1823" s="8" t="s">
        <v>42</v>
      </c>
      <c r="R1823" s="8" t="s">
        <v>32</v>
      </c>
      <c r="S1823" s="8" t="b">
        <f>_xlfn.SINGLE(CleanedData[[#This Row],[Delivery Status]])="Late"</f>
        <v>1</v>
      </c>
      <c r="T1823" s="10">
        <v>12</v>
      </c>
      <c r="U1823" s="8" t="s">
        <v>43</v>
      </c>
      <c r="V1823" s="10">
        <v>4025</v>
      </c>
      <c r="W1823" s="10"/>
      <c r="X1823" s="12"/>
      <c r="Y1823" s="8" t="b">
        <f>CleanedData[[#This Row],[Ship Date]]&lt;CleanedData[[#This Row],[Order Date]]</f>
        <v>1</v>
      </c>
      <c r="Z1823" s="10">
        <f>YEAR(CleanedData[[#This Row],[Order Date]])</f>
        <v>2023</v>
      </c>
      <c r="AA1823" s="8">
        <f>MONTH(CleanedData[[#This Row],[Order Date]])</f>
        <v>10</v>
      </c>
    </row>
    <row r="1824" spans="1:27" x14ac:dyDescent="0.35">
      <c r="A1824" s="8" t="s">
        <v>4516</v>
      </c>
      <c r="B1824" s="9">
        <v>45181</v>
      </c>
      <c r="C1824" s="9">
        <v>45086</v>
      </c>
      <c r="D1824" s="8" t="s">
        <v>4517</v>
      </c>
      <c r="E1824" s="8" t="s">
        <v>58</v>
      </c>
      <c r="F1824" s="8" t="s">
        <v>417</v>
      </c>
      <c r="G1824" s="8" t="s">
        <v>70</v>
      </c>
      <c r="H1824" s="8" t="s">
        <v>239</v>
      </c>
      <c r="I1824" s="8" t="s">
        <v>4974</v>
      </c>
      <c r="J1824" s="10">
        <v>498</v>
      </c>
      <c r="K1824" s="11">
        <v>70.849999999999994</v>
      </c>
      <c r="L1824" s="11">
        <v>115.42</v>
      </c>
      <c r="M1824" s="11">
        <v>57479.16</v>
      </c>
      <c r="N1824" s="11">
        <v>35283.300000000003</v>
      </c>
      <c r="O1824" s="11">
        <f>CleanedData[[#This Row],[Total Sales ($)]]-CleanedData[[#This Row],[Total Cost ($)]]</f>
        <v>22195.86</v>
      </c>
      <c r="P1824" s="12">
        <f>CleanedData[[#This Row],[Profit ($)]]/CleanedData[[#This Row],[Total Sales ($)]]</f>
        <v>0.38615491249350198</v>
      </c>
      <c r="Q1824" s="8" t="s">
        <v>95</v>
      </c>
      <c r="R1824" s="8" t="s">
        <v>32</v>
      </c>
      <c r="S1824" s="8" t="b">
        <f>_xlfn.SINGLE(CleanedData[[#This Row],[Delivery Status]])="Late"</f>
        <v>1</v>
      </c>
      <c r="T1824" s="10">
        <v>8</v>
      </c>
      <c r="U1824" s="8" t="s">
        <v>112</v>
      </c>
      <c r="V1824" s="10">
        <v>748</v>
      </c>
      <c r="W1824" s="10">
        <v>8</v>
      </c>
      <c r="X1824" s="12">
        <v>1.60642570281124E-2</v>
      </c>
      <c r="Y1824" s="8" t="b">
        <f>CleanedData[[#This Row],[Ship Date]]&lt;CleanedData[[#This Row],[Order Date]]</f>
        <v>1</v>
      </c>
      <c r="Z1824" s="10">
        <f>YEAR(CleanedData[[#This Row],[Order Date]])</f>
        <v>2023</v>
      </c>
      <c r="AA1824" s="8">
        <f>MONTH(CleanedData[[#This Row],[Order Date]])</f>
        <v>9</v>
      </c>
    </row>
    <row r="1825" spans="1:27" x14ac:dyDescent="0.35">
      <c r="A1825" s="8" t="s">
        <v>4518</v>
      </c>
      <c r="B1825" s="9">
        <v>44995</v>
      </c>
      <c r="C1825" s="9">
        <v>45039</v>
      </c>
      <c r="D1825" s="8" t="s">
        <v>4519</v>
      </c>
      <c r="E1825" s="8" t="s">
        <v>48</v>
      </c>
      <c r="F1825" s="8" t="s">
        <v>223</v>
      </c>
      <c r="G1825" s="8" t="s">
        <v>70</v>
      </c>
      <c r="H1825" s="8" t="s">
        <v>623</v>
      </c>
      <c r="I1825" s="8" t="s">
        <v>4974</v>
      </c>
      <c r="J1825" s="10">
        <v>87</v>
      </c>
      <c r="K1825" s="11">
        <v>1124.8900000000001</v>
      </c>
      <c r="L1825" s="11">
        <v>1479.78</v>
      </c>
      <c r="M1825" s="11">
        <v>128740.86</v>
      </c>
      <c r="N1825" s="11">
        <v>97865.43</v>
      </c>
      <c r="O1825" s="11">
        <f>CleanedData[[#This Row],[Total Sales ($)]]-CleanedData[[#This Row],[Total Cost ($)]]</f>
        <v>30875.430000000008</v>
      </c>
      <c r="P1825" s="12">
        <f>CleanedData[[#This Row],[Profit ($)]]/CleanedData[[#This Row],[Total Sales ($)]]</f>
        <v>0.23982619037965108</v>
      </c>
      <c r="Q1825" s="8" t="s">
        <v>42</v>
      </c>
      <c r="R1825" s="8" t="s">
        <v>32</v>
      </c>
      <c r="S1825" s="8" t="b">
        <f>_xlfn.SINGLE(CleanedData[[#This Row],[Delivery Status]])="Late"</f>
        <v>1</v>
      </c>
      <c r="T1825" s="10">
        <v>9</v>
      </c>
      <c r="U1825" s="8" t="s">
        <v>33</v>
      </c>
      <c r="V1825" s="10">
        <v>4036</v>
      </c>
      <c r="W1825" s="10">
        <v>2</v>
      </c>
      <c r="X1825" s="12">
        <v>2.2988505747126398E-2</v>
      </c>
      <c r="Y1825" s="8" t="b">
        <f>CleanedData[[#This Row],[Ship Date]]&lt;CleanedData[[#This Row],[Order Date]]</f>
        <v>0</v>
      </c>
      <c r="Z1825" s="10">
        <f>YEAR(CleanedData[[#This Row],[Order Date]])</f>
        <v>2023</v>
      </c>
      <c r="AA1825" s="8">
        <f>MONTH(CleanedData[[#This Row],[Order Date]])</f>
        <v>3</v>
      </c>
    </row>
    <row r="1826" spans="1:27" x14ac:dyDescent="0.35">
      <c r="A1826" s="8" t="s">
        <v>4520</v>
      </c>
      <c r="B1826" s="9">
        <v>45400</v>
      </c>
      <c r="C1826" s="9">
        <v>45317</v>
      </c>
      <c r="D1826" s="8" t="s">
        <v>4521</v>
      </c>
      <c r="E1826" s="8" t="s">
        <v>48</v>
      </c>
      <c r="F1826" s="8" t="s">
        <v>281</v>
      </c>
      <c r="G1826" s="8" t="s">
        <v>78</v>
      </c>
      <c r="H1826" s="8" t="s">
        <v>481</v>
      </c>
      <c r="I1826" s="8" t="s">
        <v>4968</v>
      </c>
      <c r="J1826" s="10">
        <v>73</v>
      </c>
      <c r="K1826" s="11">
        <v>295.36</v>
      </c>
      <c r="L1826" s="11">
        <v>413.73</v>
      </c>
      <c r="M1826" s="11">
        <v>30202.29</v>
      </c>
      <c r="N1826" s="11">
        <v>21561.279999999999</v>
      </c>
      <c r="O1826" s="11">
        <f>CleanedData[[#This Row],[Total Sales ($)]]-CleanedData[[#This Row],[Total Cost ($)]]</f>
        <v>8641.010000000002</v>
      </c>
      <c r="P1826" s="12">
        <f>CleanedData[[#This Row],[Profit ($)]]/CleanedData[[#This Row],[Total Sales ($)]]</f>
        <v>0.28610446426413366</v>
      </c>
      <c r="Q1826" s="8" t="s">
        <v>31</v>
      </c>
      <c r="R1826" s="8" t="s">
        <v>32</v>
      </c>
      <c r="S1826" s="8" t="b">
        <f>_xlfn.SINGLE(CleanedData[[#This Row],[Delivery Status]])="Late"</f>
        <v>1</v>
      </c>
      <c r="T1826" s="10">
        <v>6</v>
      </c>
      <c r="U1826" s="8" t="s">
        <v>86</v>
      </c>
      <c r="V1826" s="10">
        <v>475</v>
      </c>
      <c r="W1826" s="10">
        <v>0</v>
      </c>
      <c r="X1826" s="12">
        <v>0</v>
      </c>
      <c r="Y1826" s="8" t="b">
        <f>CleanedData[[#This Row],[Ship Date]]&lt;CleanedData[[#This Row],[Order Date]]</f>
        <v>1</v>
      </c>
      <c r="Z1826" s="10">
        <f>YEAR(CleanedData[[#This Row],[Order Date]])</f>
        <v>2024</v>
      </c>
      <c r="AA1826" s="8">
        <f>MONTH(CleanedData[[#This Row],[Order Date]])</f>
        <v>4</v>
      </c>
    </row>
    <row r="1827" spans="1:27" x14ac:dyDescent="0.35">
      <c r="A1827" s="8" t="s">
        <v>4522</v>
      </c>
      <c r="B1827" s="9">
        <v>45144</v>
      </c>
      <c r="C1827" s="9">
        <v>45047</v>
      </c>
      <c r="D1827" s="8" t="s">
        <v>4523</v>
      </c>
      <c r="E1827" s="8" t="s">
        <v>58</v>
      </c>
      <c r="F1827" s="8" t="s">
        <v>417</v>
      </c>
      <c r="G1827" s="8" t="s">
        <v>70</v>
      </c>
      <c r="H1827" s="8" t="s">
        <v>239</v>
      </c>
      <c r="I1827" s="8" t="s">
        <v>4969</v>
      </c>
      <c r="J1827" s="10">
        <v>42</v>
      </c>
      <c r="K1827" s="11">
        <v>1059.97</v>
      </c>
      <c r="L1827" s="11">
        <v>1454.02</v>
      </c>
      <c r="M1827" s="11">
        <v>61068.84</v>
      </c>
      <c r="N1827" s="11">
        <v>44518.74</v>
      </c>
      <c r="O1827" s="11">
        <f>CleanedData[[#This Row],[Total Sales ($)]]-CleanedData[[#This Row],[Total Cost ($)]]</f>
        <v>16550.099999999999</v>
      </c>
      <c r="P1827" s="12">
        <f>CleanedData[[#This Row],[Profit ($)]]/CleanedData[[#This Row],[Total Sales ($)]]</f>
        <v>0.27100727637859173</v>
      </c>
      <c r="Q1827" s="8" t="s">
        <v>42</v>
      </c>
      <c r="R1827" s="8" t="s">
        <v>32</v>
      </c>
      <c r="S1827" s="8" t="b">
        <f>_xlfn.SINGLE(CleanedData[[#This Row],[Delivery Status]])="Late"</f>
        <v>1</v>
      </c>
      <c r="T1827" s="10">
        <v>13</v>
      </c>
      <c r="U1827" s="8" t="s">
        <v>53</v>
      </c>
      <c r="V1827" s="10">
        <v>2877</v>
      </c>
      <c r="W1827" s="10">
        <v>2</v>
      </c>
      <c r="X1827" s="12">
        <v>4.7619047619047603E-2</v>
      </c>
      <c r="Y1827" s="8" t="b">
        <f>CleanedData[[#This Row],[Ship Date]]&lt;CleanedData[[#This Row],[Order Date]]</f>
        <v>1</v>
      </c>
      <c r="Z1827" s="10">
        <f>YEAR(CleanedData[[#This Row],[Order Date]])</f>
        <v>2023</v>
      </c>
      <c r="AA1827" s="8">
        <f>MONTH(CleanedData[[#This Row],[Order Date]])</f>
        <v>8</v>
      </c>
    </row>
    <row r="1828" spans="1:27" x14ac:dyDescent="0.35">
      <c r="A1828" s="8" t="s">
        <v>4524</v>
      </c>
      <c r="B1828" s="9">
        <v>44960</v>
      </c>
      <c r="C1828" s="9">
        <v>45278</v>
      </c>
      <c r="D1828" s="8" t="s">
        <v>4525</v>
      </c>
      <c r="E1828" s="8" t="s">
        <v>58</v>
      </c>
      <c r="F1828" s="8" t="s">
        <v>116</v>
      </c>
      <c r="G1828" s="8" t="s">
        <v>50</v>
      </c>
      <c r="H1828" s="8" t="s">
        <v>135</v>
      </c>
      <c r="I1828" s="8" t="s">
        <v>4974</v>
      </c>
      <c r="J1828" s="10">
        <v>138</v>
      </c>
      <c r="K1828" s="11">
        <v>892.39</v>
      </c>
      <c r="L1828" s="11">
        <v>1372.13</v>
      </c>
      <c r="M1828" s="11">
        <v>189353.94</v>
      </c>
      <c r="N1828" s="11">
        <v>123149.82</v>
      </c>
      <c r="O1828" s="11">
        <f>CleanedData[[#This Row],[Total Sales ($)]]-CleanedData[[#This Row],[Total Cost ($)]]</f>
        <v>66204.12</v>
      </c>
      <c r="P1828" s="12">
        <f>CleanedData[[#This Row],[Profit ($)]]/CleanedData[[#This Row],[Total Sales ($)]]</f>
        <v>0.34963159467397403</v>
      </c>
      <c r="Q1828" s="8" t="s">
        <v>95</v>
      </c>
      <c r="R1828" s="8" t="s">
        <v>32</v>
      </c>
      <c r="S1828" s="8" t="b">
        <f>_xlfn.SINGLE(CleanedData[[#This Row],[Delivery Status]])="Late"</f>
        <v>1</v>
      </c>
      <c r="T1828" s="10">
        <v>15</v>
      </c>
      <c r="U1828" s="8" t="s">
        <v>53</v>
      </c>
      <c r="V1828" s="10">
        <v>2937</v>
      </c>
      <c r="W1828" s="10">
        <v>3</v>
      </c>
      <c r="X1828" s="12">
        <v>2.1739130434782601E-2</v>
      </c>
      <c r="Y1828" s="8" t="b">
        <f>CleanedData[[#This Row],[Ship Date]]&lt;CleanedData[[#This Row],[Order Date]]</f>
        <v>0</v>
      </c>
      <c r="Z1828" s="10">
        <f>YEAR(CleanedData[[#This Row],[Order Date]])</f>
        <v>2023</v>
      </c>
      <c r="AA1828" s="8">
        <f>MONTH(CleanedData[[#This Row],[Order Date]])</f>
        <v>2</v>
      </c>
    </row>
    <row r="1829" spans="1:27" x14ac:dyDescent="0.35">
      <c r="A1829" s="8" t="s">
        <v>4526</v>
      </c>
      <c r="B1829" s="9">
        <v>45500</v>
      </c>
      <c r="C1829" s="9">
        <v>45111</v>
      </c>
      <c r="D1829" s="8" t="s">
        <v>4527</v>
      </c>
      <c r="E1829" s="8" t="s">
        <v>26</v>
      </c>
      <c r="F1829" s="8" t="s">
        <v>77</v>
      </c>
      <c r="G1829" s="8" t="s">
        <v>78</v>
      </c>
      <c r="H1829" s="8" t="s">
        <v>425</v>
      </c>
      <c r="I1829" s="8" t="s">
        <v>4978</v>
      </c>
      <c r="J1829" s="10">
        <v>781</v>
      </c>
      <c r="K1829" s="11">
        <v>689.44</v>
      </c>
      <c r="L1829" s="11">
        <v>992.1</v>
      </c>
      <c r="M1829" s="11">
        <v>774830.1</v>
      </c>
      <c r="N1829" s="11">
        <v>538452.64</v>
      </c>
      <c r="O1829" s="11">
        <f>CleanedData[[#This Row],[Total Sales ($)]]-CleanedData[[#This Row],[Total Cost ($)]]</f>
        <v>236377.45999999996</v>
      </c>
      <c r="P1829" s="12">
        <f>CleanedData[[#This Row],[Profit ($)]]/CleanedData[[#This Row],[Total Sales ($)]]</f>
        <v>0.30507005342203403</v>
      </c>
      <c r="Q1829" s="8" t="s">
        <v>95</v>
      </c>
      <c r="R1829" s="8" t="s">
        <v>32</v>
      </c>
      <c r="S1829" s="8" t="b">
        <f>_xlfn.SINGLE(CleanedData[[#This Row],[Delivery Status]])="Late"</f>
        <v>1</v>
      </c>
      <c r="T1829" s="10">
        <v>6</v>
      </c>
      <c r="U1829" s="8" t="s">
        <v>53</v>
      </c>
      <c r="V1829" s="10">
        <v>2720</v>
      </c>
      <c r="W1829" s="10">
        <v>1</v>
      </c>
      <c r="X1829" s="12">
        <v>1.2804097311139E-3</v>
      </c>
      <c r="Y1829" s="8" t="b">
        <f>CleanedData[[#This Row],[Ship Date]]&lt;CleanedData[[#This Row],[Order Date]]</f>
        <v>1</v>
      </c>
      <c r="Z1829" s="10">
        <f>YEAR(CleanedData[[#This Row],[Order Date]])</f>
        <v>2024</v>
      </c>
      <c r="AA1829" s="8">
        <f>MONTH(CleanedData[[#This Row],[Order Date]])</f>
        <v>7</v>
      </c>
    </row>
    <row r="1830" spans="1:27" x14ac:dyDescent="0.35">
      <c r="A1830" s="8" t="s">
        <v>4528</v>
      </c>
      <c r="B1830" s="9">
        <v>45021</v>
      </c>
      <c r="C1830" s="9">
        <v>45116</v>
      </c>
      <c r="D1830" s="8" t="s">
        <v>1949</v>
      </c>
      <c r="E1830" s="8" t="s">
        <v>48</v>
      </c>
      <c r="F1830" s="8" t="s">
        <v>281</v>
      </c>
      <c r="G1830" s="8" t="s">
        <v>70</v>
      </c>
      <c r="H1830" s="8" t="s">
        <v>1019</v>
      </c>
      <c r="I1830" s="8" t="s">
        <v>4973</v>
      </c>
      <c r="J1830" s="10">
        <v>701</v>
      </c>
      <c r="K1830" s="11">
        <v>651.24</v>
      </c>
      <c r="L1830" s="11">
        <v>965.03</v>
      </c>
      <c r="M1830" s="11">
        <v>676486.03</v>
      </c>
      <c r="N1830" s="11">
        <v>456519.24</v>
      </c>
      <c r="O1830" s="11">
        <f>CleanedData[[#This Row],[Total Sales ($)]]-CleanedData[[#This Row],[Total Cost ($)]]</f>
        <v>219966.79000000004</v>
      </c>
      <c r="P1830" s="12">
        <f>CleanedData[[#This Row],[Profit ($)]]/CleanedData[[#This Row],[Total Sales ($)]]</f>
        <v>0.32516087582769454</v>
      </c>
      <c r="Q1830" s="8" t="s">
        <v>42</v>
      </c>
      <c r="R1830" s="8" t="s">
        <v>32</v>
      </c>
      <c r="S1830" s="8" t="b">
        <f>_xlfn.SINGLE(CleanedData[[#This Row],[Delivery Status]])="Late"</f>
        <v>1</v>
      </c>
      <c r="T1830" s="10">
        <v>14</v>
      </c>
      <c r="U1830" s="8" t="s">
        <v>158</v>
      </c>
      <c r="V1830" s="10">
        <v>2871</v>
      </c>
      <c r="W1830" s="10">
        <v>16</v>
      </c>
      <c r="X1830" s="12">
        <v>2.2824536376604799E-2</v>
      </c>
      <c r="Y1830" s="8" t="b">
        <f>CleanedData[[#This Row],[Ship Date]]&lt;CleanedData[[#This Row],[Order Date]]</f>
        <v>0</v>
      </c>
      <c r="Z1830" s="10">
        <f>YEAR(CleanedData[[#This Row],[Order Date]])</f>
        <v>2023</v>
      </c>
      <c r="AA1830" s="8">
        <f>MONTH(CleanedData[[#This Row],[Order Date]])</f>
        <v>4</v>
      </c>
    </row>
    <row r="1831" spans="1:27" x14ac:dyDescent="0.35">
      <c r="A1831" s="8" t="s">
        <v>4529</v>
      </c>
      <c r="B1831" s="9">
        <v>45236</v>
      </c>
      <c r="C1831" s="9">
        <v>45148</v>
      </c>
      <c r="D1831" s="8" t="s">
        <v>4531</v>
      </c>
      <c r="E1831" s="8" t="s">
        <v>100</v>
      </c>
      <c r="F1831" s="8" t="s">
        <v>538</v>
      </c>
      <c r="G1831" s="8" t="s">
        <v>60</v>
      </c>
      <c r="H1831" s="8" t="s">
        <v>164</v>
      </c>
      <c r="I1831" s="8" t="s">
        <v>4973</v>
      </c>
      <c r="J1831" s="10">
        <v>781</v>
      </c>
      <c r="K1831" s="11">
        <v>1174.26</v>
      </c>
      <c r="L1831" s="11">
        <v>1442.88</v>
      </c>
      <c r="M1831" s="11">
        <v>1126889.28</v>
      </c>
      <c r="N1831" s="11">
        <v>917097.06</v>
      </c>
      <c r="O1831" s="11">
        <f>CleanedData[[#This Row],[Total Sales ($)]]-CleanedData[[#This Row],[Total Cost ($)]]</f>
        <v>209792.21999999997</v>
      </c>
      <c r="P1831" s="12">
        <f>CleanedData[[#This Row],[Profit ($)]]/CleanedData[[#This Row],[Total Sales ($)]]</f>
        <v>0.18616932801064534</v>
      </c>
      <c r="Q1831" s="8" t="s">
        <v>52</v>
      </c>
      <c r="R1831" s="8" t="s">
        <v>32</v>
      </c>
      <c r="S1831" s="8" t="b">
        <f>_xlfn.SINGLE(CleanedData[[#This Row],[Delivery Status]])="Late"</f>
        <v>1</v>
      </c>
      <c r="T1831" s="10">
        <v>9</v>
      </c>
      <c r="U1831" s="8" t="s">
        <v>33</v>
      </c>
      <c r="V1831" s="10">
        <v>3170</v>
      </c>
      <c r="W1831" s="10">
        <v>2</v>
      </c>
      <c r="X1831" s="12">
        <v>2.5608194622278998E-3</v>
      </c>
      <c r="Y1831" s="8" t="b">
        <f>CleanedData[[#This Row],[Ship Date]]&lt;CleanedData[[#This Row],[Order Date]]</f>
        <v>1</v>
      </c>
      <c r="Z1831" s="10">
        <f>YEAR(CleanedData[[#This Row],[Order Date]])</f>
        <v>2023</v>
      </c>
      <c r="AA1831" s="8">
        <f>MONTH(CleanedData[[#This Row],[Order Date]])</f>
        <v>11</v>
      </c>
    </row>
    <row r="1832" spans="1:27" x14ac:dyDescent="0.35">
      <c r="A1832" s="8" t="s">
        <v>4532</v>
      </c>
      <c r="B1832" s="9">
        <v>45368</v>
      </c>
      <c r="C1832" s="9">
        <v>45131</v>
      </c>
      <c r="D1832" s="8" t="s">
        <v>4534</v>
      </c>
      <c r="E1832" s="8" t="s">
        <v>26</v>
      </c>
      <c r="F1832" s="8" t="s">
        <v>92</v>
      </c>
      <c r="G1832" s="8" t="s">
        <v>129</v>
      </c>
      <c r="H1832" s="8" t="s">
        <v>152</v>
      </c>
      <c r="I1832" s="8" t="s">
        <v>4971</v>
      </c>
      <c r="J1832" s="10">
        <v>467</v>
      </c>
      <c r="K1832" s="11">
        <v>146.01</v>
      </c>
      <c r="L1832" s="11">
        <v>224.35</v>
      </c>
      <c r="M1832" s="11">
        <v>104771.45</v>
      </c>
      <c r="N1832" s="11">
        <v>68186.67</v>
      </c>
      <c r="O1832" s="11">
        <f>CleanedData[[#This Row],[Total Sales ($)]]-CleanedData[[#This Row],[Total Cost ($)]]</f>
        <v>36584.78</v>
      </c>
      <c r="P1832" s="12">
        <f>CleanedData[[#This Row],[Profit ($)]]/CleanedData[[#This Row],[Total Sales ($)]]</f>
        <v>0.34918653889012702</v>
      </c>
      <c r="Q1832" s="8" t="s">
        <v>31</v>
      </c>
      <c r="R1832" s="8" t="s">
        <v>63</v>
      </c>
      <c r="S1832" s="8" t="b">
        <f>_xlfn.SINGLE(CleanedData[[#This Row],[Delivery Status]])="Late"</f>
        <v>0</v>
      </c>
      <c r="T1832" s="10">
        <v>4</v>
      </c>
      <c r="U1832" s="8" t="s">
        <v>112</v>
      </c>
      <c r="V1832" s="10">
        <v>3617</v>
      </c>
      <c r="W1832" s="10">
        <v>7</v>
      </c>
      <c r="X1832" s="12">
        <v>1.4989293361884299E-2</v>
      </c>
      <c r="Y1832" s="8" t="b">
        <f>CleanedData[[#This Row],[Ship Date]]&lt;CleanedData[[#This Row],[Order Date]]</f>
        <v>1</v>
      </c>
      <c r="Z1832" s="10">
        <f>YEAR(CleanedData[[#This Row],[Order Date]])</f>
        <v>2024</v>
      </c>
      <c r="AA1832" s="8">
        <f>MONTH(CleanedData[[#This Row],[Order Date]])</f>
        <v>3</v>
      </c>
    </row>
    <row r="1833" spans="1:27" x14ac:dyDescent="0.35">
      <c r="A1833" s="8" t="s">
        <v>4535</v>
      </c>
      <c r="B1833" s="9">
        <v>44954</v>
      </c>
      <c r="C1833" s="9">
        <v>45244</v>
      </c>
      <c r="D1833" s="8" t="s">
        <v>4536</v>
      </c>
      <c r="E1833" s="8" t="s">
        <v>100</v>
      </c>
      <c r="F1833" s="8" t="s">
        <v>238</v>
      </c>
      <c r="G1833" s="8" t="s">
        <v>78</v>
      </c>
      <c r="H1833" s="8" t="s">
        <v>840</v>
      </c>
      <c r="I1833" s="8" t="s">
        <v>4979</v>
      </c>
      <c r="J1833" s="10">
        <v>307</v>
      </c>
      <c r="K1833" s="11">
        <v>413.84</v>
      </c>
      <c r="L1833" s="11">
        <v>488.29</v>
      </c>
      <c r="M1833" s="11">
        <v>149905.03</v>
      </c>
      <c r="N1833" s="11">
        <v>127048.88</v>
      </c>
      <c r="O1833" s="11">
        <f>CleanedData[[#This Row],[Total Sales ($)]]-CleanedData[[#This Row],[Total Cost ($)]]</f>
        <v>22856.149999999994</v>
      </c>
      <c r="P1833" s="12">
        <f>CleanedData[[#This Row],[Profit ($)]]/CleanedData[[#This Row],[Total Sales ($)]]</f>
        <v>0.15247086772205037</v>
      </c>
      <c r="Q1833" s="8" t="s">
        <v>31</v>
      </c>
      <c r="R1833" s="8" t="s">
        <v>32</v>
      </c>
      <c r="S1833" s="8" t="b">
        <f>_xlfn.SINGLE(CleanedData[[#This Row],[Delivery Status]])="Late"</f>
        <v>1</v>
      </c>
      <c r="T1833" s="10">
        <v>6</v>
      </c>
      <c r="U1833" s="8" t="s">
        <v>43</v>
      </c>
      <c r="V1833" s="10">
        <v>1151</v>
      </c>
      <c r="W1833" s="10">
        <v>10</v>
      </c>
      <c r="X1833" s="12">
        <v>3.2573289902280103E-2</v>
      </c>
      <c r="Y1833" s="8" t="b">
        <f>CleanedData[[#This Row],[Ship Date]]&lt;CleanedData[[#This Row],[Order Date]]</f>
        <v>0</v>
      </c>
      <c r="Z1833" s="10">
        <f>YEAR(CleanedData[[#This Row],[Order Date]])</f>
        <v>2023</v>
      </c>
      <c r="AA1833" s="8">
        <f>MONTH(CleanedData[[#This Row],[Order Date]])</f>
        <v>1</v>
      </c>
    </row>
    <row r="1834" spans="1:27" x14ac:dyDescent="0.35">
      <c r="A1834" s="8" t="s">
        <v>4537</v>
      </c>
      <c r="B1834" s="9">
        <v>45263</v>
      </c>
      <c r="C1834" s="9">
        <v>45082</v>
      </c>
      <c r="D1834" s="8" t="s">
        <v>4538</v>
      </c>
      <c r="E1834" s="8" t="s">
        <v>26</v>
      </c>
      <c r="F1834" s="8" t="s">
        <v>27</v>
      </c>
      <c r="G1834" s="8" t="s">
        <v>50</v>
      </c>
      <c r="H1834" s="8" t="s">
        <v>173</v>
      </c>
      <c r="I1834" s="8" t="s">
        <v>4977</v>
      </c>
      <c r="J1834" s="10">
        <v>565</v>
      </c>
      <c r="K1834" s="11">
        <v>836.49</v>
      </c>
      <c r="L1834" s="11">
        <v>1004.31</v>
      </c>
      <c r="M1834" s="11">
        <v>567435.15</v>
      </c>
      <c r="N1834" s="11">
        <v>472616.85</v>
      </c>
      <c r="O1834" s="11">
        <f>CleanedData[[#This Row],[Total Sales ($)]]-CleanedData[[#This Row],[Total Cost ($)]]</f>
        <v>94818.300000000047</v>
      </c>
      <c r="P1834" s="12">
        <f>CleanedData[[#This Row],[Profit ($)]]/CleanedData[[#This Row],[Total Sales ($)]]</f>
        <v>0.1670997998625923</v>
      </c>
      <c r="Q1834" s="8" t="s">
        <v>52</v>
      </c>
      <c r="R1834" s="8" t="s">
        <v>32</v>
      </c>
      <c r="S1834" s="8" t="b">
        <f>_xlfn.SINGLE(CleanedData[[#This Row],[Delivery Status]])="Late"</f>
        <v>1</v>
      </c>
      <c r="T1834" s="10">
        <v>11</v>
      </c>
      <c r="U1834" s="8" t="s">
        <v>158</v>
      </c>
      <c r="V1834" s="10">
        <v>4870</v>
      </c>
      <c r="W1834" s="10">
        <v>14</v>
      </c>
      <c r="X1834" s="12">
        <v>2.4778761061946899E-2</v>
      </c>
      <c r="Y1834" s="8" t="b">
        <f>CleanedData[[#This Row],[Ship Date]]&lt;CleanedData[[#This Row],[Order Date]]</f>
        <v>1</v>
      </c>
      <c r="Z1834" s="10">
        <f>YEAR(CleanedData[[#This Row],[Order Date]])</f>
        <v>2023</v>
      </c>
      <c r="AA1834" s="8">
        <f>MONTH(CleanedData[[#This Row],[Order Date]])</f>
        <v>12</v>
      </c>
    </row>
    <row r="1835" spans="1:27" x14ac:dyDescent="0.35">
      <c r="A1835" s="8" t="s">
        <v>4539</v>
      </c>
      <c r="B1835" s="9">
        <v>45033</v>
      </c>
      <c r="C1835" s="9">
        <v>45131</v>
      </c>
      <c r="D1835" s="8" t="s">
        <v>4540</v>
      </c>
      <c r="E1835" s="8" t="s">
        <v>100</v>
      </c>
      <c r="F1835" s="8" t="s">
        <v>106</v>
      </c>
      <c r="G1835" s="8" t="s">
        <v>217</v>
      </c>
      <c r="H1835" s="8" t="s">
        <v>292</v>
      </c>
      <c r="I1835" s="8" t="s">
        <v>4977</v>
      </c>
      <c r="J1835" s="10">
        <v>696</v>
      </c>
      <c r="K1835" s="11">
        <v>1104.0999999999999</v>
      </c>
      <c r="L1835" s="11">
        <v>1816.39</v>
      </c>
      <c r="M1835" s="11">
        <v>1264207.44</v>
      </c>
      <c r="N1835" s="11">
        <v>768453.6</v>
      </c>
      <c r="O1835" s="11">
        <f>CleanedData[[#This Row],[Total Sales ($)]]-CleanedData[[#This Row],[Total Cost ($)]]</f>
        <v>495753.83999999997</v>
      </c>
      <c r="P1835" s="12">
        <f>CleanedData[[#This Row],[Profit ($)]]/CleanedData[[#This Row],[Total Sales ($)]]</f>
        <v>0.39214595984342571</v>
      </c>
      <c r="Q1835" s="8" t="s">
        <v>42</v>
      </c>
      <c r="R1835" s="8" t="s">
        <v>32</v>
      </c>
      <c r="S1835" s="8" t="b">
        <f>_xlfn.SINGLE(CleanedData[[#This Row],[Delivery Status]])="Late"</f>
        <v>1</v>
      </c>
      <c r="T1835" s="10">
        <v>6</v>
      </c>
      <c r="U1835" s="8" t="s">
        <v>33</v>
      </c>
      <c r="V1835" s="10">
        <v>437</v>
      </c>
      <c r="W1835" s="10">
        <v>15</v>
      </c>
      <c r="X1835" s="12">
        <v>2.1551724137931001E-2</v>
      </c>
      <c r="Y1835" s="8" t="b">
        <f>CleanedData[[#This Row],[Ship Date]]&lt;CleanedData[[#This Row],[Order Date]]</f>
        <v>0</v>
      </c>
      <c r="Z1835" s="10">
        <f>YEAR(CleanedData[[#This Row],[Order Date]])</f>
        <v>2023</v>
      </c>
      <c r="AA1835" s="8">
        <f>MONTH(CleanedData[[#This Row],[Order Date]])</f>
        <v>4</v>
      </c>
    </row>
    <row r="1836" spans="1:27" x14ac:dyDescent="0.35">
      <c r="A1836" s="8" t="s">
        <v>4541</v>
      </c>
      <c r="B1836" s="9">
        <v>45030</v>
      </c>
      <c r="C1836" s="9">
        <v>45003</v>
      </c>
      <c r="D1836" s="8" t="s">
        <v>1706</v>
      </c>
      <c r="E1836" s="8" t="s">
        <v>68</v>
      </c>
      <c r="F1836" s="8" t="s">
        <v>163</v>
      </c>
      <c r="G1836" s="8" t="s">
        <v>217</v>
      </c>
      <c r="H1836" s="8" t="s">
        <v>218</v>
      </c>
      <c r="I1836" s="8" t="s">
        <v>4979</v>
      </c>
      <c r="J1836" s="10">
        <v>471</v>
      </c>
      <c r="K1836" s="11">
        <v>1101.56</v>
      </c>
      <c r="L1836" s="11">
        <v>1272.8</v>
      </c>
      <c r="M1836" s="11">
        <v>599488.80000000005</v>
      </c>
      <c r="N1836" s="11">
        <v>518834.76</v>
      </c>
      <c r="O1836" s="11">
        <f>CleanedData[[#This Row],[Total Sales ($)]]-CleanedData[[#This Row],[Total Cost ($)]]</f>
        <v>80654.040000000037</v>
      </c>
      <c r="P1836" s="12">
        <f>CleanedData[[#This Row],[Profit ($)]]/CleanedData[[#This Row],[Total Sales ($)]]</f>
        <v>0.13453802639849158</v>
      </c>
      <c r="Q1836" s="8" t="s">
        <v>42</v>
      </c>
      <c r="R1836" s="8" t="s">
        <v>32</v>
      </c>
      <c r="S1836" s="8" t="b">
        <f>_xlfn.SINGLE(CleanedData[[#This Row],[Delivery Status]])="Late"</f>
        <v>1</v>
      </c>
      <c r="T1836" s="10">
        <v>11</v>
      </c>
      <c r="U1836" s="8" t="s">
        <v>86</v>
      </c>
      <c r="V1836" s="10">
        <v>3662</v>
      </c>
      <c r="W1836" s="10">
        <v>9</v>
      </c>
      <c r="X1836" s="12">
        <v>1.9108280254777E-2</v>
      </c>
      <c r="Y1836" s="8" t="b">
        <f>CleanedData[[#This Row],[Ship Date]]&lt;CleanedData[[#This Row],[Order Date]]</f>
        <v>1</v>
      </c>
      <c r="Z1836" s="10">
        <f>YEAR(CleanedData[[#This Row],[Order Date]])</f>
        <v>2023</v>
      </c>
      <c r="AA1836" s="8">
        <f>MONTH(CleanedData[[#This Row],[Order Date]])</f>
        <v>4</v>
      </c>
    </row>
    <row r="1837" spans="1:27" x14ac:dyDescent="0.35">
      <c r="A1837" s="8" t="s">
        <v>4542</v>
      </c>
      <c r="B1837" s="9">
        <v>45494</v>
      </c>
      <c r="C1837" s="9">
        <v>45545</v>
      </c>
      <c r="D1837" s="8" t="s">
        <v>4543</v>
      </c>
      <c r="E1837" s="8" t="s">
        <v>68</v>
      </c>
      <c r="F1837" s="8" t="s">
        <v>249</v>
      </c>
      <c r="G1837" s="8" t="s">
        <v>129</v>
      </c>
      <c r="H1837" s="8" t="s">
        <v>152</v>
      </c>
      <c r="I1837" s="8" t="s">
        <v>4973</v>
      </c>
      <c r="J1837" s="10">
        <v>555</v>
      </c>
      <c r="K1837" s="11">
        <v>151.84</v>
      </c>
      <c r="L1837" s="11">
        <v>192.28</v>
      </c>
      <c r="M1837" s="11">
        <v>106715.4</v>
      </c>
      <c r="N1837" s="11">
        <v>84271.2</v>
      </c>
      <c r="O1837" s="11">
        <f>CleanedData[[#This Row],[Total Sales ($)]]-CleanedData[[#This Row],[Total Cost ($)]]</f>
        <v>22444.199999999997</v>
      </c>
      <c r="P1837" s="12">
        <f>CleanedData[[#This Row],[Profit ($)]]/CleanedData[[#This Row],[Total Sales ($)]]</f>
        <v>0.21031828583315995</v>
      </c>
      <c r="Q1837" s="8" t="s">
        <v>31</v>
      </c>
      <c r="R1837" s="8" t="s">
        <v>32</v>
      </c>
      <c r="S1837" s="8" t="b">
        <f>_xlfn.SINGLE(CleanedData[[#This Row],[Delivery Status]])="Late"</f>
        <v>1</v>
      </c>
      <c r="T1837" s="10">
        <v>15</v>
      </c>
      <c r="U1837" s="8" t="s">
        <v>43</v>
      </c>
      <c r="V1837" s="10">
        <v>1879</v>
      </c>
      <c r="W1837" s="10">
        <v>3</v>
      </c>
      <c r="X1837" s="12">
        <v>5.4054054054053996E-3</v>
      </c>
      <c r="Y1837" s="8" t="b">
        <f>CleanedData[[#This Row],[Ship Date]]&lt;CleanedData[[#This Row],[Order Date]]</f>
        <v>0</v>
      </c>
      <c r="Z1837" s="10">
        <f>YEAR(CleanedData[[#This Row],[Order Date]])</f>
        <v>2024</v>
      </c>
      <c r="AA1837" s="8">
        <f>MONTH(CleanedData[[#This Row],[Order Date]])</f>
        <v>7</v>
      </c>
    </row>
    <row r="1838" spans="1:27" x14ac:dyDescent="0.35">
      <c r="A1838" s="8" t="s">
        <v>4544</v>
      </c>
      <c r="B1838" s="9">
        <v>45001</v>
      </c>
      <c r="C1838" s="9">
        <v>45165</v>
      </c>
      <c r="D1838" s="8" t="s">
        <v>4545</v>
      </c>
      <c r="E1838" s="8" t="s">
        <v>68</v>
      </c>
      <c r="F1838" s="8" t="s">
        <v>276</v>
      </c>
      <c r="G1838" s="8" t="s">
        <v>50</v>
      </c>
      <c r="H1838" s="8" t="s">
        <v>135</v>
      </c>
      <c r="I1838" s="8" t="s">
        <v>4973</v>
      </c>
      <c r="J1838" s="10">
        <v>131</v>
      </c>
      <c r="K1838" s="11">
        <v>627.57000000000005</v>
      </c>
      <c r="L1838" s="11">
        <v>1016.65</v>
      </c>
      <c r="M1838" s="11">
        <v>133181.15</v>
      </c>
      <c r="N1838" s="11">
        <v>82211.67</v>
      </c>
      <c r="O1838" s="11">
        <f>CleanedData[[#This Row],[Total Sales ($)]]-CleanedData[[#This Row],[Total Cost ($)]]</f>
        <v>50969.479999999996</v>
      </c>
      <c r="P1838" s="12">
        <f>CleanedData[[#This Row],[Profit ($)]]/CleanedData[[#This Row],[Total Sales ($)]]</f>
        <v>0.38270791324447939</v>
      </c>
      <c r="Q1838" s="8" t="s">
        <v>52</v>
      </c>
      <c r="R1838" s="8" t="s">
        <v>63</v>
      </c>
      <c r="S1838" s="8" t="b">
        <f>_xlfn.SINGLE(CleanedData[[#This Row],[Delivery Status]])="Late"</f>
        <v>0</v>
      </c>
      <c r="T1838" s="10">
        <v>1</v>
      </c>
      <c r="U1838" s="8" t="s">
        <v>112</v>
      </c>
      <c r="V1838" s="10">
        <v>882</v>
      </c>
      <c r="W1838" s="10">
        <v>0</v>
      </c>
      <c r="X1838" s="12">
        <v>0</v>
      </c>
      <c r="Y1838" s="8" t="b">
        <f>CleanedData[[#This Row],[Ship Date]]&lt;CleanedData[[#This Row],[Order Date]]</f>
        <v>0</v>
      </c>
      <c r="Z1838" s="10">
        <f>YEAR(CleanedData[[#This Row],[Order Date]])</f>
        <v>2023</v>
      </c>
      <c r="AA1838" s="8">
        <f>MONTH(CleanedData[[#This Row],[Order Date]])</f>
        <v>3</v>
      </c>
    </row>
    <row r="1839" spans="1:27" x14ac:dyDescent="0.35">
      <c r="A1839" s="8" t="s">
        <v>4546</v>
      </c>
      <c r="B1839" s="9">
        <v>45353</v>
      </c>
      <c r="C1839" s="9">
        <v>45518</v>
      </c>
      <c r="D1839" s="8" t="s">
        <v>4547</v>
      </c>
      <c r="E1839" s="8" t="s">
        <v>68</v>
      </c>
      <c r="F1839" s="8" t="s">
        <v>163</v>
      </c>
      <c r="G1839" s="8" t="s">
        <v>189</v>
      </c>
      <c r="H1839" s="8" t="s">
        <v>437</v>
      </c>
      <c r="I1839" s="8" t="s">
        <v>4970</v>
      </c>
      <c r="J1839" s="10">
        <v>514</v>
      </c>
      <c r="K1839" s="11">
        <v>537.53</v>
      </c>
      <c r="L1839" s="11">
        <v>625.78</v>
      </c>
      <c r="M1839" s="11">
        <v>321650.92</v>
      </c>
      <c r="N1839" s="11">
        <v>276290.42</v>
      </c>
      <c r="O1839" s="11">
        <f>CleanedData[[#This Row],[Total Sales ($)]]-CleanedData[[#This Row],[Total Cost ($)]]</f>
        <v>45360.5</v>
      </c>
      <c r="P1839" s="12">
        <f>CleanedData[[#This Row],[Profit ($)]]/CleanedData[[#This Row],[Total Sales ($)]]</f>
        <v>0.14102400204544729</v>
      </c>
      <c r="Q1839" s="8" t="s">
        <v>95</v>
      </c>
      <c r="R1839" s="8" t="s">
        <v>63</v>
      </c>
      <c r="S1839" s="8" t="b">
        <f>_xlfn.SINGLE(CleanedData[[#This Row],[Delivery Status]])="Late"</f>
        <v>0</v>
      </c>
      <c r="T1839" s="10">
        <v>5</v>
      </c>
      <c r="U1839" s="8" t="s">
        <v>112</v>
      </c>
      <c r="V1839" s="10">
        <v>2806</v>
      </c>
      <c r="W1839" s="10">
        <v>9</v>
      </c>
      <c r="X1839" s="12">
        <v>1.7509727626459099E-2</v>
      </c>
      <c r="Y1839" s="8" t="b">
        <f>CleanedData[[#This Row],[Ship Date]]&lt;CleanedData[[#This Row],[Order Date]]</f>
        <v>0</v>
      </c>
      <c r="Z1839" s="10">
        <f>YEAR(CleanedData[[#This Row],[Order Date]])</f>
        <v>2024</v>
      </c>
      <c r="AA1839" s="8">
        <f>MONTH(CleanedData[[#This Row],[Order Date]])</f>
        <v>3</v>
      </c>
    </row>
    <row r="1840" spans="1:27" x14ac:dyDescent="0.35">
      <c r="A1840" s="8" t="s">
        <v>4548</v>
      </c>
      <c r="B1840" s="9">
        <v>45141</v>
      </c>
      <c r="C1840" s="9">
        <v>45061</v>
      </c>
      <c r="D1840" s="8" t="s">
        <v>4549</v>
      </c>
      <c r="E1840" s="8" t="s">
        <v>48</v>
      </c>
      <c r="F1840" s="8" t="s">
        <v>223</v>
      </c>
      <c r="G1840" s="8" t="s">
        <v>78</v>
      </c>
      <c r="H1840" s="8" t="s">
        <v>425</v>
      </c>
      <c r="I1840" s="8" t="s">
        <v>4967</v>
      </c>
      <c r="J1840" s="10">
        <v>528</v>
      </c>
      <c r="K1840" s="11">
        <v>462.49</v>
      </c>
      <c r="L1840" s="11">
        <v>582.79</v>
      </c>
      <c r="M1840" s="11">
        <v>307713.12</v>
      </c>
      <c r="N1840" s="11">
        <v>244194.72</v>
      </c>
      <c r="O1840" s="11">
        <f>CleanedData[[#This Row],[Total Sales ($)]]-CleanedData[[#This Row],[Total Cost ($)]]</f>
        <v>63518.399999999994</v>
      </c>
      <c r="P1840" s="12">
        <f>CleanedData[[#This Row],[Profit ($)]]/CleanedData[[#This Row],[Total Sales ($)]]</f>
        <v>0.20642083769453834</v>
      </c>
      <c r="Q1840" s="8" t="s">
        <v>31</v>
      </c>
      <c r="R1840" s="8" t="s">
        <v>63</v>
      </c>
      <c r="S1840" s="8" t="b">
        <f>_xlfn.SINGLE(CleanedData[[#This Row],[Delivery Status]])="Late"</f>
        <v>0</v>
      </c>
      <c r="T1840" s="10">
        <v>5</v>
      </c>
      <c r="U1840" s="8" t="s">
        <v>86</v>
      </c>
      <c r="V1840" s="10">
        <v>2712</v>
      </c>
      <c r="W1840" s="10">
        <v>10</v>
      </c>
      <c r="X1840" s="12">
        <v>1.8939393939393898E-2</v>
      </c>
      <c r="Y1840" s="8" t="b">
        <f>CleanedData[[#This Row],[Ship Date]]&lt;CleanedData[[#This Row],[Order Date]]</f>
        <v>1</v>
      </c>
      <c r="Z1840" s="10">
        <f>YEAR(CleanedData[[#This Row],[Order Date]])</f>
        <v>2023</v>
      </c>
      <c r="AA1840" s="8">
        <f>MONTH(CleanedData[[#This Row],[Order Date]])</f>
        <v>8</v>
      </c>
    </row>
    <row r="1841" spans="1:27" x14ac:dyDescent="0.35">
      <c r="A1841" s="8" t="s">
        <v>4551</v>
      </c>
      <c r="B1841" s="9">
        <v>45148</v>
      </c>
      <c r="C1841" s="9">
        <v>45194</v>
      </c>
      <c r="D1841" s="8" t="s">
        <v>4552</v>
      </c>
      <c r="E1841" s="8" t="s">
        <v>26</v>
      </c>
      <c r="F1841" s="8" t="s">
        <v>228</v>
      </c>
      <c r="G1841" s="8" t="s">
        <v>60</v>
      </c>
      <c r="H1841" s="8" t="s">
        <v>164</v>
      </c>
      <c r="I1841" s="8" t="s">
        <v>4979</v>
      </c>
      <c r="J1841" s="10">
        <v>230</v>
      </c>
      <c r="K1841" s="11">
        <v>1113.5999999999999</v>
      </c>
      <c r="L1841" s="11">
        <v>1664.03</v>
      </c>
      <c r="M1841" s="11">
        <v>382726.9</v>
      </c>
      <c r="N1841" s="11">
        <v>256128</v>
      </c>
      <c r="O1841" s="11">
        <f>CleanedData[[#This Row],[Total Sales ($)]]-CleanedData[[#This Row],[Total Cost ($)]]</f>
        <v>126598.90000000002</v>
      </c>
      <c r="P1841" s="12">
        <f>CleanedData[[#This Row],[Profit ($)]]/CleanedData[[#This Row],[Total Sales ($)]]</f>
        <v>0.33078129601028833</v>
      </c>
      <c r="Q1841" s="8" t="s">
        <v>31</v>
      </c>
      <c r="R1841" s="8" t="s">
        <v>32</v>
      </c>
      <c r="S1841" s="8" t="b">
        <f>_xlfn.SINGLE(CleanedData[[#This Row],[Delivery Status]])="Late"</f>
        <v>1</v>
      </c>
      <c r="T1841" s="10">
        <v>9</v>
      </c>
      <c r="U1841" s="8" t="s">
        <v>43</v>
      </c>
      <c r="V1841" s="10">
        <v>24</v>
      </c>
      <c r="W1841" s="10">
        <v>4</v>
      </c>
      <c r="X1841" s="12">
        <v>1.7391304347826E-2</v>
      </c>
      <c r="Y1841" s="8" t="b">
        <f>CleanedData[[#This Row],[Ship Date]]&lt;CleanedData[[#This Row],[Order Date]]</f>
        <v>0</v>
      </c>
      <c r="Z1841" s="10">
        <f>YEAR(CleanedData[[#This Row],[Order Date]])</f>
        <v>2023</v>
      </c>
      <c r="AA1841" s="8">
        <f>MONTH(CleanedData[[#This Row],[Order Date]])</f>
        <v>8</v>
      </c>
    </row>
    <row r="1842" spans="1:27" x14ac:dyDescent="0.35">
      <c r="A1842" s="8" t="s">
        <v>1082</v>
      </c>
      <c r="B1842" s="9">
        <v>45074</v>
      </c>
      <c r="C1842" s="9">
        <v>45183</v>
      </c>
      <c r="D1842" s="8" t="s">
        <v>1083</v>
      </c>
      <c r="E1842" s="8" t="s">
        <v>26</v>
      </c>
      <c r="F1842" s="8" t="s">
        <v>4972</v>
      </c>
      <c r="G1842" s="8" t="s">
        <v>60</v>
      </c>
      <c r="H1842" s="8" t="s">
        <v>780</v>
      </c>
      <c r="I1842" s="8" t="s">
        <v>4968</v>
      </c>
      <c r="J1842" s="10">
        <v>679</v>
      </c>
      <c r="K1842" s="11">
        <v>208.74</v>
      </c>
      <c r="L1842" s="11">
        <v>342.6</v>
      </c>
      <c r="M1842" s="11">
        <v>232625.4</v>
      </c>
      <c r="N1842" s="11">
        <v>141734.46</v>
      </c>
      <c r="O1842" s="11">
        <f>CleanedData[[#This Row],[Total Sales ($)]]-CleanedData[[#This Row],[Total Cost ($)]]</f>
        <v>90890.94</v>
      </c>
      <c r="P1842" s="12">
        <f>CleanedData[[#This Row],[Profit ($)]]/CleanedData[[#This Row],[Total Sales ($)]]</f>
        <v>0.39071803852889669</v>
      </c>
      <c r="Q1842" s="8" t="s">
        <v>95</v>
      </c>
      <c r="R1842" s="8" t="s">
        <v>63</v>
      </c>
      <c r="S1842" s="8" t="b">
        <f>_xlfn.SINGLE(CleanedData[[#This Row],[Delivery Status]])="Late"</f>
        <v>0</v>
      </c>
      <c r="T1842" s="10">
        <v>4</v>
      </c>
      <c r="U1842" s="8" t="s">
        <v>112</v>
      </c>
      <c r="V1842" s="10">
        <v>2501.41</v>
      </c>
      <c r="W1842" s="10">
        <v>21</v>
      </c>
      <c r="X1842" s="12">
        <v>3.0927835051546299E-2</v>
      </c>
      <c r="Y1842" s="8" t="b">
        <f>CleanedData[[#This Row],[Ship Date]]&lt;CleanedData[[#This Row],[Order Date]]</f>
        <v>0</v>
      </c>
      <c r="Z1842" s="10">
        <f>YEAR(CleanedData[[#This Row],[Order Date]])</f>
        <v>2023</v>
      </c>
      <c r="AA1842" s="8">
        <f>MONTH(CleanedData[[#This Row],[Order Date]])</f>
        <v>5</v>
      </c>
    </row>
    <row r="1843" spans="1:27" x14ac:dyDescent="0.35">
      <c r="A1843" s="8" t="s">
        <v>4553</v>
      </c>
      <c r="B1843" s="9">
        <v>45128</v>
      </c>
      <c r="C1843" s="9">
        <v>44976</v>
      </c>
      <c r="D1843" s="8" t="s">
        <v>4554</v>
      </c>
      <c r="E1843" s="8" t="s">
        <v>68</v>
      </c>
      <c r="F1843" s="8" t="s">
        <v>146</v>
      </c>
      <c r="G1843" s="8" t="s">
        <v>93</v>
      </c>
      <c r="H1843" s="8" t="s">
        <v>321</v>
      </c>
      <c r="I1843" s="8" t="s">
        <v>4975</v>
      </c>
      <c r="J1843" s="10">
        <v>23</v>
      </c>
      <c r="K1843" s="11">
        <v>535.21</v>
      </c>
      <c r="L1843" s="11">
        <v>856.43</v>
      </c>
      <c r="M1843" s="11">
        <v>19697.89</v>
      </c>
      <c r="N1843" s="11">
        <v>12309.83</v>
      </c>
      <c r="O1843" s="11">
        <f>CleanedData[[#This Row],[Total Sales ($)]]-CleanedData[[#This Row],[Total Cost ($)]]</f>
        <v>7388.0599999999995</v>
      </c>
      <c r="P1843" s="12">
        <f>CleanedData[[#This Row],[Profit ($)]]/CleanedData[[#This Row],[Total Sales ($)]]</f>
        <v>0.37506859871793374</v>
      </c>
      <c r="Q1843" s="8" t="s">
        <v>42</v>
      </c>
      <c r="R1843" s="8" t="s">
        <v>32</v>
      </c>
      <c r="S1843" s="8" t="b">
        <f>_xlfn.SINGLE(CleanedData[[#This Row],[Delivery Status]])="Late"</f>
        <v>1</v>
      </c>
      <c r="T1843" s="10">
        <v>12</v>
      </c>
      <c r="U1843" s="8" t="s">
        <v>86</v>
      </c>
      <c r="V1843" s="10">
        <v>1919</v>
      </c>
      <c r="W1843" s="10">
        <v>1</v>
      </c>
      <c r="X1843" s="12">
        <v>4.3478260869565202E-2</v>
      </c>
      <c r="Y1843" s="8" t="b">
        <f>CleanedData[[#This Row],[Ship Date]]&lt;CleanedData[[#This Row],[Order Date]]</f>
        <v>1</v>
      </c>
      <c r="Z1843" s="10">
        <f>YEAR(CleanedData[[#This Row],[Order Date]])</f>
        <v>2023</v>
      </c>
      <c r="AA1843" s="8">
        <f>MONTH(CleanedData[[#This Row],[Order Date]])</f>
        <v>7</v>
      </c>
    </row>
    <row r="1844" spans="1:27" x14ac:dyDescent="0.35">
      <c r="A1844" s="8" t="s">
        <v>4555</v>
      </c>
      <c r="B1844" s="9">
        <v>45200</v>
      </c>
      <c r="C1844" s="9">
        <v>45121</v>
      </c>
      <c r="D1844" s="8" t="s">
        <v>4556</v>
      </c>
      <c r="E1844" s="8" t="s">
        <v>26</v>
      </c>
      <c r="F1844" s="8" t="s">
        <v>38</v>
      </c>
      <c r="G1844" s="8" t="s">
        <v>70</v>
      </c>
      <c r="H1844" s="8" t="s">
        <v>71</v>
      </c>
      <c r="I1844" s="8" t="s">
        <v>4971</v>
      </c>
      <c r="J1844" s="10">
        <v>17</v>
      </c>
      <c r="K1844" s="11">
        <v>720.57</v>
      </c>
      <c r="L1844" s="11">
        <v>986.54</v>
      </c>
      <c r="M1844" s="11">
        <v>16771.18</v>
      </c>
      <c r="N1844" s="11">
        <v>12249.69</v>
      </c>
      <c r="O1844" s="11">
        <f>CleanedData[[#This Row],[Total Sales ($)]]-CleanedData[[#This Row],[Total Cost ($)]]</f>
        <v>4521.49</v>
      </c>
      <c r="P1844" s="12">
        <f>CleanedData[[#This Row],[Profit ($)]]/CleanedData[[#This Row],[Total Sales ($)]]</f>
        <v>0.26959879984592616</v>
      </c>
      <c r="Q1844" s="8" t="s">
        <v>52</v>
      </c>
      <c r="R1844" s="8" t="s">
        <v>32</v>
      </c>
      <c r="S1844" s="8" t="b">
        <f>_xlfn.SINGLE(CleanedData[[#This Row],[Delivery Status]])="Late"</f>
        <v>1</v>
      </c>
      <c r="T1844" s="10">
        <v>7</v>
      </c>
      <c r="U1844" s="8" t="s">
        <v>112</v>
      </c>
      <c r="V1844" s="10">
        <v>2505</v>
      </c>
      <c r="W1844" s="10">
        <v>0</v>
      </c>
      <c r="X1844" s="12">
        <v>0</v>
      </c>
      <c r="Y1844" s="8" t="b">
        <f>CleanedData[[#This Row],[Ship Date]]&lt;CleanedData[[#This Row],[Order Date]]</f>
        <v>1</v>
      </c>
      <c r="Z1844" s="10">
        <f>YEAR(CleanedData[[#This Row],[Order Date]])</f>
        <v>2023</v>
      </c>
      <c r="AA1844" s="8">
        <f>MONTH(CleanedData[[#This Row],[Order Date]])</f>
        <v>10</v>
      </c>
    </row>
    <row r="1845" spans="1:27" x14ac:dyDescent="0.35">
      <c r="A1845" s="8" t="s">
        <v>4557</v>
      </c>
      <c r="B1845" s="9">
        <v>45261</v>
      </c>
      <c r="C1845" s="9">
        <v>44954</v>
      </c>
      <c r="D1845" s="8" t="s">
        <v>4558</v>
      </c>
      <c r="E1845" s="8" t="s">
        <v>58</v>
      </c>
      <c r="F1845" s="8" t="s">
        <v>259</v>
      </c>
      <c r="G1845" s="8" t="s">
        <v>217</v>
      </c>
      <c r="H1845" s="8" t="s">
        <v>524</v>
      </c>
      <c r="I1845" s="8" t="s">
        <v>4974</v>
      </c>
      <c r="J1845" s="10">
        <v>786</v>
      </c>
      <c r="K1845" s="11">
        <v>1015.99</v>
      </c>
      <c r="L1845" s="11">
        <v>1442.22</v>
      </c>
      <c r="M1845" s="11">
        <v>1133584.92</v>
      </c>
      <c r="N1845" s="11">
        <v>798568.14</v>
      </c>
      <c r="O1845" s="11">
        <f>CleanedData[[#This Row],[Total Sales ($)]]-CleanedData[[#This Row],[Total Cost ($)]]</f>
        <v>335016.77999999991</v>
      </c>
      <c r="P1845" s="12">
        <f>CleanedData[[#This Row],[Profit ($)]]/CleanedData[[#This Row],[Total Sales ($)]]</f>
        <v>0.29553743534273547</v>
      </c>
      <c r="Q1845" s="8" t="s">
        <v>42</v>
      </c>
      <c r="R1845" s="8" t="s">
        <v>32</v>
      </c>
      <c r="S1845" s="8" t="b">
        <f>_xlfn.SINGLE(CleanedData[[#This Row],[Delivery Status]])="Late"</f>
        <v>1</v>
      </c>
      <c r="T1845" s="10">
        <v>8</v>
      </c>
      <c r="U1845" s="8" t="s">
        <v>86</v>
      </c>
      <c r="V1845" s="10">
        <v>4607</v>
      </c>
      <c r="W1845" s="10">
        <v>11</v>
      </c>
      <c r="X1845" s="12">
        <v>1.3994910941475799E-2</v>
      </c>
      <c r="Y1845" s="8" t="b">
        <f>CleanedData[[#This Row],[Ship Date]]&lt;CleanedData[[#This Row],[Order Date]]</f>
        <v>1</v>
      </c>
      <c r="Z1845" s="10">
        <f>YEAR(CleanedData[[#This Row],[Order Date]])</f>
        <v>2023</v>
      </c>
      <c r="AA1845" s="8">
        <f>MONTH(CleanedData[[#This Row],[Order Date]])</f>
        <v>12</v>
      </c>
    </row>
    <row r="1846" spans="1:27" x14ac:dyDescent="0.35">
      <c r="A1846" s="8" t="s">
        <v>4559</v>
      </c>
      <c r="B1846" s="9">
        <v>45641</v>
      </c>
      <c r="C1846" s="9">
        <v>45643</v>
      </c>
      <c r="D1846" s="8" t="s">
        <v>4560</v>
      </c>
      <c r="E1846" s="8" t="s">
        <v>48</v>
      </c>
      <c r="F1846" s="8" t="s">
        <v>183</v>
      </c>
      <c r="G1846" s="8" t="s">
        <v>217</v>
      </c>
      <c r="H1846" s="8" t="s">
        <v>292</v>
      </c>
      <c r="I1846" s="8" t="s">
        <v>4975</v>
      </c>
      <c r="J1846" s="10">
        <v>-5</v>
      </c>
      <c r="K1846" s="11">
        <v>374.64</v>
      </c>
      <c r="L1846" s="11">
        <v>425.75</v>
      </c>
      <c r="M1846" s="11">
        <v>219687</v>
      </c>
      <c r="N1846" s="11">
        <v>193314.24</v>
      </c>
      <c r="O1846" s="11">
        <f>CleanedData[[#This Row],[Total Sales ($)]]-CleanedData[[#This Row],[Total Cost ($)]]</f>
        <v>26372.760000000009</v>
      </c>
      <c r="P1846" s="12">
        <f>CleanedData[[#This Row],[Profit ($)]]/CleanedData[[#This Row],[Total Sales ($)]]</f>
        <v>0.12004697592483857</v>
      </c>
      <c r="Q1846" s="8" t="s">
        <v>95</v>
      </c>
      <c r="R1846" s="8" t="s">
        <v>32</v>
      </c>
      <c r="S1846" s="8" t="b">
        <f>_xlfn.SINGLE(CleanedData[[#This Row],[Delivery Status]])="Late"</f>
        <v>1</v>
      </c>
      <c r="T1846" s="10">
        <v>10</v>
      </c>
      <c r="U1846" s="8" t="s">
        <v>158</v>
      </c>
      <c r="V1846" s="10">
        <v>4713</v>
      </c>
      <c r="W1846" s="10">
        <v>0</v>
      </c>
      <c r="X1846" s="12"/>
      <c r="Y1846" s="8" t="b">
        <f>CleanedData[[#This Row],[Ship Date]]&lt;CleanedData[[#This Row],[Order Date]]</f>
        <v>0</v>
      </c>
      <c r="Z1846" s="10">
        <f>YEAR(CleanedData[[#This Row],[Order Date]])</f>
        <v>2024</v>
      </c>
      <c r="AA1846" s="8">
        <f>MONTH(CleanedData[[#This Row],[Order Date]])</f>
        <v>12</v>
      </c>
    </row>
    <row r="1847" spans="1:27" x14ac:dyDescent="0.35">
      <c r="A1847" s="8" t="s">
        <v>4561</v>
      </c>
      <c r="B1847" s="9">
        <v>45088</v>
      </c>
      <c r="C1847" s="9">
        <v>45152</v>
      </c>
      <c r="D1847" s="8" t="s">
        <v>4037</v>
      </c>
      <c r="E1847" s="8" t="s">
        <v>26</v>
      </c>
      <c r="F1847" s="8" t="s">
        <v>27</v>
      </c>
      <c r="G1847" s="8" t="s">
        <v>28</v>
      </c>
      <c r="H1847" s="8" t="s">
        <v>254</v>
      </c>
      <c r="I1847" s="8" t="s">
        <v>4974</v>
      </c>
      <c r="J1847" s="10">
        <v>562</v>
      </c>
      <c r="K1847" s="11">
        <v>1025.0899999999999</v>
      </c>
      <c r="L1847" s="11">
        <v>1446.24</v>
      </c>
      <c r="M1847" s="11">
        <v>812786.88</v>
      </c>
      <c r="N1847" s="11">
        <v>576100.57999999996</v>
      </c>
      <c r="O1847" s="11">
        <f>CleanedData[[#This Row],[Total Sales ($)]]-CleanedData[[#This Row],[Total Cost ($)]]</f>
        <v>236686.30000000005</v>
      </c>
      <c r="P1847" s="12">
        <f>CleanedData[[#This Row],[Profit ($)]]/CleanedData[[#This Row],[Total Sales ($)]]</f>
        <v>0.29120339639340642</v>
      </c>
      <c r="Q1847" s="8" t="s">
        <v>42</v>
      </c>
      <c r="R1847" s="8" t="s">
        <v>63</v>
      </c>
      <c r="S1847" s="8" t="b">
        <f>_xlfn.SINGLE(CleanedData[[#This Row],[Delivery Status]])="Late"</f>
        <v>0</v>
      </c>
      <c r="T1847" s="10">
        <v>5</v>
      </c>
      <c r="U1847" s="8" t="s">
        <v>53</v>
      </c>
      <c r="V1847" s="10">
        <v>4666</v>
      </c>
      <c r="W1847" s="10">
        <v>22</v>
      </c>
      <c r="X1847" s="12">
        <v>3.91459074733096E-2</v>
      </c>
      <c r="Y1847" s="8" t="b">
        <f>CleanedData[[#This Row],[Ship Date]]&lt;CleanedData[[#This Row],[Order Date]]</f>
        <v>0</v>
      </c>
      <c r="Z1847" s="10">
        <f>YEAR(CleanedData[[#This Row],[Order Date]])</f>
        <v>2023</v>
      </c>
      <c r="AA1847" s="8">
        <f>MONTH(CleanedData[[#This Row],[Order Date]])</f>
        <v>6</v>
      </c>
    </row>
    <row r="1848" spans="1:27" x14ac:dyDescent="0.35">
      <c r="A1848" s="8" t="s">
        <v>4562</v>
      </c>
      <c r="B1848" s="9">
        <v>45424</v>
      </c>
      <c r="C1848" s="9">
        <v>45611</v>
      </c>
      <c r="D1848" s="8" t="s">
        <v>1503</v>
      </c>
      <c r="E1848" s="8" t="s">
        <v>100</v>
      </c>
      <c r="F1848" s="8" t="s">
        <v>330</v>
      </c>
      <c r="G1848" s="8" t="s">
        <v>60</v>
      </c>
      <c r="H1848" s="8" t="s">
        <v>61</v>
      </c>
      <c r="I1848" s="8" t="s">
        <v>4969</v>
      </c>
      <c r="J1848" s="10">
        <v>452</v>
      </c>
      <c r="K1848" s="11">
        <v>343.8</v>
      </c>
      <c r="L1848" s="11">
        <v>510.72</v>
      </c>
      <c r="M1848" s="11">
        <v>230845.44</v>
      </c>
      <c r="N1848" s="11">
        <v>155397.6</v>
      </c>
      <c r="O1848" s="11">
        <f>CleanedData[[#This Row],[Total Sales ($)]]-CleanedData[[#This Row],[Total Cost ($)]]</f>
        <v>75447.839999999997</v>
      </c>
      <c r="P1848" s="12">
        <f>CleanedData[[#This Row],[Profit ($)]]/CleanedData[[#This Row],[Total Sales ($)]]</f>
        <v>0.32683270676691728</v>
      </c>
      <c r="Q1848" s="8" t="s">
        <v>95</v>
      </c>
      <c r="R1848" s="8" t="s">
        <v>32</v>
      </c>
      <c r="S1848" s="8" t="b">
        <f>_xlfn.SINGLE(CleanedData[[#This Row],[Delivery Status]])="Late"</f>
        <v>1</v>
      </c>
      <c r="T1848" s="10">
        <v>11</v>
      </c>
      <c r="U1848" s="8" t="s">
        <v>33</v>
      </c>
      <c r="V1848" s="10">
        <v>2946</v>
      </c>
      <c r="W1848" s="10">
        <v>20</v>
      </c>
      <c r="X1848" s="12">
        <v>4.4247787610619399E-2</v>
      </c>
      <c r="Y1848" s="8" t="b">
        <f>CleanedData[[#This Row],[Ship Date]]&lt;CleanedData[[#This Row],[Order Date]]</f>
        <v>0</v>
      </c>
      <c r="Z1848" s="10">
        <f>YEAR(CleanedData[[#This Row],[Order Date]])</f>
        <v>2024</v>
      </c>
      <c r="AA1848" s="8">
        <f>MONTH(CleanedData[[#This Row],[Order Date]])</f>
        <v>5</v>
      </c>
    </row>
    <row r="1849" spans="1:27" x14ac:dyDescent="0.35">
      <c r="A1849" s="8" t="s">
        <v>4563</v>
      </c>
      <c r="B1849" s="9">
        <v>45196</v>
      </c>
      <c r="C1849" s="9">
        <v>45364</v>
      </c>
      <c r="D1849" s="8" t="s">
        <v>4565</v>
      </c>
      <c r="E1849" s="8" t="s">
        <v>100</v>
      </c>
      <c r="F1849" s="8" t="s">
        <v>106</v>
      </c>
      <c r="G1849" s="8" t="s">
        <v>39</v>
      </c>
      <c r="H1849" s="8" t="s">
        <v>412</v>
      </c>
      <c r="I1849" s="8" t="s">
        <v>4976</v>
      </c>
      <c r="J1849" s="10">
        <v>520</v>
      </c>
      <c r="K1849" s="11">
        <v>75.94</v>
      </c>
      <c r="L1849" s="11"/>
      <c r="M1849" s="11">
        <v>46987.199999999997</v>
      </c>
      <c r="N1849" s="11">
        <v>39488.800000000003</v>
      </c>
      <c r="O1849" s="11">
        <f>CleanedData[[#This Row],[Total Sales ($)]]-CleanedData[[#This Row],[Total Cost ($)]]</f>
        <v>7498.3999999999942</v>
      </c>
      <c r="P1849" s="12">
        <f>CleanedData[[#This Row],[Profit ($)]]/CleanedData[[#This Row],[Total Sales ($)]]</f>
        <v>0.15958388667552004</v>
      </c>
      <c r="Q1849" s="8" t="s">
        <v>95</v>
      </c>
      <c r="R1849" s="8" t="s">
        <v>32</v>
      </c>
      <c r="S1849" s="8" t="b">
        <f>_xlfn.SINGLE(CleanedData[[#This Row],[Delivery Status]])="Late"</f>
        <v>1</v>
      </c>
      <c r="T1849" s="10">
        <v>10</v>
      </c>
      <c r="U1849" s="8" t="s">
        <v>86</v>
      </c>
      <c r="V1849" s="10">
        <v>3025</v>
      </c>
      <c r="W1849" s="10">
        <v>11</v>
      </c>
      <c r="X1849" s="12">
        <v>2.11538461538461E-2</v>
      </c>
      <c r="Y1849" s="8" t="b">
        <f>CleanedData[[#This Row],[Ship Date]]&lt;CleanedData[[#This Row],[Order Date]]</f>
        <v>0</v>
      </c>
      <c r="Z1849" s="10">
        <f>YEAR(CleanedData[[#This Row],[Order Date]])</f>
        <v>2023</v>
      </c>
      <c r="AA1849" s="8">
        <f>MONTH(CleanedData[[#This Row],[Order Date]])</f>
        <v>9</v>
      </c>
    </row>
    <row r="1850" spans="1:27" x14ac:dyDescent="0.35">
      <c r="A1850" s="8" t="s">
        <v>4566</v>
      </c>
      <c r="B1850" s="9">
        <v>45252</v>
      </c>
      <c r="C1850" s="9">
        <v>45215</v>
      </c>
      <c r="D1850" s="8" t="s">
        <v>4567</v>
      </c>
      <c r="E1850" s="8" t="s">
        <v>48</v>
      </c>
      <c r="F1850" s="8" t="s">
        <v>183</v>
      </c>
      <c r="G1850" s="8" t="s">
        <v>50</v>
      </c>
      <c r="H1850" s="8" t="s">
        <v>734</v>
      </c>
      <c r="I1850" s="8" t="s">
        <v>4979</v>
      </c>
      <c r="J1850" s="10">
        <v>555</v>
      </c>
      <c r="K1850" s="11">
        <v>1090.03</v>
      </c>
      <c r="L1850" s="11">
        <v>1650.03</v>
      </c>
      <c r="M1850" s="11">
        <v>915766.65</v>
      </c>
      <c r="N1850" s="11">
        <v>604966.65</v>
      </c>
      <c r="O1850" s="11">
        <f>CleanedData[[#This Row],[Total Sales ($)]]-CleanedData[[#This Row],[Total Cost ($)]]</f>
        <v>310800</v>
      </c>
      <c r="P1850" s="12">
        <f>CleanedData[[#This Row],[Profit ($)]]/CleanedData[[#This Row],[Total Sales ($)]]</f>
        <v>0.33938776870723564</v>
      </c>
      <c r="Q1850" s="8" t="s">
        <v>31</v>
      </c>
      <c r="R1850" s="8" t="s">
        <v>63</v>
      </c>
      <c r="S1850" s="8" t="b">
        <f>_xlfn.SINGLE(CleanedData[[#This Row],[Delivery Status]])="Late"</f>
        <v>0</v>
      </c>
      <c r="T1850" s="10">
        <v>2</v>
      </c>
      <c r="U1850" s="8" t="s">
        <v>86</v>
      </c>
      <c r="V1850" s="10">
        <v>2151</v>
      </c>
      <c r="W1850" s="10">
        <v>11</v>
      </c>
      <c r="X1850" s="12">
        <v>1.9819819819819801E-2</v>
      </c>
      <c r="Y1850" s="8" t="b">
        <f>CleanedData[[#This Row],[Ship Date]]&lt;CleanedData[[#This Row],[Order Date]]</f>
        <v>1</v>
      </c>
      <c r="Z1850" s="10">
        <f>YEAR(CleanedData[[#This Row],[Order Date]])</f>
        <v>2023</v>
      </c>
      <c r="AA1850" s="8">
        <f>MONTH(CleanedData[[#This Row],[Order Date]])</f>
        <v>11</v>
      </c>
    </row>
    <row r="1851" spans="1:27" x14ac:dyDescent="0.35">
      <c r="A1851" s="8" t="s">
        <v>4568</v>
      </c>
      <c r="B1851" s="9">
        <v>45073</v>
      </c>
      <c r="C1851" s="9">
        <v>44965</v>
      </c>
      <c r="D1851" s="8" t="s">
        <v>4569</v>
      </c>
      <c r="E1851" s="8" t="s">
        <v>26</v>
      </c>
      <c r="F1851" s="8" t="s">
        <v>92</v>
      </c>
      <c r="G1851" s="8" t="s">
        <v>93</v>
      </c>
      <c r="H1851" s="8" t="s">
        <v>94</v>
      </c>
      <c r="I1851" s="8" t="s">
        <v>4968</v>
      </c>
      <c r="J1851" s="10">
        <v>422</v>
      </c>
      <c r="K1851" s="11">
        <v>806.01</v>
      </c>
      <c r="L1851" s="11">
        <v>1058.33</v>
      </c>
      <c r="M1851" s="11">
        <v>446615.26</v>
      </c>
      <c r="N1851" s="11">
        <v>340136.22</v>
      </c>
      <c r="O1851" s="11">
        <f>CleanedData[[#This Row],[Total Sales ($)]]-CleanedData[[#This Row],[Total Cost ($)]]</f>
        <v>106479.04000000004</v>
      </c>
      <c r="P1851" s="12">
        <f>CleanedData[[#This Row],[Profit ($)]]/CleanedData[[#This Row],[Total Sales ($)]]</f>
        <v>0.23841334933338382</v>
      </c>
      <c r="Q1851" s="8" t="s">
        <v>42</v>
      </c>
      <c r="R1851" s="8" t="s">
        <v>63</v>
      </c>
      <c r="S1851" s="8" t="b">
        <f>_xlfn.SINGLE(CleanedData[[#This Row],[Delivery Status]])="Late"</f>
        <v>0</v>
      </c>
      <c r="T1851" s="10">
        <v>4</v>
      </c>
      <c r="U1851" s="8" t="s">
        <v>43</v>
      </c>
      <c r="V1851" s="10">
        <v>2749</v>
      </c>
      <c r="W1851" s="10">
        <v>14</v>
      </c>
      <c r="X1851" s="12">
        <v>3.31753554502369E-2</v>
      </c>
      <c r="Y1851" s="8" t="b">
        <f>CleanedData[[#This Row],[Ship Date]]&lt;CleanedData[[#This Row],[Order Date]]</f>
        <v>1</v>
      </c>
      <c r="Z1851" s="10">
        <f>YEAR(CleanedData[[#This Row],[Order Date]])</f>
        <v>2023</v>
      </c>
      <c r="AA1851" s="8">
        <f>MONTH(CleanedData[[#This Row],[Order Date]])</f>
        <v>5</v>
      </c>
    </row>
    <row r="1852" spans="1:27" x14ac:dyDescent="0.35">
      <c r="A1852" s="8" t="s">
        <v>4570</v>
      </c>
      <c r="B1852" s="9">
        <v>45098</v>
      </c>
      <c r="C1852" s="9">
        <v>45139</v>
      </c>
      <c r="D1852" s="8" t="s">
        <v>4571</v>
      </c>
      <c r="E1852" s="8" t="s">
        <v>26</v>
      </c>
      <c r="F1852" s="8" t="s">
        <v>228</v>
      </c>
      <c r="G1852" s="8" t="s">
        <v>78</v>
      </c>
      <c r="H1852" s="8" t="s">
        <v>425</v>
      </c>
      <c r="I1852" s="8" t="s">
        <v>4977</v>
      </c>
      <c r="J1852" s="10">
        <v>544</v>
      </c>
      <c r="K1852" s="11">
        <v>393.44</v>
      </c>
      <c r="L1852" s="11">
        <v>503.95</v>
      </c>
      <c r="M1852" s="11">
        <v>274148.8</v>
      </c>
      <c r="N1852" s="11">
        <v>214031.35999999999</v>
      </c>
      <c r="O1852" s="11">
        <f>CleanedData[[#This Row],[Total Sales ($)]]-CleanedData[[#This Row],[Total Cost ($)]]</f>
        <v>60117.440000000002</v>
      </c>
      <c r="P1852" s="12">
        <f>CleanedData[[#This Row],[Profit ($)]]/CleanedData[[#This Row],[Total Sales ($)]]</f>
        <v>0.21928762774084731</v>
      </c>
      <c r="Q1852" s="8" t="s">
        <v>31</v>
      </c>
      <c r="R1852" s="8" t="s">
        <v>32</v>
      </c>
      <c r="S1852" s="8" t="b">
        <f>_xlfn.SINGLE(CleanedData[[#This Row],[Delivery Status]])="Late"</f>
        <v>1</v>
      </c>
      <c r="T1852" s="10">
        <v>12</v>
      </c>
      <c r="U1852" s="8" t="s">
        <v>86</v>
      </c>
      <c r="V1852" s="10">
        <v>1753</v>
      </c>
      <c r="W1852" s="10">
        <v>23</v>
      </c>
      <c r="X1852" s="12">
        <v>4.2279411764705802E-2</v>
      </c>
      <c r="Y1852" s="8" t="b">
        <f>CleanedData[[#This Row],[Ship Date]]&lt;CleanedData[[#This Row],[Order Date]]</f>
        <v>0</v>
      </c>
      <c r="Z1852" s="10">
        <f>YEAR(CleanedData[[#This Row],[Order Date]])</f>
        <v>2023</v>
      </c>
      <c r="AA1852" s="8">
        <f>MONTH(CleanedData[[#This Row],[Order Date]])</f>
        <v>6</v>
      </c>
    </row>
    <row r="1853" spans="1:27" x14ac:dyDescent="0.35">
      <c r="A1853" s="8" t="s">
        <v>4572</v>
      </c>
      <c r="B1853" s="9">
        <v>44943</v>
      </c>
      <c r="C1853" s="9">
        <v>45221</v>
      </c>
      <c r="D1853" s="8" t="s">
        <v>4573</v>
      </c>
      <c r="E1853" s="8" t="s">
        <v>26</v>
      </c>
      <c r="F1853" s="8" t="s">
        <v>38</v>
      </c>
      <c r="G1853" s="8" t="s">
        <v>70</v>
      </c>
      <c r="H1853" s="8" t="s">
        <v>239</v>
      </c>
      <c r="I1853" s="8" t="s">
        <v>4974</v>
      </c>
      <c r="J1853" s="10">
        <v>404</v>
      </c>
      <c r="K1853" s="11">
        <v>296.39999999999998</v>
      </c>
      <c r="L1853" s="11">
        <v>368.25</v>
      </c>
      <c r="M1853" s="11">
        <v>148773</v>
      </c>
      <c r="N1853" s="11">
        <v>119745.60000000001</v>
      </c>
      <c r="O1853" s="11">
        <f>CleanedData[[#This Row],[Total Sales ($)]]-CleanedData[[#This Row],[Total Cost ($)]]</f>
        <v>29027.399999999994</v>
      </c>
      <c r="P1853" s="12">
        <f>CleanedData[[#This Row],[Profit ($)]]/CleanedData[[#This Row],[Total Sales ($)]]</f>
        <v>0.19511201629327898</v>
      </c>
      <c r="Q1853" s="8" t="s">
        <v>95</v>
      </c>
      <c r="R1853" s="8" t="s">
        <v>32</v>
      </c>
      <c r="S1853" s="8" t="b">
        <f>_xlfn.SINGLE(CleanedData[[#This Row],[Delivery Status]])="Late"</f>
        <v>1</v>
      </c>
      <c r="T1853" s="10">
        <v>13</v>
      </c>
      <c r="U1853" s="8" t="s">
        <v>158</v>
      </c>
      <c r="V1853" s="10">
        <v>3545</v>
      </c>
      <c r="W1853" s="10">
        <v>11</v>
      </c>
      <c r="X1853" s="12">
        <v>2.72277227722772E-2</v>
      </c>
      <c r="Y1853" s="8" t="b">
        <f>CleanedData[[#This Row],[Ship Date]]&lt;CleanedData[[#This Row],[Order Date]]</f>
        <v>0</v>
      </c>
      <c r="Z1853" s="10">
        <f>YEAR(CleanedData[[#This Row],[Order Date]])</f>
        <v>2023</v>
      </c>
      <c r="AA1853" s="8">
        <f>MONTH(CleanedData[[#This Row],[Order Date]])</f>
        <v>1</v>
      </c>
    </row>
    <row r="1854" spans="1:27" x14ac:dyDescent="0.35">
      <c r="A1854" s="8" t="s">
        <v>4574</v>
      </c>
      <c r="B1854" s="9">
        <v>45580</v>
      </c>
      <c r="C1854" s="9">
        <v>45572</v>
      </c>
      <c r="D1854" s="8" t="s">
        <v>4575</v>
      </c>
      <c r="E1854" s="8" t="s">
        <v>100</v>
      </c>
      <c r="F1854" s="8" t="s">
        <v>238</v>
      </c>
      <c r="G1854" s="8" t="s">
        <v>78</v>
      </c>
      <c r="H1854" s="8" t="s">
        <v>481</v>
      </c>
      <c r="I1854" s="8" t="s">
        <v>4975</v>
      </c>
      <c r="J1854" s="10">
        <v>383</v>
      </c>
      <c r="K1854" s="11">
        <v>1029.02</v>
      </c>
      <c r="L1854" s="11">
        <v>1182.6500000000001</v>
      </c>
      <c r="M1854" s="11">
        <v>452954.95</v>
      </c>
      <c r="N1854" s="11">
        <v>394114.66</v>
      </c>
      <c r="O1854" s="11">
        <f>CleanedData[[#This Row],[Total Sales ($)]]-CleanedData[[#This Row],[Total Cost ($)]]</f>
        <v>58840.290000000037</v>
      </c>
      <c r="P1854" s="12">
        <f>CleanedData[[#This Row],[Profit ($)]]/CleanedData[[#This Row],[Total Sales ($)]]</f>
        <v>0.12990318352851654</v>
      </c>
      <c r="Q1854" s="8" t="s">
        <v>95</v>
      </c>
      <c r="R1854" s="8" t="s">
        <v>32</v>
      </c>
      <c r="S1854" s="8" t="b">
        <f>_xlfn.SINGLE(CleanedData[[#This Row],[Delivery Status]])="Late"</f>
        <v>1</v>
      </c>
      <c r="T1854" s="10">
        <v>2</v>
      </c>
      <c r="U1854" s="8" t="s">
        <v>86</v>
      </c>
      <c r="V1854" s="10">
        <v>3342</v>
      </c>
      <c r="W1854" s="10">
        <v>12</v>
      </c>
      <c r="X1854" s="12">
        <v>3.1331592689295001E-2</v>
      </c>
      <c r="Y1854" s="8" t="b">
        <f>CleanedData[[#This Row],[Ship Date]]&lt;CleanedData[[#This Row],[Order Date]]</f>
        <v>1</v>
      </c>
      <c r="Z1854" s="10">
        <f>YEAR(CleanedData[[#This Row],[Order Date]])</f>
        <v>2024</v>
      </c>
      <c r="AA1854" s="8">
        <f>MONTH(CleanedData[[#This Row],[Order Date]])</f>
        <v>10</v>
      </c>
    </row>
    <row r="1855" spans="1:27" x14ac:dyDescent="0.35">
      <c r="A1855" s="8" t="s">
        <v>4576</v>
      </c>
      <c r="B1855" s="9">
        <v>45071</v>
      </c>
      <c r="C1855" s="9">
        <v>45134</v>
      </c>
      <c r="D1855" s="8" t="s">
        <v>4577</v>
      </c>
      <c r="E1855" s="8" t="s">
        <v>48</v>
      </c>
      <c r="F1855" s="8" t="s">
        <v>281</v>
      </c>
      <c r="G1855" s="8" t="s">
        <v>217</v>
      </c>
      <c r="H1855" s="8" t="s">
        <v>292</v>
      </c>
      <c r="I1855" s="8" t="s">
        <v>4979</v>
      </c>
      <c r="J1855" s="10">
        <v>786</v>
      </c>
      <c r="K1855" s="11">
        <v>13.89</v>
      </c>
      <c r="L1855" s="11">
        <v>18.91</v>
      </c>
      <c r="M1855" s="11">
        <v>14863.26</v>
      </c>
      <c r="N1855" s="11">
        <v>10917.54</v>
      </c>
      <c r="O1855" s="11">
        <f>CleanedData[[#This Row],[Total Sales ($)]]-CleanedData[[#This Row],[Total Cost ($)]]</f>
        <v>3945.7199999999993</v>
      </c>
      <c r="P1855" s="12">
        <f>CleanedData[[#This Row],[Profit ($)]]/CleanedData[[#This Row],[Total Sales ($)]]</f>
        <v>0.26546800634584872</v>
      </c>
      <c r="Q1855" s="8" t="s">
        <v>52</v>
      </c>
      <c r="R1855" s="8" t="s">
        <v>32</v>
      </c>
      <c r="S1855" s="8" t="b">
        <f>_xlfn.SINGLE(CleanedData[[#This Row],[Delivery Status]])="Late"</f>
        <v>1</v>
      </c>
      <c r="T1855" s="10">
        <v>15</v>
      </c>
      <c r="U1855" s="8" t="s">
        <v>53</v>
      </c>
      <c r="V1855" s="10">
        <v>3189</v>
      </c>
      <c r="W1855" s="10">
        <v>35</v>
      </c>
      <c r="X1855" s="12">
        <v>4.4529262086513997E-2</v>
      </c>
      <c r="Y1855" s="8" t="b">
        <f>CleanedData[[#This Row],[Ship Date]]&lt;CleanedData[[#This Row],[Order Date]]</f>
        <v>0</v>
      </c>
      <c r="Z1855" s="10">
        <f>YEAR(CleanedData[[#This Row],[Order Date]])</f>
        <v>2023</v>
      </c>
      <c r="AA1855" s="8">
        <f>MONTH(CleanedData[[#This Row],[Order Date]])</f>
        <v>5</v>
      </c>
    </row>
    <row r="1856" spans="1:27" x14ac:dyDescent="0.35">
      <c r="A1856" s="8" t="s">
        <v>4578</v>
      </c>
      <c r="B1856" s="9">
        <v>45062</v>
      </c>
      <c r="C1856" s="9">
        <v>45078</v>
      </c>
      <c r="D1856" s="8" t="s">
        <v>4579</v>
      </c>
      <c r="E1856" s="8" t="s">
        <v>26</v>
      </c>
      <c r="F1856" s="8" t="s">
        <v>27</v>
      </c>
      <c r="G1856" s="8" t="s">
        <v>217</v>
      </c>
      <c r="H1856" s="8" t="s">
        <v>218</v>
      </c>
      <c r="I1856" s="8" t="s">
        <v>4971</v>
      </c>
      <c r="J1856" s="10">
        <v>163</v>
      </c>
      <c r="K1856" s="11">
        <v>786.47</v>
      </c>
      <c r="L1856" s="11">
        <v>1102.7</v>
      </c>
      <c r="M1856" s="11">
        <v>179740.1</v>
      </c>
      <c r="N1856" s="11">
        <v>128194.61</v>
      </c>
      <c r="O1856" s="11">
        <f>CleanedData[[#This Row],[Total Sales ($)]]-CleanedData[[#This Row],[Total Cost ($)]]</f>
        <v>51545.490000000005</v>
      </c>
      <c r="P1856" s="12">
        <f>CleanedData[[#This Row],[Profit ($)]]/CleanedData[[#This Row],[Total Sales ($)]]</f>
        <v>0.28677790876938425</v>
      </c>
      <c r="Q1856" s="8" t="s">
        <v>95</v>
      </c>
      <c r="R1856" s="8" t="s">
        <v>32</v>
      </c>
      <c r="S1856" s="8" t="b">
        <f>_xlfn.SINGLE(CleanedData[[#This Row],[Delivery Status]])="Late"</f>
        <v>1</v>
      </c>
      <c r="T1856" s="10">
        <v>9</v>
      </c>
      <c r="U1856" s="8" t="s">
        <v>112</v>
      </c>
      <c r="V1856" s="10">
        <v>4063</v>
      </c>
      <c r="W1856" s="10">
        <v>8</v>
      </c>
      <c r="X1856" s="12">
        <v>4.9079754601226898E-2</v>
      </c>
      <c r="Y1856" s="8" t="b">
        <f>CleanedData[[#This Row],[Ship Date]]&lt;CleanedData[[#This Row],[Order Date]]</f>
        <v>0</v>
      </c>
      <c r="Z1856" s="10">
        <f>YEAR(CleanedData[[#This Row],[Order Date]])</f>
        <v>2023</v>
      </c>
      <c r="AA1856" s="8">
        <f>MONTH(CleanedData[[#This Row],[Order Date]])</f>
        <v>5</v>
      </c>
    </row>
    <row r="1857" spans="1:27" x14ac:dyDescent="0.35">
      <c r="A1857" s="8" t="s">
        <v>4580</v>
      </c>
      <c r="B1857" s="9">
        <v>45141</v>
      </c>
      <c r="C1857" s="9">
        <v>45089</v>
      </c>
      <c r="D1857" s="8" t="s">
        <v>4235</v>
      </c>
      <c r="E1857" s="8" t="s">
        <v>26</v>
      </c>
      <c r="F1857" s="8" t="s">
        <v>38</v>
      </c>
      <c r="G1857" s="8" t="s">
        <v>60</v>
      </c>
      <c r="H1857" s="8" t="s">
        <v>539</v>
      </c>
      <c r="I1857" s="8" t="s">
        <v>4967</v>
      </c>
      <c r="J1857" s="10">
        <v>740</v>
      </c>
      <c r="K1857" s="11">
        <v>631.65</v>
      </c>
      <c r="L1857" s="11">
        <v>1007.02</v>
      </c>
      <c r="M1857" s="11">
        <v>745194.8</v>
      </c>
      <c r="N1857" s="11">
        <v>467421</v>
      </c>
      <c r="O1857" s="11">
        <f>CleanedData[[#This Row],[Total Sales ($)]]-CleanedData[[#This Row],[Total Cost ($)]]</f>
        <v>277773.80000000005</v>
      </c>
      <c r="P1857" s="12">
        <f>CleanedData[[#This Row],[Profit ($)]]/CleanedData[[#This Row],[Total Sales ($)]]</f>
        <v>0.37275327203034703</v>
      </c>
      <c r="Q1857" s="8" t="s">
        <v>52</v>
      </c>
      <c r="R1857" s="8" t="s">
        <v>63</v>
      </c>
      <c r="S1857" s="8" t="b">
        <f>_xlfn.SINGLE(CleanedData[[#This Row],[Delivery Status]])="Late"</f>
        <v>0</v>
      </c>
      <c r="T1857" s="10">
        <v>3</v>
      </c>
      <c r="U1857" s="8" t="s">
        <v>158</v>
      </c>
      <c r="V1857" s="10">
        <v>2726</v>
      </c>
      <c r="W1857" s="10">
        <v>24</v>
      </c>
      <c r="X1857" s="12">
        <v>3.24324324324324E-2</v>
      </c>
      <c r="Y1857" s="8" t="b">
        <f>CleanedData[[#This Row],[Ship Date]]&lt;CleanedData[[#This Row],[Order Date]]</f>
        <v>1</v>
      </c>
      <c r="Z1857" s="10">
        <f>YEAR(CleanedData[[#This Row],[Order Date]])</f>
        <v>2023</v>
      </c>
      <c r="AA1857" s="8">
        <f>MONTH(CleanedData[[#This Row],[Order Date]])</f>
        <v>8</v>
      </c>
    </row>
    <row r="1858" spans="1:27" x14ac:dyDescent="0.35">
      <c r="A1858" s="8" t="s">
        <v>4581</v>
      </c>
      <c r="B1858" s="9">
        <v>45098</v>
      </c>
      <c r="C1858" s="9">
        <v>45139</v>
      </c>
      <c r="D1858" s="8" t="s">
        <v>1313</v>
      </c>
      <c r="E1858" s="8" t="s">
        <v>26</v>
      </c>
      <c r="F1858" s="8" t="s">
        <v>92</v>
      </c>
      <c r="G1858" s="8" t="s">
        <v>189</v>
      </c>
      <c r="H1858" s="8" t="s">
        <v>437</v>
      </c>
      <c r="I1858" s="8" t="s">
        <v>4968</v>
      </c>
      <c r="J1858" s="10">
        <v>252</v>
      </c>
      <c r="K1858" s="11">
        <v>1036.0899999999999</v>
      </c>
      <c r="L1858" s="11">
        <v>1510.4</v>
      </c>
      <c r="M1858" s="11">
        <v>380620.79999999999</v>
      </c>
      <c r="N1858" s="11">
        <v>261094.68</v>
      </c>
      <c r="O1858" s="11">
        <f>CleanedData[[#This Row],[Total Sales ($)]]-CleanedData[[#This Row],[Total Cost ($)]]</f>
        <v>119526.12</v>
      </c>
      <c r="P1858" s="12">
        <f>CleanedData[[#This Row],[Profit ($)]]/CleanedData[[#This Row],[Total Sales ($)]]</f>
        <v>0.31402939618644066</v>
      </c>
      <c r="Q1858" s="8" t="s">
        <v>52</v>
      </c>
      <c r="R1858" s="8" t="s">
        <v>32</v>
      </c>
      <c r="S1858" s="8" t="b">
        <f>_xlfn.SINGLE(CleanedData[[#This Row],[Delivery Status]])="Late"</f>
        <v>1</v>
      </c>
      <c r="T1858" s="10">
        <v>12</v>
      </c>
      <c r="U1858" s="8" t="s">
        <v>86</v>
      </c>
      <c r="V1858" s="10">
        <v>714</v>
      </c>
      <c r="W1858" s="10">
        <v>1</v>
      </c>
      <c r="X1858" s="12">
        <v>3.9682539682539004E-3</v>
      </c>
      <c r="Y1858" s="8" t="b">
        <f>CleanedData[[#This Row],[Ship Date]]&lt;CleanedData[[#This Row],[Order Date]]</f>
        <v>0</v>
      </c>
      <c r="Z1858" s="10">
        <f>YEAR(CleanedData[[#This Row],[Order Date]])</f>
        <v>2023</v>
      </c>
      <c r="AA1858" s="8">
        <f>MONTH(CleanedData[[#This Row],[Order Date]])</f>
        <v>6</v>
      </c>
    </row>
    <row r="1859" spans="1:27" x14ac:dyDescent="0.35">
      <c r="A1859" s="8" t="s">
        <v>4582</v>
      </c>
      <c r="B1859" s="9">
        <v>44967</v>
      </c>
      <c r="C1859" s="9">
        <v>45235</v>
      </c>
      <c r="D1859" s="8" t="s">
        <v>4583</v>
      </c>
      <c r="E1859" s="8" t="s">
        <v>58</v>
      </c>
      <c r="F1859" s="8" t="s">
        <v>59</v>
      </c>
      <c r="G1859" s="8" t="s">
        <v>39</v>
      </c>
      <c r="H1859" s="8" t="s">
        <v>40</v>
      </c>
      <c r="I1859" s="8" t="s">
        <v>4967</v>
      </c>
      <c r="J1859" s="10">
        <v>123</v>
      </c>
      <c r="K1859" s="11">
        <v>1017.66</v>
      </c>
      <c r="L1859" s="11">
        <v>1251.92</v>
      </c>
      <c r="M1859" s="11">
        <v>153986.16</v>
      </c>
      <c r="N1859" s="11">
        <v>125172.18</v>
      </c>
      <c r="O1859" s="11">
        <f>CleanedData[[#This Row],[Total Sales ($)]]-CleanedData[[#This Row],[Total Cost ($)]]</f>
        <v>28813.98000000001</v>
      </c>
      <c r="P1859" s="12">
        <f>CleanedData[[#This Row],[Profit ($)]]/CleanedData[[#This Row],[Total Sales ($)]]</f>
        <v>0.18712058278484256</v>
      </c>
      <c r="Q1859" s="8" t="s">
        <v>31</v>
      </c>
      <c r="R1859" s="8" t="s">
        <v>32</v>
      </c>
      <c r="S1859" s="8" t="b">
        <f>_xlfn.SINGLE(CleanedData[[#This Row],[Delivery Status]])="Late"</f>
        <v>1</v>
      </c>
      <c r="T1859" s="10">
        <v>7</v>
      </c>
      <c r="U1859" s="8" t="s">
        <v>158</v>
      </c>
      <c r="V1859" s="10">
        <v>1752</v>
      </c>
      <c r="W1859" s="10">
        <v>2</v>
      </c>
      <c r="X1859" s="12">
        <v>1.6260162601626001E-2</v>
      </c>
      <c r="Y1859" s="8" t="b">
        <f>CleanedData[[#This Row],[Ship Date]]&lt;CleanedData[[#This Row],[Order Date]]</f>
        <v>0</v>
      </c>
      <c r="Z1859" s="10">
        <f>YEAR(CleanedData[[#This Row],[Order Date]])</f>
        <v>2023</v>
      </c>
      <c r="AA1859" s="8">
        <f>MONTH(CleanedData[[#This Row],[Order Date]])</f>
        <v>2</v>
      </c>
    </row>
    <row r="1860" spans="1:27" x14ac:dyDescent="0.35">
      <c r="A1860" s="8" t="s">
        <v>4584</v>
      </c>
      <c r="B1860" s="9">
        <v>45108</v>
      </c>
      <c r="C1860" s="9">
        <v>44990</v>
      </c>
      <c r="D1860" s="8" t="s">
        <v>4585</v>
      </c>
      <c r="E1860" s="8" t="s">
        <v>68</v>
      </c>
      <c r="F1860" s="8" t="s">
        <v>249</v>
      </c>
      <c r="G1860" s="8" t="s">
        <v>217</v>
      </c>
      <c r="H1860" s="8" t="s">
        <v>494</v>
      </c>
      <c r="I1860" s="8" t="s">
        <v>4976</v>
      </c>
      <c r="J1860" s="10">
        <v>145</v>
      </c>
      <c r="K1860" s="11">
        <v>1117.58</v>
      </c>
      <c r="L1860" s="11">
        <v>1800.27</v>
      </c>
      <c r="M1860" s="11">
        <v>261039.15</v>
      </c>
      <c r="N1860" s="11">
        <v>162049.1</v>
      </c>
      <c r="O1860" s="11">
        <f>CleanedData[[#This Row],[Total Sales ($)]]-CleanedData[[#This Row],[Total Cost ($)]]</f>
        <v>98990.049999999988</v>
      </c>
      <c r="P1860" s="12">
        <f>CleanedData[[#This Row],[Profit ($)]]/CleanedData[[#This Row],[Total Sales ($)]]</f>
        <v>0.37921533992123402</v>
      </c>
      <c r="Q1860" s="8" t="s">
        <v>31</v>
      </c>
      <c r="R1860" s="8" t="s">
        <v>32</v>
      </c>
      <c r="S1860" s="8" t="b">
        <f>_xlfn.SINGLE(CleanedData[[#This Row],[Delivery Status]])="Late"</f>
        <v>1</v>
      </c>
      <c r="T1860" s="10">
        <v>10</v>
      </c>
      <c r="U1860" s="8" t="s">
        <v>33</v>
      </c>
      <c r="V1860" s="10">
        <v>2994</v>
      </c>
      <c r="W1860" s="10">
        <v>0</v>
      </c>
      <c r="X1860" s="12">
        <v>0</v>
      </c>
      <c r="Y1860" s="8" t="b">
        <f>CleanedData[[#This Row],[Ship Date]]&lt;CleanedData[[#This Row],[Order Date]]</f>
        <v>1</v>
      </c>
      <c r="Z1860" s="10">
        <f>YEAR(CleanedData[[#This Row],[Order Date]])</f>
        <v>2023</v>
      </c>
      <c r="AA1860" s="8">
        <f>MONTH(CleanedData[[#This Row],[Order Date]])</f>
        <v>7</v>
      </c>
    </row>
    <row r="1861" spans="1:27" x14ac:dyDescent="0.35">
      <c r="A1861" s="8" t="s">
        <v>4587</v>
      </c>
      <c r="B1861" s="9">
        <v>45269</v>
      </c>
      <c r="C1861" s="9">
        <v>45073</v>
      </c>
      <c r="D1861" s="8" t="s">
        <v>4588</v>
      </c>
      <c r="E1861" s="8" t="s">
        <v>48</v>
      </c>
      <c r="F1861" s="8" t="s">
        <v>281</v>
      </c>
      <c r="G1861" s="8" t="s">
        <v>39</v>
      </c>
      <c r="H1861" s="8" t="s">
        <v>477</v>
      </c>
      <c r="I1861" s="8" t="s">
        <v>4979</v>
      </c>
      <c r="J1861" s="10">
        <v>326</v>
      </c>
      <c r="K1861" s="11">
        <v>329.95</v>
      </c>
      <c r="L1861" s="11">
        <v>390.39</v>
      </c>
      <c r="M1861" s="11">
        <v>127267.14</v>
      </c>
      <c r="N1861" s="11">
        <v>107563.7</v>
      </c>
      <c r="O1861" s="11">
        <f>CleanedData[[#This Row],[Total Sales ($)]]-CleanedData[[#This Row],[Total Cost ($)]]</f>
        <v>19703.440000000002</v>
      </c>
      <c r="P1861" s="12">
        <f>CleanedData[[#This Row],[Profit ($)]]/CleanedData[[#This Row],[Total Sales ($)]]</f>
        <v>0.15481953943492407</v>
      </c>
      <c r="Q1861" s="8" t="s">
        <v>52</v>
      </c>
      <c r="R1861" s="8" t="s">
        <v>63</v>
      </c>
      <c r="S1861" s="8" t="b">
        <f>_xlfn.SINGLE(CleanedData[[#This Row],[Delivery Status]])="Late"</f>
        <v>0</v>
      </c>
      <c r="T1861" s="10">
        <v>4</v>
      </c>
      <c r="U1861" s="8" t="s">
        <v>43</v>
      </c>
      <c r="V1861" s="10">
        <v>839</v>
      </c>
      <c r="W1861" s="10">
        <v>2</v>
      </c>
      <c r="X1861" s="12">
        <v>6.1349693251532998E-3</v>
      </c>
      <c r="Y1861" s="8" t="b">
        <f>CleanedData[[#This Row],[Ship Date]]&lt;CleanedData[[#This Row],[Order Date]]</f>
        <v>1</v>
      </c>
      <c r="Z1861" s="10">
        <f>YEAR(CleanedData[[#This Row],[Order Date]])</f>
        <v>2023</v>
      </c>
      <c r="AA1861" s="8">
        <f>MONTH(CleanedData[[#This Row],[Order Date]])</f>
        <v>12</v>
      </c>
    </row>
    <row r="1862" spans="1:27" x14ac:dyDescent="0.35">
      <c r="A1862" s="8" t="s">
        <v>4589</v>
      </c>
      <c r="B1862" s="9">
        <v>45000</v>
      </c>
      <c r="C1862" s="9">
        <v>45003</v>
      </c>
      <c r="D1862" s="8" t="s">
        <v>4590</v>
      </c>
      <c r="E1862" s="8" t="s">
        <v>58</v>
      </c>
      <c r="F1862" s="8" t="s">
        <v>116</v>
      </c>
      <c r="G1862" s="8" t="s">
        <v>60</v>
      </c>
      <c r="H1862" s="8" t="s">
        <v>400</v>
      </c>
      <c r="I1862" s="8" t="s">
        <v>4976</v>
      </c>
      <c r="J1862" s="10">
        <v>234</v>
      </c>
      <c r="K1862" s="11">
        <v>1027.71</v>
      </c>
      <c r="L1862" s="11">
        <v>1690.17</v>
      </c>
      <c r="M1862" s="11">
        <v>395499.78</v>
      </c>
      <c r="N1862" s="11">
        <v>240484.14</v>
      </c>
      <c r="O1862" s="11">
        <f>CleanedData[[#This Row],[Total Sales ($)]]-CleanedData[[#This Row],[Total Cost ($)]]</f>
        <v>155015.64000000001</v>
      </c>
      <c r="P1862" s="12">
        <f>CleanedData[[#This Row],[Profit ($)]]/CleanedData[[#This Row],[Total Sales ($)]]</f>
        <v>0.39194873888425424</v>
      </c>
      <c r="Q1862" s="8" t="s">
        <v>52</v>
      </c>
      <c r="R1862" s="8" t="s">
        <v>32</v>
      </c>
      <c r="S1862" s="8" t="b">
        <f>_xlfn.SINGLE(CleanedData[[#This Row],[Delivery Status]])="Late"</f>
        <v>1</v>
      </c>
      <c r="T1862" s="10">
        <v>8</v>
      </c>
      <c r="U1862" s="8" t="s">
        <v>33</v>
      </c>
      <c r="V1862" s="10">
        <v>770</v>
      </c>
      <c r="W1862" s="10">
        <v>0</v>
      </c>
      <c r="X1862" s="12">
        <v>0</v>
      </c>
      <c r="Y1862" s="8" t="b">
        <f>CleanedData[[#This Row],[Ship Date]]&lt;CleanedData[[#This Row],[Order Date]]</f>
        <v>0</v>
      </c>
      <c r="Z1862" s="10">
        <f>YEAR(CleanedData[[#This Row],[Order Date]])</f>
        <v>2023</v>
      </c>
      <c r="AA1862" s="8">
        <f>MONTH(CleanedData[[#This Row],[Order Date]])</f>
        <v>3</v>
      </c>
    </row>
    <row r="1863" spans="1:27" x14ac:dyDescent="0.35">
      <c r="A1863" s="8" t="s">
        <v>4591</v>
      </c>
      <c r="B1863" s="9">
        <v>45063</v>
      </c>
      <c r="C1863" s="9">
        <v>45196</v>
      </c>
      <c r="D1863" s="8" t="s">
        <v>4592</v>
      </c>
      <c r="E1863" s="8" t="s">
        <v>26</v>
      </c>
      <c r="F1863" s="8" t="s">
        <v>92</v>
      </c>
      <c r="G1863" s="8" t="s">
        <v>189</v>
      </c>
      <c r="H1863" s="8" t="s">
        <v>311</v>
      </c>
      <c r="I1863" s="8" t="s">
        <v>4969</v>
      </c>
      <c r="J1863" s="10">
        <v>103</v>
      </c>
      <c r="K1863" s="11">
        <v>561.5</v>
      </c>
      <c r="L1863" s="11">
        <v>820.77</v>
      </c>
      <c r="M1863" s="11">
        <v>84539.31</v>
      </c>
      <c r="N1863" s="11">
        <v>57834.5</v>
      </c>
      <c r="O1863" s="11">
        <f>CleanedData[[#This Row],[Total Sales ($)]]-CleanedData[[#This Row],[Total Cost ($)]]</f>
        <v>26704.809999999998</v>
      </c>
      <c r="P1863" s="12">
        <f>CleanedData[[#This Row],[Profit ($)]]/CleanedData[[#This Row],[Total Sales ($)]]</f>
        <v>0.3158863018872522</v>
      </c>
      <c r="Q1863" s="8" t="s">
        <v>52</v>
      </c>
      <c r="R1863" s="8" t="s">
        <v>32</v>
      </c>
      <c r="S1863" s="8" t="b">
        <f>_xlfn.SINGLE(CleanedData[[#This Row],[Delivery Status]])="Late"</f>
        <v>1</v>
      </c>
      <c r="T1863" s="10">
        <v>6</v>
      </c>
      <c r="U1863" s="8" t="s">
        <v>53</v>
      </c>
      <c r="V1863" s="10">
        <v>4534</v>
      </c>
      <c r="W1863" s="10">
        <v>2</v>
      </c>
      <c r="X1863" s="12">
        <v>1.94174757281553E-2</v>
      </c>
      <c r="Y1863" s="8" t="b">
        <f>CleanedData[[#This Row],[Ship Date]]&lt;CleanedData[[#This Row],[Order Date]]</f>
        <v>0</v>
      </c>
      <c r="Z1863" s="10">
        <f>YEAR(CleanedData[[#This Row],[Order Date]])</f>
        <v>2023</v>
      </c>
      <c r="AA1863" s="8">
        <f>MONTH(CleanedData[[#This Row],[Order Date]])</f>
        <v>5</v>
      </c>
    </row>
    <row r="1864" spans="1:27" x14ac:dyDescent="0.35">
      <c r="A1864" s="8" t="s">
        <v>4593</v>
      </c>
      <c r="B1864" s="9">
        <v>45243</v>
      </c>
      <c r="C1864" s="9">
        <v>45032</v>
      </c>
      <c r="D1864" s="8" t="s">
        <v>4594</v>
      </c>
      <c r="E1864" s="8" t="s">
        <v>100</v>
      </c>
      <c r="F1864" s="8" t="s">
        <v>106</v>
      </c>
      <c r="G1864" s="8" t="s">
        <v>28</v>
      </c>
      <c r="H1864" s="8" t="s">
        <v>212</v>
      </c>
      <c r="I1864" s="8" t="s">
        <v>4970</v>
      </c>
      <c r="J1864" s="10">
        <v>389</v>
      </c>
      <c r="K1864" s="11">
        <v>119.23</v>
      </c>
      <c r="L1864" s="11">
        <v>147.22999999999999</v>
      </c>
      <c r="M1864" s="11">
        <v>57272.47</v>
      </c>
      <c r="N1864" s="11">
        <v>46380.47</v>
      </c>
      <c r="O1864" s="11">
        <f>CleanedData[[#This Row],[Total Sales ($)]]-CleanedData[[#This Row],[Total Cost ($)]]</f>
        <v>10892</v>
      </c>
      <c r="P1864" s="12">
        <f>CleanedData[[#This Row],[Profit ($)]]/CleanedData[[#This Row],[Total Sales ($)]]</f>
        <v>0.19017863207226787</v>
      </c>
      <c r="Q1864" s="8" t="s">
        <v>52</v>
      </c>
      <c r="R1864" s="8" t="s">
        <v>63</v>
      </c>
      <c r="S1864" s="8" t="b">
        <f>_xlfn.SINGLE(CleanedData[[#This Row],[Delivery Status]])="Late"</f>
        <v>0</v>
      </c>
      <c r="T1864" s="10">
        <v>2</v>
      </c>
      <c r="U1864" s="8" t="s">
        <v>112</v>
      </c>
      <c r="V1864" s="10">
        <v>1756</v>
      </c>
      <c r="W1864" s="10">
        <v>6</v>
      </c>
      <c r="X1864" s="12">
        <v>1.54241645244215E-2</v>
      </c>
      <c r="Y1864" s="8" t="b">
        <f>CleanedData[[#This Row],[Ship Date]]&lt;CleanedData[[#This Row],[Order Date]]</f>
        <v>1</v>
      </c>
      <c r="Z1864" s="10">
        <f>YEAR(CleanedData[[#This Row],[Order Date]])</f>
        <v>2023</v>
      </c>
      <c r="AA1864" s="8">
        <f>MONTH(CleanedData[[#This Row],[Order Date]])</f>
        <v>11</v>
      </c>
    </row>
    <row r="1865" spans="1:27" x14ac:dyDescent="0.35">
      <c r="A1865" s="8" t="s">
        <v>4595</v>
      </c>
      <c r="B1865" s="9">
        <v>45270</v>
      </c>
      <c r="C1865" s="9">
        <v>45160</v>
      </c>
      <c r="D1865" s="8" t="s">
        <v>4596</v>
      </c>
      <c r="E1865" s="8" t="s">
        <v>48</v>
      </c>
      <c r="F1865" s="8" t="s">
        <v>223</v>
      </c>
      <c r="G1865" s="8" t="s">
        <v>93</v>
      </c>
      <c r="H1865" s="8" t="s">
        <v>485</v>
      </c>
      <c r="I1865" s="8" t="s">
        <v>4970</v>
      </c>
      <c r="J1865" s="10">
        <v>254</v>
      </c>
      <c r="K1865" s="11">
        <v>771.88</v>
      </c>
      <c r="L1865" s="11">
        <v>1013.86</v>
      </c>
      <c r="M1865" s="11">
        <v>257520.44</v>
      </c>
      <c r="N1865" s="11">
        <v>196057.52</v>
      </c>
      <c r="O1865" s="11">
        <f>CleanedData[[#This Row],[Total Sales ($)]]-CleanedData[[#This Row],[Total Cost ($)]]</f>
        <v>61462.920000000013</v>
      </c>
      <c r="P1865" s="12">
        <f>CleanedData[[#This Row],[Profit ($)]]/CleanedData[[#This Row],[Total Sales ($)]]</f>
        <v>0.23867200599688324</v>
      </c>
      <c r="Q1865" s="8" t="s">
        <v>52</v>
      </c>
      <c r="R1865" s="8" t="s">
        <v>32</v>
      </c>
      <c r="S1865" s="8" t="b">
        <f>_xlfn.SINGLE(CleanedData[[#This Row],[Delivery Status]])="Late"</f>
        <v>1</v>
      </c>
      <c r="T1865" s="10">
        <v>13</v>
      </c>
      <c r="U1865" s="8" t="s">
        <v>33</v>
      </c>
      <c r="V1865" s="10">
        <v>1236</v>
      </c>
      <c r="W1865" s="10">
        <v>2</v>
      </c>
      <c r="X1865" s="12">
        <v>7.8740157480314005E-3</v>
      </c>
      <c r="Y1865" s="8" t="b">
        <f>CleanedData[[#This Row],[Ship Date]]&lt;CleanedData[[#This Row],[Order Date]]</f>
        <v>1</v>
      </c>
      <c r="Z1865" s="10">
        <f>YEAR(CleanedData[[#This Row],[Order Date]])</f>
        <v>2023</v>
      </c>
      <c r="AA1865" s="8">
        <f>MONTH(CleanedData[[#This Row],[Order Date]])</f>
        <v>12</v>
      </c>
    </row>
    <row r="1866" spans="1:27" x14ac:dyDescent="0.35">
      <c r="A1866" s="8" t="s">
        <v>3627</v>
      </c>
      <c r="B1866" s="9">
        <v>44954</v>
      </c>
      <c r="C1866" s="9">
        <v>45120</v>
      </c>
      <c r="D1866" s="8" t="s">
        <v>3628</v>
      </c>
      <c r="E1866" s="8" t="s">
        <v>58</v>
      </c>
      <c r="F1866" s="8" t="s">
        <v>122</v>
      </c>
      <c r="G1866" s="8" t="s">
        <v>78</v>
      </c>
      <c r="H1866" s="8" t="s">
        <v>425</v>
      </c>
      <c r="I1866" s="8" t="s">
        <v>4968</v>
      </c>
      <c r="J1866" s="10">
        <v>375</v>
      </c>
      <c r="K1866" s="11">
        <v>540.20000000000005</v>
      </c>
      <c r="L1866" s="11">
        <v>615.83000000000004</v>
      </c>
      <c r="M1866" s="11">
        <v>230936.25</v>
      </c>
      <c r="N1866" s="11">
        <v>202575</v>
      </c>
      <c r="O1866" s="11">
        <f>CleanedData[[#This Row],[Total Sales ($)]]-CleanedData[[#This Row],[Total Cost ($)]]</f>
        <v>28361.25</v>
      </c>
      <c r="P1866" s="12">
        <f>CleanedData[[#This Row],[Profit ($)]]/CleanedData[[#This Row],[Total Sales ($)]]</f>
        <v>0.12280986635922252</v>
      </c>
      <c r="Q1866" s="8" t="s">
        <v>95</v>
      </c>
      <c r="R1866" s="8" t="s">
        <v>32</v>
      </c>
      <c r="S1866" s="8" t="b">
        <f>_xlfn.SINGLE(CleanedData[[#This Row],[Delivery Status]])="Late"</f>
        <v>1</v>
      </c>
      <c r="T1866" s="10">
        <v>12</v>
      </c>
      <c r="U1866" s="8" t="s">
        <v>33</v>
      </c>
      <c r="V1866" s="10">
        <v>1098</v>
      </c>
      <c r="W1866" s="10">
        <v>7</v>
      </c>
      <c r="X1866" s="12">
        <v>1.8666666666666599E-2</v>
      </c>
      <c r="Y1866" s="8" t="b">
        <f>CleanedData[[#This Row],[Ship Date]]&lt;CleanedData[[#This Row],[Order Date]]</f>
        <v>0</v>
      </c>
      <c r="Z1866" s="10">
        <f>YEAR(CleanedData[[#This Row],[Order Date]])</f>
        <v>2023</v>
      </c>
      <c r="AA1866" s="8">
        <f>MONTH(CleanedData[[#This Row],[Order Date]])</f>
        <v>1</v>
      </c>
    </row>
    <row r="1867" spans="1:27" x14ac:dyDescent="0.35">
      <c r="A1867" s="8" t="s">
        <v>4597</v>
      </c>
      <c r="B1867" s="9">
        <v>45285</v>
      </c>
      <c r="C1867" s="9">
        <v>44928</v>
      </c>
      <c r="D1867" s="8" t="s">
        <v>4598</v>
      </c>
      <c r="E1867" s="8" t="s">
        <v>68</v>
      </c>
      <c r="F1867" s="8" t="s">
        <v>276</v>
      </c>
      <c r="G1867" s="8" t="s">
        <v>217</v>
      </c>
      <c r="H1867" s="8" t="s">
        <v>292</v>
      </c>
      <c r="I1867" s="8" t="s">
        <v>4967</v>
      </c>
      <c r="J1867" s="10">
        <v>224</v>
      </c>
      <c r="K1867" s="11">
        <v>555.75</v>
      </c>
      <c r="L1867" s="11">
        <v>838.74</v>
      </c>
      <c r="M1867" s="11">
        <v>187877.76000000001</v>
      </c>
      <c r="N1867" s="11">
        <v>124488</v>
      </c>
      <c r="O1867" s="11">
        <f>CleanedData[[#This Row],[Total Sales ($)]]-CleanedData[[#This Row],[Total Cost ($)]]</f>
        <v>63389.760000000009</v>
      </c>
      <c r="P1867" s="12">
        <f>CleanedData[[#This Row],[Profit ($)]]/CleanedData[[#This Row],[Total Sales ($)]]</f>
        <v>0.33739895557622152</v>
      </c>
      <c r="Q1867" s="8" t="s">
        <v>31</v>
      </c>
      <c r="R1867" s="8" t="s">
        <v>32</v>
      </c>
      <c r="S1867" s="8" t="b">
        <f>_xlfn.SINGLE(CleanedData[[#This Row],[Delivery Status]])="Late"</f>
        <v>1</v>
      </c>
      <c r="T1867" s="10">
        <v>11</v>
      </c>
      <c r="U1867" s="8" t="s">
        <v>33</v>
      </c>
      <c r="V1867" s="10">
        <v>2092</v>
      </c>
      <c r="W1867" s="10">
        <v>6</v>
      </c>
      <c r="X1867" s="12">
        <v>2.6785714285714201E-2</v>
      </c>
      <c r="Y1867" s="8" t="b">
        <f>CleanedData[[#This Row],[Ship Date]]&lt;CleanedData[[#This Row],[Order Date]]</f>
        <v>1</v>
      </c>
      <c r="Z1867" s="10">
        <f>YEAR(CleanedData[[#This Row],[Order Date]])</f>
        <v>2023</v>
      </c>
      <c r="AA1867" s="8">
        <f>MONTH(CleanedData[[#This Row],[Order Date]])</f>
        <v>12</v>
      </c>
    </row>
    <row r="1868" spans="1:27" x14ac:dyDescent="0.35">
      <c r="A1868" s="8" t="s">
        <v>4599</v>
      </c>
      <c r="B1868" s="9">
        <v>45057</v>
      </c>
      <c r="C1868" s="9">
        <v>44985</v>
      </c>
      <c r="D1868" s="8" t="s">
        <v>4600</v>
      </c>
      <c r="E1868" s="8" t="s">
        <v>48</v>
      </c>
      <c r="F1868" s="8" t="s">
        <v>223</v>
      </c>
      <c r="G1868" s="8" t="s">
        <v>60</v>
      </c>
      <c r="H1868" s="8" t="s">
        <v>61</v>
      </c>
      <c r="I1868" s="8" t="s">
        <v>4975</v>
      </c>
      <c r="J1868" s="10">
        <v>495</v>
      </c>
      <c r="K1868" s="11">
        <v>869.85</v>
      </c>
      <c r="L1868" s="11">
        <v>1281.1500000000001</v>
      </c>
      <c r="M1868" s="11">
        <v>634169.25</v>
      </c>
      <c r="N1868" s="11">
        <v>430575.75</v>
      </c>
      <c r="O1868" s="11">
        <f>CleanedData[[#This Row],[Total Sales ($)]]-CleanedData[[#This Row],[Total Cost ($)]]</f>
        <v>203593.5</v>
      </c>
      <c r="P1868" s="12">
        <f>CleanedData[[#This Row],[Profit ($)]]/CleanedData[[#This Row],[Total Sales ($)]]</f>
        <v>0.32103969090270462</v>
      </c>
      <c r="Q1868" s="8" t="s">
        <v>95</v>
      </c>
      <c r="R1868" s="8" t="s">
        <v>32</v>
      </c>
      <c r="S1868" s="8" t="b">
        <f>_xlfn.SINGLE(CleanedData[[#This Row],[Delivery Status]])="Late"</f>
        <v>1</v>
      </c>
      <c r="T1868" s="10">
        <v>-1</v>
      </c>
      <c r="U1868" s="8" t="s">
        <v>86</v>
      </c>
      <c r="V1868" s="10">
        <v>4565</v>
      </c>
      <c r="W1868" s="10">
        <v>22</v>
      </c>
      <c r="X1868" s="12">
        <v>4.4444444444444398E-2</v>
      </c>
      <c r="Y1868" s="8" t="b">
        <f>CleanedData[[#This Row],[Ship Date]]&lt;CleanedData[[#This Row],[Order Date]]</f>
        <v>1</v>
      </c>
      <c r="Z1868" s="10">
        <f>YEAR(CleanedData[[#This Row],[Order Date]])</f>
        <v>2023</v>
      </c>
      <c r="AA1868" s="8">
        <f>MONTH(CleanedData[[#This Row],[Order Date]])</f>
        <v>5</v>
      </c>
    </row>
    <row r="1869" spans="1:27" x14ac:dyDescent="0.35">
      <c r="A1869" s="8" t="s">
        <v>4601</v>
      </c>
      <c r="B1869" s="9">
        <v>44975</v>
      </c>
      <c r="C1869" s="9">
        <v>45001</v>
      </c>
      <c r="D1869" s="8" t="s">
        <v>4602</v>
      </c>
      <c r="E1869" s="8" t="s">
        <v>48</v>
      </c>
      <c r="F1869" s="8" t="s">
        <v>223</v>
      </c>
      <c r="G1869" s="8" t="s">
        <v>50</v>
      </c>
      <c r="H1869" s="8" t="s">
        <v>173</v>
      </c>
      <c r="I1869" s="8" t="s">
        <v>4974</v>
      </c>
      <c r="J1869" s="10">
        <v>97</v>
      </c>
      <c r="K1869" s="11">
        <v>0</v>
      </c>
      <c r="L1869" s="11">
        <v>1235.5899999999999</v>
      </c>
      <c r="M1869" s="11">
        <v>119852.23</v>
      </c>
      <c r="N1869" s="11">
        <v>89919</v>
      </c>
      <c r="O1869" s="11">
        <f>CleanedData[[#This Row],[Total Sales ($)]]-CleanedData[[#This Row],[Total Cost ($)]]</f>
        <v>29933.229999999996</v>
      </c>
      <c r="P1869" s="12">
        <f>CleanedData[[#This Row],[Profit ($)]]/CleanedData[[#This Row],[Total Sales ($)]]</f>
        <v>0.2497511310386131</v>
      </c>
      <c r="Q1869" s="8" t="s">
        <v>95</v>
      </c>
      <c r="R1869" s="8" t="s">
        <v>63</v>
      </c>
      <c r="S1869" s="8" t="b">
        <f>_xlfn.SINGLE(CleanedData[[#This Row],[Delivery Status]])="Late"</f>
        <v>0</v>
      </c>
      <c r="T1869" s="10">
        <v>3</v>
      </c>
      <c r="U1869" s="8" t="s">
        <v>43</v>
      </c>
      <c r="V1869" s="10">
        <v>2424</v>
      </c>
      <c r="W1869" s="10">
        <v>4</v>
      </c>
      <c r="X1869" s="12">
        <v>4.1237113402061799E-2</v>
      </c>
      <c r="Y1869" s="8" t="b">
        <f>CleanedData[[#This Row],[Ship Date]]&lt;CleanedData[[#This Row],[Order Date]]</f>
        <v>0</v>
      </c>
      <c r="Z1869" s="10">
        <f>YEAR(CleanedData[[#This Row],[Order Date]])</f>
        <v>2023</v>
      </c>
      <c r="AA1869" s="8">
        <f>MONTH(CleanedData[[#This Row],[Order Date]])</f>
        <v>2</v>
      </c>
    </row>
    <row r="1870" spans="1:27" x14ac:dyDescent="0.35">
      <c r="A1870" s="8" t="s">
        <v>4603</v>
      </c>
      <c r="B1870" s="9">
        <v>45196</v>
      </c>
      <c r="C1870" s="9">
        <v>45154</v>
      </c>
      <c r="D1870" s="8" t="s">
        <v>4604</v>
      </c>
      <c r="E1870" s="8" t="s">
        <v>48</v>
      </c>
      <c r="F1870" s="8" t="s">
        <v>183</v>
      </c>
      <c r="G1870" s="8" t="s">
        <v>70</v>
      </c>
      <c r="H1870" s="8" t="s">
        <v>71</v>
      </c>
      <c r="I1870" s="8" t="s">
        <v>4974</v>
      </c>
      <c r="J1870" s="10">
        <v>295</v>
      </c>
      <c r="K1870" s="11">
        <v>639.29</v>
      </c>
      <c r="L1870" s="11">
        <v>942.42</v>
      </c>
      <c r="M1870" s="11">
        <v>278013.90000000002</v>
      </c>
      <c r="N1870" s="11">
        <v>188590.55</v>
      </c>
      <c r="O1870" s="11">
        <f>CleanedData[[#This Row],[Total Sales ($)]]-CleanedData[[#This Row],[Total Cost ($)]]</f>
        <v>89423.350000000035</v>
      </c>
      <c r="P1870" s="12">
        <f>CleanedData[[#This Row],[Profit ($)]]/CleanedData[[#This Row],[Total Sales ($)]]</f>
        <v>0.32165064408650079</v>
      </c>
      <c r="Q1870" s="8" t="s">
        <v>31</v>
      </c>
      <c r="R1870" s="8" t="s">
        <v>63</v>
      </c>
      <c r="S1870" s="8" t="b">
        <f>_xlfn.SINGLE(CleanedData[[#This Row],[Delivery Status]])="Late"</f>
        <v>0</v>
      </c>
      <c r="T1870" s="10">
        <v>5</v>
      </c>
      <c r="U1870" s="8" t="s">
        <v>53</v>
      </c>
      <c r="V1870" s="10">
        <v>3007</v>
      </c>
      <c r="W1870" s="10">
        <v>5</v>
      </c>
      <c r="X1870" s="12">
        <v>1.6949152542372801E-2</v>
      </c>
      <c r="Y1870" s="8" t="b">
        <f>CleanedData[[#This Row],[Ship Date]]&lt;CleanedData[[#This Row],[Order Date]]</f>
        <v>1</v>
      </c>
      <c r="Z1870" s="10">
        <f>YEAR(CleanedData[[#This Row],[Order Date]])</f>
        <v>2023</v>
      </c>
      <c r="AA1870" s="8">
        <f>MONTH(CleanedData[[#This Row],[Order Date]])</f>
        <v>9</v>
      </c>
    </row>
    <row r="1871" spans="1:27" x14ac:dyDescent="0.35">
      <c r="A1871" s="8" t="s">
        <v>4605</v>
      </c>
      <c r="B1871" s="9">
        <v>45158</v>
      </c>
      <c r="C1871" s="9">
        <v>45022</v>
      </c>
      <c r="D1871" s="8" t="s">
        <v>4606</v>
      </c>
      <c r="E1871" s="8" t="s">
        <v>58</v>
      </c>
      <c r="F1871" s="8" t="s">
        <v>122</v>
      </c>
      <c r="G1871" s="8" t="s">
        <v>50</v>
      </c>
      <c r="H1871" s="8" t="s">
        <v>51</v>
      </c>
      <c r="I1871" s="8" t="s">
        <v>4967</v>
      </c>
      <c r="J1871" s="10">
        <v>163</v>
      </c>
      <c r="K1871" s="11">
        <v>1036.02</v>
      </c>
      <c r="L1871" s="11">
        <v>1188.24</v>
      </c>
      <c r="M1871" s="11">
        <v>193683.12</v>
      </c>
      <c r="N1871" s="11">
        <v>168871.26</v>
      </c>
      <c r="O1871" s="11">
        <f>CleanedData[[#This Row],[Total Sales ($)]]-CleanedData[[#This Row],[Total Cost ($)]]</f>
        <v>24811.859999999986</v>
      </c>
      <c r="P1871" s="12">
        <f>CleanedData[[#This Row],[Profit ($)]]/CleanedData[[#This Row],[Total Sales ($)]]</f>
        <v>0.12810543324580886</v>
      </c>
      <c r="Q1871" s="8" t="s">
        <v>42</v>
      </c>
      <c r="R1871" s="8" t="s">
        <v>32</v>
      </c>
      <c r="S1871" s="8" t="b">
        <f>_xlfn.SINGLE(CleanedData[[#This Row],[Delivery Status]])="Late"</f>
        <v>1</v>
      </c>
      <c r="T1871" s="10">
        <v>7</v>
      </c>
      <c r="U1871" s="8" t="s">
        <v>53</v>
      </c>
      <c r="V1871" s="10">
        <v>1746</v>
      </c>
      <c r="W1871" s="10">
        <v>8</v>
      </c>
      <c r="X1871" s="12">
        <v>4.9079754601226898E-2</v>
      </c>
      <c r="Y1871" s="8" t="b">
        <f>CleanedData[[#This Row],[Ship Date]]&lt;CleanedData[[#This Row],[Order Date]]</f>
        <v>1</v>
      </c>
      <c r="Z1871" s="10">
        <f>YEAR(CleanedData[[#This Row],[Order Date]])</f>
        <v>2023</v>
      </c>
      <c r="AA1871" s="8">
        <f>MONTH(CleanedData[[#This Row],[Order Date]])</f>
        <v>8</v>
      </c>
    </row>
    <row r="1872" spans="1:27" x14ac:dyDescent="0.35">
      <c r="A1872" s="8" t="s">
        <v>4607</v>
      </c>
      <c r="B1872" s="9">
        <v>45249</v>
      </c>
      <c r="C1872" s="9">
        <v>45139</v>
      </c>
      <c r="D1872" s="8" t="s">
        <v>4111</v>
      </c>
      <c r="E1872" s="8" t="s">
        <v>68</v>
      </c>
      <c r="F1872" s="8" t="s">
        <v>249</v>
      </c>
      <c r="G1872" s="8" t="s">
        <v>70</v>
      </c>
      <c r="H1872" s="8" t="s">
        <v>623</v>
      </c>
      <c r="I1872" s="8" t="s">
        <v>4967</v>
      </c>
      <c r="J1872" s="10">
        <v>591</v>
      </c>
      <c r="K1872" s="11">
        <v>18.14</v>
      </c>
      <c r="L1872" s="11">
        <v>21.68</v>
      </c>
      <c r="M1872" s="11">
        <v>12812.88</v>
      </c>
      <c r="N1872" s="11">
        <v>10720.74</v>
      </c>
      <c r="O1872" s="11">
        <f>CleanedData[[#This Row],[Total Sales ($)]]-CleanedData[[#This Row],[Total Cost ($)]]</f>
        <v>2092.1399999999994</v>
      </c>
      <c r="P1872" s="12">
        <f>CleanedData[[#This Row],[Profit ($)]]/CleanedData[[#This Row],[Total Sales ($)]]</f>
        <v>0.16328413284132837</v>
      </c>
      <c r="Q1872" s="8" t="s">
        <v>42</v>
      </c>
      <c r="R1872" s="8" t="s">
        <v>32</v>
      </c>
      <c r="S1872" s="8" t="b">
        <f>_xlfn.SINGLE(CleanedData[[#This Row],[Delivery Status]])="Late"</f>
        <v>1</v>
      </c>
      <c r="T1872" s="10">
        <v>10</v>
      </c>
      <c r="U1872" s="8" t="s">
        <v>33</v>
      </c>
      <c r="V1872" s="10">
        <v>2341</v>
      </c>
      <c r="W1872" s="10">
        <v>26</v>
      </c>
      <c r="X1872" s="12">
        <v>4.3993231810490599E-2</v>
      </c>
      <c r="Y1872" s="8" t="b">
        <f>CleanedData[[#This Row],[Ship Date]]&lt;CleanedData[[#This Row],[Order Date]]</f>
        <v>1</v>
      </c>
      <c r="Z1872" s="10">
        <f>YEAR(CleanedData[[#This Row],[Order Date]])</f>
        <v>2023</v>
      </c>
      <c r="AA1872" s="8">
        <f>MONTH(CleanedData[[#This Row],[Order Date]])</f>
        <v>11</v>
      </c>
    </row>
    <row r="1873" spans="1:27" x14ac:dyDescent="0.35">
      <c r="A1873" s="8" t="s">
        <v>4608</v>
      </c>
      <c r="B1873" s="9">
        <v>44988</v>
      </c>
      <c r="C1873" s="9">
        <v>45151</v>
      </c>
      <c r="D1873" s="8" t="s">
        <v>4609</v>
      </c>
      <c r="E1873" s="8" t="s">
        <v>26</v>
      </c>
      <c r="F1873" s="8" t="s">
        <v>228</v>
      </c>
      <c r="G1873" s="8" t="s">
        <v>39</v>
      </c>
      <c r="H1873" s="8" t="s">
        <v>412</v>
      </c>
      <c r="I1873" s="8" t="s">
        <v>4968</v>
      </c>
      <c r="J1873" s="10">
        <v>464</v>
      </c>
      <c r="K1873" s="11">
        <v>633.16999999999996</v>
      </c>
      <c r="L1873" s="11">
        <v>793.98</v>
      </c>
      <c r="M1873" s="11">
        <v>368406.72</v>
      </c>
      <c r="N1873" s="11">
        <v>293790.88</v>
      </c>
      <c r="O1873" s="11">
        <f>CleanedData[[#This Row],[Total Sales ($)]]-CleanedData[[#This Row],[Total Cost ($)]]</f>
        <v>74615.839999999967</v>
      </c>
      <c r="P1873" s="12">
        <f>CleanedData[[#This Row],[Profit ($)]]/CleanedData[[#This Row],[Total Sales ($)]]</f>
        <v>0.20253658782337081</v>
      </c>
      <c r="Q1873" s="8" t="s">
        <v>95</v>
      </c>
      <c r="R1873" s="8" t="s">
        <v>32</v>
      </c>
      <c r="S1873" s="8" t="b">
        <f>_xlfn.SINGLE(CleanedData[[#This Row],[Delivery Status]])="Late"</f>
        <v>1</v>
      </c>
      <c r="T1873" s="10">
        <v>10</v>
      </c>
      <c r="U1873" s="8" t="s">
        <v>158</v>
      </c>
      <c r="V1873" s="10">
        <v>2802</v>
      </c>
      <c r="W1873" s="10">
        <v>12</v>
      </c>
      <c r="X1873" s="12">
        <v>2.5862068965517199E-2</v>
      </c>
      <c r="Y1873" s="8" t="b">
        <f>CleanedData[[#This Row],[Ship Date]]&lt;CleanedData[[#This Row],[Order Date]]</f>
        <v>0</v>
      </c>
      <c r="Z1873" s="10">
        <f>YEAR(CleanedData[[#This Row],[Order Date]])</f>
        <v>2023</v>
      </c>
      <c r="AA1873" s="8">
        <f>MONTH(CleanedData[[#This Row],[Order Date]])</f>
        <v>3</v>
      </c>
    </row>
    <row r="1874" spans="1:27" x14ac:dyDescent="0.35">
      <c r="A1874" s="8" t="s">
        <v>4610</v>
      </c>
      <c r="B1874" s="9">
        <v>45377</v>
      </c>
      <c r="C1874" s="9">
        <v>45369</v>
      </c>
      <c r="D1874" s="8" t="s">
        <v>4611</v>
      </c>
      <c r="E1874" s="8" t="s">
        <v>100</v>
      </c>
      <c r="F1874" s="8" t="s">
        <v>238</v>
      </c>
      <c r="G1874" s="8" t="s">
        <v>50</v>
      </c>
      <c r="H1874" s="8" t="s">
        <v>734</v>
      </c>
      <c r="I1874" s="8" t="s">
        <v>4969</v>
      </c>
      <c r="J1874" s="10">
        <v>327</v>
      </c>
      <c r="K1874" s="11">
        <v>110.55</v>
      </c>
      <c r="L1874" s="11">
        <v>180.11</v>
      </c>
      <c r="M1874" s="11">
        <v>58895.97</v>
      </c>
      <c r="N1874" s="11">
        <v>36149.85</v>
      </c>
      <c r="O1874" s="11">
        <f>CleanedData[[#This Row],[Total Sales ($)]]-CleanedData[[#This Row],[Total Cost ($)]]</f>
        <v>22746.120000000003</v>
      </c>
      <c r="P1874" s="12">
        <f>CleanedData[[#This Row],[Profit ($)]]/CleanedData[[#This Row],[Total Sales ($)]]</f>
        <v>0.38620842818277723</v>
      </c>
      <c r="Q1874" s="8" t="s">
        <v>52</v>
      </c>
      <c r="R1874" s="8" t="s">
        <v>32</v>
      </c>
      <c r="S1874" s="8" t="b">
        <f>_xlfn.SINGLE(CleanedData[[#This Row],[Delivery Status]])="Late"</f>
        <v>1</v>
      </c>
      <c r="T1874" s="10">
        <v>11</v>
      </c>
      <c r="U1874" s="8" t="s">
        <v>43</v>
      </c>
      <c r="V1874" s="10">
        <v>91</v>
      </c>
      <c r="W1874" s="10">
        <v>9</v>
      </c>
      <c r="X1874" s="12">
        <v>2.7522935779816501E-2</v>
      </c>
      <c r="Y1874" s="8" t="b">
        <f>CleanedData[[#This Row],[Ship Date]]&lt;CleanedData[[#This Row],[Order Date]]</f>
        <v>1</v>
      </c>
      <c r="Z1874" s="10">
        <f>YEAR(CleanedData[[#This Row],[Order Date]])</f>
        <v>2024</v>
      </c>
      <c r="AA1874" s="8">
        <f>MONTH(CleanedData[[#This Row],[Order Date]])</f>
        <v>3</v>
      </c>
    </row>
    <row r="1875" spans="1:27" x14ac:dyDescent="0.35">
      <c r="A1875" s="8" t="s">
        <v>4612</v>
      </c>
      <c r="B1875" s="9">
        <v>44998</v>
      </c>
      <c r="C1875" s="9">
        <v>45172</v>
      </c>
      <c r="D1875" s="8" t="s">
        <v>4613</v>
      </c>
      <c r="E1875" s="8" t="s">
        <v>58</v>
      </c>
      <c r="F1875" s="8" t="s">
        <v>59</v>
      </c>
      <c r="G1875" s="8" t="s">
        <v>93</v>
      </c>
      <c r="H1875" s="8" t="s">
        <v>94</v>
      </c>
      <c r="I1875" s="8" t="s">
        <v>4973</v>
      </c>
      <c r="J1875" s="10">
        <v>268</v>
      </c>
      <c r="K1875" s="11">
        <v>550.59</v>
      </c>
      <c r="L1875" s="11">
        <v>872.3</v>
      </c>
      <c r="M1875" s="11">
        <v>233776.4</v>
      </c>
      <c r="N1875" s="11">
        <v>147558.12</v>
      </c>
      <c r="O1875" s="11">
        <f>CleanedData[[#This Row],[Total Sales ($)]]-CleanedData[[#This Row],[Total Cost ($)]]</f>
        <v>86218.28</v>
      </c>
      <c r="P1875" s="12">
        <f>CleanedData[[#This Row],[Profit ($)]]/CleanedData[[#This Row],[Total Sales ($)]]</f>
        <v>0.36880660323283276</v>
      </c>
      <c r="Q1875" s="8" t="s">
        <v>52</v>
      </c>
      <c r="R1875" s="8" t="s">
        <v>63</v>
      </c>
      <c r="S1875" s="8" t="b">
        <f>_xlfn.SINGLE(CleanedData[[#This Row],[Delivery Status]])="Late"</f>
        <v>0</v>
      </c>
      <c r="T1875" s="10">
        <v>3</v>
      </c>
      <c r="U1875" s="8" t="s">
        <v>112</v>
      </c>
      <c r="V1875" s="10">
        <v>1683</v>
      </c>
      <c r="W1875" s="10">
        <v>13</v>
      </c>
      <c r="X1875" s="12">
        <v>4.8507462686567103E-2</v>
      </c>
      <c r="Y1875" s="8" t="b">
        <f>CleanedData[[#This Row],[Ship Date]]&lt;CleanedData[[#This Row],[Order Date]]</f>
        <v>0</v>
      </c>
      <c r="Z1875" s="10">
        <f>YEAR(CleanedData[[#This Row],[Order Date]])</f>
        <v>2023</v>
      </c>
      <c r="AA1875" s="8">
        <f>MONTH(CleanedData[[#This Row],[Order Date]])</f>
        <v>3</v>
      </c>
    </row>
    <row r="1876" spans="1:27" x14ac:dyDescent="0.35">
      <c r="A1876" s="8" t="s">
        <v>4614</v>
      </c>
      <c r="B1876" s="9">
        <v>45018</v>
      </c>
      <c r="C1876" s="9">
        <v>45115</v>
      </c>
      <c r="D1876" s="8" t="s">
        <v>4615</v>
      </c>
      <c r="E1876" s="8" t="s">
        <v>100</v>
      </c>
      <c r="F1876" s="8" t="s">
        <v>101</v>
      </c>
      <c r="G1876" s="8" t="s">
        <v>189</v>
      </c>
      <c r="H1876" s="8" t="s">
        <v>190</v>
      </c>
      <c r="I1876" s="8" t="s">
        <v>4968</v>
      </c>
      <c r="J1876" s="10">
        <v>629</v>
      </c>
      <c r="K1876" s="11">
        <v>865.36</v>
      </c>
      <c r="L1876" s="11">
        <v>1082.54</v>
      </c>
      <c r="M1876" s="11">
        <v>680917.66</v>
      </c>
      <c r="N1876" s="11">
        <v>544311.43999999994</v>
      </c>
      <c r="O1876" s="11">
        <f>CleanedData[[#This Row],[Total Sales ($)]]-CleanedData[[#This Row],[Total Cost ($)]]</f>
        <v>136606.22000000009</v>
      </c>
      <c r="P1876" s="12">
        <f>CleanedData[[#This Row],[Profit ($)]]/CleanedData[[#This Row],[Total Sales ($)]]</f>
        <v>0.20062076228130152</v>
      </c>
      <c r="Q1876" s="8" t="s">
        <v>31</v>
      </c>
      <c r="R1876" s="8" t="s">
        <v>32</v>
      </c>
      <c r="S1876" s="8" t="b">
        <f>_xlfn.SINGLE(CleanedData[[#This Row],[Delivery Status]])="Late"</f>
        <v>1</v>
      </c>
      <c r="T1876" s="10">
        <v>8</v>
      </c>
      <c r="U1876" s="8" t="s">
        <v>33</v>
      </c>
      <c r="V1876" s="10">
        <v>3115</v>
      </c>
      <c r="W1876" s="10">
        <v>28</v>
      </c>
      <c r="X1876" s="12">
        <v>4.4515103338632699E-2</v>
      </c>
      <c r="Y1876" s="8" t="b">
        <f>CleanedData[[#This Row],[Ship Date]]&lt;CleanedData[[#This Row],[Order Date]]</f>
        <v>0</v>
      </c>
      <c r="Z1876" s="10">
        <f>YEAR(CleanedData[[#This Row],[Order Date]])</f>
        <v>2023</v>
      </c>
      <c r="AA1876" s="8">
        <f>MONTH(CleanedData[[#This Row],[Order Date]])</f>
        <v>4</v>
      </c>
    </row>
    <row r="1877" spans="1:27" x14ac:dyDescent="0.35">
      <c r="A1877" s="8" t="s">
        <v>4616</v>
      </c>
      <c r="B1877" s="9">
        <v>45268</v>
      </c>
      <c r="C1877" s="9">
        <v>44945</v>
      </c>
      <c r="D1877" s="8" t="s">
        <v>4617</v>
      </c>
      <c r="E1877" s="8" t="s">
        <v>26</v>
      </c>
      <c r="F1877" s="8" t="s">
        <v>77</v>
      </c>
      <c r="G1877" s="8" t="s">
        <v>129</v>
      </c>
      <c r="H1877" s="8" t="s">
        <v>345</v>
      </c>
      <c r="I1877" s="8" t="s">
        <v>4978</v>
      </c>
      <c r="J1877" s="10">
        <v>734</v>
      </c>
      <c r="K1877" s="11">
        <v>690.25</v>
      </c>
      <c r="L1877" s="11"/>
      <c r="M1877" s="11">
        <v>691883.08</v>
      </c>
      <c r="N1877" s="11">
        <v>506643.5</v>
      </c>
      <c r="O1877" s="11">
        <f>CleanedData[[#This Row],[Total Sales ($)]]-CleanedData[[#This Row],[Total Cost ($)]]</f>
        <v>185239.57999999996</v>
      </c>
      <c r="P1877" s="12">
        <f>CleanedData[[#This Row],[Profit ($)]]/CleanedData[[#This Row],[Total Sales ($)]]</f>
        <v>0.26773249029301305</v>
      </c>
      <c r="Q1877" s="8" t="s">
        <v>31</v>
      </c>
      <c r="R1877" s="8" t="s">
        <v>32</v>
      </c>
      <c r="S1877" s="8" t="b">
        <f>_xlfn.SINGLE(CleanedData[[#This Row],[Delivery Status]])="Late"</f>
        <v>1</v>
      </c>
      <c r="T1877" s="10">
        <v>12</v>
      </c>
      <c r="U1877" s="8" t="s">
        <v>158</v>
      </c>
      <c r="V1877" s="10">
        <v>734</v>
      </c>
      <c r="W1877" s="10">
        <v>26</v>
      </c>
      <c r="X1877" s="12">
        <v>3.5422343324250601E-2</v>
      </c>
      <c r="Y1877" s="8" t="b">
        <f>CleanedData[[#This Row],[Ship Date]]&lt;CleanedData[[#This Row],[Order Date]]</f>
        <v>1</v>
      </c>
      <c r="Z1877" s="10">
        <f>YEAR(CleanedData[[#This Row],[Order Date]])</f>
        <v>2023</v>
      </c>
      <c r="AA1877" s="8">
        <f>MONTH(CleanedData[[#This Row],[Order Date]])</f>
        <v>12</v>
      </c>
    </row>
    <row r="1878" spans="1:27" x14ac:dyDescent="0.35">
      <c r="A1878" s="8" t="s">
        <v>4618</v>
      </c>
      <c r="B1878" s="9">
        <v>45624</v>
      </c>
      <c r="C1878" s="9">
        <v>45329</v>
      </c>
      <c r="D1878" s="8" t="s">
        <v>4619</v>
      </c>
      <c r="E1878" s="8" t="s">
        <v>58</v>
      </c>
      <c r="F1878" s="8" t="s">
        <v>116</v>
      </c>
      <c r="G1878" s="8" t="s">
        <v>70</v>
      </c>
      <c r="H1878" s="8" t="s">
        <v>239</v>
      </c>
      <c r="I1878" s="8" t="s">
        <v>4978</v>
      </c>
      <c r="J1878" s="10">
        <v>261</v>
      </c>
      <c r="K1878" s="11">
        <v>7.95</v>
      </c>
      <c r="L1878" s="11">
        <v>12.26</v>
      </c>
      <c r="M1878" s="11">
        <v>3199.86</v>
      </c>
      <c r="N1878" s="11">
        <v>2074.9499999999998</v>
      </c>
      <c r="O1878" s="11">
        <f>CleanedData[[#This Row],[Total Sales ($)]]-CleanedData[[#This Row],[Total Cost ($)]]</f>
        <v>1124.9100000000003</v>
      </c>
      <c r="P1878" s="12">
        <f>CleanedData[[#This Row],[Profit ($)]]/CleanedData[[#This Row],[Total Sales ($)]]</f>
        <v>0.35154975530179455</v>
      </c>
      <c r="Q1878" s="8" t="s">
        <v>95</v>
      </c>
      <c r="R1878" s="8" t="s">
        <v>32</v>
      </c>
      <c r="S1878" s="8" t="b">
        <f>_xlfn.SINGLE(CleanedData[[#This Row],[Delivery Status]])="Late"</f>
        <v>1</v>
      </c>
      <c r="T1878" s="10">
        <v>9</v>
      </c>
      <c r="U1878" s="8" t="s">
        <v>158</v>
      </c>
      <c r="V1878" s="10">
        <v>3610</v>
      </c>
      <c r="W1878" s="10">
        <v>11</v>
      </c>
      <c r="X1878" s="12">
        <v>4.2145593869731802E-2</v>
      </c>
      <c r="Y1878" s="8" t="b">
        <f>CleanedData[[#This Row],[Ship Date]]&lt;CleanedData[[#This Row],[Order Date]]</f>
        <v>1</v>
      </c>
      <c r="Z1878" s="10">
        <f>YEAR(CleanedData[[#This Row],[Order Date]])</f>
        <v>2024</v>
      </c>
      <c r="AA1878" s="8">
        <f>MONTH(CleanedData[[#This Row],[Order Date]])</f>
        <v>11</v>
      </c>
    </row>
    <row r="1879" spans="1:27" x14ac:dyDescent="0.35">
      <c r="A1879" s="8" t="s">
        <v>4620</v>
      </c>
      <c r="B1879" s="9">
        <v>44938</v>
      </c>
      <c r="C1879" s="9">
        <v>44938</v>
      </c>
      <c r="D1879" s="8" t="s">
        <v>4621</v>
      </c>
      <c r="E1879" s="8" t="s">
        <v>58</v>
      </c>
      <c r="F1879" s="8" t="s">
        <v>116</v>
      </c>
      <c r="G1879" s="8" t="s">
        <v>28</v>
      </c>
      <c r="H1879" s="8" t="s">
        <v>111</v>
      </c>
      <c r="I1879" s="8" t="s">
        <v>4970</v>
      </c>
      <c r="J1879" s="10">
        <v>519</v>
      </c>
      <c r="K1879" s="11">
        <v>51.7</v>
      </c>
      <c r="L1879" s="11">
        <v>74.569999999999993</v>
      </c>
      <c r="M1879" s="11">
        <v>38701.83</v>
      </c>
      <c r="N1879" s="11">
        <v>26832.3</v>
      </c>
      <c r="O1879" s="11">
        <f>CleanedData[[#This Row],[Total Sales ($)]]-CleanedData[[#This Row],[Total Cost ($)]]</f>
        <v>11869.530000000002</v>
      </c>
      <c r="P1879" s="12">
        <f>CleanedData[[#This Row],[Profit ($)]]/CleanedData[[#This Row],[Total Sales ($)]]</f>
        <v>0.30669169907469496</v>
      </c>
      <c r="Q1879" s="8" t="s">
        <v>31</v>
      </c>
      <c r="R1879" s="8" t="s">
        <v>32</v>
      </c>
      <c r="S1879" s="8" t="b">
        <f>_xlfn.SINGLE(CleanedData[[#This Row],[Delivery Status]])="Late"</f>
        <v>1</v>
      </c>
      <c r="T1879" s="10">
        <v>15</v>
      </c>
      <c r="U1879" s="8" t="s">
        <v>33</v>
      </c>
      <c r="V1879" s="10">
        <v>1062</v>
      </c>
      <c r="W1879" s="10">
        <v>25</v>
      </c>
      <c r="X1879" s="12">
        <v>4.8169556840077003E-2</v>
      </c>
      <c r="Y1879" s="8" t="b">
        <f>CleanedData[[#This Row],[Ship Date]]&lt;CleanedData[[#This Row],[Order Date]]</f>
        <v>0</v>
      </c>
      <c r="Z1879" s="10">
        <f>YEAR(CleanedData[[#This Row],[Order Date]])</f>
        <v>2023</v>
      </c>
      <c r="AA1879" s="8">
        <f>MONTH(CleanedData[[#This Row],[Order Date]])</f>
        <v>1</v>
      </c>
    </row>
    <row r="1880" spans="1:27" x14ac:dyDescent="0.35">
      <c r="A1880" s="8" t="s">
        <v>4622</v>
      </c>
      <c r="B1880" s="9">
        <v>44998</v>
      </c>
      <c r="C1880" s="9">
        <v>45195</v>
      </c>
      <c r="D1880" s="8" t="s">
        <v>4625</v>
      </c>
      <c r="E1880" s="8" t="s">
        <v>68</v>
      </c>
      <c r="F1880" s="8" t="s">
        <v>276</v>
      </c>
      <c r="G1880" s="8" t="s">
        <v>93</v>
      </c>
      <c r="H1880" s="8" t="s">
        <v>184</v>
      </c>
      <c r="I1880" s="8" t="s">
        <v>4979</v>
      </c>
      <c r="J1880" s="10">
        <v>723</v>
      </c>
      <c r="K1880" s="11">
        <v>1141.5899999999999</v>
      </c>
      <c r="L1880" s="11">
        <v>1342.23</v>
      </c>
      <c r="M1880" s="11">
        <v>970432.29</v>
      </c>
      <c r="N1880" s="11">
        <v>825369.57</v>
      </c>
      <c r="O1880" s="11">
        <f>CleanedData[[#This Row],[Total Sales ($)]]-CleanedData[[#This Row],[Total Cost ($)]]</f>
        <v>145062.72000000009</v>
      </c>
      <c r="P1880" s="12">
        <f>CleanedData[[#This Row],[Profit ($)]]/CleanedData[[#This Row],[Total Sales ($)]]</f>
        <v>0.14948257750162053</v>
      </c>
      <c r="Q1880" s="8" t="s">
        <v>31</v>
      </c>
      <c r="R1880" s="8" t="s">
        <v>32</v>
      </c>
      <c r="S1880" s="8" t="b">
        <f>_xlfn.SINGLE(CleanedData[[#This Row],[Delivery Status]])="Late"</f>
        <v>1</v>
      </c>
      <c r="T1880" s="10">
        <v>15</v>
      </c>
      <c r="U1880" s="8" t="s">
        <v>112</v>
      </c>
      <c r="V1880" s="10">
        <v>1263</v>
      </c>
      <c r="W1880" s="10">
        <v>34</v>
      </c>
      <c r="X1880" s="12">
        <v>4.7026279391424598E-2</v>
      </c>
      <c r="Y1880" s="8" t="b">
        <f>CleanedData[[#This Row],[Ship Date]]&lt;CleanedData[[#This Row],[Order Date]]</f>
        <v>0</v>
      </c>
      <c r="Z1880" s="10">
        <f>YEAR(CleanedData[[#This Row],[Order Date]])</f>
        <v>2023</v>
      </c>
      <c r="AA1880" s="8">
        <f>MONTH(CleanedData[[#This Row],[Order Date]])</f>
        <v>3</v>
      </c>
    </row>
    <row r="1881" spans="1:27" x14ac:dyDescent="0.35">
      <c r="A1881" s="8" t="s">
        <v>4626</v>
      </c>
      <c r="B1881" s="9">
        <v>45344</v>
      </c>
      <c r="C1881" s="9">
        <v>45515</v>
      </c>
      <c r="D1881" s="8" t="s">
        <v>4627</v>
      </c>
      <c r="E1881" s="8" t="s">
        <v>68</v>
      </c>
      <c r="F1881" s="8" t="s">
        <v>249</v>
      </c>
      <c r="G1881" s="8" t="s">
        <v>217</v>
      </c>
      <c r="H1881" s="8" t="s">
        <v>494</v>
      </c>
      <c r="I1881" s="8" t="s">
        <v>4979</v>
      </c>
      <c r="J1881" s="10">
        <v>328</v>
      </c>
      <c r="K1881" s="11">
        <v>332.66</v>
      </c>
      <c r="L1881" s="11">
        <v>427.57</v>
      </c>
      <c r="M1881" s="11">
        <v>140242.96</v>
      </c>
      <c r="N1881" s="11">
        <v>109112.48</v>
      </c>
      <c r="O1881" s="11">
        <f>CleanedData[[#This Row],[Total Sales ($)]]-CleanedData[[#This Row],[Total Cost ($)]]</f>
        <v>31130.479999999996</v>
      </c>
      <c r="P1881" s="12">
        <f>CleanedData[[#This Row],[Profit ($)]]/CleanedData[[#This Row],[Total Sales ($)]]</f>
        <v>0.22197534906565006</v>
      </c>
      <c r="Q1881" s="8" t="s">
        <v>52</v>
      </c>
      <c r="R1881" s="8" t="s">
        <v>32</v>
      </c>
      <c r="S1881" s="8" t="b">
        <f>_xlfn.SINGLE(CleanedData[[#This Row],[Delivery Status]])="Late"</f>
        <v>1</v>
      </c>
      <c r="T1881" s="10">
        <v>6</v>
      </c>
      <c r="U1881" s="8" t="s">
        <v>53</v>
      </c>
      <c r="V1881" s="10">
        <v>2028</v>
      </c>
      <c r="W1881" s="10">
        <v>5</v>
      </c>
      <c r="X1881" s="12">
        <v>1.52439024390243E-2</v>
      </c>
      <c r="Y1881" s="8" t="b">
        <f>CleanedData[[#This Row],[Ship Date]]&lt;CleanedData[[#This Row],[Order Date]]</f>
        <v>0</v>
      </c>
      <c r="Z1881" s="10">
        <f>YEAR(CleanedData[[#This Row],[Order Date]])</f>
        <v>2024</v>
      </c>
      <c r="AA1881" s="8">
        <f>MONTH(CleanedData[[#This Row],[Order Date]])</f>
        <v>2</v>
      </c>
    </row>
    <row r="1882" spans="1:27" x14ac:dyDescent="0.35">
      <c r="A1882" s="8" t="s">
        <v>4628</v>
      </c>
      <c r="B1882" s="9">
        <v>44932</v>
      </c>
      <c r="C1882" s="9">
        <v>45129</v>
      </c>
      <c r="D1882" s="8" t="s">
        <v>4629</v>
      </c>
      <c r="E1882" s="8" t="s">
        <v>100</v>
      </c>
      <c r="F1882" s="8" t="s">
        <v>238</v>
      </c>
      <c r="G1882" s="8" t="s">
        <v>189</v>
      </c>
      <c r="H1882" s="8" t="s">
        <v>561</v>
      </c>
      <c r="I1882" s="8" t="s">
        <v>4970</v>
      </c>
      <c r="J1882" s="10">
        <v>21</v>
      </c>
      <c r="K1882" s="11">
        <v>855.4</v>
      </c>
      <c r="L1882" s="11">
        <v>1076.83</v>
      </c>
      <c r="M1882" s="11">
        <v>22613.43</v>
      </c>
      <c r="N1882" s="11">
        <v>17963.400000000001</v>
      </c>
      <c r="O1882" s="11">
        <f>CleanedData[[#This Row],[Total Sales ($)]]-CleanedData[[#This Row],[Total Cost ($)]]</f>
        <v>4650.0299999999988</v>
      </c>
      <c r="P1882" s="12">
        <f>CleanedData[[#This Row],[Profit ($)]]/CleanedData[[#This Row],[Total Sales ($)]]</f>
        <v>0.20563134385186144</v>
      </c>
      <c r="Q1882" s="8" t="s">
        <v>95</v>
      </c>
      <c r="R1882" s="8" t="s">
        <v>32</v>
      </c>
      <c r="S1882" s="8" t="b">
        <f>_xlfn.SINGLE(CleanedData[[#This Row],[Delivery Status]])="Late"</f>
        <v>1</v>
      </c>
      <c r="T1882" s="10">
        <v>12</v>
      </c>
      <c r="U1882" s="8" t="s">
        <v>158</v>
      </c>
      <c r="V1882" s="10">
        <v>332</v>
      </c>
      <c r="W1882" s="10">
        <v>1</v>
      </c>
      <c r="X1882" s="12">
        <v>4.7619047619047603E-2</v>
      </c>
      <c r="Y1882" s="8" t="b">
        <f>CleanedData[[#This Row],[Ship Date]]&lt;CleanedData[[#This Row],[Order Date]]</f>
        <v>0</v>
      </c>
      <c r="Z1882" s="10">
        <f>YEAR(CleanedData[[#This Row],[Order Date]])</f>
        <v>2023</v>
      </c>
      <c r="AA1882" s="8">
        <f>MONTH(CleanedData[[#This Row],[Order Date]])</f>
        <v>1</v>
      </c>
    </row>
    <row r="1883" spans="1:27" x14ac:dyDescent="0.35">
      <c r="A1883" s="8" t="s">
        <v>4630</v>
      </c>
      <c r="B1883" s="9">
        <v>45148</v>
      </c>
      <c r="C1883" s="9">
        <v>45079</v>
      </c>
      <c r="D1883" s="8" t="s">
        <v>4631</v>
      </c>
      <c r="E1883" s="8" t="s">
        <v>26</v>
      </c>
      <c r="F1883" s="8" t="s">
        <v>77</v>
      </c>
      <c r="G1883" s="8" t="s">
        <v>50</v>
      </c>
      <c r="H1883" s="8" t="s">
        <v>51</v>
      </c>
      <c r="I1883" s="8" t="s">
        <v>4979</v>
      </c>
      <c r="J1883" s="10">
        <v>253</v>
      </c>
      <c r="K1883" s="11">
        <v>348</v>
      </c>
      <c r="L1883" s="11">
        <v>464.52</v>
      </c>
      <c r="M1883" s="11">
        <v>117523.56</v>
      </c>
      <c r="N1883" s="11">
        <v>88044</v>
      </c>
      <c r="O1883" s="11">
        <f>CleanedData[[#This Row],[Total Sales ($)]]-CleanedData[[#This Row],[Total Cost ($)]]</f>
        <v>29479.559999999998</v>
      </c>
      <c r="P1883" s="12">
        <f>CleanedData[[#This Row],[Profit ($)]]/CleanedData[[#This Row],[Total Sales ($)]]</f>
        <v>0.25083957633686382</v>
      </c>
      <c r="Q1883" s="8" t="s">
        <v>52</v>
      </c>
      <c r="R1883" s="8" t="s">
        <v>32</v>
      </c>
      <c r="S1883" s="8" t="b">
        <f>_xlfn.SINGLE(CleanedData[[#This Row],[Delivery Status]])="Late"</f>
        <v>1</v>
      </c>
      <c r="T1883" s="10">
        <v>9</v>
      </c>
      <c r="U1883" s="8" t="s">
        <v>86</v>
      </c>
      <c r="V1883" s="10">
        <v>3379</v>
      </c>
      <c r="W1883" s="10">
        <v>5</v>
      </c>
      <c r="X1883" s="12">
        <v>1.9762845849802299E-2</v>
      </c>
      <c r="Y1883" s="8" t="b">
        <f>CleanedData[[#This Row],[Ship Date]]&lt;CleanedData[[#This Row],[Order Date]]</f>
        <v>1</v>
      </c>
      <c r="Z1883" s="10">
        <f>YEAR(CleanedData[[#This Row],[Order Date]])</f>
        <v>2023</v>
      </c>
      <c r="AA1883" s="8">
        <f>MONTH(CleanedData[[#This Row],[Order Date]])</f>
        <v>8</v>
      </c>
    </row>
    <row r="1884" spans="1:27" x14ac:dyDescent="0.35">
      <c r="A1884" s="8" t="s">
        <v>4633</v>
      </c>
      <c r="B1884" s="9">
        <v>45389</v>
      </c>
      <c r="C1884" s="9">
        <v>45529</v>
      </c>
      <c r="D1884" s="8" t="s">
        <v>4634</v>
      </c>
      <c r="E1884" s="8" t="s">
        <v>58</v>
      </c>
      <c r="F1884" s="8" t="s">
        <v>417</v>
      </c>
      <c r="G1884" s="8" t="s">
        <v>129</v>
      </c>
      <c r="H1884" s="8" t="s">
        <v>316</v>
      </c>
      <c r="I1884" s="8" t="s">
        <v>4968</v>
      </c>
      <c r="J1884" s="10">
        <v>344</v>
      </c>
      <c r="K1884" s="11">
        <v>678.88</v>
      </c>
      <c r="L1884" s="11">
        <v>1070.1400000000001</v>
      </c>
      <c r="M1884" s="11">
        <v>368128.16</v>
      </c>
      <c r="N1884" s="11">
        <v>233534.72</v>
      </c>
      <c r="O1884" s="11">
        <f>CleanedData[[#This Row],[Total Sales ($)]]-CleanedData[[#This Row],[Total Cost ($)]]</f>
        <v>134593.43999999997</v>
      </c>
      <c r="P1884" s="12">
        <f>CleanedData[[#This Row],[Profit ($)]]/CleanedData[[#This Row],[Total Sales ($)]]</f>
        <v>0.36561571383183505</v>
      </c>
      <c r="Q1884" s="8" t="s">
        <v>31</v>
      </c>
      <c r="R1884" s="8" t="s">
        <v>63</v>
      </c>
      <c r="S1884" s="8" t="b">
        <f>_xlfn.SINGLE(CleanedData[[#This Row],[Delivery Status]])="Late"</f>
        <v>0</v>
      </c>
      <c r="T1884" s="10">
        <v>2</v>
      </c>
      <c r="U1884" s="8" t="s">
        <v>112</v>
      </c>
      <c r="V1884" s="10">
        <v>4622</v>
      </c>
      <c r="W1884" s="10">
        <v>14</v>
      </c>
      <c r="X1884" s="12">
        <v>4.0697674418604599E-2</v>
      </c>
      <c r="Y1884" s="8" t="b">
        <f>CleanedData[[#This Row],[Ship Date]]&lt;CleanedData[[#This Row],[Order Date]]</f>
        <v>0</v>
      </c>
      <c r="Z1884" s="10">
        <f>YEAR(CleanedData[[#This Row],[Order Date]])</f>
        <v>2024</v>
      </c>
      <c r="AA1884" s="8">
        <f>MONTH(CleanedData[[#This Row],[Order Date]])</f>
        <v>4</v>
      </c>
    </row>
    <row r="1885" spans="1:27" x14ac:dyDescent="0.35">
      <c r="A1885" s="8" t="s">
        <v>4635</v>
      </c>
      <c r="B1885" s="9">
        <v>45242</v>
      </c>
      <c r="C1885" s="9">
        <v>44944</v>
      </c>
      <c r="D1885" s="8" t="s">
        <v>4636</v>
      </c>
      <c r="E1885" s="8" t="s">
        <v>26</v>
      </c>
      <c r="F1885" s="8" t="s">
        <v>38</v>
      </c>
      <c r="G1885" s="8" t="s">
        <v>93</v>
      </c>
      <c r="H1885" s="8" t="s">
        <v>302</v>
      </c>
      <c r="I1885" s="8" t="s">
        <v>4967</v>
      </c>
      <c r="J1885" s="10">
        <v>300</v>
      </c>
      <c r="K1885" s="11">
        <v>247.44</v>
      </c>
      <c r="L1885" s="11">
        <v>361.79</v>
      </c>
      <c r="M1885" s="11">
        <v>108537</v>
      </c>
      <c r="N1885" s="11">
        <v>74232</v>
      </c>
      <c r="O1885" s="11">
        <f>CleanedData[[#This Row],[Total Sales ($)]]-CleanedData[[#This Row],[Total Cost ($)]]</f>
        <v>34305</v>
      </c>
      <c r="P1885" s="12">
        <f>CleanedData[[#This Row],[Profit ($)]]/CleanedData[[#This Row],[Total Sales ($)]]</f>
        <v>0.31606733187760855</v>
      </c>
      <c r="Q1885" s="8" t="s">
        <v>95</v>
      </c>
      <c r="R1885" s="8" t="s">
        <v>63</v>
      </c>
      <c r="S1885" s="8" t="b">
        <f>_xlfn.SINGLE(CleanedData[[#This Row],[Delivery Status]])="Late"</f>
        <v>0</v>
      </c>
      <c r="T1885" s="10">
        <v>1</v>
      </c>
      <c r="U1885" s="8" t="s">
        <v>33</v>
      </c>
      <c r="V1885" s="10">
        <v>270</v>
      </c>
      <c r="W1885" s="10">
        <v>5</v>
      </c>
      <c r="X1885" s="12">
        <v>1.6666666666666601E-2</v>
      </c>
      <c r="Y1885" s="8" t="b">
        <f>CleanedData[[#This Row],[Ship Date]]&lt;CleanedData[[#This Row],[Order Date]]</f>
        <v>1</v>
      </c>
      <c r="Z1885" s="10">
        <f>YEAR(CleanedData[[#This Row],[Order Date]])</f>
        <v>2023</v>
      </c>
      <c r="AA1885" s="8">
        <f>MONTH(CleanedData[[#This Row],[Order Date]])</f>
        <v>11</v>
      </c>
    </row>
    <row r="1886" spans="1:27" x14ac:dyDescent="0.35">
      <c r="A1886" s="8" t="s">
        <v>4637</v>
      </c>
      <c r="B1886" s="9">
        <v>45116</v>
      </c>
      <c r="C1886" s="9">
        <v>45172</v>
      </c>
      <c r="D1886" s="8" t="s">
        <v>4638</v>
      </c>
      <c r="E1886" s="8" t="s">
        <v>58</v>
      </c>
      <c r="F1886" s="8" t="s">
        <v>59</v>
      </c>
      <c r="G1886" s="8" t="s">
        <v>28</v>
      </c>
      <c r="H1886" s="8" t="s">
        <v>674</v>
      </c>
      <c r="I1886" s="8" t="s">
        <v>4975</v>
      </c>
      <c r="J1886" s="10">
        <v>694</v>
      </c>
      <c r="K1886" s="11">
        <v>1047.31</v>
      </c>
      <c r="L1886" s="11">
        <v>1395.89</v>
      </c>
      <c r="M1886" s="11">
        <v>968747.66</v>
      </c>
      <c r="N1886" s="11">
        <v>726833.14</v>
      </c>
      <c r="O1886" s="11">
        <f>CleanedData[[#This Row],[Total Sales ($)]]-CleanedData[[#This Row],[Total Cost ($)]]</f>
        <v>241914.52000000002</v>
      </c>
      <c r="P1886" s="12">
        <f>CleanedData[[#This Row],[Profit ($)]]/CleanedData[[#This Row],[Total Sales ($)]]</f>
        <v>0.24971881738532406</v>
      </c>
      <c r="Q1886" s="8" t="s">
        <v>52</v>
      </c>
      <c r="R1886" s="8" t="s">
        <v>63</v>
      </c>
      <c r="S1886" s="8" t="b">
        <f>_xlfn.SINGLE(CleanedData[[#This Row],[Delivery Status]])="Late"</f>
        <v>0</v>
      </c>
      <c r="T1886" s="10">
        <v>2</v>
      </c>
      <c r="U1886" s="8" t="s">
        <v>112</v>
      </c>
      <c r="V1886" s="10">
        <v>1613</v>
      </c>
      <c r="W1886" s="10">
        <v>6</v>
      </c>
      <c r="X1886" s="12">
        <v>8.6455331412103008E-3</v>
      </c>
      <c r="Y1886" s="8" t="b">
        <f>CleanedData[[#This Row],[Ship Date]]&lt;CleanedData[[#This Row],[Order Date]]</f>
        <v>0</v>
      </c>
      <c r="Z1886" s="10">
        <f>YEAR(CleanedData[[#This Row],[Order Date]])</f>
        <v>2023</v>
      </c>
      <c r="AA1886" s="8">
        <f>MONTH(CleanedData[[#This Row],[Order Date]])</f>
        <v>7</v>
      </c>
    </row>
    <row r="1887" spans="1:27" x14ac:dyDescent="0.35">
      <c r="A1887" s="8" t="s">
        <v>4639</v>
      </c>
      <c r="B1887" s="9">
        <v>45144</v>
      </c>
      <c r="C1887" s="9">
        <v>45073</v>
      </c>
      <c r="D1887" s="8" t="s">
        <v>4640</v>
      </c>
      <c r="E1887" s="8" t="s">
        <v>68</v>
      </c>
      <c r="F1887" s="8" t="s">
        <v>276</v>
      </c>
      <c r="G1887" s="8" t="s">
        <v>78</v>
      </c>
      <c r="H1887" s="8" t="s">
        <v>572</v>
      </c>
      <c r="I1887" s="8" t="s">
        <v>4970</v>
      </c>
      <c r="J1887" s="10">
        <v>122</v>
      </c>
      <c r="K1887" s="11">
        <v>704.14</v>
      </c>
      <c r="L1887" s="11">
        <v>1132.1099999999999</v>
      </c>
      <c r="M1887" s="11">
        <v>138117.42000000001</v>
      </c>
      <c r="N1887" s="11">
        <v>85905.08</v>
      </c>
      <c r="O1887" s="11">
        <f>CleanedData[[#This Row],[Total Sales ($)]]-CleanedData[[#This Row],[Total Cost ($)]]</f>
        <v>52212.340000000011</v>
      </c>
      <c r="P1887" s="12">
        <f>CleanedData[[#This Row],[Profit ($)]]/CleanedData[[#This Row],[Total Sales ($)]]</f>
        <v>0.3780286367932445</v>
      </c>
      <c r="Q1887" s="8" t="s">
        <v>95</v>
      </c>
      <c r="R1887" s="8" t="s">
        <v>32</v>
      </c>
      <c r="S1887" s="8" t="b">
        <f>_xlfn.SINGLE(CleanedData[[#This Row],[Delivery Status]])="Late"</f>
        <v>1</v>
      </c>
      <c r="T1887" s="10">
        <v>9</v>
      </c>
      <c r="U1887" s="8" t="s">
        <v>43</v>
      </c>
      <c r="V1887" s="10">
        <v>3946</v>
      </c>
      <c r="W1887" s="10">
        <v>3</v>
      </c>
      <c r="X1887" s="12">
        <v>2.4590163934426201E-2</v>
      </c>
      <c r="Y1887" s="8" t="b">
        <f>CleanedData[[#This Row],[Ship Date]]&lt;CleanedData[[#This Row],[Order Date]]</f>
        <v>1</v>
      </c>
      <c r="Z1887" s="10">
        <f>YEAR(CleanedData[[#This Row],[Order Date]])</f>
        <v>2023</v>
      </c>
      <c r="AA1887" s="8">
        <f>MONTH(CleanedData[[#This Row],[Order Date]])</f>
        <v>8</v>
      </c>
    </row>
    <row r="1888" spans="1:27" x14ac:dyDescent="0.35">
      <c r="A1888" s="8" t="s">
        <v>4641</v>
      </c>
      <c r="B1888" s="9">
        <v>45487</v>
      </c>
      <c r="C1888" s="9">
        <v>45407</v>
      </c>
      <c r="D1888" s="8" t="s">
        <v>4642</v>
      </c>
      <c r="E1888" s="8" t="s">
        <v>58</v>
      </c>
      <c r="F1888" s="8" t="s">
        <v>122</v>
      </c>
      <c r="G1888" s="8" t="s">
        <v>93</v>
      </c>
      <c r="H1888" s="8" t="s">
        <v>485</v>
      </c>
      <c r="I1888" s="8" t="s">
        <v>4976</v>
      </c>
      <c r="J1888" s="10">
        <v>485</v>
      </c>
      <c r="K1888" s="11">
        <v>296.70999999999998</v>
      </c>
      <c r="L1888" s="11">
        <v>428.74</v>
      </c>
      <c r="M1888" s="11">
        <v>207938.9</v>
      </c>
      <c r="N1888" s="11">
        <v>143904.35</v>
      </c>
      <c r="O1888" s="11">
        <f>CleanedData[[#This Row],[Total Sales ($)]]-CleanedData[[#This Row],[Total Cost ($)]]</f>
        <v>64034.549999999988</v>
      </c>
      <c r="P1888" s="12">
        <f>CleanedData[[#This Row],[Profit ($)]]/CleanedData[[#This Row],[Total Sales ($)]]</f>
        <v>0.30794887344311234</v>
      </c>
      <c r="Q1888" s="8" t="s">
        <v>52</v>
      </c>
      <c r="R1888" s="8" t="s">
        <v>63</v>
      </c>
      <c r="S1888" s="8" t="b">
        <f>_xlfn.SINGLE(CleanedData[[#This Row],[Delivery Status]])="Late"</f>
        <v>0</v>
      </c>
      <c r="T1888" s="10">
        <v>4</v>
      </c>
      <c r="U1888" s="8" t="s">
        <v>112</v>
      </c>
      <c r="V1888" s="10">
        <v>2492</v>
      </c>
      <c r="W1888" s="10">
        <v>8</v>
      </c>
      <c r="X1888" s="12">
        <v>1.6494845360824701E-2</v>
      </c>
      <c r="Y1888" s="8" t="b">
        <f>CleanedData[[#This Row],[Ship Date]]&lt;CleanedData[[#This Row],[Order Date]]</f>
        <v>1</v>
      </c>
      <c r="Z1888" s="10">
        <f>YEAR(CleanedData[[#This Row],[Order Date]])</f>
        <v>2024</v>
      </c>
      <c r="AA1888" s="8">
        <f>MONTH(CleanedData[[#This Row],[Order Date]])</f>
        <v>7</v>
      </c>
    </row>
    <row r="1889" spans="1:27" x14ac:dyDescent="0.35">
      <c r="A1889" s="8" t="s">
        <v>4643</v>
      </c>
      <c r="B1889" s="9">
        <v>44935</v>
      </c>
      <c r="C1889" s="9">
        <v>45160</v>
      </c>
      <c r="D1889" s="8" t="s">
        <v>4644</v>
      </c>
      <c r="E1889" s="8" t="s">
        <v>68</v>
      </c>
      <c r="F1889" s="8" t="s">
        <v>249</v>
      </c>
      <c r="G1889" s="8" t="s">
        <v>70</v>
      </c>
      <c r="H1889" s="8" t="s">
        <v>71</v>
      </c>
      <c r="I1889" s="8" t="s">
        <v>4976</v>
      </c>
      <c r="J1889" s="10">
        <v>67</v>
      </c>
      <c r="K1889" s="11">
        <v>908.75</v>
      </c>
      <c r="L1889" s="11">
        <v>1456.89</v>
      </c>
      <c r="M1889" s="11">
        <v>97611.63</v>
      </c>
      <c r="N1889" s="11">
        <v>60886.25</v>
      </c>
      <c r="O1889" s="11">
        <f>CleanedData[[#This Row],[Total Sales ($)]]-CleanedData[[#This Row],[Total Cost ($)]]</f>
        <v>36725.380000000005</v>
      </c>
      <c r="P1889" s="12">
        <f>CleanedData[[#This Row],[Profit ($)]]/CleanedData[[#This Row],[Total Sales ($)]]</f>
        <v>0.37623979847483341</v>
      </c>
      <c r="Q1889" s="8" t="s">
        <v>52</v>
      </c>
      <c r="R1889" s="8" t="s">
        <v>63</v>
      </c>
      <c r="S1889" s="8" t="b">
        <f>_xlfn.SINGLE(CleanedData[[#This Row],[Delivery Status]])="Late"</f>
        <v>0</v>
      </c>
      <c r="T1889" s="10">
        <v>999</v>
      </c>
      <c r="U1889" s="8" t="s">
        <v>112</v>
      </c>
      <c r="V1889" s="10">
        <v>2165</v>
      </c>
      <c r="W1889" s="10">
        <v>0</v>
      </c>
      <c r="X1889" s="12">
        <v>0</v>
      </c>
      <c r="Y1889" s="8" t="b">
        <f>CleanedData[[#This Row],[Ship Date]]&lt;CleanedData[[#This Row],[Order Date]]</f>
        <v>0</v>
      </c>
      <c r="Z1889" s="10">
        <f>YEAR(CleanedData[[#This Row],[Order Date]])</f>
        <v>2023</v>
      </c>
      <c r="AA1889" s="8">
        <f>MONTH(CleanedData[[#This Row],[Order Date]])</f>
        <v>1</v>
      </c>
    </row>
    <row r="1890" spans="1:27" x14ac:dyDescent="0.35">
      <c r="A1890" s="8" t="s">
        <v>4645</v>
      </c>
      <c r="B1890" s="9">
        <v>45088</v>
      </c>
      <c r="C1890" s="9">
        <v>45079</v>
      </c>
      <c r="D1890" s="8" t="s">
        <v>1193</v>
      </c>
      <c r="E1890" s="8" t="s">
        <v>58</v>
      </c>
      <c r="F1890" s="8" t="s">
        <v>417</v>
      </c>
      <c r="G1890" s="8" t="s">
        <v>189</v>
      </c>
      <c r="H1890" s="8" t="s">
        <v>360</v>
      </c>
      <c r="I1890" s="8" t="s">
        <v>4975</v>
      </c>
      <c r="J1890" s="10">
        <v>37</v>
      </c>
      <c r="K1890" s="11">
        <v>706.4</v>
      </c>
      <c r="L1890" s="11">
        <v>1025.79</v>
      </c>
      <c r="M1890" s="11">
        <v>37954.230000000003</v>
      </c>
      <c r="N1890" s="11">
        <v>26136.799999999999</v>
      </c>
      <c r="O1890" s="11">
        <f>CleanedData[[#This Row],[Total Sales ($)]]-CleanedData[[#This Row],[Total Cost ($)]]</f>
        <v>11817.430000000004</v>
      </c>
      <c r="P1890" s="12">
        <f>CleanedData[[#This Row],[Profit ($)]]/CleanedData[[#This Row],[Total Sales ($)]]</f>
        <v>0.31136002495637516</v>
      </c>
      <c r="Q1890" s="8" t="s">
        <v>52</v>
      </c>
      <c r="R1890" s="8" t="s">
        <v>32</v>
      </c>
      <c r="S1890" s="8" t="b">
        <f>_xlfn.SINGLE(CleanedData[[#This Row],[Delivery Status]])="Late"</f>
        <v>1</v>
      </c>
      <c r="T1890" s="10">
        <v>14</v>
      </c>
      <c r="U1890" s="8" t="s">
        <v>43</v>
      </c>
      <c r="V1890" s="10">
        <v>33</v>
      </c>
      <c r="W1890" s="10">
        <v>1</v>
      </c>
      <c r="X1890" s="12">
        <v>2.7027027027027001E-2</v>
      </c>
      <c r="Y1890" s="8" t="b">
        <f>CleanedData[[#This Row],[Ship Date]]&lt;CleanedData[[#This Row],[Order Date]]</f>
        <v>1</v>
      </c>
      <c r="Z1890" s="10">
        <f>YEAR(CleanedData[[#This Row],[Order Date]])</f>
        <v>2023</v>
      </c>
      <c r="AA1890" s="8">
        <f>MONTH(CleanedData[[#This Row],[Order Date]])</f>
        <v>6</v>
      </c>
    </row>
    <row r="1891" spans="1:27" x14ac:dyDescent="0.35">
      <c r="A1891" s="8" t="s">
        <v>4647</v>
      </c>
      <c r="B1891" s="9">
        <v>45109</v>
      </c>
      <c r="C1891" s="9">
        <v>45152</v>
      </c>
      <c r="D1891" s="8" t="s">
        <v>2019</v>
      </c>
      <c r="E1891" s="8" t="s">
        <v>58</v>
      </c>
      <c r="F1891" s="8" t="s">
        <v>259</v>
      </c>
      <c r="G1891" s="8" t="s">
        <v>50</v>
      </c>
      <c r="H1891" s="8" t="s">
        <v>51</v>
      </c>
      <c r="I1891" s="8" t="s">
        <v>4970</v>
      </c>
      <c r="J1891" s="10">
        <v>237</v>
      </c>
      <c r="K1891" s="11">
        <v>992.18</v>
      </c>
      <c r="L1891" s="11">
        <v>1513.77</v>
      </c>
      <c r="M1891" s="11">
        <v>358763.49</v>
      </c>
      <c r="N1891" s="11">
        <v>235146.66</v>
      </c>
      <c r="O1891" s="11">
        <f>CleanedData[[#This Row],[Total Sales ($)]]-CleanedData[[#This Row],[Total Cost ($)]]</f>
        <v>123616.82999999999</v>
      </c>
      <c r="P1891" s="12">
        <f>CleanedData[[#This Row],[Profit ($)]]/CleanedData[[#This Row],[Total Sales ($)]]</f>
        <v>0.3445635730659215</v>
      </c>
      <c r="Q1891" s="8" t="s">
        <v>42</v>
      </c>
      <c r="R1891" s="8" t="s">
        <v>63</v>
      </c>
      <c r="S1891" s="8" t="b">
        <f>_xlfn.SINGLE(CleanedData[[#This Row],[Delivery Status]])="Late"</f>
        <v>0</v>
      </c>
      <c r="T1891" s="10">
        <v>1</v>
      </c>
      <c r="U1891" s="8" t="s">
        <v>53</v>
      </c>
      <c r="V1891" s="10">
        <v>1120</v>
      </c>
      <c r="W1891" s="10">
        <v>6</v>
      </c>
      <c r="X1891" s="12">
        <v>2.53164556962025E-2</v>
      </c>
      <c r="Y1891" s="8" t="b">
        <f>CleanedData[[#This Row],[Ship Date]]&lt;CleanedData[[#This Row],[Order Date]]</f>
        <v>0</v>
      </c>
      <c r="Z1891" s="10">
        <f>YEAR(CleanedData[[#This Row],[Order Date]])</f>
        <v>2023</v>
      </c>
      <c r="AA1891" s="8">
        <f>MONTH(CleanedData[[#This Row],[Order Date]])</f>
        <v>7</v>
      </c>
    </row>
    <row r="1892" spans="1:27" x14ac:dyDescent="0.35">
      <c r="A1892" s="8" t="s">
        <v>4648</v>
      </c>
      <c r="B1892" s="9">
        <v>45274</v>
      </c>
      <c r="C1892" s="9">
        <v>44988</v>
      </c>
      <c r="D1892" s="8" t="s">
        <v>4649</v>
      </c>
      <c r="E1892" s="8" t="s">
        <v>58</v>
      </c>
      <c r="F1892" s="8" t="s">
        <v>116</v>
      </c>
      <c r="G1892" s="8" t="s">
        <v>189</v>
      </c>
      <c r="H1892" s="8" t="s">
        <v>311</v>
      </c>
      <c r="I1892" s="8" t="s">
        <v>4979</v>
      </c>
      <c r="J1892" s="10">
        <v>31</v>
      </c>
      <c r="K1892" s="11">
        <v>295.45999999999998</v>
      </c>
      <c r="L1892" s="11">
        <v>463.7</v>
      </c>
      <c r="M1892" s="11">
        <v>14374.7</v>
      </c>
      <c r="N1892" s="11">
        <v>9159.26</v>
      </c>
      <c r="O1892" s="11">
        <f>CleanedData[[#This Row],[Total Sales ($)]]-CleanedData[[#This Row],[Total Cost ($)]]</f>
        <v>5215.4400000000005</v>
      </c>
      <c r="P1892" s="12">
        <f>CleanedData[[#This Row],[Profit ($)]]/CleanedData[[#This Row],[Total Sales ($)]]</f>
        <v>0.36282078930342898</v>
      </c>
      <c r="Q1892" s="8" t="s">
        <v>52</v>
      </c>
      <c r="R1892" s="8" t="s">
        <v>32</v>
      </c>
      <c r="S1892" s="8" t="b">
        <f>_xlfn.SINGLE(CleanedData[[#This Row],[Delivery Status]])="Late"</f>
        <v>1</v>
      </c>
      <c r="T1892" s="10">
        <v>12</v>
      </c>
      <c r="U1892" s="8" t="s">
        <v>43</v>
      </c>
      <c r="V1892" s="10">
        <v>3207</v>
      </c>
      <c r="W1892" s="10">
        <v>1</v>
      </c>
      <c r="X1892" s="12">
        <v>3.2258064516128997E-2</v>
      </c>
      <c r="Y1892" s="8" t="b">
        <f>CleanedData[[#This Row],[Ship Date]]&lt;CleanedData[[#This Row],[Order Date]]</f>
        <v>1</v>
      </c>
      <c r="Z1892" s="10">
        <f>YEAR(CleanedData[[#This Row],[Order Date]])</f>
        <v>2023</v>
      </c>
      <c r="AA1892" s="8">
        <f>MONTH(CleanedData[[#This Row],[Order Date]])</f>
        <v>12</v>
      </c>
    </row>
    <row r="1893" spans="1:27" x14ac:dyDescent="0.35">
      <c r="A1893" s="8" t="s">
        <v>4650</v>
      </c>
      <c r="B1893" s="9">
        <v>45072</v>
      </c>
      <c r="C1893" s="9">
        <v>45226</v>
      </c>
      <c r="D1893" s="8" t="s">
        <v>4651</v>
      </c>
      <c r="E1893" s="8" t="s">
        <v>26</v>
      </c>
      <c r="F1893" s="8" t="s">
        <v>38</v>
      </c>
      <c r="G1893" s="8" t="s">
        <v>129</v>
      </c>
      <c r="H1893" s="8" t="s">
        <v>520</v>
      </c>
      <c r="I1893" s="8" t="s">
        <v>4978</v>
      </c>
      <c r="J1893" s="10">
        <v>232</v>
      </c>
      <c r="K1893" s="11">
        <v>511.92</v>
      </c>
      <c r="L1893" s="11">
        <v>650.47</v>
      </c>
      <c r="M1893" s="11">
        <v>150909.04</v>
      </c>
      <c r="N1893" s="11">
        <v>118765.44</v>
      </c>
      <c r="O1893" s="11">
        <f>CleanedData[[#This Row],[Total Sales ($)]]-CleanedData[[#This Row],[Total Cost ($)]]</f>
        <v>32143.600000000006</v>
      </c>
      <c r="P1893" s="12">
        <f>CleanedData[[#This Row],[Profit ($)]]/CleanedData[[#This Row],[Total Sales ($)]]</f>
        <v>0.21299983089150926</v>
      </c>
      <c r="Q1893" s="8" t="s">
        <v>31</v>
      </c>
      <c r="R1893" s="8" t="s">
        <v>63</v>
      </c>
      <c r="S1893" s="8" t="b">
        <f>_xlfn.SINGLE(CleanedData[[#This Row],[Delivery Status]])="Late"</f>
        <v>0</v>
      </c>
      <c r="T1893" s="10">
        <v>3</v>
      </c>
      <c r="U1893" s="8" t="s">
        <v>112</v>
      </c>
      <c r="V1893" s="10">
        <v>1230</v>
      </c>
      <c r="W1893" s="10">
        <v>8</v>
      </c>
      <c r="X1893" s="12">
        <v>3.4482758620689599E-2</v>
      </c>
      <c r="Y1893" s="8" t="b">
        <f>CleanedData[[#This Row],[Ship Date]]&lt;CleanedData[[#This Row],[Order Date]]</f>
        <v>0</v>
      </c>
      <c r="Z1893" s="10">
        <f>YEAR(CleanedData[[#This Row],[Order Date]])</f>
        <v>2023</v>
      </c>
      <c r="AA1893" s="8">
        <f>MONTH(CleanedData[[#This Row],[Order Date]])</f>
        <v>5</v>
      </c>
    </row>
    <row r="1894" spans="1:27" x14ac:dyDescent="0.35">
      <c r="A1894" s="8" t="s">
        <v>4652</v>
      </c>
      <c r="B1894" s="9">
        <v>45204</v>
      </c>
      <c r="C1894" s="9">
        <v>45177</v>
      </c>
      <c r="D1894" s="8" t="s">
        <v>4653</v>
      </c>
      <c r="E1894" s="8" t="s">
        <v>68</v>
      </c>
      <c r="F1894" s="8" t="s">
        <v>69</v>
      </c>
      <c r="G1894" s="8" t="s">
        <v>189</v>
      </c>
      <c r="H1894" s="8" t="s">
        <v>369</v>
      </c>
      <c r="I1894" s="8" t="s">
        <v>4969</v>
      </c>
      <c r="J1894" s="10">
        <v>446</v>
      </c>
      <c r="K1894" s="11">
        <v>863.77</v>
      </c>
      <c r="L1894" s="11">
        <v>1406.34</v>
      </c>
      <c r="M1894" s="11">
        <v>627227.64</v>
      </c>
      <c r="N1894" s="11">
        <v>385241.42</v>
      </c>
      <c r="O1894" s="11">
        <f>CleanedData[[#This Row],[Total Sales ($)]]-CleanedData[[#This Row],[Total Cost ($)]]</f>
        <v>241986.22000000003</v>
      </c>
      <c r="P1894" s="12">
        <f>CleanedData[[#This Row],[Profit ($)]]/CleanedData[[#This Row],[Total Sales ($)]]</f>
        <v>0.38580286417224857</v>
      </c>
      <c r="Q1894" s="8" t="s">
        <v>52</v>
      </c>
      <c r="R1894" s="8" t="s">
        <v>32</v>
      </c>
      <c r="S1894" s="8" t="b">
        <f>_xlfn.SINGLE(CleanedData[[#This Row],[Delivery Status]])="Late"</f>
        <v>1</v>
      </c>
      <c r="T1894" s="10">
        <v>8</v>
      </c>
      <c r="U1894" s="8" t="s">
        <v>43</v>
      </c>
      <c r="V1894" s="10">
        <v>168</v>
      </c>
      <c r="W1894" s="10">
        <v>8</v>
      </c>
      <c r="X1894" s="12">
        <v>1.79372197309417E-2</v>
      </c>
      <c r="Y1894" s="8" t="b">
        <f>CleanedData[[#This Row],[Ship Date]]&lt;CleanedData[[#This Row],[Order Date]]</f>
        <v>1</v>
      </c>
      <c r="Z1894" s="10">
        <f>YEAR(CleanedData[[#This Row],[Order Date]])</f>
        <v>2023</v>
      </c>
      <c r="AA1894" s="8">
        <f>MONTH(CleanedData[[#This Row],[Order Date]])</f>
        <v>10</v>
      </c>
    </row>
    <row r="1895" spans="1:27" x14ac:dyDescent="0.35">
      <c r="A1895" s="8" t="s">
        <v>4654</v>
      </c>
      <c r="B1895" s="9">
        <v>45208</v>
      </c>
      <c r="C1895" s="9">
        <v>45152</v>
      </c>
      <c r="D1895" s="8" t="s">
        <v>3530</v>
      </c>
      <c r="E1895" s="8" t="s">
        <v>100</v>
      </c>
      <c r="F1895" s="8" t="s">
        <v>538</v>
      </c>
      <c r="G1895" s="8" t="s">
        <v>50</v>
      </c>
      <c r="H1895" s="8" t="s">
        <v>282</v>
      </c>
      <c r="I1895" s="8" t="s">
        <v>4970</v>
      </c>
      <c r="J1895" s="10">
        <v>245</v>
      </c>
      <c r="K1895" s="11">
        <v>1174.47</v>
      </c>
      <c r="L1895" s="11">
        <v>1676.62</v>
      </c>
      <c r="M1895" s="11">
        <v>410771.9</v>
      </c>
      <c r="N1895" s="11">
        <v>287745.15000000002</v>
      </c>
      <c r="O1895" s="11">
        <f>CleanedData[[#This Row],[Total Sales ($)]]-CleanedData[[#This Row],[Total Cost ($)]]</f>
        <v>123026.75</v>
      </c>
      <c r="P1895" s="12">
        <f>CleanedData[[#This Row],[Profit ($)]]/CleanedData[[#This Row],[Total Sales ($)]]</f>
        <v>0.29950137777194591</v>
      </c>
      <c r="Q1895" s="8" t="s">
        <v>52</v>
      </c>
      <c r="R1895" s="8" t="s">
        <v>63</v>
      </c>
      <c r="S1895" s="8" t="b">
        <f>_xlfn.SINGLE(CleanedData[[#This Row],[Delivery Status]])="Late"</f>
        <v>0</v>
      </c>
      <c r="T1895" s="10">
        <v>3</v>
      </c>
      <c r="U1895" s="8" t="s">
        <v>43</v>
      </c>
      <c r="V1895" s="10">
        <v>4811</v>
      </c>
      <c r="W1895" s="10">
        <v>3</v>
      </c>
      <c r="X1895" s="12">
        <v>1.22448979591836E-2</v>
      </c>
      <c r="Y1895" s="8" t="b">
        <f>CleanedData[[#This Row],[Ship Date]]&lt;CleanedData[[#This Row],[Order Date]]</f>
        <v>1</v>
      </c>
      <c r="Z1895" s="10">
        <f>YEAR(CleanedData[[#This Row],[Order Date]])</f>
        <v>2023</v>
      </c>
      <c r="AA1895" s="8">
        <f>MONTH(CleanedData[[#This Row],[Order Date]])</f>
        <v>10</v>
      </c>
    </row>
    <row r="1896" spans="1:27" x14ac:dyDescent="0.35">
      <c r="A1896" s="8" t="s">
        <v>4655</v>
      </c>
      <c r="B1896" s="9">
        <v>45096</v>
      </c>
      <c r="C1896" s="9">
        <v>45175</v>
      </c>
      <c r="D1896" s="8" t="s">
        <v>4656</v>
      </c>
      <c r="E1896" s="8" t="s">
        <v>58</v>
      </c>
      <c r="F1896" s="8" t="s">
        <v>59</v>
      </c>
      <c r="G1896" s="8" t="s">
        <v>60</v>
      </c>
      <c r="H1896" s="8" t="s">
        <v>229</v>
      </c>
      <c r="I1896" s="8" t="s">
        <v>4979</v>
      </c>
      <c r="J1896" s="10">
        <v>629</v>
      </c>
      <c r="K1896" s="11">
        <v>41.42</v>
      </c>
      <c r="L1896" s="11">
        <v>57.98</v>
      </c>
      <c r="M1896" s="11">
        <v>36469.42</v>
      </c>
      <c r="N1896" s="11">
        <v>26053.18</v>
      </c>
      <c r="O1896" s="11">
        <f>CleanedData[[#This Row],[Total Sales ($)]]-CleanedData[[#This Row],[Total Cost ($)]]</f>
        <v>10416.239999999998</v>
      </c>
      <c r="P1896" s="12">
        <f>CleanedData[[#This Row],[Profit ($)]]/CleanedData[[#This Row],[Total Sales ($)]]</f>
        <v>0.28561572956191789</v>
      </c>
      <c r="Q1896" s="8" t="s">
        <v>31</v>
      </c>
      <c r="R1896" s="8" t="s">
        <v>32</v>
      </c>
      <c r="S1896" s="8" t="b">
        <f>_xlfn.SINGLE(CleanedData[[#This Row],[Delivery Status]])="Late"</f>
        <v>1</v>
      </c>
      <c r="T1896" s="10">
        <v>6</v>
      </c>
      <c r="U1896" s="8" t="s">
        <v>158</v>
      </c>
      <c r="V1896" s="10">
        <v>4807</v>
      </c>
      <c r="W1896" s="10">
        <v>15</v>
      </c>
      <c r="X1896" s="12">
        <v>2.3847376788553198E-2</v>
      </c>
      <c r="Y1896" s="8" t="b">
        <f>CleanedData[[#This Row],[Ship Date]]&lt;CleanedData[[#This Row],[Order Date]]</f>
        <v>0</v>
      </c>
      <c r="Z1896" s="10">
        <f>YEAR(CleanedData[[#This Row],[Order Date]])</f>
        <v>2023</v>
      </c>
      <c r="AA1896" s="8">
        <f>MONTH(CleanedData[[#This Row],[Order Date]])</f>
        <v>6</v>
      </c>
    </row>
    <row r="1897" spans="1:27" x14ac:dyDescent="0.35">
      <c r="A1897" s="8" t="s">
        <v>3801</v>
      </c>
      <c r="B1897" s="9">
        <v>44927</v>
      </c>
      <c r="C1897" s="9">
        <v>44965</v>
      </c>
      <c r="D1897" s="8" t="s">
        <v>3802</v>
      </c>
      <c r="E1897" s="8" t="s">
        <v>100</v>
      </c>
      <c r="F1897" s="8" t="s">
        <v>538</v>
      </c>
      <c r="G1897" s="8" t="s">
        <v>28</v>
      </c>
      <c r="H1897" s="8" t="s">
        <v>29</v>
      </c>
      <c r="I1897" s="8" t="s">
        <v>4969</v>
      </c>
      <c r="J1897" s="10">
        <v>724</v>
      </c>
      <c r="K1897" s="11">
        <v>965.51</v>
      </c>
      <c r="L1897" s="11">
        <v>1435.18</v>
      </c>
      <c r="M1897" s="11">
        <v>1039070.32</v>
      </c>
      <c r="N1897" s="11">
        <v>699029.24</v>
      </c>
      <c r="O1897" s="11">
        <f>CleanedData[[#This Row],[Total Sales ($)]]-CleanedData[[#This Row],[Total Cost ($)]]</f>
        <v>340041.07999999996</v>
      </c>
      <c r="P1897" s="12">
        <f>CleanedData[[#This Row],[Profit ($)]]/CleanedData[[#This Row],[Total Sales ($)]]</f>
        <v>0.32725511782494182</v>
      </c>
      <c r="Q1897" s="8" t="s">
        <v>31</v>
      </c>
      <c r="R1897" s="8" t="s">
        <v>32</v>
      </c>
      <c r="S1897" s="8" t="b">
        <f>_xlfn.SINGLE(CleanedData[[#This Row],[Delivery Status]])="Late"</f>
        <v>1</v>
      </c>
      <c r="T1897" s="10">
        <v>14</v>
      </c>
      <c r="U1897" s="8" t="s">
        <v>86</v>
      </c>
      <c r="V1897" s="10">
        <v>2973</v>
      </c>
      <c r="W1897" s="10">
        <v>19</v>
      </c>
      <c r="X1897" s="12">
        <v>2.6243093922651901E-2</v>
      </c>
      <c r="Y1897" s="8" t="b">
        <f>CleanedData[[#This Row],[Ship Date]]&lt;CleanedData[[#This Row],[Order Date]]</f>
        <v>0</v>
      </c>
      <c r="Z1897" s="10">
        <f>YEAR(CleanedData[[#This Row],[Order Date]])</f>
        <v>2023</v>
      </c>
      <c r="AA1897" s="8">
        <f>MONTH(CleanedData[[#This Row],[Order Date]])</f>
        <v>1</v>
      </c>
    </row>
    <row r="1898" spans="1:27" x14ac:dyDescent="0.35">
      <c r="A1898" s="8" t="s">
        <v>4658</v>
      </c>
      <c r="B1898" s="9">
        <v>45468</v>
      </c>
      <c r="C1898" s="9">
        <v>45517</v>
      </c>
      <c r="D1898" s="8" t="s">
        <v>4659</v>
      </c>
      <c r="E1898" s="8" t="s">
        <v>100</v>
      </c>
      <c r="F1898" s="8" t="s">
        <v>330</v>
      </c>
      <c r="G1898" s="8" t="s">
        <v>28</v>
      </c>
      <c r="H1898" s="8" t="s">
        <v>29</v>
      </c>
      <c r="I1898" s="8" t="s">
        <v>4978</v>
      </c>
      <c r="J1898" s="10">
        <v>707</v>
      </c>
      <c r="K1898" s="11">
        <v>1035.53</v>
      </c>
      <c r="L1898" s="11">
        <v>1627.33</v>
      </c>
      <c r="M1898" s="11">
        <v>1150522.31</v>
      </c>
      <c r="N1898" s="11">
        <v>732119.71</v>
      </c>
      <c r="O1898" s="11">
        <f>CleanedData[[#This Row],[Total Sales ($)]]-CleanedData[[#This Row],[Total Cost ($)]]</f>
        <v>418402.60000000009</v>
      </c>
      <c r="P1898" s="12">
        <f>CleanedData[[#This Row],[Profit ($)]]/CleanedData[[#This Row],[Total Sales ($)]]</f>
        <v>0.36366317833506423</v>
      </c>
      <c r="Q1898" s="8" t="s">
        <v>95</v>
      </c>
      <c r="R1898" s="8" t="s">
        <v>32</v>
      </c>
      <c r="S1898" s="8" t="b">
        <f>_xlfn.SINGLE(CleanedData[[#This Row],[Delivery Status]])="Late"</f>
        <v>1</v>
      </c>
      <c r="T1898" s="10">
        <v>13</v>
      </c>
      <c r="U1898" s="8" t="s">
        <v>158</v>
      </c>
      <c r="V1898" s="10">
        <v>1752</v>
      </c>
      <c r="W1898" s="10">
        <v>2</v>
      </c>
      <c r="X1898" s="12">
        <v>2.8288543140027999E-3</v>
      </c>
      <c r="Y1898" s="8" t="b">
        <f>CleanedData[[#This Row],[Ship Date]]&lt;CleanedData[[#This Row],[Order Date]]</f>
        <v>0</v>
      </c>
      <c r="Z1898" s="10">
        <f>YEAR(CleanedData[[#This Row],[Order Date]])</f>
        <v>2024</v>
      </c>
      <c r="AA1898" s="8">
        <f>MONTH(CleanedData[[#This Row],[Order Date]])</f>
        <v>6</v>
      </c>
    </row>
    <row r="1899" spans="1:27" x14ac:dyDescent="0.35">
      <c r="A1899" s="8" t="s">
        <v>4660</v>
      </c>
      <c r="B1899" s="9">
        <v>45216</v>
      </c>
      <c r="C1899" s="9">
        <v>44944</v>
      </c>
      <c r="D1899" s="8" t="s">
        <v>4661</v>
      </c>
      <c r="E1899" s="8" t="s">
        <v>58</v>
      </c>
      <c r="F1899" s="8" t="s">
        <v>259</v>
      </c>
      <c r="G1899" s="8" t="s">
        <v>93</v>
      </c>
      <c r="H1899" s="8" t="s">
        <v>94</v>
      </c>
      <c r="I1899" s="8" t="s">
        <v>4974</v>
      </c>
      <c r="J1899" s="10">
        <v>705</v>
      </c>
      <c r="K1899" s="11">
        <v>318.42</v>
      </c>
      <c r="L1899" s="11">
        <v>422.84</v>
      </c>
      <c r="M1899" s="11">
        <v>298102.2</v>
      </c>
      <c r="N1899" s="11">
        <v>224486.1</v>
      </c>
      <c r="O1899" s="11">
        <f>CleanedData[[#This Row],[Total Sales ($)]]-CleanedData[[#This Row],[Total Cost ($)]]</f>
        <v>73616.100000000006</v>
      </c>
      <c r="P1899" s="12">
        <f>CleanedData[[#This Row],[Profit ($)]]/CleanedData[[#This Row],[Total Sales ($)]]</f>
        <v>0.24694920064326933</v>
      </c>
      <c r="Q1899" s="8" t="s">
        <v>95</v>
      </c>
      <c r="R1899" s="8" t="s">
        <v>63</v>
      </c>
      <c r="S1899" s="8" t="b">
        <f>_xlfn.SINGLE(CleanedData[[#This Row],[Delivery Status]])="Late"</f>
        <v>0</v>
      </c>
      <c r="T1899" s="10">
        <v>5</v>
      </c>
      <c r="U1899" s="8" t="s">
        <v>112</v>
      </c>
      <c r="V1899" s="10">
        <v>2501.41</v>
      </c>
      <c r="W1899" s="10">
        <v>7</v>
      </c>
      <c r="X1899" s="12">
        <v>9.9290780141843005E-3</v>
      </c>
      <c r="Y1899" s="8" t="b">
        <f>CleanedData[[#This Row],[Ship Date]]&lt;CleanedData[[#This Row],[Order Date]]</f>
        <v>1</v>
      </c>
      <c r="Z1899" s="10">
        <f>YEAR(CleanedData[[#This Row],[Order Date]])</f>
        <v>2023</v>
      </c>
      <c r="AA1899" s="8">
        <f>MONTH(CleanedData[[#This Row],[Order Date]])</f>
        <v>10</v>
      </c>
    </row>
    <row r="1900" spans="1:27" x14ac:dyDescent="0.35">
      <c r="A1900" s="8" t="s">
        <v>4662</v>
      </c>
      <c r="B1900" s="9">
        <v>45021</v>
      </c>
      <c r="C1900" s="9">
        <v>45268</v>
      </c>
      <c r="D1900" s="8" t="s">
        <v>4663</v>
      </c>
      <c r="E1900" s="8" t="s">
        <v>26</v>
      </c>
      <c r="F1900" s="8" t="s">
        <v>27</v>
      </c>
      <c r="G1900" s="8" t="s">
        <v>93</v>
      </c>
      <c r="H1900" s="8" t="s">
        <v>485</v>
      </c>
      <c r="I1900" s="8" t="s">
        <v>4968</v>
      </c>
      <c r="J1900" s="10">
        <v>734</v>
      </c>
      <c r="K1900" s="11">
        <v>891.59</v>
      </c>
      <c r="L1900" s="11">
        <v>1027.6600000000001</v>
      </c>
      <c r="M1900" s="11">
        <v>754302.44</v>
      </c>
      <c r="N1900" s="11">
        <v>654427.06000000006</v>
      </c>
      <c r="O1900" s="11">
        <f>CleanedData[[#This Row],[Total Sales ($)]]-CleanedData[[#This Row],[Total Cost ($)]]</f>
        <v>99875.379999999888</v>
      </c>
      <c r="P1900" s="12">
        <f>CleanedData[[#This Row],[Profit ($)]]/CleanedData[[#This Row],[Total Sales ($)]]</f>
        <v>0.13240760562832052</v>
      </c>
      <c r="Q1900" s="8" t="s">
        <v>52</v>
      </c>
      <c r="R1900" s="8" t="s">
        <v>63</v>
      </c>
      <c r="S1900" s="8" t="b">
        <f>_xlfn.SINGLE(CleanedData[[#This Row],[Delivery Status]])="Late"</f>
        <v>0</v>
      </c>
      <c r="T1900" s="10">
        <v>1</v>
      </c>
      <c r="U1900" s="8" t="s">
        <v>33</v>
      </c>
      <c r="V1900" s="10">
        <v>2175</v>
      </c>
      <c r="W1900" s="10">
        <v>1</v>
      </c>
      <c r="X1900" s="12">
        <v>1.3623978201634001E-3</v>
      </c>
      <c r="Y1900" s="8" t="b">
        <f>CleanedData[[#This Row],[Ship Date]]&lt;CleanedData[[#This Row],[Order Date]]</f>
        <v>0</v>
      </c>
      <c r="Z1900" s="10">
        <f>YEAR(CleanedData[[#This Row],[Order Date]])</f>
        <v>2023</v>
      </c>
      <c r="AA1900" s="8">
        <f>MONTH(CleanedData[[#This Row],[Order Date]])</f>
        <v>4</v>
      </c>
    </row>
    <row r="1901" spans="1:27" x14ac:dyDescent="0.35">
      <c r="A1901" s="8" t="s">
        <v>4664</v>
      </c>
      <c r="B1901" s="9">
        <v>44933</v>
      </c>
      <c r="C1901" s="9">
        <v>45212</v>
      </c>
      <c r="D1901" s="8" t="s">
        <v>4665</v>
      </c>
      <c r="E1901" s="8" t="s">
        <v>26</v>
      </c>
      <c r="F1901" s="8" t="s">
        <v>38</v>
      </c>
      <c r="G1901" s="8" t="s">
        <v>39</v>
      </c>
      <c r="H1901" s="8" t="s">
        <v>412</v>
      </c>
      <c r="I1901" s="8" t="s">
        <v>4971</v>
      </c>
      <c r="J1901" s="10">
        <v>276</v>
      </c>
      <c r="K1901" s="11">
        <v>163.22</v>
      </c>
      <c r="L1901" s="11">
        <v>222.52</v>
      </c>
      <c r="M1901" s="11">
        <v>61415.519999999997</v>
      </c>
      <c r="N1901" s="11">
        <v>45048.72</v>
      </c>
      <c r="O1901" s="11">
        <f>CleanedData[[#This Row],[Total Sales ($)]]-CleanedData[[#This Row],[Total Cost ($)]]</f>
        <v>16366.799999999996</v>
      </c>
      <c r="P1901" s="12">
        <f>CleanedData[[#This Row],[Profit ($)]]/CleanedData[[#This Row],[Total Sales ($)]]</f>
        <v>0.26649289951465033</v>
      </c>
      <c r="Q1901" s="8" t="s">
        <v>95</v>
      </c>
      <c r="R1901" s="8" t="s">
        <v>63</v>
      </c>
      <c r="S1901" s="8" t="b">
        <f>_xlfn.SINGLE(CleanedData[[#This Row],[Delivery Status]])="Late"</f>
        <v>0</v>
      </c>
      <c r="T1901" s="10">
        <v>5</v>
      </c>
      <c r="U1901" s="8" t="s">
        <v>112</v>
      </c>
      <c r="V1901" s="10">
        <v>612</v>
      </c>
      <c r="W1901" s="10">
        <v>3</v>
      </c>
      <c r="X1901" s="12">
        <v>1.0869565217391301E-2</v>
      </c>
      <c r="Y1901" s="8" t="b">
        <f>CleanedData[[#This Row],[Ship Date]]&lt;CleanedData[[#This Row],[Order Date]]</f>
        <v>0</v>
      </c>
      <c r="Z1901" s="10">
        <f>YEAR(CleanedData[[#This Row],[Order Date]])</f>
        <v>2023</v>
      </c>
      <c r="AA1901" s="8">
        <f>MONTH(CleanedData[[#This Row],[Order Date]])</f>
        <v>1</v>
      </c>
    </row>
    <row r="1902" spans="1:27" x14ac:dyDescent="0.35">
      <c r="A1902" s="8" t="s">
        <v>4666</v>
      </c>
      <c r="B1902" s="9">
        <v>45434</v>
      </c>
      <c r="C1902" s="9">
        <v>45538</v>
      </c>
      <c r="D1902" s="8" t="s">
        <v>4667</v>
      </c>
      <c r="E1902" s="8" t="s">
        <v>26</v>
      </c>
      <c r="F1902" s="8" t="s">
        <v>228</v>
      </c>
      <c r="G1902" s="8" t="s">
        <v>93</v>
      </c>
      <c r="H1902" s="8" t="s">
        <v>1442</v>
      </c>
      <c r="I1902" s="8" t="s">
        <v>4974</v>
      </c>
      <c r="J1902" s="10">
        <v>457</v>
      </c>
      <c r="K1902" s="11">
        <v>639.29999999999995</v>
      </c>
      <c r="L1902" s="11">
        <v>1023.88</v>
      </c>
      <c r="M1902" s="11">
        <v>467913.16</v>
      </c>
      <c r="N1902" s="11">
        <v>292160.09999999998</v>
      </c>
      <c r="O1902" s="11">
        <f>CleanedData[[#This Row],[Total Sales ($)]]-CleanedData[[#This Row],[Total Cost ($)]]</f>
        <v>175753.06</v>
      </c>
      <c r="P1902" s="12">
        <f>CleanedData[[#This Row],[Profit ($)]]/CleanedData[[#This Row],[Total Sales ($)]]</f>
        <v>0.37561042309645665</v>
      </c>
      <c r="Q1902" s="8" t="s">
        <v>31</v>
      </c>
      <c r="R1902" s="8" t="s">
        <v>32</v>
      </c>
      <c r="S1902" s="8" t="b">
        <f>_xlfn.SINGLE(CleanedData[[#This Row],[Delivery Status]])="Late"</f>
        <v>1</v>
      </c>
      <c r="T1902" s="10">
        <v>8</v>
      </c>
      <c r="U1902" s="8" t="s">
        <v>33</v>
      </c>
      <c r="V1902" s="10">
        <v>1556</v>
      </c>
      <c r="W1902" s="10">
        <v>0</v>
      </c>
      <c r="X1902" s="12">
        <v>0</v>
      </c>
      <c r="Y1902" s="8" t="b">
        <f>CleanedData[[#This Row],[Ship Date]]&lt;CleanedData[[#This Row],[Order Date]]</f>
        <v>0</v>
      </c>
      <c r="Z1902" s="10">
        <f>YEAR(CleanedData[[#This Row],[Order Date]])</f>
        <v>2024</v>
      </c>
      <c r="AA1902" s="8">
        <f>MONTH(CleanedData[[#This Row],[Order Date]])</f>
        <v>5</v>
      </c>
    </row>
    <row r="1903" spans="1:27" x14ac:dyDescent="0.35">
      <c r="A1903" s="8" t="s">
        <v>4668</v>
      </c>
      <c r="B1903" s="9">
        <v>45191</v>
      </c>
      <c r="C1903" s="9">
        <v>45154</v>
      </c>
      <c r="D1903" s="8" t="s">
        <v>4669</v>
      </c>
      <c r="E1903" s="8" t="s">
        <v>68</v>
      </c>
      <c r="F1903" s="8" t="s">
        <v>69</v>
      </c>
      <c r="G1903" s="8" t="s">
        <v>39</v>
      </c>
      <c r="H1903" s="8" t="s">
        <v>354</v>
      </c>
      <c r="I1903" s="8" t="s">
        <v>4971</v>
      </c>
      <c r="J1903" s="10">
        <v>522</v>
      </c>
      <c r="K1903" s="11">
        <v>357.64</v>
      </c>
      <c r="L1903" s="11">
        <v>581.16999999999996</v>
      </c>
      <c r="M1903" s="11">
        <v>303370.74</v>
      </c>
      <c r="N1903" s="11">
        <v>186688.08</v>
      </c>
      <c r="O1903" s="11">
        <f>CleanedData[[#This Row],[Total Sales ($)]]-CleanedData[[#This Row],[Total Cost ($)]]</f>
        <v>116682.66</v>
      </c>
      <c r="P1903" s="12">
        <f>CleanedData[[#This Row],[Profit ($)]]/CleanedData[[#This Row],[Total Sales ($)]]</f>
        <v>0.38462067897517083</v>
      </c>
      <c r="Q1903" s="8" t="s">
        <v>42</v>
      </c>
      <c r="R1903" s="8" t="s">
        <v>63</v>
      </c>
      <c r="S1903" s="8" t="b">
        <f>_xlfn.SINGLE(CleanedData[[#This Row],[Delivery Status]])="Late"</f>
        <v>0</v>
      </c>
      <c r="T1903" s="10">
        <v>3</v>
      </c>
      <c r="U1903" s="8" t="s">
        <v>112</v>
      </c>
      <c r="V1903" s="10">
        <v>2573</v>
      </c>
      <c r="W1903" s="10">
        <v>7</v>
      </c>
      <c r="X1903" s="12">
        <v>1.34099616858237E-2</v>
      </c>
      <c r="Y1903" s="8" t="b">
        <f>CleanedData[[#This Row],[Ship Date]]&lt;CleanedData[[#This Row],[Order Date]]</f>
        <v>1</v>
      </c>
      <c r="Z1903" s="10">
        <f>YEAR(CleanedData[[#This Row],[Order Date]])</f>
        <v>2023</v>
      </c>
      <c r="AA1903" s="8">
        <f>MONTH(CleanedData[[#This Row],[Order Date]])</f>
        <v>9</v>
      </c>
    </row>
    <row r="1904" spans="1:27" x14ac:dyDescent="0.35">
      <c r="A1904" s="8" t="s">
        <v>4670</v>
      </c>
      <c r="B1904" s="9">
        <v>45078</v>
      </c>
      <c r="C1904" s="9">
        <v>45051</v>
      </c>
      <c r="D1904" s="8" t="s">
        <v>4671</v>
      </c>
      <c r="E1904" s="8" t="s">
        <v>58</v>
      </c>
      <c r="F1904" s="8" t="s">
        <v>59</v>
      </c>
      <c r="G1904" s="8" t="s">
        <v>70</v>
      </c>
      <c r="H1904" s="8" t="s">
        <v>623</v>
      </c>
      <c r="I1904" s="8" t="s">
        <v>4979</v>
      </c>
      <c r="J1904" s="10">
        <v>373</v>
      </c>
      <c r="K1904" s="11">
        <v>68.56</v>
      </c>
      <c r="L1904" s="11">
        <v>98.73</v>
      </c>
      <c r="M1904" s="11">
        <v>36826.29</v>
      </c>
      <c r="N1904" s="11">
        <v>25572.880000000001</v>
      </c>
      <c r="O1904" s="11">
        <f>CleanedData[[#This Row],[Total Sales ($)]]-CleanedData[[#This Row],[Total Cost ($)]]</f>
        <v>11253.41</v>
      </c>
      <c r="P1904" s="12">
        <f>CleanedData[[#This Row],[Profit ($)]]/CleanedData[[#This Row],[Total Sales ($)]]</f>
        <v>0.30558087713967386</v>
      </c>
      <c r="Q1904" s="8" t="s">
        <v>42</v>
      </c>
      <c r="R1904" s="8" t="s">
        <v>63</v>
      </c>
      <c r="S1904" s="8" t="b">
        <f>_xlfn.SINGLE(CleanedData[[#This Row],[Delivery Status]])="Late"</f>
        <v>0</v>
      </c>
      <c r="T1904" s="10">
        <v>4</v>
      </c>
      <c r="U1904" s="8" t="s">
        <v>158</v>
      </c>
      <c r="V1904" s="10">
        <v>678</v>
      </c>
      <c r="W1904" s="10">
        <v>15</v>
      </c>
      <c r="X1904" s="12">
        <v>4.0214477211796197E-2</v>
      </c>
      <c r="Y1904" s="8" t="b">
        <f>CleanedData[[#This Row],[Ship Date]]&lt;CleanedData[[#This Row],[Order Date]]</f>
        <v>1</v>
      </c>
      <c r="Z1904" s="10">
        <f>YEAR(CleanedData[[#This Row],[Order Date]])</f>
        <v>2023</v>
      </c>
      <c r="AA1904" s="8">
        <f>MONTH(CleanedData[[#This Row],[Order Date]])</f>
        <v>6</v>
      </c>
    </row>
    <row r="1905" spans="1:27" x14ac:dyDescent="0.35">
      <c r="A1905" s="8" t="s">
        <v>4672</v>
      </c>
      <c r="B1905" s="9">
        <v>45327</v>
      </c>
      <c r="C1905" s="9">
        <v>45646</v>
      </c>
      <c r="D1905" s="8" t="s">
        <v>4673</v>
      </c>
      <c r="E1905" s="8" t="s">
        <v>48</v>
      </c>
      <c r="F1905" s="8" t="s">
        <v>4972</v>
      </c>
      <c r="G1905" s="8" t="s">
        <v>28</v>
      </c>
      <c r="H1905" s="8" t="s">
        <v>111</v>
      </c>
      <c r="I1905" s="8" t="s">
        <v>4967</v>
      </c>
      <c r="J1905" s="10">
        <v>130</v>
      </c>
      <c r="K1905" s="11">
        <v>250.19</v>
      </c>
      <c r="L1905" s="11">
        <v>333.94</v>
      </c>
      <c r="M1905" s="11">
        <v>43412.2</v>
      </c>
      <c r="N1905" s="11">
        <v>32524.7</v>
      </c>
      <c r="O1905" s="11">
        <f>CleanedData[[#This Row],[Total Sales ($)]]-CleanedData[[#This Row],[Total Cost ($)]]</f>
        <v>10887.499999999996</v>
      </c>
      <c r="P1905" s="12">
        <f>CleanedData[[#This Row],[Profit ($)]]/CleanedData[[#This Row],[Total Sales ($)]]</f>
        <v>0.25079355572857392</v>
      </c>
      <c r="Q1905" s="8" t="s">
        <v>31</v>
      </c>
      <c r="R1905" s="8" t="s">
        <v>63</v>
      </c>
      <c r="S1905" s="8" t="b">
        <f>_xlfn.SINGLE(CleanedData[[#This Row],[Delivery Status]])="Late"</f>
        <v>0</v>
      </c>
      <c r="T1905" s="10">
        <v>5</v>
      </c>
      <c r="U1905" s="8" t="s">
        <v>86</v>
      </c>
      <c r="V1905" s="10">
        <v>2778</v>
      </c>
      <c r="W1905" s="10">
        <v>2</v>
      </c>
      <c r="X1905" s="12">
        <v>1.53846153846153E-2</v>
      </c>
      <c r="Y1905" s="8" t="b">
        <f>CleanedData[[#This Row],[Ship Date]]&lt;CleanedData[[#This Row],[Order Date]]</f>
        <v>0</v>
      </c>
      <c r="Z1905" s="10">
        <f>YEAR(CleanedData[[#This Row],[Order Date]])</f>
        <v>2024</v>
      </c>
      <c r="AA1905" s="8">
        <f>MONTH(CleanedData[[#This Row],[Order Date]])</f>
        <v>2</v>
      </c>
    </row>
    <row r="1906" spans="1:27" x14ac:dyDescent="0.35">
      <c r="A1906" s="8" t="s">
        <v>4674</v>
      </c>
      <c r="B1906" s="9">
        <v>45143</v>
      </c>
      <c r="C1906" s="9">
        <v>44986</v>
      </c>
      <c r="D1906" s="8" t="s">
        <v>4675</v>
      </c>
      <c r="E1906" s="8" t="s">
        <v>26</v>
      </c>
      <c r="F1906" s="8" t="s">
        <v>27</v>
      </c>
      <c r="G1906" s="8" t="s">
        <v>60</v>
      </c>
      <c r="H1906" s="8" t="s">
        <v>539</v>
      </c>
      <c r="I1906" s="8" t="s">
        <v>4975</v>
      </c>
      <c r="J1906" s="10">
        <v>337</v>
      </c>
      <c r="K1906" s="11">
        <v>27.74</v>
      </c>
      <c r="L1906" s="11">
        <v>44.5</v>
      </c>
      <c r="M1906" s="11">
        <v>14996.5</v>
      </c>
      <c r="N1906" s="11">
        <v>9348.3799999999992</v>
      </c>
      <c r="O1906" s="11">
        <f>CleanedData[[#This Row],[Total Sales ($)]]-CleanedData[[#This Row],[Total Cost ($)]]</f>
        <v>5648.1200000000008</v>
      </c>
      <c r="P1906" s="12">
        <f>CleanedData[[#This Row],[Profit ($)]]/CleanedData[[#This Row],[Total Sales ($)]]</f>
        <v>0.3766292134831461</v>
      </c>
      <c r="Q1906" s="8" t="s">
        <v>42</v>
      </c>
      <c r="R1906" s="8" t="s">
        <v>32</v>
      </c>
      <c r="S1906" s="8" t="b">
        <f>_xlfn.SINGLE(CleanedData[[#This Row],[Delivery Status]])="Late"</f>
        <v>1</v>
      </c>
      <c r="T1906" s="10">
        <v>15</v>
      </c>
      <c r="U1906" s="8" t="s">
        <v>33</v>
      </c>
      <c r="V1906" s="10">
        <v>3235</v>
      </c>
      <c r="W1906" s="10">
        <v>7</v>
      </c>
      <c r="X1906" s="12">
        <v>2.0771513353115698E-2</v>
      </c>
      <c r="Y1906" s="8" t="b">
        <f>CleanedData[[#This Row],[Ship Date]]&lt;CleanedData[[#This Row],[Order Date]]</f>
        <v>1</v>
      </c>
      <c r="Z1906" s="10">
        <f>YEAR(CleanedData[[#This Row],[Order Date]])</f>
        <v>2023</v>
      </c>
      <c r="AA1906" s="8">
        <f>MONTH(CleanedData[[#This Row],[Order Date]])</f>
        <v>8</v>
      </c>
    </row>
    <row r="1907" spans="1:27" x14ac:dyDescent="0.35">
      <c r="A1907" s="8" t="s">
        <v>4676</v>
      </c>
      <c r="B1907" s="9">
        <v>45036</v>
      </c>
      <c r="C1907" s="9">
        <v>44973</v>
      </c>
      <c r="D1907" s="8" t="s">
        <v>4677</v>
      </c>
      <c r="E1907" s="8" t="s">
        <v>58</v>
      </c>
      <c r="F1907" s="8" t="s">
        <v>259</v>
      </c>
      <c r="G1907" s="8" t="s">
        <v>129</v>
      </c>
      <c r="H1907" s="8" t="s">
        <v>811</v>
      </c>
      <c r="I1907" s="8" t="s">
        <v>4974</v>
      </c>
      <c r="J1907" s="10">
        <v>653</v>
      </c>
      <c r="K1907" s="11">
        <v>453.83</v>
      </c>
      <c r="L1907" s="11">
        <v>517.05999999999995</v>
      </c>
      <c r="M1907" s="11">
        <v>337640.18</v>
      </c>
      <c r="N1907" s="11">
        <v>296350.99</v>
      </c>
      <c r="O1907" s="11">
        <f>CleanedData[[#This Row],[Total Sales ($)]]-CleanedData[[#This Row],[Total Cost ($)]]</f>
        <v>41289.19</v>
      </c>
      <c r="P1907" s="12">
        <f>CleanedData[[#This Row],[Profit ($)]]/CleanedData[[#This Row],[Total Sales ($)]]</f>
        <v>0.12228754883379106</v>
      </c>
      <c r="Q1907" s="8" t="s">
        <v>42</v>
      </c>
      <c r="R1907" s="8" t="s">
        <v>32</v>
      </c>
      <c r="S1907" s="8" t="b">
        <f>_xlfn.SINGLE(CleanedData[[#This Row],[Delivery Status]])="Late"</f>
        <v>1</v>
      </c>
      <c r="T1907" s="10">
        <v>10</v>
      </c>
      <c r="U1907" s="8" t="s">
        <v>86</v>
      </c>
      <c r="V1907" s="10">
        <v>4663</v>
      </c>
      <c r="W1907" s="10">
        <v>25</v>
      </c>
      <c r="X1907" s="12">
        <v>3.82848392036753E-2</v>
      </c>
      <c r="Y1907" s="8" t="b">
        <f>CleanedData[[#This Row],[Ship Date]]&lt;CleanedData[[#This Row],[Order Date]]</f>
        <v>1</v>
      </c>
      <c r="Z1907" s="10">
        <f>YEAR(CleanedData[[#This Row],[Order Date]])</f>
        <v>2023</v>
      </c>
      <c r="AA1907" s="8">
        <f>MONTH(CleanedData[[#This Row],[Order Date]])</f>
        <v>4</v>
      </c>
    </row>
    <row r="1908" spans="1:27" x14ac:dyDescent="0.35">
      <c r="A1908" s="8" t="s">
        <v>4678</v>
      </c>
      <c r="B1908" s="9">
        <v>45552</v>
      </c>
      <c r="C1908" s="9">
        <v>45571</v>
      </c>
      <c r="D1908" s="8" t="s">
        <v>4680</v>
      </c>
      <c r="E1908" s="8" t="s">
        <v>48</v>
      </c>
      <c r="F1908" s="8" t="s">
        <v>49</v>
      </c>
      <c r="G1908" s="8" t="s">
        <v>70</v>
      </c>
      <c r="H1908" s="8" t="s">
        <v>623</v>
      </c>
      <c r="I1908" s="8" t="s">
        <v>4970</v>
      </c>
      <c r="J1908" s="10">
        <v>289</v>
      </c>
      <c r="K1908" s="11">
        <v>722.05</v>
      </c>
      <c r="L1908" s="11">
        <v>856.86</v>
      </c>
      <c r="M1908" s="11">
        <v>247632.54</v>
      </c>
      <c r="N1908" s="11">
        <v>208672.45</v>
      </c>
      <c r="O1908" s="11">
        <f>CleanedData[[#This Row],[Total Sales ($)]]-CleanedData[[#This Row],[Total Cost ($)]]</f>
        <v>38960.089999999997</v>
      </c>
      <c r="P1908" s="12">
        <f>CleanedData[[#This Row],[Profit ($)]]/CleanedData[[#This Row],[Total Sales ($)]]</f>
        <v>0.15733025231659778</v>
      </c>
      <c r="Q1908" s="8" t="s">
        <v>52</v>
      </c>
      <c r="R1908" s="8" t="s">
        <v>32</v>
      </c>
      <c r="S1908" s="8" t="b">
        <f>_xlfn.SINGLE(CleanedData[[#This Row],[Delivery Status]])="Late"</f>
        <v>1</v>
      </c>
      <c r="T1908" s="10">
        <v>10</v>
      </c>
      <c r="U1908" s="8" t="s">
        <v>158</v>
      </c>
      <c r="V1908" s="10">
        <v>1931</v>
      </c>
      <c r="W1908" s="10">
        <v>5</v>
      </c>
      <c r="X1908" s="12">
        <v>1.73010380622837E-2</v>
      </c>
      <c r="Y1908" s="8" t="b">
        <f>CleanedData[[#This Row],[Ship Date]]&lt;CleanedData[[#This Row],[Order Date]]</f>
        <v>0</v>
      </c>
      <c r="Z1908" s="10">
        <f>YEAR(CleanedData[[#This Row],[Order Date]])</f>
        <v>2024</v>
      </c>
      <c r="AA1908" s="8">
        <f>MONTH(CleanedData[[#This Row],[Order Date]])</f>
        <v>9</v>
      </c>
    </row>
    <row r="1909" spans="1:27" x14ac:dyDescent="0.35">
      <c r="A1909" s="8" t="s">
        <v>4681</v>
      </c>
      <c r="B1909" s="9">
        <v>45145</v>
      </c>
      <c r="C1909" s="9">
        <v>45194</v>
      </c>
      <c r="D1909" s="8" t="s">
        <v>4683</v>
      </c>
      <c r="E1909" s="8" t="s">
        <v>68</v>
      </c>
      <c r="F1909" s="8" t="s">
        <v>249</v>
      </c>
      <c r="G1909" s="8" t="s">
        <v>60</v>
      </c>
      <c r="H1909" s="8" t="s">
        <v>164</v>
      </c>
      <c r="I1909" s="8" t="s">
        <v>4973</v>
      </c>
      <c r="J1909" s="10">
        <v>380</v>
      </c>
      <c r="K1909" s="11">
        <v>924.6</v>
      </c>
      <c r="L1909" s="11">
        <v>1469.71</v>
      </c>
      <c r="M1909" s="11">
        <v>558489.80000000005</v>
      </c>
      <c r="N1909" s="11">
        <v>351348</v>
      </c>
      <c r="O1909" s="11">
        <f>CleanedData[[#This Row],[Total Sales ($)]]-CleanedData[[#This Row],[Total Cost ($)]]</f>
        <v>207141.80000000005</v>
      </c>
      <c r="P1909" s="12">
        <f>CleanedData[[#This Row],[Profit ($)]]/CleanedData[[#This Row],[Total Sales ($)]]</f>
        <v>0.37089629926992407</v>
      </c>
      <c r="Q1909" s="8" t="s">
        <v>42</v>
      </c>
      <c r="R1909" s="8" t="s">
        <v>32</v>
      </c>
      <c r="S1909" s="8" t="b">
        <f>_xlfn.SINGLE(CleanedData[[#This Row],[Delivery Status]])="Late"</f>
        <v>1</v>
      </c>
      <c r="T1909" s="10">
        <v>11</v>
      </c>
      <c r="U1909" s="8" t="s">
        <v>112</v>
      </c>
      <c r="V1909" s="10">
        <v>1382</v>
      </c>
      <c r="W1909" s="10">
        <v>10</v>
      </c>
      <c r="X1909" s="12">
        <v>2.6315789473684199E-2</v>
      </c>
      <c r="Y1909" s="8" t="b">
        <f>CleanedData[[#This Row],[Ship Date]]&lt;CleanedData[[#This Row],[Order Date]]</f>
        <v>0</v>
      </c>
      <c r="Z1909" s="10">
        <f>YEAR(CleanedData[[#This Row],[Order Date]])</f>
        <v>2023</v>
      </c>
      <c r="AA1909" s="8">
        <f>MONTH(CleanedData[[#This Row],[Order Date]])</f>
        <v>8</v>
      </c>
    </row>
    <row r="1910" spans="1:27" x14ac:dyDescent="0.35">
      <c r="A1910" s="8" t="s">
        <v>4684</v>
      </c>
      <c r="B1910" s="9">
        <v>45127</v>
      </c>
      <c r="C1910" s="9">
        <v>44960</v>
      </c>
      <c r="D1910" s="8" t="s">
        <v>4685</v>
      </c>
      <c r="E1910" s="8" t="s">
        <v>68</v>
      </c>
      <c r="F1910" s="8" t="s">
        <v>276</v>
      </c>
      <c r="G1910" s="8" t="s">
        <v>39</v>
      </c>
      <c r="H1910" s="8" t="s">
        <v>647</v>
      </c>
      <c r="I1910" s="8" t="s">
        <v>4968</v>
      </c>
      <c r="J1910" s="10">
        <v>162</v>
      </c>
      <c r="K1910" s="11">
        <v>751.71</v>
      </c>
      <c r="L1910" s="11">
        <v>1087.05</v>
      </c>
      <c r="M1910" s="11">
        <v>176102.1</v>
      </c>
      <c r="N1910" s="11">
        <v>121777.02</v>
      </c>
      <c r="O1910" s="11">
        <f>CleanedData[[#This Row],[Total Sales ($)]]-CleanedData[[#This Row],[Total Cost ($)]]</f>
        <v>54325.08</v>
      </c>
      <c r="P1910" s="12">
        <f>CleanedData[[#This Row],[Profit ($)]]/CleanedData[[#This Row],[Total Sales ($)]]</f>
        <v>0.30848627018076447</v>
      </c>
      <c r="Q1910" s="8" t="s">
        <v>31</v>
      </c>
      <c r="R1910" s="8" t="s">
        <v>32</v>
      </c>
      <c r="S1910" s="8" t="b">
        <f>_xlfn.SINGLE(CleanedData[[#This Row],[Delivery Status]])="Late"</f>
        <v>1</v>
      </c>
      <c r="T1910" s="10">
        <v>15</v>
      </c>
      <c r="U1910" s="8" t="s">
        <v>112</v>
      </c>
      <c r="V1910" s="10">
        <v>8</v>
      </c>
      <c r="W1910" s="10">
        <v>7</v>
      </c>
      <c r="X1910" s="12">
        <v>4.3209876543209798E-2</v>
      </c>
      <c r="Y1910" s="8" t="b">
        <f>CleanedData[[#This Row],[Ship Date]]&lt;CleanedData[[#This Row],[Order Date]]</f>
        <v>1</v>
      </c>
      <c r="Z1910" s="10">
        <f>YEAR(CleanedData[[#This Row],[Order Date]])</f>
        <v>2023</v>
      </c>
      <c r="AA1910" s="8">
        <f>MONTH(CleanedData[[#This Row],[Order Date]])</f>
        <v>7</v>
      </c>
    </row>
    <row r="1911" spans="1:27" x14ac:dyDescent="0.35">
      <c r="A1911" s="8" t="s">
        <v>4686</v>
      </c>
      <c r="B1911" s="9">
        <v>45156</v>
      </c>
      <c r="C1911" s="9">
        <v>44964</v>
      </c>
      <c r="D1911" s="8" t="s">
        <v>4687</v>
      </c>
      <c r="E1911" s="8" t="s">
        <v>26</v>
      </c>
      <c r="F1911" s="8" t="s">
        <v>77</v>
      </c>
      <c r="G1911" s="8" t="s">
        <v>93</v>
      </c>
      <c r="H1911" s="8" t="s">
        <v>643</v>
      </c>
      <c r="I1911" s="8" t="s">
        <v>4975</v>
      </c>
      <c r="J1911" s="10">
        <v>66</v>
      </c>
      <c r="K1911" s="11"/>
      <c r="L1911" s="11">
        <v>1299.3399999999999</v>
      </c>
      <c r="M1911" s="11">
        <v>85756.44</v>
      </c>
      <c r="N1911" s="11">
        <v>74527.86</v>
      </c>
      <c r="O1911" s="11">
        <f>CleanedData[[#This Row],[Total Sales ($)]]-CleanedData[[#This Row],[Total Cost ($)]]</f>
        <v>11228.580000000002</v>
      </c>
      <c r="P1911" s="12">
        <f>CleanedData[[#This Row],[Profit ($)]]/CleanedData[[#This Row],[Total Sales ($)]]</f>
        <v>0.13093570581987779</v>
      </c>
      <c r="Q1911" s="8" t="s">
        <v>31</v>
      </c>
      <c r="R1911" s="8" t="s">
        <v>63</v>
      </c>
      <c r="S1911" s="8" t="b">
        <f>_xlfn.SINGLE(CleanedData[[#This Row],[Delivery Status]])="Late"</f>
        <v>0</v>
      </c>
      <c r="T1911" s="10">
        <v>5</v>
      </c>
      <c r="U1911" s="8" t="s">
        <v>86</v>
      </c>
      <c r="V1911" s="10">
        <v>601</v>
      </c>
      <c r="W1911" s="10"/>
      <c r="X1911" s="12"/>
      <c r="Y1911" s="8" t="b">
        <f>CleanedData[[#This Row],[Ship Date]]&lt;CleanedData[[#This Row],[Order Date]]</f>
        <v>1</v>
      </c>
      <c r="Z1911" s="10">
        <f>YEAR(CleanedData[[#This Row],[Order Date]])</f>
        <v>2023</v>
      </c>
      <c r="AA1911" s="8">
        <f>MONTH(CleanedData[[#This Row],[Order Date]])</f>
        <v>8</v>
      </c>
    </row>
    <row r="1912" spans="1:27" x14ac:dyDescent="0.35">
      <c r="A1912" s="8" t="s">
        <v>4688</v>
      </c>
      <c r="B1912" s="9">
        <v>45012</v>
      </c>
      <c r="C1912" s="9">
        <v>45163</v>
      </c>
      <c r="D1912" s="8" t="s">
        <v>4690</v>
      </c>
      <c r="E1912" s="8" t="s">
        <v>58</v>
      </c>
      <c r="F1912" s="8" t="s">
        <v>59</v>
      </c>
      <c r="G1912" s="8" t="s">
        <v>70</v>
      </c>
      <c r="H1912" s="8" t="s">
        <v>623</v>
      </c>
      <c r="I1912" s="8" t="s">
        <v>4973</v>
      </c>
      <c r="J1912" s="10">
        <v>730</v>
      </c>
      <c r="K1912" s="11">
        <v>375.06</v>
      </c>
      <c r="L1912" s="11">
        <v>457.97</v>
      </c>
      <c r="M1912" s="11">
        <v>334318.09999999998</v>
      </c>
      <c r="N1912" s="11">
        <v>273793.8</v>
      </c>
      <c r="O1912" s="11">
        <f>CleanedData[[#This Row],[Total Sales ($)]]-CleanedData[[#This Row],[Total Cost ($)]]</f>
        <v>60524.299999999988</v>
      </c>
      <c r="P1912" s="12">
        <f>CleanedData[[#This Row],[Profit ($)]]/CleanedData[[#This Row],[Total Sales ($)]]</f>
        <v>0.18103805926152367</v>
      </c>
      <c r="Q1912" s="8" t="s">
        <v>42</v>
      </c>
      <c r="R1912" s="8" t="s">
        <v>63</v>
      </c>
      <c r="S1912" s="8" t="b">
        <f>_xlfn.SINGLE(CleanedData[[#This Row],[Delivery Status]])="Late"</f>
        <v>0</v>
      </c>
      <c r="T1912" s="10">
        <v>5</v>
      </c>
      <c r="U1912" s="8" t="s">
        <v>86</v>
      </c>
      <c r="V1912" s="10">
        <v>3103</v>
      </c>
      <c r="W1912" s="10">
        <v>7</v>
      </c>
      <c r="X1912" s="12">
        <v>9.5890410958903993E-3</v>
      </c>
      <c r="Y1912" s="8" t="b">
        <f>CleanedData[[#This Row],[Ship Date]]&lt;CleanedData[[#This Row],[Order Date]]</f>
        <v>0</v>
      </c>
      <c r="Z1912" s="10">
        <f>YEAR(CleanedData[[#This Row],[Order Date]])</f>
        <v>2023</v>
      </c>
      <c r="AA1912" s="8">
        <f>MONTH(CleanedData[[#This Row],[Order Date]])</f>
        <v>3</v>
      </c>
    </row>
    <row r="1913" spans="1:27" x14ac:dyDescent="0.35">
      <c r="A1913" s="8" t="s">
        <v>4691</v>
      </c>
      <c r="B1913" s="9">
        <v>45200</v>
      </c>
      <c r="C1913" s="9">
        <v>45101</v>
      </c>
      <c r="D1913" s="8" t="s">
        <v>4692</v>
      </c>
      <c r="E1913" s="8" t="s">
        <v>100</v>
      </c>
      <c r="F1913" s="8" t="s">
        <v>238</v>
      </c>
      <c r="G1913" s="8" t="s">
        <v>217</v>
      </c>
      <c r="H1913" s="8" t="s">
        <v>494</v>
      </c>
      <c r="I1913" s="8" t="s">
        <v>4969</v>
      </c>
      <c r="J1913" s="10">
        <v>526</v>
      </c>
      <c r="K1913" s="11">
        <v>1116.1600000000001</v>
      </c>
      <c r="L1913" s="11">
        <v>1250.1199999999999</v>
      </c>
      <c r="M1913" s="11">
        <v>657563.12</v>
      </c>
      <c r="N1913" s="11">
        <v>587100.16000000003</v>
      </c>
      <c r="O1913" s="11">
        <f>CleanedData[[#This Row],[Total Sales ($)]]-CleanedData[[#This Row],[Total Cost ($)]]</f>
        <v>70462.959999999963</v>
      </c>
      <c r="P1913" s="12">
        <f>CleanedData[[#This Row],[Profit ($)]]/CleanedData[[#This Row],[Total Sales ($)]]</f>
        <v>0.10715771285956542</v>
      </c>
      <c r="Q1913" s="8" t="s">
        <v>42</v>
      </c>
      <c r="R1913" s="8" t="s">
        <v>63</v>
      </c>
      <c r="S1913" s="8" t="b">
        <f>_xlfn.SINGLE(CleanedData[[#This Row],[Delivery Status]])="Late"</f>
        <v>0</v>
      </c>
      <c r="T1913" s="10">
        <v>2</v>
      </c>
      <c r="U1913" s="8" t="s">
        <v>112</v>
      </c>
      <c r="V1913" s="10">
        <v>712</v>
      </c>
      <c r="W1913" s="10">
        <v>14</v>
      </c>
      <c r="X1913" s="12">
        <v>2.6615969581748999E-2</v>
      </c>
      <c r="Y1913" s="8" t="b">
        <f>CleanedData[[#This Row],[Ship Date]]&lt;CleanedData[[#This Row],[Order Date]]</f>
        <v>1</v>
      </c>
      <c r="Z1913" s="10">
        <f>YEAR(CleanedData[[#This Row],[Order Date]])</f>
        <v>2023</v>
      </c>
      <c r="AA1913" s="8">
        <f>MONTH(CleanedData[[#This Row],[Order Date]])</f>
        <v>10</v>
      </c>
    </row>
    <row r="1914" spans="1:27" x14ac:dyDescent="0.35">
      <c r="A1914" s="8" t="s">
        <v>4693</v>
      </c>
      <c r="B1914" s="9">
        <v>45495</v>
      </c>
      <c r="C1914" s="9">
        <v>45399</v>
      </c>
      <c r="D1914" s="8" t="s">
        <v>4694</v>
      </c>
      <c r="E1914" s="8" t="s">
        <v>26</v>
      </c>
      <c r="F1914" s="8" t="s">
        <v>92</v>
      </c>
      <c r="G1914" s="8" t="s">
        <v>39</v>
      </c>
      <c r="H1914" s="8" t="s">
        <v>40</v>
      </c>
      <c r="I1914" s="8" t="s">
        <v>4974</v>
      </c>
      <c r="J1914" s="10">
        <v>148</v>
      </c>
      <c r="K1914" s="11">
        <v>1173.8499999999999</v>
      </c>
      <c r="L1914" s="11">
        <v>1385.4</v>
      </c>
      <c r="M1914" s="11">
        <v>205039.2</v>
      </c>
      <c r="N1914" s="11">
        <v>173729.8</v>
      </c>
      <c r="O1914" s="11">
        <f>CleanedData[[#This Row],[Total Sales ($)]]-CleanedData[[#This Row],[Total Cost ($)]]</f>
        <v>31309.400000000023</v>
      </c>
      <c r="P1914" s="12">
        <f>CleanedData[[#This Row],[Profit ($)]]/CleanedData[[#This Row],[Total Sales ($)]]</f>
        <v>0.15269958134834716</v>
      </c>
      <c r="Q1914" s="8" t="s">
        <v>42</v>
      </c>
      <c r="R1914" s="8" t="s">
        <v>63</v>
      </c>
      <c r="S1914" s="8" t="b">
        <f>_xlfn.SINGLE(CleanedData[[#This Row],[Delivery Status]])="Late"</f>
        <v>0</v>
      </c>
      <c r="T1914" s="10">
        <v>2</v>
      </c>
      <c r="U1914" s="8" t="s">
        <v>158</v>
      </c>
      <c r="V1914" s="10">
        <v>4603</v>
      </c>
      <c r="W1914" s="10">
        <v>4</v>
      </c>
      <c r="X1914" s="12">
        <v>2.7027027027027001E-2</v>
      </c>
      <c r="Y1914" s="8" t="b">
        <f>CleanedData[[#This Row],[Ship Date]]&lt;CleanedData[[#This Row],[Order Date]]</f>
        <v>1</v>
      </c>
      <c r="Z1914" s="10">
        <f>YEAR(CleanedData[[#This Row],[Order Date]])</f>
        <v>2024</v>
      </c>
      <c r="AA1914" s="8">
        <f>MONTH(CleanedData[[#This Row],[Order Date]])</f>
        <v>7</v>
      </c>
    </row>
    <row r="1915" spans="1:27" x14ac:dyDescent="0.35">
      <c r="A1915" s="8" t="s">
        <v>4695</v>
      </c>
      <c r="B1915" s="9">
        <v>45081</v>
      </c>
      <c r="C1915" s="9">
        <v>44940</v>
      </c>
      <c r="D1915" s="8" t="s">
        <v>4696</v>
      </c>
      <c r="E1915" s="8" t="s">
        <v>68</v>
      </c>
      <c r="F1915" s="8" t="s">
        <v>249</v>
      </c>
      <c r="G1915" s="8" t="s">
        <v>189</v>
      </c>
      <c r="H1915" s="8" t="s">
        <v>365</v>
      </c>
      <c r="I1915" s="8" t="s">
        <v>4977</v>
      </c>
      <c r="J1915" s="10">
        <v>313</v>
      </c>
      <c r="K1915" s="11">
        <v>945.32</v>
      </c>
      <c r="L1915" s="11">
        <v>1299.3</v>
      </c>
      <c r="M1915" s="11">
        <v>406680.9</v>
      </c>
      <c r="N1915" s="11">
        <v>295885.15999999997</v>
      </c>
      <c r="O1915" s="11">
        <f>CleanedData[[#This Row],[Total Sales ($)]]-CleanedData[[#This Row],[Total Cost ($)]]</f>
        <v>110795.74000000005</v>
      </c>
      <c r="P1915" s="12">
        <f>CleanedData[[#This Row],[Profit ($)]]/CleanedData[[#This Row],[Total Sales ($)]]</f>
        <v>0.27243900561841</v>
      </c>
      <c r="Q1915" s="8" t="s">
        <v>52</v>
      </c>
      <c r="R1915" s="8" t="s">
        <v>63</v>
      </c>
      <c r="S1915" s="8" t="b">
        <f>_xlfn.SINGLE(CleanedData[[#This Row],[Delivery Status]])="Late"</f>
        <v>0</v>
      </c>
      <c r="T1915" s="10">
        <v>1</v>
      </c>
      <c r="U1915" s="8" t="s">
        <v>86</v>
      </c>
      <c r="V1915" s="10">
        <v>234</v>
      </c>
      <c r="W1915" s="10">
        <v>8</v>
      </c>
      <c r="X1915" s="12">
        <v>2.55591054313099E-2</v>
      </c>
      <c r="Y1915" s="8" t="b">
        <f>CleanedData[[#This Row],[Ship Date]]&lt;CleanedData[[#This Row],[Order Date]]</f>
        <v>1</v>
      </c>
      <c r="Z1915" s="10">
        <f>YEAR(CleanedData[[#This Row],[Order Date]])</f>
        <v>2023</v>
      </c>
      <c r="AA1915" s="8">
        <f>MONTH(CleanedData[[#This Row],[Order Date]])</f>
        <v>6</v>
      </c>
    </row>
    <row r="1916" spans="1:27" x14ac:dyDescent="0.35">
      <c r="A1916" s="8" t="s">
        <v>4697</v>
      </c>
      <c r="B1916" s="9">
        <v>44986</v>
      </c>
      <c r="C1916" s="9">
        <v>45206</v>
      </c>
      <c r="D1916" s="8" t="s">
        <v>4698</v>
      </c>
      <c r="E1916" s="8" t="s">
        <v>26</v>
      </c>
      <c r="F1916" s="8" t="s">
        <v>92</v>
      </c>
      <c r="G1916" s="8" t="s">
        <v>60</v>
      </c>
      <c r="H1916" s="8" t="s">
        <v>265</v>
      </c>
      <c r="I1916" s="8" t="s">
        <v>4979</v>
      </c>
      <c r="J1916" s="10">
        <v>658</v>
      </c>
      <c r="K1916" s="11">
        <v>151.82</v>
      </c>
      <c r="L1916" s="11">
        <v>208.54</v>
      </c>
      <c r="M1916" s="11">
        <v>137219.32</v>
      </c>
      <c r="N1916" s="11">
        <v>99897.56</v>
      </c>
      <c r="O1916" s="11">
        <f>CleanedData[[#This Row],[Total Sales ($)]]-CleanedData[[#This Row],[Total Cost ($)]]</f>
        <v>37321.760000000009</v>
      </c>
      <c r="P1916" s="12">
        <f>CleanedData[[#This Row],[Profit ($)]]/CleanedData[[#This Row],[Total Sales ($)]]</f>
        <v>0.27198618969981786</v>
      </c>
      <c r="Q1916" s="8" t="s">
        <v>31</v>
      </c>
      <c r="R1916" s="8" t="s">
        <v>32</v>
      </c>
      <c r="S1916" s="8" t="b">
        <f>_xlfn.SINGLE(CleanedData[[#This Row],[Delivery Status]])="Late"</f>
        <v>1</v>
      </c>
      <c r="T1916" s="10">
        <v>10</v>
      </c>
      <c r="U1916" s="8" t="s">
        <v>112</v>
      </c>
      <c r="V1916" s="10">
        <v>1695</v>
      </c>
      <c r="W1916" s="10">
        <v>28</v>
      </c>
      <c r="X1916" s="12">
        <v>4.2553191489361701E-2</v>
      </c>
      <c r="Y1916" s="8" t="b">
        <f>CleanedData[[#This Row],[Ship Date]]&lt;CleanedData[[#This Row],[Order Date]]</f>
        <v>0</v>
      </c>
      <c r="Z1916" s="10">
        <f>YEAR(CleanedData[[#This Row],[Order Date]])</f>
        <v>2023</v>
      </c>
      <c r="AA1916" s="8">
        <f>MONTH(CleanedData[[#This Row],[Order Date]])</f>
        <v>3</v>
      </c>
    </row>
    <row r="1917" spans="1:27" x14ac:dyDescent="0.35">
      <c r="A1917" s="8" t="s">
        <v>4699</v>
      </c>
      <c r="B1917" s="9">
        <v>45458</v>
      </c>
      <c r="C1917" s="9">
        <v>45379</v>
      </c>
      <c r="D1917" s="8" t="s">
        <v>4700</v>
      </c>
      <c r="E1917" s="8" t="s">
        <v>4972</v>
      </c>
      <c r="F1917" s="8" t="s">
        <v>77</v>
      </c>
      <c r="G1917" s="8" t="s">
        <v>129</v>
      </c>
      <c r="H1917" s="8" t="s">
        <v>130</v>
      </c>
      <c r="I1917" s="8" t="s">
        <v>4970</v>
      </c>
      <c r="J1917" s="10">
        <v>443</v>
      </c>
      <c r="K1917" s="11">
        <v>1056.58</v>
      </c>
      <c r="L1917" s="11">
        <v>1223.22</v>
      </c>
      <c r="M1917" s="11">
        <v>541886.46</v>
      </c>
      <c r="N1917" s="11">
        <v>468064.94</v>
      </c>
      <c r="O1917" s="11">
        <f>CleanedData[[#This Row],[Total Sales ($)]]-CleanedData[[#This Row],[Total Cost ($)]]</f>
        <v>73821.51999999996</v>
      </c>
      <c r="P1917" s="12">
        <f>CleanedData[[#This Row],[Profit ($)]]/CleanedData[[#This Row],[Total Sales ($)]]</f>
        <v>0.13623060447016883</v>
      </c>
      <c r="Q1917" s="8" t="s">
        <v>42</v>
      </c>
      <c r="R1917" s="8" t="s">
        <v>63</v>
      </c>
      <c r="S1917" s="8" t="b">
        <f>_xlfn.SINGLE(CleanedData[[#This Row],[Delivery Status]])="Late"</f>
        <v>0</v>
      </c>
      <c r="T1917" s="10">
        <v>4</v>
      </c>
      <c r="U1917" s="8" t="s">
        <v>43</v>
      </c>
      <c r="V1917" s="10">
        <v>2457</v>
      </c>
      <c r="W1917" s="10">
        <v>12</v>
      </c>
      <c r="X1917" s="12">
        <v>2.7088036117381399E-2</v>
      </c>
      <c r="Y1917" s="8" t="b">
        <f>CleanedData[[#This Row],[Ship Date]]&lt;CleanedData[[#This Row],[Order Date]]</f>
        <v>1</v>
      </c>
      <c r="Z1917" s="10">
        <f>YEAR(CleanedData[[#This Row],[Order Date]])</f>
        <v>2024</v>
      </c>
      <c r="AA1917" s="8">
        <f>MONTH(CleanedData[[#This Row],[Order Date]])</f>
        <v>6</v>
      </c>
    </row>
    <row r="1918" spans="1:27" x14ac:dyDescent="0.35">
      <c r="A1918" s="8" t="s">
        <v>4701</v>
      </c>
      <c r="B1918" s="9">
        <v>45433</v>
      </c>
      <c r="C1918" s="9">
        <v>45575</v>
      </c>
      <c r="D1918" s="8" t="s">
        <v>1108</v>
      </c>
      <c r="E1918" s="8" t="s">
        <v>26</v>
      </c>
      <c r="F1918" s="8" t="s">
        <v>38</v>
      </c>
      <c r="G1918" s="8" t="s">
        <v>50</v>
      </c>
      <c r="H1918" s="8" t="s">
        <v>135</v>
      </c>
      <c r="I1918" s="8" t="s">
        <v>4969</v>
      </c>
      <c r="J1918" s="10">
        <v>525</v>
      </c>
      <c r="K1918" s="11">
        <v>312.99</v>
      </c>
      <c r="L1918" s="11">
        <v>438.69</v>
      </c>
      <c r="M1918" s="11">
        <v>230312.25</v>
      </c>
      <c r="N1918" s="11">
        <v>164319.75</v>
      </c>
      <c r="O1918" s="11">
        <f>CleanedData[[#This Row],[Total Sales ($)]]-CleanedData[[#This Row],[Total Cost ($)]]</f>
        <v>65992.5</v>
      </c>
      <c r="P1918" s="12">
        <f>CleanedData[[#This Row],[Profit ($)]]/CleanedData[[#This Row],[Total Sales ($)]]</f>
        <v>0.28653491075702658</v>
      </c>
      <c r="Q1918" s="8" t="s">
        <v>52</v>
      </c>
      <c r="R1918" s="8" t="s">
        <v>32</v>
      </c>
      <c r="S1918" s="8" t="b">
        <f>_xlfn.SINGLE(CleanedData[[#This Row],[Delivery Status]])="Late"</f>
        <v>1</v>
      </c>
      <c r="T1918" s="10">
        <v>6</v>
      </c>
      <c r="U1918" s="8" t="s">
        <v>33</v>
      </c>
      <c r="V1918" s="10">
        <v>2679</v>
      </c>
      <c r="W1918" s="10">
        <v>12</v>
      </c>
      <c r="X1918" s="12">
        <v>2.2857142857142802E-2</v>
      </c>
      <c r="Y1918" s="8" t="b">
        <f>CleanedData[[#This Row],[Ship Date]]&lt;CleanedData[[#This Row],[Order Date]]</f>
        <v>0</v>
      </c>
      <c r="Z1918" s="10">
        <f>YEAR(CleanedData[[#This Row],[Order Date]])</f>
        <v>2024</v>
      </c>
      <c r="AA1918" s="8">
        <f>MONTH(CleanedData[[#This Row],[Order Date]])</f>
        <v>5</v>
      </c>
    </row>
    <row r="1919" spans="1:27" x14ac:dyDescent="0.35">
      <c r="A1919" s="8" t="s">
        <v>4703</v>
      </c>
      <c r="B1919" s="9">
        <v>45238</v>
      </c>
      <c r="C1919" s="9">
        <v>45214</v>
      </c>
      <c r="D1919" s="8" t="s">
        <v>2316</v>
      </c>
      <c r="E1919" s="8" t="s">
        <v>26</v>
      </c>
      <c r="F1919" s="8" t="s">
        <v>38</v>
      </c>
      <c r="G1919" s="8" t="s">
        <v>28</v>
      </c>
      <c r="H1919" s="8" t="s">
        <v>29</v>
      </c>
      <c r="I1919" s="8" t="s">
        <v>4971</v>
      </c>
      <c r="J1919" s="10">
        <v>710</v>
      </c>
      <c r="K1919" s="11">
        <v>156.96</v>
      </c>
      <c r="L1919" s="11">
        <v>249.19</v>
      </c>
      <c r="M1919" s="11">
        <v>176924.9</v>
      </c>
      <c r="N1919" s="11">
        <v>111441.60000000001</v>
      </c>
      <c r="O1919" s="11">
        <f>CleanedData[[#This Row],[Total Sales ($)]]-CleanedData[[#This Row],[Total Cost ($)]]</f>
        <v>65483.299999999988</v>
      </c>
      <c r="P1919" s="12">
        <f>CleanedData[[#This Row],[Profit ($)]]/CleanedData[[#This Row],[Total Sales ($)]]</f>
        <v>0.37011918616316863</v>
      </c>
      <c r="Q1919" s="8" t="s">
        <v>42</v>
      </c>
      <c r="R1919" s="8" t="s">
        <v>32</v>
      </c>
      <c r="S1919" s="8" t="b">
        <f>_xlfn.SINGLE(CleanedData[[#This Row],[Delivery Status]])="Late"</f>
        <v>1</v>
      </c>
      <c r="T1919" s="10">
        <v>6</v>
      </c>
      <c r="U1919" s="8" t="s">
        <v>43</v>
      </c>
      <c r="V1919" s="10">
        <v>724</v>
      </c>
      <c r="W1919" s="10">
        <v>28</v>
      </c>
      <c r="X1919" s="12">
        <v>3.94366197183098E-2</v>
      </c>
      <c r="Y1919" s="8" t="b">
        <f>CleanedData[[#This Row],[Ship Date]]&lt;CleanedData[[#This Row],[Order Date]]</f>
        <v>1</v>
      </c>
      <c r="Z1919" s="10">
        <f>YEAR(CleanedData[[#This Row],[Order Date]])</f>
        <v>2023</v>
      </c>
      <c r="AA1919" s="8">
        <f>MONTH(CleanedData[[#This Row],[Order Date]])</f>
        <v>11</v>
      </c>
    </row>
    <row r="1920" spans="1:27" x14ac:dyDescent="0.35">
      <c r="A1920" s="8" t="s">
        <v>4704</v>
      </c>
      <c r="B1920" s="9">
        <v>44944</v>
      </c>
      <c r="C1920" s="9">
        <v>44954</v>
      </c>
      <c r="D1920" s="8" t="s">
        <v>4705</v>
      </c>
      <c r="E1920" s="8" t="s">
        <v>26</v>
      </c>
      <c r="F1920" s="8" t="s">
        <v>38</v>
      </c>
      <c r="G1920" s="8" t="s">
        <v>70</v>
      </c>
      <c r="H1920" s="8" t="s">
        <v>84</v>
      </c>
      <c r="I1920" s="8" t="s">
        <v>4976</v>
      </c>
      <c r="J1920" s="10">
        <v>461</v>
      </c>
      <c r="K1920" s="11">
        <v>960.68</v>
      </c>
      <c r="L1920" s="11">
        <v>1512.75</v>
      </c>
      <c r="M1920" s="11">
        <v>697377.75</v>
      </c>
      <c r="N1920" s="11">
        <v>442873.48</v>
      </c>
      <c r="O1920" s="11">
        <f>CleanedData[[#This Row],[Total Sales ($)]]-CleanedData[[#This Row],[Total Cost ($)]]</f>
        <v>254504.27000000002</v>
      </c>
      <c r="P1920" s="12">
        <f>CleanedData[[#This Row],[Profit ($)]]/CleanedData[[#This Row],[Total Sales ($)]]</f>
        <v>0.36494463725004134</v>
      </c>
      <c r="Q1920" s="8" t="s">
        <v>31</v>
      </c>
      <c r="R1920" s="8" t="s">
        <v>63</v>
      </c>
      <c r="S1920" s="8" t="b">
        <f>_xlfn.SINGLE(CleanedData[[#This Row],[Delivery Status]])="Late"</f>
        <v>0</v>
      </c>
      <c r="T1920" s="10">
        <v>2</v>
      </c>
      <c r="U1920" s="8" t="s">
        <v>53</v>
      </c>
      <c r="V1920" s="10">
        <v>4500</v>
      </c>
      <c r="W1920" s="10">
        <v>20</v>
      </c>
      <c r="X1920" s="12">
        <v>4.3383947939262403E-2</v>
      </c>
      <c r="Y1920" s="8" t="b">
        <f>CleanedData[[#This Row],[Ship Date]]&lt;CleanedData[[#This Row],[Order Date]]</f>
        <v>0</v>
      </c>
      <c r="Z1920" s="10">
        <f>YEAR(CleanedData[[#This Row],[Order Date]])</f>
        <v>2023</v>
      </c>
      <c r="AA1920" s="8">
        <f>MONTH(CleanedData[[#This Row],[Order Date]])</f>
        <v>1</v>
      </c>
    </row>
    <row r="1921" spans="1:27" x14ac:dyDescent="0.35">
      <c r="A1921" s="8" t="s">
        <v>4706</v>
      </c>
      <c r="B1921" s="9">
        <v>45425</v>
      </c>
      <c r="C1921" s="9">
        <v>45597</v>
      </c>
      <c r="D1921" s="8" t="s">
        <v>4707</v>
      </c>
      <c r="E1921" s="8" t="s">
        <v>58</v>
      </c>
      <c r="F1921" s="8" t="s">
        <v>122</v>
      </c>
      <c r="G1921" s="8" t="s">
        <v>217</v>
      </c>
      <c r="H1921" s="8" t="s">
        <v>494</v>
      </c>
      <c r="I1921" s="8" t="s">
        <v>4976</v>
      </c>
      <c r="J1921" s="10">
        <v>302</v>
      </c>
      <c r="K1921" s="11">
        <v>460.98</v>
      </c>
      <c r="L1921" s="11">
        <v>696.88</v>
      </c>
      <c r="M1921" s="11">
        <v>210457.76</v>
      </c>
      <c r="N1921" s="11">
        <v>139215.96</v>
      </c>
      <c r="O1921" s="11">
        <f>CleanedData[[#This Row],[Total Sales ($)]]-CleanedData[[#This Row],[Total Cost ($)]]</f>
        <v>71241.800000000017</v>
      </c>
      <c r="P1921" s="12">
        <f>CleanedData[[#This Row],[Profit ($)]]/CleanedData[[#This Row],[Total Sales ($)]]</f>
        <v>0.33850878199977047</v>
      </c>
      <c r="Q1921" s="8" t="s">
        <v>42</v>
      </c>
      <c r="R1921" s="8" t="s">
        <v>32</v>
      </c>
      <c r="S1921" s="8" t="b">
        <f>_xlfn.SINGLE(CleanedData[[#This Row],[Delivery Status]])="Late"</f>
        <v>1</v>
      </c>
      <c r="T1921" s="10">
        <v>15</v>
      </c>
      <c r="U1921" s="8" t="s">
        <v>53</v>
      </c>
      <c r="V1921" s="10">
        <v>1773</v>
      </c>
      <c r="W1921" s="10">
        <v>9</v>
      </c>
      <c r="X1921" s="12">
        <v>2.9801324503311199E-2</v>
      </c>
      <c r="Y1921" s="8" t="b">
        <f>CleanedData[[#This Row],[Ship Date]]&lt;CleanedData[[#This Row],[Order Date]]</f>
        <v>0</v>
      </c>
      <c r="Z1921" s="10">
        <f>YEAR(CleanedData[[#This Row],[Order Date]])</f>
        <v>2024</v>
      </c>
      <c r="AA1921" s="8">
        <f>MONTH(CleanedData[[#This Row],[Order Date]])</f>
        <v>5</v>
      </c>
    </row>
    <row r="1922" spans="1:27" x14ac:dyDescent="0.35">
      <c r="A1922" s="8" t="s">
        <v>4708</v>
      </c>
      <c r="B1922" s="9">
        <v>44932</v>
      </c>
      <c r="C1922" s="9">
        <v>44966</v>
      </c>
      <c r="D1922" s="8" t="s">
        <v>3765</v>
      </c>
      <c r="E1922" s="8" t="s">
        <v>26</v>
      </c>
      <c r="F1922" s="8" t="s">
        <v>228</v>
      </c>
      <c r="G1922" s="8" t="s">
        <v>39</v>
      </c>
      <c r="H1922" s="8" t="s">
        <v>527</v>
      </c>
      <c r="I1922" s="8" t="s">
        <v>4979</v>
      </c>
      <c r="J1922" s="10">
        <v>680</v>
      </c>
      <c r="K1922" s="11">
        <v>929.83</v>
      </c>
      <c r="L1922" s="11">
        <v>1053.49</v>
      </c>
      <c r="M1922" s="11">
        <v>716373.2</v>
      </c>
      <c r="N1922" s="11">
        <v>632284.4</v>
      </c>
      <c r="O1922" s="11">
        <f>CleanedData[[#This Row],[Total Sales ($)]]-CleanedData[[#This Row],[Total Cost ($)]]</f>
        <v>84088.79999999993</v>
      </c>
      <c r="P1922" s="12">
        <f>CleanedData[[#This Row],[Profit ($)]]/CleanedData[[#This Row],[Total Sales ($)]]</f>
        <v>0.11738127556977276</v>
      </c>
      <c r="Q1922" s="8" t="s">
        <v>31</v>
      </c>
      <c r="R1922" s="8" t="s">
        <v>63</v>
      </c>
      <c r="S1922" s="8" t="b">
        <f>_xlfn.SINGLE(CleanedData[[#This Row],[Delivery Status]])="Late"</f>
        <v>0</v>
      </c>
      <c r="T1922" s="10">
        <v>4</v>
      </c>
      <c r="U1922" s="8" t="s">
        <v>53</v>
      </c>
      <c r="V1922" s="10">
        <v>333</v>
      </c>
      <c r="W1922" s="10">
        <v>32</v>
      </c>
      <c r="X1922" s="12">
        <v>4.7058823529411702E-2</v>
      </c>
      <c r="Y1922" s="8" t="b">
        <f>CleanedData[[#This Row],[Ship Date]]&lt;CleanedData[[#This Row],[Order Date]]</f>
        <v>0</v>
      </c>
      <c r="Z1922" s="10">
        <f>YEAR(CleanedData[[#This Row],[Order Date]])</f>
        <v>2023</v>
      </c>
      <c r="AA1922" s="8">
        <f>MONTH(CleanedData[[#This Row],[Order Date]])</f>
        <v>1</v>
      </c>
    </row>
    <row r="1923" spans="1:27" x14ac:dyDescent="0.35">
      <c r="A1923" s="8" t="s">
        <v>4710</v>
      </c>
      <c r="B1923" s="9">
        <v>45096</v>
      </c>
      <c r="C1923" s="9">
        <v>45011</v>
      </c>
      <c r="D1923" s="8" t="s">
        <v>4711</v>
      </c>
      <c r="E1923" s="8" t="s">
        <v>48</v>
      </c>
      <c r="F1923" s="8" t="s">
        <v>183</v>
      </c>
      <c r="G1923" s="8" t="s">
        <v>70</v>
      </c>
      <c r="H1923" s="8" t="s">
        <v>446</v>
      </c>
      <c r="I1923" s="8" t="s">
        <v>4977</v>
      </c>
      <c r="J1923" s="10">
        <v>170</v>
      </c>
      <c r="K1923" s="11">
        <v>549.91999999999996</v>
      </c>
      <c r="L1923" s="11">
        <v>693.07</v>
      </c>
      <c r="M1923" s="11">
        <v>117821.9</v>
      </c>
      <c r="N1923" s="11">
        <v>93486.399999999994</v>
      </c>
      <c r="O1923" s="11">
        <f>CleanedData[[#This Row],[Total Sales ($)]]-CleanedData[[#This Row],[Total Cost ($)]]</f>
        <v>24335.5</v>
      </c>
      <c r="P1923" s="12">
        <f>CleanedData[[#This Row],[Profit ($)]]/CleanedData[[#This Row],[Total Sales ($)]]</f>
        <v>0.20654479345520654</v>
      </c>
      <c r="Q1923" s="8" t="s">
        <v>31</v>
      </c>
      <c r="R1923" s="8" t="s">
        <v>63</v>
      </c>
      <c r="S1923" s="8" t="b">
        <f>_xlfn.SINGLE(CleanedData[[#This Row],[Delivery Status]])="Late"</f>
        <v>0</v>
      </c>
      <c r="T1923" s="10">
        <v>4</v>
      </c>
      <c r="U1923" s="8" t="s">
        <v>112</v>
      </c>
      <c r="V1923" s="10">
        <v>2823</v>
      </c>
      <c r="W1923" s="10">
        <v>7</v>
      </c>
      <c r="X1923" s="12">
        <v>4.1176470588235203E-2</v>
      </c>
      <c r="Y1923" s="8" t="b">
        <f>CleanedData[[#This Row],[Ship Date]]&lt;CleanedData[[#This Row],[Order Date]]</f>
        <v>1</v>
      </c>
      <c r="Z1923" s="10">
        <f>YEAR(CleanedData[[#This Row],[Order Date]])</f>
        <v>2023</v>
      </c>
      <c r="AA1923" s="8">
        <f>MONTH(CleanedData[[#This Row],[Order Date]])</f>
        <v>6</v>
      </c>
    </row>
    <row r="1924" spans="1:27" x14ac:dyDescent="0.35">
      <c r="A1924" s="8" t="s">
        <v>4712</v>
      </c>
      <c r="B1924" s="9">
        <v>45175</v>
      </c>
      <c r="C1924" s="9">
        <v>45017</v>
      </c>
      <c r="D1924" s="8" t="s">
        <v>4713</v>
      </c>
      <c r="E1924" s="8" t="s">
        <v>58</v>
      </c>
      <c r="F1924" s="8" t="s">
        <v>59</v>
      </c>
      <c r="G1924" s="8" t="s">
        <v>189</v>
      </c>
      <c r="H1924" s="8" t="s">
        <v>311</v>
      </c>
      <c r="I1924" s="8" t="s">
        <v>4975</v>
      </c>
      <c r="J1924" s="10">
        <v>334</v>
      </c>
      <c r="K1924" s="11">
        <v>620.73</v>
      </c>
      <c r="L1924" s="11">
        <v>834.29</v>
      </c>
      <c r="M1924" s="11">
        <v>278652.86</v>
      </c>
      <c r="N1924" s="11">
        <v>207323.82</v>
      </c>
      <c r="O1924" s="11">
        <f>CleanedData[[#This Row],[Total Sales ($)]]-CleanedData[[#This Row],[Total Cost ($)]]</f>
        <v>71329.039999999979</v>
      </c>
      <c r="P1924" s="12">
        <f>CleanedData[[#This Row],[Profit ($)]]/CleanedData[[#This Row],[Total Sales ($)]]</f>
        <v>0.25597813709861073</v>
      </c>
      <c r="Q1924" s="8" t="s">
        <v>42</v>
      </c>
      <c r="R1924" s="8" t="s">
        <v>63</v>
      </c>
      <c r="S1924" s="8" t="b">
        <f>_xlfn.SINGLE(CleanedData[[#This Row],[Delivery Status]])="Late"</f>
        <v>0</v>
      </c>
      <c r="T1924" s="10">
        <v>1</v>
      </c>
      <c r="U1924" s="8" t="s">
        <v>158</v>
      </c>
      <c r="V1924" s="10">
        <v>4982</v>
      </c>
      <c r="W1924" s="10">
        <v>8</v>
      </c>
      <c r="X1924" s="12">
        <v>2.39520958083832E-2</v>
      </c>
      <c r="Y1924" s="8" t="b">
        <f>CleanedData[[#This Row],[Ship Date]]&lt;CleanedData[[#This Row],[Order Date]]</f>
        <v>1</v>
      </c>
      <c r="Z1924" s="10">
        <f>YEAR(CleanedData[[#This Row],[Order Date]])</f>
        <v>2023</v>
      </c>
      <c r="AA1924" s="8">
        <f>MONTH(CleanedData[[#This Row],[Order Date]])</f>
        <v>9</v>
      </c>
    </row>
    <row r="1925" spans="1:27" x14ac:dyDescent="0.35">
      <c r="A1925" s="8" t="s">
        <v>4714</v>
      </c>
      <c r="B1925" s="9">
        <v>45166</v>
      </c>
      <c r="C1925" s="9">
        <v>45129</v>
      </c>
      <c r="D1925" s="8" t="s">
        <v>4715</v>
      </c>
      <c r="E1925" s="8" t="s">
        <v>68</v>
      </c>
      <c r="F1925" s="8" t="s">
        <v>276</v>
      </c>
      <c r="G1925" s="8" t="s">
        <v>39</v>
      </c>
      <c r="H1925" s="8" t="s">
        <v>147</v>
      </c>
      <c r="I1925" s="8" t="s">
        <v>4973</v>
      </c>
      <c r="J1925" s="10">
        <v>57</v>
      </c>
      <c r="K1925" s="11">
        <v>805.6</v>
      </c>
      <c r="L1925" s="11">
        <v>973.82</v>
      </c>
      <c r="M1925" s="11">
        <v>55507.74</v>
      </c>
      <c r="N1925" s="11">
        <v>45919.199999999997</v>
      </c>
      <c r="O1925" s="11">
        <f>CleanedData[[#This Row],[Total Sales ($)]]-CleanedData[[#This Row],[Total Cost ($)]]</f>
        <v>9588.5400000000009</v>
      </c>
      <c r="P1925" s="12">
        <f>CleanedData[[#This Row],[Profit ($)]]/CleanedData[[#This Row],[Total Sales ($)]]</f>
        <v>0.17274239592532503</v>
      </c>
      <c r="Q1925" s="8" t="s">
        <v>52</v>
      </c>
      <c r="R1925" s="8" t="s">
        <v>63</v>
      </c>
      <c r="S1925" s="8" t="b">
        <f>_xlfn.SINGLE(CleanedData[[#This Row],[Delivery Status]])="Late"</f>
        <v>0</v>
      </c>
      <c r="T1925" s="10">
        <v>4</v>
      </c>
      <c r="U1925" s="8" t="s">
        <v>43</v>
      </c>
      <c r="V1925" s="10">
        <v>1658</v>
      </c>
      <c r="W1925" s="10">
        <v>0</v>
      </c>
      <c r="X1925" s="12">
        <v>0</v>
      </c>
      <c r="Y1925" s="8" t="b">
        <f>CleanedData[[#This Row],[Ship Date]]&lt;CleanedData[[#This Row],[Order Date]]</f>
        <v>1</v>
      </c>
      <c r="Z1925" s="10">
        <f>YEAR(CleanedData[[#This Row],[Order Date]])</f>
        <v>2023</v>
      </c>
      <c r="AA1925" s="8">
        <f>MONTH(CleanedData[[#This Row],[Order Date]])</f>
        <v>8</v>
      </c>
    </row>
    <row r="1926" spans="1:27" x14ac:dyDescent="0.35">
      <c r="A1926" s="8" t="s">
        <v>4716</v>
      </c>
      <c r="B1926" s="9">
        <v>45438</v>
      </c>
      <c r="C1926" s="9">
        <v>45639</v>
      </c>
      <c r="D1926" s="8" t="s">
        <v>4033</v>
      </c>
      <c r="E1926" s="8" t="s">
        <v>58</v>
      </c>
      <c r="F1926" s="8" t="s">
        <v>122</v>
      </c>
      <c r="G1926" s="8" t="s">
        <v>217</v>
      </c>
      <c r="H1926" s="8" t="s">
        <v>218</v>
      </c>
      <c r="I1926" s="8" t="s">
        <v>4978</v>
      </c>
      <c r="J1926" s="10">
        <v>474</v>
      </c>
      <c r="K1926" s="11">
        <v>1035.6300000000001</v>
      </c>
      <c r="L1926" s="11">
        <v>1212.77</v>
      </c>
      <c r="M1926" s="11">
        <v>574852.98</v>
      </c>
      <c r="N1926" s="11">
        <v>490888.62</v>
      </c>
      <c r="O1926" s="11">
        <f>CleanedData[[#This Row],[Total Sales ($)]]-CleanedData[[#This Row],[Total Cost ($)]]</f>
        <v>83964.359999999986</v>
      </c>
      <c r="P1926" s="12">
        <f>CleanedData[[#This Row],[Profit ($)]]/CleanedData[[#This Row],[Total Sales ($)]]</f>
        <v>0.14606232014314335</v>
      </c>
      <c r="Q1926" s="8" t="s">
        <v>31</v>
      </c>
      <c r="R1926" s="8" t="s">
        <v>63</v>
      </c>
      <c r="S1926" s="8" t="b">
        <f>_xlfn.SINGLE(CleanedData[[#This Row],[Delivery Status]])="Late"</f>
        <v>0</v>
      </c>
      <c r="T1926" s="10">
        <v>4</v>
      </c>
      <c r="U1926" s="8" t="s">
        <v>158</v>
      </c>
      <c r="V1926" s="10">
        <v>232</v>
      </c>
      <c r="W1926" s="10">
        <v>10</v>
      </c>
      <c r="X1926" s="12">
        <v>2.1097046413502098E-2</v>
      </c>
      <c r="Y1926" s="8" t="b">
        <f>CleanedData[[#This Row],[Ship Date]]&lt;CleanedData[[#This Row],[Order Date]]</f>
        <v>0</v>
      </c>
      <c r="Z1926" s="10">
        <f>YEAR(CleanedData[[#This Row],[Order Date]])</f>
        <v>2024</v>
      </c>
      <c r="AA1926" s="8">
        <f>MONTH(CleanedData[[#This Row],[Order Date]])</f>
        <v>5</v>
      </c>
    </row>
    <row r="1927" spans="1:27" x14ac:dyDescent="0.35">
      <c r="A1927" s="8" t="s">
        <v>4717</v>
      </c>
      <c r="B1927" s="9">
        <v>45452</v>
      </c>
      <c r="C1927" s="9">
        <v>45468</v>
      </c>
      <c r="D1927" s="8" t="s">
        <v>4718</v>
      </c>
      <c r="E1927" s="8" t="s">
        <v>100</v>
      </c>
      <c r="F1927" s="8" t="s">
        <v>538</v>
      </c>
      <c r="G1927" s="8" t="s">
        <v>78</v>
      </c>
      <c r="H1927" s="8" t="s">
        <v>123</v>
      </c>
      <c r="I1927" s="8" t="s">
        <v>4971</v>
      </c>
      <c r="J1927" s="10">
        <v>504</v>
      </c>
      <c r="K1927" s="11">
        <v>874.36</v>
      </c>
      <c r="L1927" s="11">
        <v>1365.39</v>
      </c>
      <c r="M1927" s="11">
        <v>688156.56</v>
      </c>
      <c r="N1927" s="11">
        <v>440677.44</v>
      </c>
      <c r="O1927" s="11">
        <f>CleanedData[[#This Row],[Total Sales ($)]]-CleanedData[[#This Row],[Total Cost ($)]]</f>
        <v>247479.12000000005</v>
      </c>
      <c r="P1927" s="12">
        <f>CleanedData[[#This Row],[Profit ($)]]/CleanedData[[#This Row],[Total Sales ($)]]</f>
        <v>0.3596261873896836</v>
      </c>
      <c r="Q1927" s="8" t="s">
        <v>95</v>
      </c>
      <c r="R1927" s="8" t="s">
        <v>63</v>
      </c>
      <c r="S1927" s="8" t="b">
        <f>_xlfn.SINGLE(CleanedData[[#This Row],[Delivery Status]])="Late"</f>
        <v>0</v>
      </c>
      <c r="T1927" s="10">
        <v>3</v>
      </c>
      <c r="U1927" s="8" t="s">
        <v>53</v>
      </c>
      <c r="V1927" s="10">
        <v>2501.41</v>
      </c>
      <c r="W1927" s="10">
        <v>16</v>
      </c>
      <c r="X1927" s="12">
        <v>3.1746031746031703E-2</v>
      </c>
      <c r="Y1927" s="8" t="b">
        <f>CleanedData[[#This Row],[Ship Date]]&lt;CleanedData[[#This Row],[Order Date]]</f>
        <v>0</v>
      </c>
      <c r="Z1927" s="10">
        <f>YEAR(CleanedData[[#This Row],[Order Date]])</f>
        <v>2024</v>
      </c>
      <c r="AA1927" s="8">
        <f>MONTH(CleanedData[[#This Row],[Order Date]])</f>
        <v>6</v>
      </c>
    </row>
    <row r="1928" spans="1:27" x14ac:dyDescent="0.35">
      <c r="A1928" s="8" t="s">
        <v>4719</v>
      </c>
      <c r="B1928" s="9">
        <v>45048</v>
      </c>
      <c r="C1928" s="9">
        <v>45273</v>
      </c>
      <c r="D1928" s="8" t="s">
        <v>4720</v>
      </c>
      <c r="E1928" s="8" t="s">
        <v>100</v>
      </c>
      <c r="F1928" s="8" t="s">
        <v>1529</v>
      </c>
      <c r="G1928" s="8" t="s">
        <v>60</v>
      </c>
      <c r="H1928" s="8" t="s">
        <v>265</v>
      </c>
      <c r="I1928" s="8" t="s">
        <v>4978</v>
      </c>
      <c r="J1928" s="10">
        <v>289</v>
      </c>
      <c r="K1928" s="11">
        <v>872.12</v>
      </c>
      <c r="L1928" s="11">
        <v>1238.92</v>
      </c>
      <c r="M1928" s="11">
        <v>358047.88</v>
      </c>
      <c r="N1928" s="11">
        <v>252042.68</v>
      </c>
      <c r="O1928" s="11">
        <f>CleanedData[[#This Row],[Total Sales ($)]]-CleanedData[[#This Row],[Total Cost ($)]]</f>
        <v>106005.20000000001</v>
      </c>
      <c r="P1928" s="12">
        <f>CleanedData[[#This Row],[Profit ($)]]/CleanedData[[#This Row],[Total Sales ($)]]</f>
        <v>0.29606431408000522</v>
      </c>
      <c r="Q1928" s="8" t="s">
        <v>31</v>
      </c>
      <c r="R1928" s="8" t="s">
        <v>63</v>
      </c>
      <c r="S1928" s="8" t="b">
        <f>_xlfn.SINGLE(CleanedData[[#This Row],[Delivery Status]])="Late"</f>
        <v>0</v>
      </c>
      <c r="T1928" s="10">
        <v>1</v>
      </c>
      <c r="U1928" s="8" t="s">
        <v>53</v>
      </c>
      <c r="V1928" s="10">
        <v>3749</v>
      </c>
      <c r="W1928" s="10">
        <v>5</v>
      </c>
      <c r="X1928" s="12">
        <v>1.73010380622837E-2</v>
      </c>
      <c r="Y1928" s="8" t="b">
        <f>CleanedData[[#This Row],[Ship Date]]&lt;CleanedData[[#This Row],[Order Date]]</f>
        <v>0</v>
      </c>
      <c r="Z1928" s="10">
        <f>YEAR(CleanedData[[#This Row],[Order Date]])</f>
        <v>2023</v>
      </c>
      <c r="AA1928" s="8">
        <f>MONTH(CleanedData[[#This Row],[Order Date]])</f>
        <v>5</v>
      </c>
    </row>
    <row r="1929" spans="1:27" x14ac:dyDescent="0.35">
      <c r="A1929" s="8" t="s">
        <v>4721</v>
      </c>
      <c r="B1929" s="9">
        <v>45031</v>
      </c>
      <c r="C1929" s="9">
        <v>45208</v>
      </c>
      <c r="D1929" s="8" t="s">
        <v>4722</v>
      </c>
      <c r="E1929" s="8" t="s">
        <v>58</v>
      </c>
      <c r="F1929" s="8" t="s">
        <v>59</v>
      </c>
      <c r="G1929" s="8" t="s">
        <v>93</v>
      </c>
      <c r="H1929" s="8" t="s">
        <v>140</v>
      </c>
      <c r="I1929" s="8" t="s">
        <v>4969</v>
      </c>
      <c r="J1929" s="10">
        <v>535</v>
      </c>
      <c r="K1929" s="11">
        <v>708.4</v>
      </c>
      <c r="L1929" s="11">
        <v>802.89</v>
      </c>
      <c r="M1929" s="11">
        <v>429546.15</v>
      </c>
      <c r="N1929" s="11">
        <v>378994</v>
      </c>
      <c r="O1929" s="11">
        <f>CleanedData[[#This Row],[Total Sales ($)]]-CleanedData[[#This Row],[Total Cost ($)]]</f>
        <v>50552.150000000023</v>
      </c>
      <c r="P1929" s="12">
        <f>CleanedData[[#This Row],[Profit ($)]]/CleanedData[[#This Row],[Total Sales ($)]]</f>
        <v>0.11768735443211403</v>
      </c>
      <c r="Q1929" s="8" t="s">
        <v>95</v>
      </c>
      <c r="R1929" s="8" t="s">
        <v>32</v>
      </c>
      <c r="S1929" s="8" t="b">
        <f>_xlfn.SINGLE(CleanedData[[#This Row],[Delivery Status]])="Late"</f>
        <v>1</v>
      </c>
      <c r="T1929" s="10">
        <v>8</v>
      </c>
      <c r="U1929" s="8" t="s">
        <v>33</v>
      </c>
      <c r="V1929" s="10">
        <v>2980</v>
      </c>
      <c r="W1929" s="10">
        <v>8</v>
      </c>
      <c r="X1929" s="12">
        <v>1.4953271028037301E-2</v>
      </c>
      <c r="Y1929" s="8" t="b">
        <f>CleanedData[[#This Row],[Ship Date]]&lt;CleanedData[[#This Row],[Order Date]]</f>
        <v>0</v>
      </c>
      <c r="Z1929" s="10">
        <f>YEAR(CleanedData[[#This Row],[Order Date]])</f>
        <v>2023</v>
      </c>
      <c r="AA1929" s="8">
        <f>MONTH(CleanedData[[#This Row],[Order Date]])</f>
        <v>4</v>
      </c>
    </row>
    <row r="1930" spans="1:27" x14ac:dyDescent="0.35">
      <c r="A1930" s="8" t="s">
        <v>4723</v>
      </c>
      <c r="B1930" s="9">
        <v>45000</v>
      </c>
      <c r="C1930" s="9">
        <v>45033</v>
      </c>
      <c r="D1930" s="8" t="s">
        <v>4724</v>
      </c>
      <c r="E1930" s="8" t="s">
        <v>26</v>
      </c>
      <c r="F1930" s="8" t="s">
        <v>228</v>
      </c>
      <c r="G1930" s="8" t="s">
        <v>39</v>
      </c>
      <c r="H1930" s="8" t="s">
        <v>477</v>
      </c>
      <c r="I1930" s="8" t="s">
        <v>4971</v>
      </c>
      <c r="J1930" s="10">
        <v>512</v>
      </c>
      <c r="K1930" s="11">
        <v>657.87</v>
      </c>
      <c r="L1930" s="11">
        <v>1046.46</v>
      </c>
      <c r="M1930" s="11">
        <v>535787.52000000002</v>
      </c>
      <c r="N1930" s="11">
        <v>336829.44</v>
      </c>
      <c r="O1930" s="11">
        <f>CleanedData[[#This Row],[Total Sales ($)]]-CleanedData[[#This Row],[Total Cost ($)]]</f>
        <v>198958.08000000002</v>
      </c>
      <c r="P1930" s="12">
        <f>CleanedData[[#This Row],[Profit ($)]]/CleanedData[[#This Row],[Total Sales ($)]]</f>
        <v>0.3713376526575311</v>
      </c>
      <c r="Q1930" s="8" t="s">
        <v>42</v>
      </c>
      <c r="R1930" s="8" t="s">
        <v>63</v>
      </c>
      <c r="S1930" s="8" t="b">
        <f>_xlfn.SINGLE(CleanedData[[#This Row],[Delivery Status]])="Late"</f>
        <v>0</v>
      </c>
      <c r="T1930" s="10">
        <v>1</v>
      </c>
      <c r="U1930" s="8" t="s">
        <v>112</v>
      </c>
      <c r="V1930" s="10">
        <v>192</v>
      </c>
      <c r="W1930" s="10">
        <v>21</v>
      </c>
      <c r="X1930" s="12">
        <v>4.1015625E-2</v>
      </c>
      <c r="Y1930" s="8" t="b">
        <f>CleanedData[[#This Row],[Ship Date]]&lt;CleanedData[[#This Row],[Order Date]]</f>
        <v>0</v>
      </c>
      <c r="Z1930" s="10">
        <f>YEAR(CleanedData[[#This Row],[Order Date]])</f>
        <v>2023</v>
      </c>
      <c r="AA1930" s="8">
        <f>MONTH(CleanedData[[#This Row],[Order Date]])</f>
        <v>3</v>
      </c>
    </row>
    <row r="1931" spans="1:27" x14ac:dyDescent="0.35">
      <c r="A1931" s="8" t="s">
        <v>4725</v>
      </c>
      <c r="B1931" s="9">
        <v>45329</v>
      </c>
      <c r="C1931" s="9">
        <v>45545</v>
      </c>
      <c r="D1931" s="8" t="s">
        <v>4726</v>
      </c>
      <c r="E1931" s="8" t="s">
        <v>58</v>
      </c>
      <c r="F1931" s="8" t="s">
        <v>259</v>
      </c>
      <c r="G1931" s="8" t="s">
        <v>217</v>
      </c>
      <c r="H1931" s="8" t="s">
        <v>725</v>
      </c>
      <c r="I1931" s="8" t="s">
        <v>4971</v>
      </c>
      <c r="J1931" s="10">
        <v>110</v>
      </c>
      <c r="K1931" s="11">
        <v>470.74</v>
      </c>
      <c r="L1931" s="11">
        <v>564.16999999999996</v>
      </c>
      <c r="M1931" s="11">
        <v>62058.7</v>
      </c>
      <c r="N1931" s="11">
        <v>51781.4</v>
      </c>
      <c r="O1931" s="11">
        <f>CleanedData[[#This Row],[Total Sales ($)]]-CleanedData[[#This Row],[Total Cost ($)]]</f>
        <v>10277.299999999996</v>
      </c>
      <c r="P1931" s="12">
        <f>CleanedData[[#This Row],[Profit ($)]]/CleanedData[[#This Row],[Total Sales ($)]]</f>
        <v>0.16560611163301836</v>
      </c>
      <c r="Q1931" s="8" t="s">
        <v>95</v>
      </c>
      <c r="R1931" s="8" t="s">
        <v>32</v>
      </c>
      <c r="S1931" s="8" t="b">
        <f>_xlfn.SINGLE(CleanedData[[#This Row],[Delivery Status]])="Late"</f>
        <v>1</v>
      </c>
      <c r="T1931" s="10">
        <v>9</v>
      </c>
      <c r="U1931" s="8" t="s">
        <v>112</v>
      </c>
      <c r="V1931" s="10">
        <v>2825</v>
      </c>
      <c r="W1931" s="10">
        <v>2</v>
      </c>
      <c r="X1931" s="12">
        <v>1.8181818181818101E-2</v>
      </c>
      <c r="Y1931" s="8" t="b">
        <f>CleanedData[[#This Row],[Ship Date]]&lt;CleanedData[[#This Row],[Order Date]]</f>
        <v>0</v>
      </c>
      <c r="Z1931" s="10">
        <f>YEAR(CleanedData[[#This Row],[Order Date]])</f>
        <v>2024</v>
      </c>
      <c r="AA1931" s="8">
        <f>MONTH(CleanedData[[#This Row],[Order Date]])</f>
        <v>2</v>
      </c>
    </row>
    <row r="1932" spans="1:27" x14ac:dyDescent="0.35">
      <c r="A1932" s="8" t="s">
        <v>4727</v>
      </c>
      <c r="B1932" s="9">
        <v>45448</v>
      </c>
      <c r="C1932" s="9">
        <v>45164</v>
      </c>
      <c r="D1932" s="8" t="s">
        <v>4729</v>
      </c>
      <c r="E1932" s="8" t="s">
        <v>48</v>
      </c>
      <c r="F1932" s="8" t="s">
        <v>183</v>
      </c>
      <c r="G1932" s="8" t="s">
        <v>50</v>
      </c>
      <c r="H1932" s="8" t="s">
        <v>117</v>
      </c>
      <c r="I1932" s="8" t="s">
        <v>4977</v>
      </c>
      <c r="J1932" s="10">
        <v>793</v>
      </c>
      <c r="K1932" s="11">
        <v>1049.4100000000001</v>
      </c>
      <c r="L1932" s="11">
        <v>1330.63</v>
      </c>
      <c r="M1932" s="11">
        <v>1055189.5900000001</v>
      </c>
      <c r="N1932" s="11">
        <v>832182.13</v>
      </c>
      <c r="O1932" s="11">
        <f>CleanedData[[#This Row],[Total Sales ($)]]-CleanedData[[#This Row],[Total Cost ($)]]</f>
        <v>223007.46000000008</v>
      </c>
      <c r="P1932" s="12">
        <f>CleanedData[[#This Row],[Profit ($)]]/CleanedData[[#This Row],[Total Sales ($)]]</f>
        <v>0.21134349894410923</v>
      </c>
      <c r="Q1932" s="8" t="s">
        <v>95</v>
      </c>
      <c r="R1932" s="8" t="s">
        <v>63</v>
      </c>
      <c r="S1932" s="8" t="b">
        <f>_xlfn.SINGLE(CleanedData[[#This Row],[Delivery Status]])="Late"</f>
        <v>0</v>
      </c>
      <c r="T1932" s="10">
        <v>2</v>
      </c>
      <c r="U1932" s="8" t="s">
        <v>158</v>
      </c>
      <c r="V1932" s="10">
        <v>801</v>
      </c>
      <c r="W1932" s="10">
        <v>13</v>
      </c>
      <c r="X1932" s="12">
        <v>1.63934426229508E-2</v>
      </c>
      <c r="Y1932" s="8" t="b">
        <f>CleanedData[[#This Row],[Ship Date]]&lt;CleanedData[[#This Row],[Order Date]]</f>
        <v>1</v>
      </c>
      <c r="Z1932" s="10">
        <f>YEAR(CleanedData[[#This Row],[Order Date]])</f>
        <v>2024</v>
      </c>
      <c r="AA1932" s="8">
        <f>MONTH(CleanedData[[#This Row],[Order Date]])</f>
        <v>6</v>
      </c>
    </row>
    <row r="1933" spans="1:27" x14ac:dyDescent="0.35">
      <c r="A1933" s="8" t="s">
        <v>4730</v>
      </c>
      <c r="B1933" s="9">
        <v>45092</v>
      </c>
      <c r="C1933" s="9">
        <v>45132</v>
      </c>
      <c r="D1933" s="8" t="s">
        <v>4731</v>
      </c>
      <c r="E1933" s="8" t="s">
        <v>68</v>
      </c>
      <c r="F1933" s="8" t="s">
        <v>163</v>
      </c>
      <c r="G1933" s="8" t="s">
        <v>217</v>
      </c>
      <c r="H1933" s="8" t="s">
        <v>335</v>
      </c>
      <c r="I1933" s="8" t="s">
        <v>4971</v>
      </c>
      <c r="J1933" s="10">
        <v>449</v>
      </c>
      <c r="K1933" s="11">
        <v>188.68</v>
      </c>
      <c r="L1933" s="11">
        <v>225.39</v>
      </c>
      <c r="M1933" s="11">
        <v>101200.11</v>
      </c>
      <c r="N1933" s="11">
        <v>84717.32</v>
      </c>
      <c r="O1933" s="11">
        <f>CleanedData[[#This Row],[Total Sales ($)]]-CleanedData[[#This Row],[Total Cost ($)]]</f>
        <v>16482.789999999994</v>
      </c>
      <c r="P1933" s="12">
        <f>CleanedData[[#This Row],[Profit ($)]]/CleanedData[[#This Row],[Total Sales ($)]]</f>
        <v>0.16287324193619943</v>
      </c>
      <c r="Q1933" s="8" t="s">
        <v>31</v>
      </c>
      <c r="R1933" s="8" t="s">
        <v>32</v>
      </c>
      <c r="S1933" s="8" t="b">
        <f>_xlfn.SINGLE(CleanedData[[#This Row],[Delivery Status]])="Late"</f>
        <v>1</v>
      </c>
      <c r="T1933" s="10">
        <v>6</v>
      </c>
      <c r="U1933" s="8" t="s">
        <v>43</v>
      </c>
      <c r="V1933" s="10">
        <v>4104</v>
      </c>
      <c r="W1933" s="10">
        <v>0</v>
      </c>
      <c r="X1933" s="12">
        <v>0</v>
      </c>
      <c r="Y1933" s="8" t="b">
        <f>CleanedData[[#This Row],[Ship Date]]&lt;CleanedData[[#This Row],[Order Date]]</f>
        <v>0</v>
      </c>
      <c r="Z1933" s="10">
        <f>YEAR(CleanedData[[#This Row],[Order Date]])</f>
        <v>2023</v>
      </c>
      <c r="AA1933" s="8">
        <f>MONTH(CleanedData[[#This Row],[Order Date]])</f>
        <v>6</v>
      </c>
    </row>
    <row r="1934" spans="1:27" x14ac:dyDescent="0.35">
      <c r="A1934" s="8" t="s">
        <v>3712</v>
      </c>
      <c r="B1934" s="9">
        <v>44933</v>
      </c>
      <c r="C1934" s="9">
        <v>45205</v>
      </c>
      <c r="D1934" s="8" t="s">
        <v>1963</v>
      </c>
      <c r="E1934" s="8" t="s">
        <v>58</v>
      </c>
      <c r="F1934" s="8" t="s">
        <v>417</v>
      </c>
      <c r="G1934" s="8" t="s">
        <v>129</v>
      </c>
      <c r="H1934" s="8" t="s">
        <v>152</v>
      </c>
      <c r="I1934" s="8" t="s">
        <v>4979</v>
      </c>
      <c r="J1934" s="10">
        <v>252</v>
      </c>
      <c r="K1934" s="11">
        <v>187.89</v>
      </c>
      <c r="L1934" s="11">
        <v>253.56</v>
      </c>
      <c r="M1934" s="11">
        <v>63897.120000000003</v>
      </c>
      <c r="N1934" s="11">
        <v>47348.28</v>
      </c>
      <c r="O1934" s="11">
        <f>CleanedData[[#This Row],[Total Sales ($)]]-CleanedData[[#This Row],[Total Cost ($)]]</f>
        <v>16548.840000000004</v>
      </c>
      <c r="P1934" s="12">
        <f>CleanedData[[#This Row],[Profit ($)]]/CleanedData[[#This Row],[Total Sales ($)]]</f>
        <v>0.25899195456696644</v>
      </c>
      <c r="Q1934" s="8" t="s">
        <v>95</v>
      </c>
      <c r="R1934" s="8" t="s">
        <v>32</v>
      </c>
      <c r="S1934" s="8" t="b">
        <f>_xlfn.SINGLE(CleanedData[[#This Row],[Delivery Status]])="Late"</f>
        <v>1</v>
      </c>
      <c r="T1934" s="10">
        <v>15</v>
      </c>
      <c r="U1934" s="8" t="s">
        <v>33</v>
      </c>
      <c r="V1934" s="10">
        <v>3388</v>
      </c>
      <c r="W1934" s="10">
        <v>6</v>
      </c>
      <c r="X1934" s="12">
        <v>2.3809523809523801E-2</v>
      </c>
      <c r="Y1934" s="8" t="b">
        <f>CleanedData[[#This Row],[Ship Date]]&lt;CleanedData[[#This Row],[Order Date]]</f>
        <v>0</v>
      </c>
      <c r="Z1934" s="10">
        <f>YEAR(CleanedData[[#This Row],[Order Date]])</f>
        <v>2023</v>
      </c>
      <c r="AA1934" s="8">
        <f>MONTH(CleanedData[[#This Row],[Order Date]])</f>
        <v>1</v>
      </c>
    </row>
    <row r="1935" spans="1:27" x14ac:dyDescent="0.35">
      <c r="A1935" s="8" t="s">
        <v>4732</v>
      </c>
      <c r="B1935" s="9">
        <v>44980</v>
      </c>
      <c r="C1935" s="9">
        <v>44982</v>
      </c>
      <c r="D1935" s="8" t="s">
        <v>4733</v>
      </c>
      <c r="E1935" s="8" t="s">
        <v>58</v>
      </c>
      <c r="F1935" s="8" t="s">
        <v>417</v>
      </c>
      <c r="G1935" s="8" t="s">
        <v>217</v>
      </c>
      <c r="H1935" s="8" t="s">
        <v>218</v>
      </c>
      <c r="I1935" s="8" t="s">
        <v>4976</v>
      </c>
      <c r="J1935" s="10">
        <v>643</v>
      </c>
      <c r="K1935" s="11">
        <v>995.25</v>
      </c>
      <c r="L1935" s="11">
        <v>1191.49</v>
      </c>
      <c r="M1935" s="11">
        <v>766128.07</v>
      </c>
      <c r="N1935" s="11">
        <v>639945.75</v>
      </c>
      <c r="O1935" s="11">
        <f>CleanedData[[#This Row],[Total Sales ($)]]-CleanedData[[#This Row],[Total Cost ($)]]</f>
        <v>126182.31999999995</v>
      </c>
      <c r="P1935" s="12">
        <f>CleanedData[[#This Row],[Profit ($)]]/CleanedData[[#This Row],[Total Sales ($)]]</f>
        <v>0.16470134033856762</v>
      </c>
      <c r="Q1935" s="8" t="s">
        <v>52</v>
      </c>
      <c r="R1935" s="8" t="s">
        <v>32</v>
      </c>
      <c r="S1935" s="8" t="b">
        <f>_xlfn.SINGLE(CleanedData[[#This Row],[Delivery Status]])="Late"</f>
        <v>1</v>
      </c>
      <c r="T1935" s="10">
        <v>6</v>
      </c>
      <c r="U1935" s="8" t="s">
        <v>53</v>
      </c>
      <c r="V1935" s="10">
        <v>1248</v>
      </c>
      <c r="W1935" s="10">
        <v>2</v>
      </c>
      <c r="X1935" s="12">
        <v>3.1104199066874002E-3</v>
      </c>
      <c r="Y1935" s="8" t="b">
        <f>CleanedData[[#This Row],[Ship Date]]&lt;CleanedData[[#This Row],[Order Date]]</f>
        <v>0</v>
      </c>
      <c r="Z1935" s="10">
        <f>YEAR(CleanedData[[#This Row],[Order Date]])</f>
        <v>2023</v>
      </c>
      <c r="AA1935" s="8">
        <f>MONTH(CleanedData[[#This Row],[Order Date]])</f>
        <v>2</v>
      </c>
    </row>
    <row r="1936" spans="1:27" x14ac:dyDescent="0.35">
      <c r="A1936" s="8" t="s">
        <v>4734</v>
      </c>
      <c r="B1936" s="9">
        <v>45031</v>
      </c>
      <c r="C1936" s="9">
        <v>45170</v>
      </c>
      <c r="D1936" s="8" t="s">
        <v>4735</v>
      </c>
      <c r="E1936" s="8" t="s">
        <v>58</v>
      </c>
      <c r="F1936" s="8" t="s">
        <v>417</v>
      </c>
      <c r="G1936" s="8" t="s">
        <v>70</v>
      </c>
      <c r="H1936" s="8" t="s">
        <v>384</v>
      </c>
      <c r="I1936" s="8" t="s">
        <v>4974</v>
      </c>
      <c r="J1936" s="10">
        <v>488</v>
      </c>
      <c r="K1936" s="11">
        <v>389.92</v>
      </c>
      <c r="L1936" s="11">
        <v>489.18</v>
      </c>
      <c r="M1936" s="11">
        <v>238719.84</v>
      </c>
      <c r="N1936" s="11">
        <v>190280.95999999999</v>
      </c>
      <c r="O1936" s="11">
        <f>CleanedData[[#This Row],[Total Sales ($)]]-CleanedData[[#This Row],[Total Cost ($)]]</f>
        <v>48438.880000000005</v>
      </c>
      <c r="P1936" s="12">
        <f>CleanedData[[#This Row],[Profit ($)]]/CleanedData[[#This Row],[Total Sales ($)]]</f>
        <v>0.20291099390817288</v>
      </c>
      <c r="Q1936" s="8" t="s">
        <v>31</v>
      </c>
      <c r="R1936" s="8" t="s">
        <v>63</v>
      </c>
      <c r="S1936" s="8" t="b">
        <f>_xlfn.SINGLE(CleanedData[[#This Row],[Delivery Status]])="Late"</f>
        <v>0</v>
      </c>
      <c r="T1936" s="10">
        <v>1</v>
      </c>
      <c r="U1936" s="8" t="s">
        <v>33</v>
      </c>
      <c r="V1936" s="10">
        <v>2018</v>
      </c>
      <c r="W1936" s="10">
        <v>2</v>
      </c>
      <c r="X1936" s="12">
        <v>4.0983606557376999E-3</v>
      </c>
      <c r="Y1936" s="8" t="b">
        <f>CleanedData[[#This Row],[Ship Date]]&lt;CleanedData[[#This Row],[Order Date]]</f>
        <v>0</v>
      </c>
      <c r="Z1936" s="10">
        <f>YEAR(CleanedData[[#This Row],[Order Date]])</f>
        <v>2023</v>
      </c>
      <c r="AA1936" s="8">
        <f>MONTH(CleanedData[[#This Row],[Order Date]])</f>
        <v>4</v>
      </c>
    </row>
    <row r="1937" spans="1:27" x14ac:dyDescent="0.35">
      <c r="A1937" s="8" t="s">
        <v>4736</v>
      </c>
      <c r="B1937" s="9">
        <v>45189</v>
      </c>
      <c r="C1937" s="9">
        <v>45056</v>
      </c>
      <c r="D1937" s="8" t="s">
        <v>1534</v>
      </c>
      <c r="E1937" s="8" t="s">
        <v>68</v>
      </c>
      <c r="F1937" s="8" t="s">
        <v>163</v>
      </c>
      <c r="G1937" s="8" t="s">
        <v>60</v>
      </c>
      <c r="H1937" s="8" t="s">
        <v>539</v>
      </c>
      <c r="I1937" s="8" t="s">
        <v>4978</v>
      </c>
      <c r="J1937" s="10">
        <v>302</v>
      </c>
      <c r="K1937" s="11">
        <v>367.87</v>
      </c>
      <c r="L1937" s="11">
        <v>480.54</v>
      </c>
      <c r="M1937" s="11">
        <v>145123.07999999999</v>
      </c>
      <c r="N1937" s="11">
        <v>111096.74</v>
      </c>
      <c r="O1937" s="11">
        <f>CleanedData[[#This Row],[Total Sales ($)]]-CleanedData[[#This Row],[Total Cost ($)]]</f>
        <v>34026.339999999982</v>
      </c>
      <c r="P1937" s="12">
        <f>CleanedData[[#This Row],[Profit ($)]]/CleanedData[[#This Row],[Total Sales ($)]]</f>
        <v>0.23446539309942971</v>
      </c>
      <c r="Q1937" s="8" t="s">
        <v>42</v>
      </c>
      <c r="R1937" s="8" t="s">
        <v>63</v>
      </c>
      <c r="S1937" s="8" t="b">
        <f>_xlfn.SINGLE(CleanedData[[#This Row],[Delivery Status]])="Late"</f>
        <v>0</v>
      </c>
      <c r="T1937" s="10">
        <v>1</v>
      </c>
      <c r="U1937" s="8" t="s">
        <v>33</v>
      </c>
      <c r="V1937" s="10">
        <v>2527</v>
      </c>
      <c r="W1937" s="10">
        <v>1</v>
      </c>
      <c r="X1937" s="12">
        <v>3.3112582781456E-3</v>
      </c>
      <c r="Y1937" s="8" t="b">
        <f>CleanedData[[#This Row],[Ship Date]]&lt;CleanedData[[#This Row],[Order Date]]</f>
        <v>1</v>
      </c>
      <c r="Z1937" s="10">
        <f>YEAR(CleanedData[[#This Row],[Order Date]])</f>
        <v>2023</v>
      </c>
      <c r="AA1937" s="8">
        <f>MONTH(CleanedData[[#This Row],[Order Date]])</f>
        <v>9</v>
      </c>
    </row>
    <row r="1938" spans="1:27" x14ac:dyDescent="0.35">
      <c r="A1938" s="8" t="s">
        <v>4737</v>
      </c>
      <c r="B1938" s="9">
        <v>45588</v>
      </c>
      <c r="C1938" s="9">
        <v>45572</v>
      </c>
      <c r="D1938" s="8" t="s">
        <v>4739</v>
      </c>
      <c r="E1938" s="8" t="s">
        <v>58</v>
      </c>
      <c r="F1938" s="8" t="s">
        <v>259</v>
      </c>
      <c r="G1938" s="8" t="s">
        <v>70</v>
      </c>
      <c r="H1938" s="8" t="s">
        <v>84</v>
      </c>
      <c r="I1938" s="8" t="s">
        <v>4969</v>
      </c>
      <c r="J1938" s="10">
        <v>659</v>
      </c>
      <c r="K1938" s="11">
        <v>98.95</v>
      </c>
      <c r="L1938" s="11">
        <v>139.18</v>
      </c>
      <c r="M1938" s="11">
        <v>91719.62</v>
      </c>
      <c r="N1938" s="11">
        <v>65208.05</v>
      </c>
      <c r="O1938" s="11">
        <f>CleanedData[[#This Row],[Total Sales ($)]]-CleanedData[[#This Row],[Total Cost ($)]]</f>
        <v>26511.569999999992</v>
      </c>
      <c r="P1938" s="12">
        <f>CleanedData[[#This Row],[Profit ($)]]/CleanedData[[#This Row],[Total Sales ($)]]</f>
        <v>0.28905015088374758</v>
      </c>
      <c r="Q1938" s="8" t="s">
        <v>95</v>
      </c>
      <c r="R1938" s="8" t="s">
        <v>32</v>
      </c>
      <c r="S1938" s="8" t="b">
        <f>_xlfn.SINGLE(CleanedData[[#This Row],[Delivery Status]])="Late"</f>
        <v>1</v>
      </c>
      <c r="T1938" s="10">
        <v>6</v>
      </c>
      <c r="U1938" s="8" t="s">
        <v>86</v>
      </c>
      <c r="V1938" s="10">
        <v>1018</v>
      </c>
      <c r="W1938" s="10">
        <v>27</v>
      </c>
      <c r="X1938" s="12">
        <v>4.09711684370258E-2</v>
      </c>
      <c r="Y1938" s="8" t="b">
        <f>CleanedData[[#This Row],[Ship Date]]&lt;CleanedData[[#This Row],[Order Date]]</f>
        <v>1</v>
      </c>
      <c r="Z1938" s="10">
        <f>YEAR(CleanedData[[#This Row],[Order Date]])</f>
        <v>2024</v>
      </c>
      <c r="AA1938" s="8">
        <f>MONTH(CleanedData[[#This Row],[Order Date]])</f>
        <v>10</v>
      </c>
    </row>
    <row r="1939" spans="1:27" x14ac:dyDescent="0.35">
      <c r="A1939" s="8" t="s">
        <v>4740</v>
      </c>
      <c r="B1939" s="9">
        <v>45129</v>
      </c>
      <c r="C1939" s="9">
        <v>45122</v>
      </c>
      <c r="D1939" s="8" t="s">
        <v>4741</v>
      </c>
      <c r="E1939" s="8" t="s">
        <v>26</v>
      </c>
      <c r="F1939" s="8" t="s">
        <v>27</v>
      </c>
      <c r="G1939" s="8" t="s">
        <v>60</v>
      </c>
      <c r="H1939" s="8" t="s">
        <v>780</v>
      </c>
      <c r="I1939" s="8" t="s">
        <v>4976</v>
      </c>
      <c r="J1939" s="10">
        <v>777</v>
      </c>
      <c r="K1939" s="11">
        <v>963.76</v>
      </c>
      <c r="L1939" s="11">
        <v>1097.56</v>
      </c>
      <c r="M1939" s="11">
        <v>852804.12</v>
      </c>
      <c r="N1939" s="11">
        <v>748841.52</v>
      </c>
      <c r="O1939" s="11">
        <f>CleanedData[[#This Row],[Total Sales ($)]]-CleanedData[[#This Row],[Total Cost ($)]]</f>
        <v>103962.59999999998</v>
      </c>
      <c r="P1939" s="12">
        <f>CleanedData[[#This Row],[Profit ($)]]/CleanedData[[#This Row],[Total Sales ($)]]</f>
        <v>0.12190677502824444</v>
      </c>
      <c r="Q1939" s="8" t="s">
        <v>42</v>
      </c>
      <c r="R1939" s="8" t="s">
        <v>63</v>
      </c>
      <c r="S1939" s="8" t="b">
        <f>_xlfn.SINGLE(CleanedData[[#This Row],[Delivery Status]])="Late"</f>
        <v>0</v>
      </c>
      <c r="T1939" s="10">
        <v>2</v>
      </c>
      <c r="U1939" s="8" t="s">
        <v>43</v>
      </c>
      <c r="V1939" s="10">
        <v>2203</v>
      </c>
      <c r="W1939" s="10">
        <v>35</v>
      </c>
      <c r="X1939" s="12">
        <v>4.5045045045045001E-2</v>
      </c>
      <c r="Y1939" s="8" t="b">
        <f>CleanedData[[#This Row],[Ship Date]]&lt;CleanedData[[#This Row],[Order Date]]</f>
        <v>1</v>
      </c>
      <c r="Z1939" s="10">
        <f>YEAR(CleanedData[[#This Row],[Order Date]])</f>
        <v>2023</v>
      </c>
      <c r="AA1939" s="8">
        <f>MONTH(CleanedData[[#This Row],[Order Date]])</f>
        <v>7</v>
      </c>
    </row>
    <row r="1940" spans="1:27" x14ac:dyDescent="0.35">
      <c r="A1940" s="8" t="s">
        <v>4743</v>
      </c>
      <c r="B1940" s="9">
        <v>45240</v>
      </c>
      <c r="C1940" s="9">
        <v>44993</v>
      </c>
      <c r="D1940" s="8" t="s">
        <v>4744</v>
      </c>
      <c r="E1940" s="8" t="s">
        <v>58</v>
      </c>
      <c r="F1940" s="8" t="s">
        <v>417</v>
      </c>
      <c r="G1940" s="8" t="s">
        <v>70</v>
      </c>
      <c r="H1940" s="8" t="s">
        <v>1019</v>
      </c>
      <c r="I1940" s="8" t="s">
        <v>4975</v>
      </c>
      <c r="J1940" s="10">
        <v>251</v>
      </c>
      <c r="K1940" s="11">
        <v>741.68</v>
      </c>
      <c r="L1940" s="11">
        <v>1075.29</v>
      </c>
      <c r="M1940" s="11">
        <v>269897.78999999998</v>
      </c>
      <c r="N1940" s="11">
        <v>186161.68</v>
      </c>
      <c r="O1940" s="11">
        <f>CleanedData[[#This Row],[Total Sales ($)]]-CleanedData[[#This Row],[Total Cost ($)]]</f>
        <v>83736.109999999986</v>
      </c>
      <c r="P1940" s="12">
        <f>CleanedData[[#This Row],[Profit ($)]]/CleanedData[[#This Row],[Total Sales ($)]]</f>
        <v>0.31025118805159535</v>
      </c>
      <c r="Q1940" s="8" t="s">
        <v>42</v>
      </c>
      <c r="R1940" s="8" t="s">
        <v>63</v>
      </c>
      <c r="S1940" s="8" t="b">
        <f>_xlfn.SINGLE(CleanedData[[#This Row],[Delivery Status]])="Late"</f>
        <v>0</v>
      </c>
      <c r="T1940" s="10">
        <v>2</v>
      </c>
      <c r="U1940" s="8" t="s">
        <v>43</v>
      </c>
      <c r="V1940" s="10">
        <v>2501.41</v>
      </c>
      <c r="W1940" s="10">
        <v>9</v>
      </c>
      <c r="X1940" s="12">
        <v>3.5856573705179202E-2</v>
      </c>
      <c r="Y1940" s="8" t="b">
        <f>CleanedData[[#This Row],[Ship Date]]&lt;CleanedData[[#This Row],[Order Date]]</f>
        <v>1</v>
      </c>
      <c r="Z1940" s="10">
        <f>YEAR(CleanedData[[#This Row],[Order Date]])</f>
        <v>2023</v>
      </c>
      <c r="AA1940" s="8">
        <f>MONTH(CleanedData[[#This Row],[Order Date]])</f>
        <v>11</v>
      </c>
    </row>
    <row r="1941" spans="1:27" x14ac:dyDescent="0.35">
      <c r="A1941" s="8" t="s">
        <v>4745</v>
      </c>
      <c r="B1941" s="9">
        <v>45642</v>
      </c>
      <c r="C1941" s="9">
        <v>45474</v>
      </c>
      <c r="D1941" s="8" t="s">
        <v>4747</v>
      </c>
      <c r="E1941" s="8" t="s">
        <v>100</v>
      </c>
      <c r="F1941" s="8" t="s">
        <v>538</v>
      </c>
      <c r="G1941" s="8" t="s">
        <v>129</v>
      </c>
      <c r="H1941" s="8" t="s">
        <v>811</v>
      </c>
      <c r="I1941" s="8" t="s">
        <v>4975</v>
      </c>
      <c r="J1941" s="10">
        <v>404</v>
      </c>
      <c r="K1941" s="11">
        <v>329.13</v>
      </c>
      <c r="L1941" s="11">
        <v>535.35</v>
      </c>
      <c r="M1941" s="11">
        <v>216281.4</v>
      </c>
      <c r="N1941" s="11">
        <v>132968.51999999999</v>
      </c>
      <c r="O1941" s="11">
        <f>CleanedData[[#This Row],[Total Sales ($)]]-CleanedData[[#This Row],[Total Cost ($)]]</f>
        <v>83312.88</v>
      </c>
      <c r="P1941" s="12">
        <f>CleanedData[[#This Row],[Profit ($)]]/CleanedData[[#This Row],[Total Sales ($)]]</f>
        <v>0.3852059400392267</v>
      </c>
      <c r="Q1941" s="8" t="s">
        <v>42</v>
      </c>
      <c r="R1941" s="8" t="s">
        <v>32</v>
      </c>
      <c r="S1941" s="8" t="b">
        <f>_xlfn.SINGLE(CleanedData[[#This Row],[Delivery Status]])="Late"</f>
        <v>1</v>
      </c>
      <c r="T1941" s="10">
        <v>13</v>
      </c>
      <c r="U1941" s="8" t="s">
        <v>53</v>
      </c>
      <c r="V1941" s="10">
        <v>3667</v>
      </c>
      <c r="W1941" s="10">
        <v>6</v>
      </c>
      <c r="X1941" s="12">
        <v>1.48514851485148E-2</v>
      </c>
      <c r="Y1941" s="8" t="b">
        <f>CleanedData[[#This Row],[Ship Date]]&lt;CleanedData[[#This Row],[Order Date]]</f>
        <v>1</v>
      </c>
      <c r="Z1941" s="10">
        <f>YEAR(CleanedData[[#This Row],[Order Date]])</f>
        <v>2024</v>
      </c>
      <c r="AA1941" s="8">
        <f>MONTH(CleanedData[[#This Row],[Order Date]])</f>
        <v>12</v>
      </c>
    </row>
    <row r="1942" spans="1:27" x14ac:dyDescent="0.35">
      <c r="A1942" s="8" t="s">
        <v>4748</v>
      </c>
      <c r="B1942" s="9">
        <v>45192</v>
      </c>
      <c r="C1942" s="9">
        <v>45214</v>
      </c>
      <c r="D1942" s="8" t="s">
        <v>4749</v>
      </c>
      <c r="E1942" s="8" t="s">
        <v>48</v>
      </c>
      <c r="F1942" s="8" t="s">
        <v>49</v>
      </c>
      <c r="G1942" s="8" t="s">
        <v>50</v>
      </c>
      <c r="H1942" s="8" t="s">
        <v>260</v>
      </c>
      <c r="I1942" s="8" t="s">
        <v>4974</v>
      </c>
      <c r="J1942" s="10">
        <v>400</v>
      </c>
      <c r="K1942" s="11">
        <v>452.56</v>
      </c>
      <c r="L1942" s="11">
        <v>515.21</v>
      </c>
      <c r="M1942" s="11">
        <v>206084</v>
      </c>
      <c r="N1942" s="11">
        <v>181024</v>
      </c>
      <c r="O1942" s="11">
        <f>CleanedData[[#This Row],[Total Sales ($)]]-CleanedData[[#This Row],[Total Cost ($)]]</f>
        <v>25060</v>
      </c>
      <c r="P1942" s="12">
        <f>CleanedData[[#This Row],[Profit ($)]]/CleanedData[[#This Row],[Total Sales ($)]]</f>
        <v>0.12160090060363735</v>
      </c>
      <c r="Q1942" s="8" t="s">
        <v>42</v>
      </c>
      <c r="R1942" s="8" t="s">
        <v>63</v>
      </c>
      <c r="S1942" s="8" t="b">
        <f>_xlfn.SINGLE(CleanedData[[#This Row],[Delivery Status]])="Late"</f>
        <v>0</v>
      </c>
      <c r="T1942" s="10">
        <v>1</v>
      </c>
      <c r="U1942" s="8" t="s">
        <v>86</v>
      </c>
      <c r="V1942" s="10">
        <v>2102</v>
      </c>
      <c r="W1942" s="10">
        <v>13</v>
      </c>
      <c r="X1942" s="12">
        <v>3.2500000000000001E-2</v>
      </c>
      <c r="Y1942" s="8" t="b">
        <f>CleanedData[[#This Row],[Ship Date]]&lt;CleanedData[[#This Row],[Order Date]]</f>
        <v>0</v>
      </c>
      <c r="Z1942" s="10">
        <f>YEAR(CleanedData[[#This Row],[Order Date]])</f>
        <v>2023</v>
      </c>
      <c r="AA1942" s="8">
        <f>MONTH(CleanedData[[#This Row],[Order Date]])</f>
        <v>9</v>
      </c>
    </row>
    <row r="1943" spans="1:27" x14ac:dyDescent="0.35">
      <c r="A1943" s="8" t="s">
        <v>4750</v>
      </c>
      <c r="B1943" s="9">
        <v>45604</v>
      </c>
      <c r="C1943" s="9">
        <v>45543</v>
      </c>
      <c r="D1943" s="8" t="s">
        <v>4752</v>
      </c>
      <c r="E1943" s="8" t="s">
        <v>68</v>
      </c>
      <c r="F1943" s="8" t="s">
        <v>146</v>
      </c>
      <c r="G1943" s="8" t="s">
        <v>50</v>
      </c>
      <c r="H1943" s="8" t="s">
        <v>107</v>
      </c>
      <c r="I1943" s="8" t="s">
        <v>4976</v>
      </c>
      <c r="J1943" s="10">
        <v>752</v>
      </c>
      <c r="K1943" s="11">
        <v>260.97000000000003</v>
      </c>
      <c r="L1943" s="11">
        <v>325.95</v>
      </c>
      <c r="M1943" s="11">
        <v>245114.4</v>
      </c>
      <c r="N1943" s="11">
        <v>196249.44</v>
      </c>
      <c r="O1943" s="11">
        <f>CleanedData[[#This Row],[Total Sales ($)]]-CleanedData[[#This Row],[Total Cost ($)]]</f>
        <v>48864.959999999992</v>
      </c>
      <c r="P1943" s="12">
        <f>CleanedData[[#This Row],[Profit ($)]]/CleanedData[[#This Row],[Total Sales ($)]]</f>
        <v>0.19935572940635063</v>
      </c>
      <c r="Q1943" s="8" t="s">
        <v>42</v>
      </c>
      <c r="R1943" s="8" t="s">
        <v>32</v>
      </c>
      <c r="S1943" s="8" t="b">
        <f>_xlfn.SINGLE(CleanedData[[#This Row],[Delivery Status]])="Late"</f>
        <v>1</v>
      </c>
      <c r="T1943" s="10">
        <v>6</v>
      </c>
      <c r="U1943" s="8" t="s">
        <v>33</v>
      </c>
      <c r="V1943" s="10">
        <v>390</v>
      </c>
      <c r="W1943" s="10">
        <v>17</v>
      </c>
      <c r="X1943" s="12">
        <v>2.2606382978723399E-2</v>
      </c>
      <c r="Y1943" s="8" t="b">
        <f>CleanedData[[#This Row],[Ship Date]]&lt;CleanedData[[#This Row],[Order Date]]</f>
        <v>1</v>
      </c>
      <c r="Z1943" s="10">
        <f>YEAR(CleanedData[[#This Row],[Order Date]])</f>
        <v>2024</v>
      </c>
      <c r="AA1943" s="8">
        <f>MONTH(CleanedData[[#This Row],[Order Date]])</f>
        <v>11</v>
      </c>
    </row>
    <row r="1944" spans="1:27" x14ac:dyDescent="0.35">
      <c r="A1944" s="8" t="s">
        <v>4753</v>
      </c>
      <c r="B1944" s="9">
        <v>45393</v>
      </c>
      <c r="C1944" s="9">
        <v>45496</v>
      </c>
      <c r="D1944" s="8" t="s">
        <v>4754</v>
      </c>
      <c r="E1944" s="8" t="s">
        <v>26</v>
      </c>
      <c r="F1944" s="8" t="s">
        <v>228</v>
      </c>
      <c r="G1944" s="8" t="s">
        <v>60</v>
      </c>
      <c r="H1944" s="8" t="s">
        <v>265</v>
      </c>
      <c r="I1944" s="8" t="s">
        <v>4969</v>
      </c>
      <c r="J1944" s="10">
        <v>769</v>
      </c>
      <c r="K1944" s="11">
        <v>399.39</v>
      </c>
      <c r="L1944" s="11">
        <v>456.56</v>
      </c>
      <c r="M1944" s="11">
        <v>351094.64</v>
      </c>
      <c r="N1944" s="11">
        <v>307130.90999999997</v>
      </c>
      <c r="O1944" s="11">
        <f>CleanedData[[#This Row],[Total Sales ($)]]-CleanedData[[#This Row],[Total Cost ($)]]</f>
        <v>43963.73000000004</v>
      </c>
      <c r="P1944" s="12">
        <f>CleanedData[[#This Row],[Profit ($)]]/CleanedData[[#This Row],[Total Sales ($)]]</f>
        <v>0.12521902926230954</v>
      </c>
      <c r="Q1944" s="8" t="s">
        <v>42</v>
      </c>
      <c r="R1944" s="8" t="s">
        <v>32</v>
      </c>
      <c r="S1944" s="8" t="b">
        <f>_xlfn.SINGLE(CleanedData[[#This Row],[Delivery Status]])="Late"</f>
        <v>1</v>
      </c>
      <c r="T1944" s="10">
        <v>14</v>
      </c>
      <c r="U1944" s="8" t="s">
        <v>33</v>
      </c>
      <c r="V1944" s="10">
        <v>851</v>
      </c>
      <c r="W1944" s="10">
        <v>19</v>
      </c>
      <c r="X1944" s="12">
        <v>2.47074122236671E-2</v>
      </c>
      <c r="Y1944" s="8" t="b">
        <f>CleanedData[[#This Row],[Ship Date]]&lt;CleanedData[[#This Row],[Order Date]]</f>
        <v>0</v>
      </c>
      <c r="Z1944" s="10">
        <f>YEAR(CleanedData[[#This Row],[Order Date]])</f>
        <v>2024</v>
      </c>
      <c r="AA1944" s="8">
        <f>MONTH(CleanedData[[#This Row],[Order Date]])</f>
        <v>4</v>
      </c>
    </row>
    <row r="1945" spans="1:27" x14ac:dyDescent="0.35">
      <c r="A1945" s="8" t="s">
        <v>4755</v>
      </c>
      <c r="B1945" s="9">
        <v>45257</v>
      </c>
      <c r="C1945" s="9">
        <v>45042</v>
      </c>
      <c r="D1945" s="8" t="s">
        <v>4756</v>
      </c>
      <c r="E1945" s="8" t="s">
        <v>58</v>
      </c>
      <c r="F1945" s="8" t="s">
        <v>59</v>
      </c>
      <c r="G1945" s="8" t="s">
        <v>189</v>
      </c>
      <c r="H1945" s="8" t="s">
        <v>365</v>
      </c>
      <c r="I1945" s="8" t="s">
        <v>4977</v>
      </c>
      <c r="J1945" s="10">
        <v>559</v>
      </c>
      <c r="K1945" s="11">
        <v>1044.5899999999999</v>
      </c>
      <c r="L1945" s="11">
        <v>1606.34</v>
      </c>
      <c r="M1945" s="11">
        <v>897944.06</v>
      </c>
      <c r="N1945" s="11">
        <v>583925.81000000006</v>
      </c>
      <c r="O1945" s="11">
        <f>CleanedData[[#This Row],[Total Sales ($)]]-CleanedData[[#This Row],[Total Cost ($)]]</f>
        <v>314018.25</v>
      </c>
      <c r="P1945" s="12">
        <f>CleanedData[[#This Row],[Profit ($)]]/CleanedData[[#This Row],[Total Sales ($)]]</f>
        <v>0.34970803192350308</v>
      </c>
      <c r="Q1945" s="8" t="s">
        <v>95</v>
      </c>
      <c r="R1945" s="8" t="s">
        <v>32</v>
      </c>
      <c r="S1945" s="8" t="b">
        <f>_xlfn.SINGLE(CleanedData[[#This Row],[Delivery Status]])="Late"</f>
        <v>1</v>
      </c>
      <c r="T1945" s="10">
        <v>15</v>
      </c>
      <c r="U1945" s="8" t="s">
        <v>112</v>
      </c>
      <c r="V1945" s="10">
        <v>4671</v>
      </c>
      <c r="W1945" s="10">
        <v>12</v>
      </c>
      <c r="X1945" s="12">
        <v>2.1466905187835401E-2</v>
      </c>
      <c r="Y1945" s="8" t="b">
        <f>CleanedData[[#This Row],[Ship Date]]&lt;CleanedData[[#This Row],[Order Date]]</f>
        <v>1</v>
      </c>
      <c r="Z1945" s="10">
        <f>YEAR(CleanedData[[#This Row],[Order Date]])</f>
        <v>2023</v>
      </c>
      <c r="AA1945" s="8">
        <f>MONTH(CleanedData[[#This Row],[Order Date]])</f>
        <v>11</v>
      </c>
    </row>
    <row r="1946" spans="1:27" x14ac:dyDescent="0.35">
      <c r="A1946" s="8" t="s">
        <v>4757</v>
      </c>
      <c r="B1946" s="9">
        <v>45528</v>
      </c>
      <c r="C1946" s="9">
        <v>45583</v>
      </c>
      <c r="D1946" s="8" t="s">
        <v>4759</v>
      </c>
      <c r="E1946" s="8" t="s">
        <v>68</v>
      </c>
      <c r="F1946" s="8" t="s">
        <v>146</v>
      </c>
      <c r="G1946" s="8" t="s">
        <v>189</v>
      </c>
      <c r="H1946" s="8" t="s">
        <v>271</v>
      </c>
      <c r="I1946" s="8" t="s">
        <v>4978</v>
      </c>
      <c r="J1946" s="10">
        <v>637</v>
      </c>
      <c r="K1946" s="11">
        <v>310.83999999999997</v>
      </c>
      <c r="L1946" s="11">
        <v>484.76</v>
      </c>
      <c r="M1946" s="11">
        <v>308792.12</v>
      </c>
      <c r="N1946" s="11">
        <v>198005.08</v>
      </c>
      <c r="O1946" s="11">
        <f>CleanedData[[#This Row],[Total Sales ($)]]-CleanedData[[#This Row],[Total Cost ($)]]</f>
        <v>110787.04000000001</v>
      </c>
      <c r="P1946" s="12">
        <f>CleanedData[[#This Row],[Profit ($)]]/CleanedData[[#This Row],[Total Sales ($)]]</f>
        <v>0.35877547652446573</v>
      </c>
      <c r="Q1946" s="8" t="s">
        <v>95</v>
      </c>
      <c r="R1946" s="8" t="s">
        <v>63</v>
      </c>
      <c r="S1946" s="8" t="b">
        <f>_xlfn.SINGLE(CleanedData[[#This Row],[Delivery Status]])="Late"</f>
        <v>0</v>
      </c>
      <c r="T1946" s="10">
        <v>4</v>
      </c>
      <c r="U1946" s="8" t="s">
        <v>112</v>
      </c>
      <c r="V1946" s="10">
        <v>921</v>
      </c>
      <c r="W1946" s="10">
        <v>7</v>
      </c>
      <c r="X1946" s="12">
        <v>1.09890109890109E-2</v>
      </c>
      <c r="Y1946" s="8" t="b">
        <f>CleanedData[[#This Row],[Ship Date]]&lt;CleanedData[[#This Row],[Order Date]]</f>
        <v>0</v>
      </c>
      <c r="Z1946" s="10">
        <f>YEAR(CleanedData[[#This Row],[Order Date]])</f>
        <v>2024</v>
      </c>
      <c r="AA1946" s="8">
        <f>MONTH(CleanedData[[#This Row],[Order Date]])</f>
        <v>8</v>
      </c>
    </row>
    <row r="1947" spans="1:27" x14ac:dyDescent="0.35">
      <c r="A1947" s="8" t="s">
        <v>4760</v>
      </c>
      <c r="B1947" s="9">
        <v>44958</v>
      </c>
      <c r="C1947" s="9">
        <v>45152</v>
      </c>
      <c r="D1947" s="8" t="s">
        <v>4761</v>
      </c>
      <c r="E1947" s="8" t="s">
        <v>68</v>
      </c>
      <c r="F1947" s="8" t="s">
        <v>249</v>
      </c>
      <c r="G1947" s="8" t="s">
        <v>50</v>
      </c>
      <c r="H1947" s="8" t="s">
        <v>135</v>
      </c>
      <c r="I1947" s="8" t="s">
        <v>4978</v>
      </c>
      <c r="J1947" s="10">
        <v>786</v>
      </c>
      <c r="K1947" s="11">
        <v>650.28</v>
      </c>
      <c r="L1947" s="11">
        <v>852.28</v>
      </c>
      <c r="M1947" s="11">
        <v>669892.07999999996</v>
      </c>
      <c r="N1947" s="11">
        <v>511120.08</v>
      </c>
      <c r="O1947" s="11">
        <f>CleanedData[[#This Row],[Total Sales ($)]]-CleanedData[[#This Row],[Total Cost ($)]]</f>
        <v>158771.99999999994</v>
      </c>
      <c r="P1947" s="12">
        <f>CleanedData[[#This Row],[Profit ($)]]/CleanedData[[#This Row],[Total Sales ($)]]</f>
        <v>0.23701131083681412</v>
      </c>
      <c r="Q1947" s="8" t="s">
        <v>31</v>
      </c>
      <c r="R1947" s="8" t="s">
        <v>32</v>
      </c>
      <c r="S1947" s="8" t="b">
        <f>_xlfn.SINGLE(CleanedData[[#This Row],[Delivery Status]])="Late"</f>
        <v>1</v>
      </c>
      <c r="T1947" s="10">
        <v>12</v>
      </c>
      <c r="U1947" s="8" t="s">
        <v>112</v>
      </c>
      <c r="V1947" s="10">
        <v>3758</v>
      </c>
      <c r="W1947" s="10">
        <v>38</v>
      </c>
      <c r="X1947" s="12">
        <v>4.8346055979643698E-2</v>
      </c>
      <c r="Y1947" s="8" t="b">
        <f>CleanedData[[#This Row],[Ship Date]]&lt;CleanedData[[#This Row],[Order Date]]</f>
        <v>0</v>
      </c>
      <c r="Z1947" s="10">
        <f>YEAR(CleanedData[[#This Row],[Order Date]])</f>
        <v>2023</v>
      </c>
      <c r="AA1947" s="8">
        <f>MONTH(CleanedData[[#This Row],[Order Date]])</f>
        <v>2</v>
      </c>
    </row>
    <row r="1948" spans="1:27" x14ac:dyDescent="0.35">
      <c r="A1948" s="8" t="s">
        <v>4762</v>
      </c>
      <c r="B1948" s="9">
        <v>45189</v>
      </c>
      <c r="C1948" s="9">
        <v>45110</v>
      </c>
      <c r="D1948" s="8" t="s">
        <v>4763</v>
      </c>
      <c r="E1948" s="8" t="s">
        <v>68</v>
      </c>
      <c r="F1948" s="8" t="s">
        <v>163</v>
      </c>
      <c r="G1948" s="8" t="s">
        <v>70</v>
      </c>
      <c r="H1948" s="8" t="s">
        <v>71</v>
      </c>
      <c r="I1948" s="8" t="s">
        <v>4970</v>
      </c>
      <c r="J1948" s="10">
        <v>590</v>
      </c>
      <c r="K1948" s="11">
        <v>552.70000000000005</v>
      </c>
      <c r="L1948" s="11">
        <v>783.58</v>
      </c>
      <c r="M1948" s="11">
        <v>462312.2</v>
      </c>
      <c r="N1948" s="11">
        <v>326093</v>
      </c>
      <c r="O1948" s="11">
        <f>CleanedData[[#This Row],[Total Sales ($)]]-CleanedData[[#This Row],[Total Cost ($)]]</f>
        <v>136219.20000000001</v>
      </c>
      <c r="P1948" s="12">
        <f>CleanedData[[#This Row],[Profit ($)]]/CleanedData[[#This Row],[Total Sales ($)]]</f>
        <v>0.2946476428699048</v>
      </c>
      <c r="Q1948" s="8" t="s">
        <v>31</v>
      </c>
      <c r="R1948" s="8" t="s">
        <v>32</v>
      </c>
      <c r="S1948" s="8" t="b">
        <f>_xlfn.SINGLE(CleanedData[[#This Row],[Delivery Status]])="Late"</f>
        <v>1</v>
      </c>
      <c r="T1948" s="10">
        <v>10</v>
      </c>
      <c r="U1948" s="8" t="s">
        <v>53</v>
      </c>
      <c r="V1948" s="10">
        <v>4905</v>
      </c>
      <c r="W1948" s="10">
        <v>14</v>
      </c>
      <c r="X1948" s="12">
        <v>2.3728813559322E-2</v>
      </c>
      <c r="Y1948" s="8" t="b">
        <f>CleanedData[[#This Row],[Ship Date]]&lt;CleanedData[[#This Row],[Order Date]]</f>
        <v>1</v>
      </c>
      <c r="Z1948" s="10">
        <f>YEAR(CleanedData[[#This Row],[Order Date]])</f>
        <v>2023</v>
      </c>
      <c r="AA1948" s="8">
        <f>MONTH(CleanedData[[#This Row],[Order Date]])</f>
        <v>9</v>
      </c>
    </row>
    <row r="1949" spans="1:27" x14ac:dyDescent="0.35">
      <c r="A1949" s="8" t="s">
        <v>4764</v>
      </c>
      <c r="B1949" s="9">
        <v>45005</v>
      </c>
      <c r="C1949" s="9">
        <v>45050</v>
      </c>
      <c r="D1949" s="8" t="s">
        <v>4765</v>
      </c>
      <c r="E1949" s="8" t="s">
        <v>100</v>
      </c>
      <c r="F1949" s="8" t="s">
        <v>101</v>
      </c>
      <c r="G1949" s="8" t="s">
        <v>50</v>
      </c>
      <c r="H1949" s="8" t="s">
        <v>51</v>
      </c>
      <c r="I1949" s="8" t="s">
        <v>4973</v>
      </c>
      <c r="J1949" s="10">
        <v>601</v>
      </c>
      <c r="K1949" s="11">
        <v>627.21</v>
      </c>
      <c r="L1949" s="11"/>
      <c r="M1949" s="11">
        <v>442275.9</v>
      </c>
      <c r="N1949" s="11">
        <v>376953.21</v>
      </c>
      <c r="O1949" s="11">
        <f>CleanedData[[#This Row],[Total Sales ($)]]-CleanedData[[#This Row],[Total Cost ($)]]</f>
        <v>65322.69</v>
      </c>
      <c r="P1949" s="12">
        <f>CleanedData[[#This Row],[Profit ($)]]/CleanedData[[#This Row],[Total Sales ($)]]</f>
        <v>0.14769669792091317</v>
      </c>
      <c r="Q1949" s="8" t="s">
        <v>31</v>
      </c>
      <c r="R1949" s="8" t="s">
        <v>32</v>
      </c>
      <c r="S1949" s="8" t="b">
        <f>_xlfn.SINGLE(CleanedData[[#This Row],[Delivery Status]])="Late"</f>
        <v>1</v>
      </c>
      <c r="T1949" s="10">
        <v>11</v>
      </c>
      <c r="U1949" s="8" t="s">
        <v>53</v>
      </c>
      <c r="V1949" s="10">
        <v>4084</v>
      </c>
      <c r="W1949" s="10">
        <v>26</v>
      </c>
      <c r="X1949" s="12">
        <v>4.3261231281198E-2</v>
      </c>
      <c r="Y1949" s="8" t="b">
        <f>CleanedData[[#This Row],[Ship Date]]&lt;CleanedData[[#This Row],[Order Date]]</f>
        <v>0</v>
      </c>
      <c r="Z1949" s="10">
        <f>YEAR(CleanedData[[#This Row],[Order Date]])</f>
        <v>2023</v>
      </c>
      <c r="AA1949" s="8">
        <f>MONTH(CleanedData[[#This Row],[Order Date]])</f>
        <v>3</v>
      </c>
    </row>
    <row r="1950" spans="1:27" x14ac:dyDescent="0.35">
      <c r="A1950" s="8" t="s">
        <v>4766</v>
      </c>
      <c r="B1950" s="9">
        <v>45008</v>
      </c>
      <c r="C1950" s="9">
        <v>45147</v>
      </c>
      <c r="D1950" s="8" t="s">
        <v>4767</v>
      </c>
      <c r="E1950" s="8" t="s">
        <v>100</v>
      </c>
      <c r="F1950" s="8" t="s">
        <v>538</v>
      </c>
      <c r="G1950" s="8" t="s">
        <v>39</v>
      </c>
      <c r="H1950" s="8" t="s">
        <v>354</v>
      </c>
      <c r="I1950" s="8" t="s">
        <v>4969</v>
      </c>
      <c r="J1950" s="10">
        <v>443</v>
      </c>
      <c r="K1950" s="11">
        <v>1181.72</v>
      </c>
      <c r="L1950" s="11"/>
      <c r="M1950" s="11">
        <v>718009.97</v>
      </c>
      <c r="N1950" s="11">
        <v>523501.96</v>
      </c>
      <c r="O1950" s="11">
        <f>CleanedData[[#This Row],[Total Sales ($)]]-CleanedData[[#This Row],[Total Cost ($)]]</f>
        <v>194508.00999999995</v>
      </c>
      <c r="P1950" s="12">
        <f>CleanedData[[#This Row],[Profit ($)]]/CleanedData[[#This Row],[Total Sales ($)]]</f>
        <v>0.27089875924703377</v>
      </c>
      <c r="Q1950" s="8" t="s">
        <v>42</v>
      </c>
      <c r="R1950" s="8" t="s">
        <v>32</v>
      </c>
      <c r="S1950" s="8" t="b">
        <f>_xlfn.SINGLE(CleanedData[[#This Row],[Delivery Status]])="Late"</f>
        <v>1</v>
      </c>
      <c r="T1950" s="10">
        <v>12</v>
      </c>
      <c r="U1950" s="8" t="s">
        <v>43</v>
      </c>
      <c r="V1950" s="10">
        <v>2415</v>
      </c>
      <c r="W1950" s="10">
        <v>4</v>
      </c>
      <c r="X1950" s="12">
        <v>9.0293453724604004E-3</v>
      </c>
      <c r="Y1950" s="8" t="b">
        <f>CleanedData[[#This Row],[Ship Date]]&lt;CleanedData[[#This Row],[Order Date]]</f>
        <v>0</v>
      </c>
      <c r="Z1950" s="10">
        <f>YEAR(CleanedData[[#This Row],[Order Date]])</f>
        <v>2023</v>
      </c>
      <c r="AA1950" s="8">
        <f>MONTH(CleanedData[[#This Row],[Order Date]])</f>
        <v>3</v>
      </c>
    </row>
    <row r="1951" spans="1:27" x14ac:dyDescent="0.35">
      <c r="A1951" s="8" t="s">
        <v>4768</v>
      </c>
      <c r="B1951" s="9">
        <v>45267</v>
      </c>
      <c r="C1951" s="9">
        <v>45130</v>
      </c>
      <c r="D1951" s="8" t="s">
        <v>4769</v>
      </c>
      <c r="E1951" s="8" t="s">
        <v>48</v>
      </c>
      <c r="F1951" s="8" t="s">
        <v>281</v>
      </c>
      <c r="G1951" s="8" t="s">
        <v>217</v>
      </c>
      <c r="H1951" s="8" t="s">
        <v>335</v>
      </c>
      <c r="I1951" s="8" t="s">
        <v>4975</v>
      </c>
      <c r="J1951" s="10">
        <v>406</v>
      </c>
      <c r="K1951" s="11">
        <v>720.17</v>
      </c>
      <c r="L1951" s="11">
        <v>862.9</v>
      </c>
      <c r="M1951" s="11">
        <v>350337.4</v>
      </c>
      <c r="N1951" s="11">
        <v>292389.02</v>
      </c>
      <c r="O1951" s="11">
        <f>CleanedData[[#This Row],[Total Sales ($)]]-CleanedData[[#This Row],[Total Cost ($)]]</f>
        <v>57948.380000000005</v>
      </c>
      <c r="P1951" s="12">
        <f>CleanedData[[#This Row],[Profit ($)]]/CleanedData[[#This Row],[Total Sales ($)]]</f>
        <v>0.16540734731718623</v>
      </c>
      <c r="Q1951" s="8" t="s">
        <v>52</v>
      </c>
      <c r="R1951" s="8" t="s">
        <v>32</v>
      </c>
      <c r="S1951" s="8" t="b">
        <f>_xlfn.SINGLE(CleanedData[[#This Row],[Delivery Status]])="Late"</f>
        <v>1</v>
      </c>
      <c r="T1951" s="10">
        <v>10</v>
      </c>
      <c r="U1951" s="8" t="s">
        <v>53</v>
      </c>
      <c r="V1951" s="10">
        <v>4871</v>
      </c>
      <c r="W1951" s="10">
        <v>11</v>
      </c>
      <c r="X1951" s="12">
        <v>2.7093596059113299E-2</v>
      </c>
      <c r="Y1951" s="8" t="b">
        <f>CleanedData[[#This Row],[Ship Date]]&lt;CleanedData[[#This Row],[Order Date]]</f>
        <v>1</v>
      </c>
      <c r="Z1951" s="10">
        <f>YEAR(CleanedData[[#This Row],[Order Date]])</f>
        <v>2023</v>
      </c>
      <c r="AA1951" s="8">
        <f>MONTH(CleanedData[[#This Row],[Order Date]])</f>
        <v>12</v>
      </c>
    </row>
    <row r="1952" spans="1:27" x14ac:dyDescent="0.35">
      <c r="A1952" s="8" t="s">
        <v>4770</v>
      </c>
      <c r="B1952" s="9">
        <v>45399</v>
      </c>
      <c r="C1952" s="9">
        <v>45530</v>
      </c>
      <c r="D1952" s="8" t="s">
        <v>4772</v>
      </c>
      <c r="E1952" s="8" t="s">
        <v>48</v>
      </c>
      <c r="F1952" s="8" t="s">
        <v>183</v>
      </c>
      <c r="G1952" s="8" t="s">
        <v>189</v>
      </c>
      <c r="H1952" s="8" t="s">
        <v>311</v>
      </c>
      <c r="I1952" s="8" t="s">
        <v>4974</v>
      </c>
      <c r="J1952" s="10">
        <v>593</v>
      </c>
      <c r="K1952" s="11">
        <v>494.54</v>
      </c>
      <c r="L1952" s="11">
        <v>622.29999999999995</v>
      </c>
      <c r="M1952" s="11">
        <v>369023.9</v>
      </c>
      <c r="N1952" s="11">
        <v>293262.21999999997</v>
      </c>
      <c r="O1952" s="11">
        <f>CleanedData[[#This Row],[Total Sales ($)]]-CleanedData[[#This Row],[Total Cost ($)]]</f>
        <v>75761.680000000051</v>
      </c>
      <c r="P1952" s="12">
        <f>CleanedData[[#This Row],[Profit ($)]]/CleanedData[[#This Row],[Total Sales ($)]]</f>
        <v>0.20530290856500094</v>
      </c>
      <c r="Q1952" s="8" t="s">
        <v>52</v>
      </c>
      <c r="R1952" s="8" t="s">
        <v>32</v>
      </c>
      <c r="S1952" s="8" t="b">
        <f>_xlfn.SINGLE(CleanedData[[#This Row],[Delivery Status]])="Late"</f>
        <v>1</v>
      </c>
      <c r="T1952" s="10">
        <v>14</v>
      </c>
      <c r="U1952" s="8" t="s">
        <v>33</v>
      </c>
      <c r="V1952" s="10">
        <v>4359</v>
      </c>
      <c r="W1952" s="10">
        <v>20</v>
      </c>
      <c r="X1952" s="12">
        <v>3.3726812816188799E-2</v>
      </c>
      <c r="Y1952" s="8" t="b">
        <f>CleanedData[[#This Row],[Ship Date]]&lt;CleanedData[[#This Row],[Order Date]]</f>
        <v>0</v>
      </c>
      <c r="Z1952" s="10">
        <f>YEAR(CleanedData[[#This Row],[Order Date]])</f>
        <v>2024</v>
      </c>
      <c r="AA1952" s="8">
        <f>MONTH(CleanedData[[#This Row],[Order Date]])</f>
        <v>4</v>
      </c>
    </row>
    <row r="1953" spans="1:27" x14ac:dyDescent="0.35">
      <c r="A1953" s="8" t="s">
        <v>4773</v>
      </c>
      <c r="B1953" s="9">
        <v>44989</v>
      </c>
      <c r="C1953" s="9">
        <v>44986</v>
      </c>
      <c r="D1953" s="8" t="s">
        <v>4774</v>
      </c>
      <c r="E1953" s="8" t="s">
        <v>58</v>
      </c>
      <c r="F1953" s="8" t="s">
        <v>116</v>
      </c>
      <c r="G1953" s="8" t="s">
        <v>217</v>
      </c>
      <c r="H1953" s="8" t="s">
        <v>524</v>
      </c>
      <c r="I1953" s="8" t="s">
        <v>4976</v>
      </c>
      <c r="J1953" s="10">
        <v>775</v>
      </c>
      <c r="K1953" s="11">
        <v>77.77</v>
      </c>
      <c r="L1953" s="11">
        <v>95.74</v>
      </c>
      <c r="M1953" s="11">
        <v>74198.5</v>
      </c>
      <c r="N1953" s="11">
        <v>60271.75</v>
      </c>
      <c r="O1953" s="11">
        <f>CleanedData[[#This Row],[Total Sales ($)]]-CleanedData[[#This Row],[Total Cost ($)]]</f>
        <v>13926.75</v>
      </c>
      <c r="P1953" s="12">
        <f>CleanedData[[#This Row],[Profit ($)]]/CleanedData[[#This Row],[Total Sales ($)]]</f>
        <v>0.1876958429078755</v>
      </c>
      <c r="Q1953" s="8" t="s">
        <v>52</v>
      </c>
      <c r="R1953" s="8" t="s">
        <v>63</v>
      </c>
      <c r="S1953" s="8" t="b">
        <f>_xlfn.SINGLE(CleanedData[[#This Row],[Delivery Status]])="Late"</f>
        <v>0</v>
      </c>
      <c r="T1953" s="10">
        <v>1</v>
      </c>
      <c r="U1953" s="8" t="s">
        <v>112</v>
      </c>
      <c r="V1953" s="10">
        <v>1527</v>
      </c>
      <c r="W1953" s="10">
        <v>36</v>
      </c>
      <c r="X1953" s="12">
        <v>4.6451612903225803E-2</v>
      </c>
      <c r="Y1953" s="8" t="b">
        <f>CleanedData[[#This Row],[Ship Date]]&lt;CleanedData[[#This Row],[Order Date]]</f>
        <v>1</v>
      </c>
      <c r="Z1953" s="10">
        <f>YEAR(CleanedData[[#This Row],[Order Date]])</f>
        <v>2023</v>
      </c>
      <c r="AA1953" s="8">
        <f>MONTH(CleanedData[[#This Row],[Order Date]])</f>
        <v>3</v>
      </c>
    </row>
    <row r="1954" spans="1:27" x14ac:dyDescent="0.35">
      <c r="A1954" s="8" t="s">
        <v>4775</v>
      </c>
      <c r="B1954" s="9">
        <v>45192</v>
      </c>
      <c r="C1954" s="9">
        <v>45047</v>
      </c>
      <c r="D1954" s="8" t="s">
        <v>560</v>
      </c>
      <c r="E1954" s="8" t="s">
        <v>26</v>
      </c>
      <c r="F1954" s="8" t="s">
        <v>77</v>
      </c>
      <c r="G1954" s="8" t="s">
        <v>60</v>
      </c>
      <c r="H1954" s="8" t="s">
        <v>265</v>
      </c>
      <c r="I1954" s="8" t="s">
        <v>4970</v>
      </c>
      <c r="J1954" s="10">
        <v>642</v>
      </c>
      <c r="K1954" s="11"/>
      <c r="L1954" s="11">
        <v>1656.72</v>
      </c>
      <c r="M1954" s="11">
        <v>1063614.24</v>
      </c>
      <c r="N1954" s="11">
        <v>759871.2</v>
      </c>
      <c r="O1954" s="11">
        <f>CleanedData[[#This Row],[Total Sales ($)]]-CleanedData[[#This Row],[Total Cost ($)]]</f>
        <v>303743.04000000004</v>
      </c>
      <c r="P1954" s="12">
        <f>CleanedData[[#This Row],[Profit ($)]]/CleanedData[[#This Row],[Total Sales ($)]]</f>
        <v>0.28557631947462458</v>
      </c>
      <c r="Q1954" s="8" t="s">
        <v>52</v>
      </c>
      <c r="R1954" s="8" t="s">
        <v>32</v>
      </c>
      <c r="S1954" s="8" t="b">
        <f>_xlfn.SINGLE(CleanedData[[#This Row],[Delivery Status]])="Late"</f>
        <v>1</v>
      </c>
      <c r="T1954" s="10">
        <v>12</v>
      </c>
      <c r="U1954" s="8" t="s">
        <v>43</v>
      </c>
      <c r="V1954" s="10">
        <v>1221</v>
      </c>
      <c r="W1954" s="10">
        <v>1</v>
      </c>
      <c r="X1954" s="12">
        <v>1.5576323987537999E-3</v>
      </c>
      <c r="Y1954" s="8" t="b">
        <f>CleanedData[[#This Row],[Ship Date]]&lt;CleanedData[[#This Row],[Order Date]]</f>
        <v>1</v>
      </c>
      <c r="Z1954" s="10">
        <f>YEAR(CleanedData[[#This Row],[Order Date]])</f>
        <v>2023</v>
      </c>
      <c r="AA1954" s="8">
        <f>MONTH(CleanedData[[#This Row],[Order Date]])</f>
        <v>9</v>
      </c>
    </row>
    <row r="1955" spans="1:27" x14ac:dyDescent="0.35">
      <c r="A1955" s="8" t="s">
        <v>4776</v>
      </c>
      <c r="B1955" s="9">
        <v>45080</v>
      </c>
      <c r="C1955" s="9">
        <v>45078</v>
      </c>
      <c r="D1955" s="8" t="s">
        <v>2838</v>
      </c>
      <c r="E1955" s="8" t="s">
        <v>58</v>
      </c>
      <c r="F1955" s="8" t="s">
        <v>116</v>
      </c>
      <c r="G1955" s="8" t="s">
        <v>50</v>
      </c>
      <c r="H1955" s="8" t="s">
        <v>135</v>
      </c>
      <c r="I1955" s="8" t="s">
        <v>4970</v>
      </c>
      <c r="J1955" s="10">
        <v>580</v>
      </c>
      <c r="K1955" s="11">
        <v>951.36</v>
      </c>
      <c r="L1955" s="11">
        <v>1508.24</v>
      </c>
      <c r="M1955" s="11">
        <v>874779.2</v>
      </c>
      <c r="N1955" s="11">
        <v>551788.80000000005</v>
      </c>
      <c r="O1955" s="11">
        <f>CleanedData[[#This Row],[Total Sales ($)]]-CleanedData[[#This Row],[Total Cost ($)]]</f>
        <v>322990.39999999991</v>
      </c>
      <c r="P1955" s="12">
        <f>CleanedData[[#This Row],[Profit ($)]]/CleanedData[[#This Row],[Total Sales ($)]]</f>
        <v>0.36922505702010283</v>
      </c>
      <c r="Q1955" s="8" t="s">
        <v>42</v>
      </c>
      <c r="R1955" s="8" t="s">
        <v>63</v>
      </c>
      <c r="S1955" s="8" t="b">
        <f>_xlfn.SINGLE(CleanedData[[#This Row],[Delivery Status]])="Late"</f>
        <v>0</v>
      </c>
      <c r="T1955" s="10">
        <v>4</v>
      </c>
      <c r="U1955" s="8" t="s">
        <v>43</v>
      </c>
      <c r="V1955" s="10">
        <v>4279</v>
      </c>
      <c r="W1955" s="10">
        <v>5</v>
      </c>
      <c r="X1955" s="12">
        <v>8.6206896551723998E-3</v>
      </c>
      <c r="Y1955" s="8" t="b">
        <f>CleanedData[[#This Row],[Ship Date]]&lt;CleanedData[[#This Row],[Order Date]]</f>
        <v>1</v>
      </c>
      <c r="Z1955" s="10">
        <f>YEAR(CleanedData[[#This Row],[Order Date]])</f>
        <v>2023</v>
      </c>
      <c r="AA1955" s="8">
        <f>MONTH(CleanedData[[#This Row],[Order Date]])</f>
        <v>6</v>
      </c>
    </row>
    <row r="1956" spans="1:27" x14ac:dyDescent="0.35">
      <c r="A1956" s="8" t="s">
        <v>4777</v>
      </c>
      <c r="B1956" s="9">
        <v>45420</v>
      </c>
      <c r="C1956" s="9">
        <v>45422</v>
      </c>
      <c r="D1956" s="8" t="s">
        <v>4778</v>
      </c>
      <c r="E1956" s="8" t="s">
        <v>48</v>
      </c>
      <c r="F1956" s="8" t="s">
        <v>281</v>
      </c>
      <c r="G1956" s="8" t="s">
        <v>93</v>
      </c>
      <c r="H1956" s="8" t="s">
        <v>485</v>
      </c>
      <c r="I1956" s="8" t="s">
        <v>4968</v>
      </c>
      <c r="J1956" s="10">
        <v>349</v>
      </c>
      <c r="K1956" s="11">
        <v>372.41</v>
      </c>
      <c r="L1956" s="11">
        <v>572.70000000000005</v>
      </c>
      <c r="M1956" s="11">
        <v>199872.3</v>
      </c>
      <c r="N1956" s="11">
        <v>129971.09</v>
      </c>
      <c r="O1956" s="11">
        <f>CleanedData[[#This Row],[Total Sales ($)]]-CleanedData[[#This Row],[Total Cost ($)]]</f>
        <v>69901.209999999992</v>
      </c>
      <c r="P1956" s="12">
        <f>CleanedData[[#This Row],[Profit ($)]]/CleanedData[[#This Row],[Total Sales ($)]]</f>
        <v>0.34972935219137419</v>
      </c>
      <c r="Q1956" s="8" t="s">
        <v>95</v>
      </c>
      <c r="R1956" s="8" t="s">
        <v>63</v>
      </c>
      <c r="S1956" s="8" t="b">
        <f>_xlfn.SINGLE(CleanedData[[#This Row],[Delivery Status]])="Late"</f>
        <v>0</v>
      </c>
      <c r="T1956" s="10">
        <v>1</v>
      </c>
      <c r="U1956" s="8" t="s">
        <v>112</v>
      </c>
      <c r="V1956" s="10">
        <v>389</v>
      </c>
      <c r="W1956" s="10">
        <v>10</v>
      </c>
      <c r="X1956" s="12">
        <v>2.8653295128939799E-2</v>
      </c>
      <c r="Y1956" s="8" t="b">
        <f>CleanedData[[#This Row],[Ship Date]]&lt;CleanedData[[#This Row],[Order Date]]</f>
        <v>0</v>
      </c>
      <c r="Z1956" s="10">
        <f>YEAR(CleanedData[[#This Row],[Order Date]])</f>
        <v>2024</v>
      </c>
      <c r="AA1956" s="8">
        <f>MONTH(CleanedData[[#This Row],[Order Date]])</f>
        <v>5</v>
      </c>
    </row>
    <row r="1957" spans="1:27" x14ac:dyDescent="0.35">
      <c r="A1957" s="8" t="s">
        <v>4779</v>
      </c>
      <c r="B1957" s="9">
        <v>44949</v>
      </c>
      <c r="C1957" s="9">
        <v>45083</v>
      </c>
      <c r="D1957" s="8" t="s">
        <v>4780</v>
      </c>
      <c r="E1957" s="8" t="s">
        <v>100</v>
      </c>
      <c r="F1957" s="8" t="s">
        <v>106</v>
      </c>
      <c r="G1957" s="8" t="s">
        <v>217</v>
      </c>
      <c r="H1957" s="8" t="s">
        <v>340</v>
      </c>
      <c r="I1957" s="8" t="s">
        <v>4968</v>
      </c>
      <c r="J1957" s="10">
        <v>233</v>
      </c>
      <c r="K1957" s="11">
        <v>112.48</v>
      </c>
      <c r="L1957" s="11">
        <v>178.31</v>
      </c>
      <c r="M1957" s="11">
        <v>41546.230000000003</v>
      </c>
      <c r="N1957" s="11">
        <v>26207.84</v>
      </c>
      <c r="O1957" s="11">
        <f>CleanedData[[#This Row],[Total Sales ($)]]-CleanedData[[#This Row],[Total Cost ($)]]</f>
        <v>15338.390000000003</v>
      </c>
      <c r="P1957" s="12">
        <f>CleanedData[[#This Row],[Profit ($)]]/CleanedData[[#This Row],[Total Sales ($)]]</f>
        <v>0.36918849195221809</v>
      </c>
      <c r="Q1957" s="8" t="s">
        <v>42</v>
      </c>
      <c r="R1957" s="8" t="s">
        <v>32</v>
      </c>
      <c r="S1957" s="8" t="b">
        <f>_xlfn.SINGLE(CleanedData[[#This Row],[Delivery Status]])="Late"</f>
        <v>1</v>
      </c>
      <c r="T1957" s="10">
        <v>15</v>
      </c>
      <c r="U1957" s="8" t="s">
        <v>43</v>
      </c>
      <c r="V1957" s="10">
        <v>4687</v>
      </c>
      <c r="W1957" s="10">
        <v>11</v>
      </c>
      <c r="X1957" s="12">
        <v>4.7210300429184497E-2</v>
      </c>
      <c r="Y1957" s="8" t="b">
        <f>CleanedData[[#This Row],[Ship Date]]&lt;CleanedData[[#This Row],[Order Date]]</f>
        <v>0</v>
      </c>
      <c r="Z1957" s="10">
        <f>YEAR(CleanedData[[#This Row],[Order Date]])</f>
        <v>2023</v>
      </c>
      <c r="AA1957" s="8">
        <f>MONTH(CleanedData[[#This Row],[Order Date]])</f>
        <v>1</v>
      </c>
    </row>
    <row r="1958" spans="1:27" x14ac:dyDescent="0.35">
      <c r="A1958" s="8" t="s">
        <v>4781</v>
      </c>
      <c r="B1958" s="9">
        <v>45283</v>
      </c>
      <c r="C1958" s="9">
        <v>45058</v>
      </c>
      <c r="D1958" s="8" t="s">
        <v>4782</v>
      </c>
      <c r="E1958" s="8" t="s">
        <v>48</v>
      </c>
      <c r="F1958" s="8" t="s">
        <v>223</v>
      </c>
      <c r="G1958" s="8" t="s">
        <v>60</v>
      </c>
      <c r="H1958" s="8" t="s">
        <v>164</v>
      </c>
      <c r="I1958" s="8" t="s">
        <v>4974</v>
      </c>
      <c r="J1958" s="10">
        <v>128</v>
      </c>
      <c r="K1958" s="11">
        <v>206.58</v>
      </c>
      <c r="L1958" s="11">
        <v>334.07</v>
      </c>
      <c r="M1958" s="11">
        <v>42760.959999999999</v>
      </c>
      <c r="N1958" s="11">
        <v>26442.240000000002</v>
      </c>
      <c r="O1958" s="11">
        <f>CleanedData[[#This Row],[Total Sales ($)]]-CleanedData[[#This Row],[Total Cost ($)]]</f>
        <v>16318.719999999998</v>
      </c>
      <c r="P1958" s="12">
        <f>CleanedData[[#This Row],[Profit ($)]]/CleanedData[[#This Row],[Total Sales ($)]]</f>
        <v>0.38162660520250241</v>
      </c>
      <c r="Q1958" s="8" t="s">
        <v>95</v>
      </c>
      <c r="R1958" s="8" t="s">
        <v>63</v>
      </c>
      <c r="S1958" s="8" t="b">
        <f>_xlfn.SINGLE(CleanedData[[#This Row],[Delivery Status]])="Late"</f>
        <v>0</v>
      </c>
      <c r="T1958" s="10">
        <v>5</v>
      </c>
      <c r="U1958" s="8" t="s">
        <v>53</v>
      </c>
      <c r="V1958" s="10">
        <v>1746</v>
      </c>
      <c r="W1958" s="10">
        <v>3</v>
      </c>
      <c r="X1958" s="12">
        <v>2.34375E-2</v>
      </c>
      <c r="Y1958" s="8" t="b">
        <f>CleanedData[[#This Row],[Ship Date]]&lt;CleanedData[[#This Row],[Order Date]]</f>
        <v>1</v>
      </c>
      <c r="Z1958" s="10">
        <f>YEAR(CleanedData[[#This Row],[Order Date]])</f>
        <v>2023</v>
      </c>
      <c r="AA1958" s="8">
        <f>MONTH(CleanedData[[#This Row],[Order Date]])</f>
        <v>12</v>
      </c>
    </row>
    <row r="1959" spans="1:27" x14ac:dyDescent="0.35">
      <c r="A1959" s="8" t="s">
        <v>4783</v>
      </c>
      <c r="B1959" s="9">
        <v>45098</v>
      </c>
      <c r="C1959" s="9">
        <v>45190</v>
      </c>
      <c r="D1959" s="8" t="s">
        <v>4784</v>
      </c>
      <c r="E1959" s="8" t="s">
        <v>58</v>
      </c>
      <c r="F1959" s="8" t="s">
        <v>59</v>
      </c>
      <c r="G1959" s="8" t="s">
        <v>217</v>
      </c>
      <c r="H1959" s="8" t="s">
        <v>524</v>
      </c>
      <c r="I1959" s="8" t="s">
        <v>4971</v>
      </c>
      <c r="J1959" s="10">
        <v>90</v>
      </c>
      <c r="K1959" s="11">
        <v>619.05999999999995</v>
      </c>
      <c r="L1959" s="11">
        <v>1021.33</v>
      </c>
      <c r="M1959" s="11">
        <v>91919.7</v>
      </c>
      <c r="N1959" s="11">
        <v>55715.4</v>
      </c>
      <c r="O1959" s="11">
        <f>CleanedData[[#This Row],[Total Sales ($)]]-CleanedData[[#This Row],[Total Cost ($)]]</f>
        <v>36204.299999999996</v>
      </c>
      <c r="P1959" s="12">
        <f>CleanedData[[#This Row],[Profit ($)]]/CleanedData[[#This Row],[Total Sales ($)]]</f>
        <v>0.39386877894510097</v>
      </c>
      <c r="Q1959" s="8" t="s">
        <v>52</v>
      </c>
      <c r="R1959" s="8" t="s">
        <v>63</v>
      </c>
      <c r="S1959" s="8" t="b">
        <f>_xlfn.SINGLE(CleanedData[[#This Row],[Delivery Status]])="Late"</f>
        <v>0</v>
      </c>
      <c r="T1959" s="10">
        <v>2</v>
      </c>
      <c r="U1959" s="8" t="s">
        <v>112</v>
      </c>
      <c r="V1959" s="10">
        <v>2570</v>
      </c>
      <c r="W1959" s="10">
        <v>4</v>
      </c>
      <c r="X1959" s="12">
        <v>4.4444444444444398E-2</v>
      </c>
      <c r="Y1959" s="8" t="b">
        <f>CleanedData[[#This Row],[Ship Date]]&lt;CleanedData[[#This Row],[Order Date]]</f>
        <v>0</v>
      </c>
      <c r="Z1959" s="10">
        <f>YEAR(CleanedData[[#This Row],[Order Date]])</f>
        <v>2023</v>
      </c>
      <c r="AA1959" s="8">
        <f>MONTH(CleanedData[[#This Row],[Order Date]])</f>
        <v>6</v>
      </c>
    </row>
    <row r="1960" spans="1:27" x14ac:dyDescent="0.35">
      <c r="A1960" s="8" t="s">
        <v>4785</v>
      </c>
      <c r="B1960" s="9">
        <v>45104</v>
      </c>
      <c r="C1960" s="9">
        <v>45042</v>
      </c>
      <c r="D1960" s="8" t="s">
        <v>4786</v>
      </c>
      <c r="E1960" s="8" t="s">
        <v>100</v>
      </c>
      <c r="F1960" s="8" t="s">
        <v>330</v>
      </c>
      <c r="G1960" s="8" t="s">
        <v>189</v>
      </c>
      <c r="H1960" s="8" t="s">
        <v>561</v>
      </c>
      <c r="I1960" s="8" t="s">
        <v>4971</v>
      </c>
      <c r="J1960" s="10">
        <v>388</v>
      </c>
      <c r="K1960" s="11">
        <v>28.32</v>
      </c>
      <c r="L1960" s="11">
        <v>46.04</v>
      </c>
      <c r="M1960" s="11">
        <v>17863.52</v>
      </c>
      <c r="N1960" s="11">
        <v>10988.16</v>
      </c>
      <c r="O1960" s="11">
        <f>CleanedData[[#This Row],[Total Sales ($)]]-CleanedData[[#This Row],[Total Cost ($)]]</f>
        <v>6875.3600000000006</v>
      </c>
      <c r="P1960" s="12">
        <f>CleanedData[[#This Row],[Profit ($)]]/CleanedData[[#This Row],[Total Sales ($)]]</f>
        <v>0.38488271068635971</v>
      </c>
      <c r="Q1960" s="8" t="s">
        <v>42</v>
      </c>
      <c r="R1960" s="8" t="s">
        <v>63</v>
      </c>
      <c r="S1960" s="8" t="b">
        <f>_xlfn.SINGLE(CleanedData[[#This Row],[Delivery Status]])="Late"</f>
        <v>0</v>
      </c>
      <c r="T1960" s="10">
        <v>5</v>
      </c>
      <c r="U1960" s="8" t="s">
        <v>86</v>
      </c>
      <c r="V1960" s="10">
        <v>4593</v>
      </c>
      <c r="W1960" s="10">
        <v>5</v>
      </c>
      <c r="X1960" s="12">
        <v>1.28865979381443E-2</v>
      </c>
      <c r="Y1960" s="8" t="b">
        <f>CleanedData[[#This Row],[Ship Date]]&lt;CleanedData[[#This Row],[Order Date]]</f>
        <v>1</v>
      </c>
      <c r="Z1960" s="10">
        <f>YEAR(CleanedData[[#This Row],[Order Date]])</f>
        <v>2023</v>
      </c>
      <c r="AA1960" s="8">
        <f>MONTH(CleanedData[[#This Row],[Order Date]])</f>
        <v>6</v>
      </c>
    </row>
    <row r="1961" spans="1:27" x14ac:dyDescent="0.35">
      <c r="A1961" s="8" t="s">
        <v>4787</v>
      </c>
      <c r="B1961" s="9">
        <v>45064</v>
      </c>
      <c r="C1961" s="9">
        <v>45214</v>
      </c>
      <c r="D1961" s="8" t="s">
        <v>4659</v>
      </c>
      <c r="E1961" s="8" t="s">
        <v>58</v>
      </c>
      <c r="F1961" s="8" t="s">
        <v>116</v>
      </c>
      <c r="G1961" s="8" t="s">
        <v>50</v>
      </c>
      <c r="H1961" s="8" t="s">
        <v>173</v>
      </c>
      <c r="I1961" s="8" t="s">
        <v>4973</v>
      </c>
      <c r="J1961" s="10">
        <v>264</v>
      </c>
      <c r="K1961" s="11">
        <v>1119.8499999999999</v>
      </c>
      <c r="L1961" s="11">
        <v>1802.93</v>
      </c>
      <c r="M1961" s="11">
        <v>475973.52</v>
      </c>
      <c r="N1961" s="11">
        <v>295640.40000000002</v>
      </c>
      <c r="O1961" s="11">
        <f>CleanedData[[#This Row],[Total Sales ($)]]-CleanedData[[#This Row],[Total Cost ($)]]</f>
        <v>180333.12</v>
      </c>
      <c r="P1961" s="12">
        <f>CleanedData[[#This Row],[Profit ($)]]/CleanedData[[#This Row],[Total Sales ($)]]</f>
        <v>0.37887216919126088</v>
      </c>
      <c r="Q1961" s="8" t="s">
        <v>42</v>
      </c>
      <c r="R1961" s="8" t="s">
        <v>63</v>
      </c>
      <c r="S1961" s="8" t="b">
        <f>_xlfn.SINGLE(CleanedData[[#This Row],[Delivery Status]])="Late"</f>
        <v>0</v>
      </c>
      <c r="T1961" s="10">
        <v>5</v>
      </c>
      <c r="U1961" s="8" t="s">
        <v>112</v>
      </c>
      <c r="V1961" s="10">
        <v>392</v>
      </c>
      <c r="W1961" s="10">
        <v>3</v>
      </c>
      <c r="X1961" s="12">
        <v>1.13636363636363E-2</v>
      </c>
      <c r="Y1961" s="8" t="b">
        <f>CleanedData[[#This Row],[Ship Date]]&lt;CleanedData[[#This Row],[Order Date]]</f>
        <v>0</v>
      </c>
      <c r="Z1961" s="10">
        <f>YEAR(CleanedData[[#This Row],[Order Date]])</f>
        <v>2023</v>
      </c>
      <c r="AA1961" s="8">
        <f>MONTH(CleanedData[[#This Row],[Order Date]])</f>
        <v>5</v>
      </c>
    </row>
    <row r="1962" spans="1:27" x14ac:dyDescent="0.35">
      <c r="A1962" s="8" t="s">
        <v>4788</v>
      </c>
      <c r="B1962" s="9">
        <v>45030</v>
      </c>
      <c r="C1962" s="9">
        <v>45153</v>
      </c>
      <c r="D1962" s="8" t="s">
        <v>4162</v>
      </c>
      <c r="E1962" s="8" t="s">
        <v>58</v>
      </c>
      <c r="F1962" s="8" t="s">
        <v>259</v>
      </c>
      <c r="G1962" s="8" t="s">
        <v>78</v>
      </c>
      <c r="H1962" s="8" t="s">
        <v>79</v>
      </c>
      <c r="I1962" s="8" t="s">
        <v>4970</v>
      </c>
      <c r="J1962" s="10">
        <v>644</v>
      </c>
      <c r="K1962" s="11">
        <v>1070.19</v>
      </c>
      <c r="L1962" s="11">
        <v>1229.73</v>
      </c>
      <c r="M1962" s="11">
        <v>791946.12</v>
      </c>
      <c r="N1962" s="11">
        <v>689202.36</v>
      </c>
      <c r="O1962" s="11">
        <f>CleanedData[[#This Row],[Total Sales ($)]]-CleanedData[[#This Row],[Total Cost ($)]]</f>
        <v>102743.76000000001</v>
      </c>
      <c r="P1962" s="12">
        <f>CleanedData[[#This Row],[Profit ($)]]/CleanedData[[#This Row],[Total Sales ($)]]</f>
        <v>0.12973579566246252</v>
      </c>
      <c r="Q1962" s="8" t="s">
        <v>42</v>
      </c>
      <c r="R1962" s="8" t="s">
        <v>32</v>
      </c>
      <c r="S1962" s="8" t="b">
        <f>_xlfn.SINGLE(CleanedData[[#This Row],[Delivery Status]])="Late"</f>
        <v>1</v>
      </c>
      <c r="T1962" s="10">
        <v>11</v>
      </c>
      <c r="U1962" s="8" t="s">
        <v>86</v>
      </c>
      <c r="V1962" s="10">
        <v>281</v>
      </c>
      <c r="W1962" s="10">
        <v>15</v>
      </c>
      <c r="X1962" s="12">
        <v>2.3291925465838501E-2</v>
      </c>
      <c r="Y1962" s="8" t="b">
        <f>CleanedData[[#This Row],[Ship Date]]&lt;CleanedData[[#This Row],[Order Date]]</f>
        <v>0</v>
      </c>
      <c r="Z1962" s="10">
        <f>YEAR(CleanedData[[#This Row],[Order Date]])</f>
        <v>2023</v>
      </c>
      <c r="AA1962" s="8">
        <f>MONTH(CleanedData[[#This Row],[Order Date]])</f>
        <v>4</v>
      </c>
    </row>
    <row r="1963" spans="1:27" x14ac:dyDescent="0.35">
      <c r="A1963" s="8" t="s">
        <v>4789</v>
      </c>
      <c r="B1963" s="9">
        <v>45001</v>
      </c>
      <c r="C1963" s="9">
        <v>45066</v>
      </c>
      <c r="D1963" s="8" t="s">
        <v>4790</v>
      </c>
      <c r="E1963" s="8" t="s">
        <v>58</v>
      </c>
      <c r="F1963" s="8" t="s">
        <v>122</v>
      </c>
      <c r="G1963" s="8" t="s">
        <v>70</v>
      </c>
      <c r="H1963" s="8" t="s">
        <v>71</v>
      </c>
      <c r="I1963" s="8" t="s">
        <v>4971</v>
      </c>
      <c r="J1963" s="10">
        <v>475</v>
      </c>
      <c r="K1963" s="11">
        <v>792.28</v>
      </c>
      <c r="L1963" s="11">
        <v>1008.82</v>
      </c>
      <c r="M1963" s="11">
        <v>479189.5</v>
      </c>
      <c r="N1963" s="11">
        <v>376333</v>
      </c>
      <c r="O1963" s="11">
        <f>CleanedData[[#This Row],[Total Sales ($)]]-CleanedData[[#This Row],[Total Cost ($)]]</f>
        <v>102856.5</v>
      </c>
      <c r="P1963" s="12">
        <f>CleanedData[[#This Row],[Profit ($)]]/CleanedData[[#This Row],[Total Sales ($)]]</f>
        <v>0.21464681509089828</v>
      </c>
      <c r="Q1963" s="8" t="s">
        <v>31</v>
      </c>
      <c r="R1963" s="8" t="s">
        <v>63</v>
      </c>
      <c r="S1963" s="8" t="b">
        <f>_xlfn.SINGLE(CleanedData[[#This Row],[Delivery Status]])="Late"</f>
        <v>0</v>
      </c>
      <c r="T1963" s="10">
        <v>2</v>
      </c>
      <c r="U1963" s="8" t="s">
        <v>53</v>
      </c>
      <c r="V1963" s="10">
        <v>4886</v>
      </c>
      <c r="W1963" s="10">
        <v>1</v>
      </c>
      <c r="X1963" s="12">
        <v>2.1052631578946999E-3</v>
      </c>
      <c r="Y1963" s="8" t="b">
        <f>CleanedData[[#This Row],[Ship Date]]&lt;CleanedData[[#This Row],[Order Date]]</f>
        <v>0</v>
      </c>
      <c r="Z1963" s="10">
        <f>YEAR(CleanedData[[#This Row],[Order Date]])</f>
        <v>2023</v>
      </c>
      <c r="AA1963" s="8">
        <f>MONTH(CleanedData[[#This Row],[Order Date]])</f>
        <v>3</v>
      </c>
    </row>
    <row r="1964" spans="1:27" x14ac:dyDescent="0.35">
      <c r="A1964" s="8" t="s">
        <v>4791</v>
      </c>
      <c r="B1964" s="9">
        <v>45060</v>
      </c>
      <c r="C1964" s="9">
        <v>45215</v>
      </c>
      <c r="D1964" s="8" t="s">
        <v>4792</v>
      </c>
      <c r="E1964" s="8" t="s">
        <v>58</v>
      </c>
      <c r="F1964" s="8" t="s">
        <v>417</v>
      </c>
      <c r="G1964" s="8" t="s">
        <v>78</v>
      </c>
      <c r="H1964" s="8" t="s">
        <v>79</v>
      </c>
      <c r="I1964" s="8" t="s">
        <v>4975</v>
      </c>
      <c r="J1964" s="10">
        <v>120</v>
      </c>
      <c r="K1964" s="11">
        <v>945.51</v>
      </c>
      <c r="L1964" s="11">
        <v>1452.15</v>
      </c>
      <c r="M1964" s="11">
        <v>174258</v>
      </c>
      <c r="N1964" s="11">
        <v>113461.2</v>
      </c>
      <c r="O1964" s="11">
        <f>CleanedData[[#This Row],[Total Sales ($)]]-CleanedData[[#This Row],[Total Cost ($)]]</f>
        <v>60796.800000000003</v>
      </c>
      <c r="P1964" s="12">
        <f>CleanedData[[#This Row],[Profit ($)]]/CleanedData[[#This Row],[Total Sales ($)]]</f>
        <v>0.34888957752298316</v>
      </c>
      <c r="Q1964" s="8" t="s">
        <v>31</v>
      </c>
      <c r="R1964" s="8" t="s">
        <v>32</v>
      </c>
      <c r="S1964" s="8" t="b">
        <f>_xlfn.SINGLE(CleanedData[[#This Row],[Delivery Status]])="Late"</f>
        <v>1</v>
      </c>
      <c r="T1964" s="10">
        <v>11</v>
      </c>
      <c r="U1964" s="8" t="s">
        <v>112</v>
      </c>
      <c r="V1964" s="10">
        <v>515</v>
      </c>
      <c r="W1964" s="10">
        <v>5</v>
      </c>
      <c r="X1964" s="12">
        <v>4.1666666666666602E-2</v>
      </c>
      <c r="Y1964" s="8" t="b">
        <f>CleanedData[[#This Row],[Ship Date]]&lt;CleanedData[[#This Row],[Order Date]]</f>
        <v>0</v>
      </c>
      <c r="Z1964" s="10">
        <f>YEAR(CleanedData[[#This Row],[Order Date]])</f>
        <v>2023</v>
      </c>
      <c r="AA1964" s="8">
        <f>MONTH(CleanedData[[#This Row],[Order Date]])</f>
        <v>5</v>
      </c>
    </row>
    <row r="1965" spans="1:27" x14ac:dyDescent="0.35">
      <c r="A1965" s="8" t="s">
        <v>4793</v>
      </c>
      <c r="B1965" s="9">
        <v>45017</v>
      </c>
      <c r="C1965" s="9">
        <v>45145</v>
      </c>
      <c r="D1965" s="8" t="s">
        <v>4794</v>
      </c>
      <c r="E1965" s="8" t="s">
        <v>100</v>
      </c>
      <c r="F1965" s="8" t="s">
        <v>538</v>
      </c>
      <c r="G1965" s="8" t="s">
        <v>189</v>
      </c>
      <c r="H1965" s="8" t="s">
        <v>437</v>
      </c>
      <c r="I1965" s="8" t="s">
        <v>4974</v>
      </c>
      <c r="J1965" s="10">
        <v>532</v>
      </c>
      <c r="K1965" s="11">
        <v>1060.96</v>
      </c>
      <c r="L1965" s="11">
        <v>1677.15</v>
      </c>
      <c r="M1965" s="11">
        <v>892243.8</v>
      </c>
      <c r="N1965" s="11">
        <v>564430.72</v>
      </c>
      <c r="O1965" s="11">
        <f>CleanedData[[#This Row],[Total Sales ($)]]-CleanedData[[#This Row],[Total Cost ($)]]</f>
        <v>327813.08000000007</v>
      </c>
      <c r="P1965" s="12">
        <f>CleanedData[[#This Row],[Profit ($)]]/CleanedData[[#This Row],[Total Sales ($)]]</f>
        <v>0.36740303491041354</v>
      </c>
      <c r="Q1965" s="8" t="s">
        <v>31</v>
      </c>
      <c r="R1965" s="8" t="s">
        <v>32</v>
      </c>
      <c r="S1965" s="8" t="b">
        <f>_xlfn.SINGLE(CleanedData[[#This Row],[Delivery Status]])="Late"</f>
        <v>1</v>
      </c>
      <c r="T1965" s="10">
        <v>9</v>
      </c>
      <c r="U1965" s="8" t="s">
        <v>53</v>
      </c>
      <c r="V1965" s="10">
        <v>2756</v>
      </c>
      <c r="W1965" s="10">
        <v>15</v>
      </c>
      <c r="X1965" s="12">
        <v>2.8195488721804499E-2</v>
      </c>
      <c r="Y1965" s="8" t="b">
        <f>CleanedData[[#This Row],[Ship Date]]&lt;CleanedData[[#This Row],[Order Date]]</f>
        <v>0</v>
      </c>
      <c r="Z1965" s="10">
        <f>YEAR(CleanedData[[#This Row],[Order Date]])</f>
        <v>2023</v>
      </c>
      <c r="AA1965" s="8">
        <f>MONTH(CleanedData[[#This Row],[Order Date]])</f>
        <v>4</v>
      </c>
    </row>
    <row r="1966" spans="1:27" x14ac:dyDescent="0.35">
      <c r="A1966" s="8" t="s">
        <v>4795</v>
      </c>
      <c r="B1966" s="9">
        <v>45391</v>
      </c>
      <c r="C1966" s="9">
        <v>45470</v>
      </c>
      <c r="D1966" s="8" t="s">
        <v>4796</v>
      </c>
      <c r="E1966" s="8" t="s">
        <v>58</v>
      </c>
      <c r="F1966" s="8" t="s">
        <v>116</v>
      </c>
      <c r="G1966" s="8" t="s">
        <v>70</v>
      </c>
      <c r="H1966" s="8" t="s">
        <v>446</v>
      </c>
      <c r="I1966" s="8" t="s">
        <v>4976</v>
      </c>
      <c r="J1966" s="10">
        <v>647</v>
      </c>
      <c r="K1966" s="11">
        <v>884.87</v>
      </c>
      <c r="L1966" s="11">
        <v>1043.55</v>
      </c>
      <c r="M1966" s="11">
        <v>675176.85</v>
      </c>
      <c r="N1966" s="11">
        <v>572510.89</v>
      </c>
      <c r="O1966" s="11">
        <f>CleanedData[[#This Row],[Total Sales ($)]]-CleanedData[[#This Row],[Total Cost ($)]]</f>
        <v>102665.95999999996</v>
      </c>
      <c r="P1966" s="12">
        <f>CleanedData[[#This Row],[Profit ($)]]/CleanedData[[#This Row],[Total Sales ($)]]</f>
        <v>0.15205787935412768</v>
      </c>
      <c r="Q1966" s="8" t="s">
        <v>95</v>
      </c>
      <c r="R1966" s="8" t="s">
        <v>32</v>
      </c>
      <c r="S1966" s="8" t="b">
        <f>_xlfn.SINGLE(CleanedData[[#This Row],[Delivery Status]])="Late"</f>
        <v>1</v>
      </c>
      <c r="T1966" s="10">
        <v>8</v>
      </c>
      <c r="U1966" s="8" t="s">
        <v>112</v>
      </c>
      <c r="V1966" s="10">
        <v>1966</v>
      </c>
      <c r="W1966" s="10">
        <v>18</v>
      </c>
      <c r="X1966" s="12">
        <v>2.7820710973724801E-2</v>
      </c>
      <c r="Y1966" s="8" t="b">
        <f>CleanedData[[#This Row],[Ship Date]]&lt;CleanedData[[#This Row],[Order Date]]</f>
        <v>0</v>
      </c>
      <c r="Z1966" s="10">
        <f>YEAR(CleanedData[[#This Row],[Order Date]])</f>
        <v>2024</v>
      </c>
      <c r="AA1966" s="8">
        <f>MONTH(CleanedData[[#This Row],[Order Date]])</f>
        <v>4</v>
      </c>
    </row>
    <row r="1967" spans="1:27" x14ac:dyDescent="0.35">
      <c r="A1967" s="8" t="s">
        <v>4797</v>
      </c>
      <c r="B1967" s="9">
        <v>45134</v>
      </c>
      <c r="C1967" s="9">
        <v>44964</v>
      </c>
      <c r="D1967" s="8" t="s">
        <v>4799</v>
      </c>
      <c r="E1967" s="8" t="s">
        <v>58</v>
      </c>
      <c r="F1967" s="8" t="s">
        <v>2017</v>
      </c>
      <c r="G1967" s="8" t="s">
        <v>60</v>
      </c>
      <c r="H1967" s="8" t="s">
        <v>61</v>
      </c>
      <c r="I1967" s="8" t="s">
        <v>4977</v>
      </c>
      <c r="J1967" s="10">
        <v>384</v>
      </c>
      <c r="K1967" s="11">
        <v>961.55</v>
      </c>
      <c r="L1967" s="11">
        <v>1231.83</v>
      </c>
      <c r="M1967" s="11">
        <v>473022.71999999997</v>
      </c>
      <c r="N1967" s="11">
        <v>369235.20000000001</v>
      </c>
      <c r="O1967" s="11">
        <f>CleanedData[[#This Row],[Total Sales ($)]]-CleanedData[[#This Row],[Total Cost ($)]]</f>
        <v>103787.51999999996</v>
      </c>
      <c r="P1967" s="12">
        <f>CleanedData[[#This Row],[Profit ($)]]/CleanedData[[#This Row],[Total Sales ($)]]</f>
        <v>0.21941339308183752</v>
      </c>
      <c r="Q1967" s="8" t="s">
        <v>31</v>
      </c>
      <c r="R1967" s="8" t="s">
        <v>32</v>
      </c>
      <c r="S1967" s="8" t="b">
        <f>_xlfn.SINGLE(CleanedData[[#This Row],[Delivery Status]])="Late"</f>
        <v>1</v>
      </c>
      <c r="T1967" s="10">
        <v>9</v>
      </c>
      <c r="U1967" s="8" t="s">
        <v>53</v>
      </c>
      <c r="V1967" s="10">
        <v>3420</v>
      </c>
      <c r="W1967" s="10">
        <v>19</v>
      </c>
      <c r="X1967" s="12">
        <v>4.9479166666666602E-2</v>
      </c>
      <c r="Y1967" s="8" t="b">
        <f>CleanedData[[#This Row],[Ship Date]]&lt;CleanedData[[#This Row],[Order Date]]</f>
        <v>1</v>
      </c>
      <c r="Z1967" s="10">
        <f>YEAR(CleanedData[[#This Row],[Order Date]])</f>
        <v>2023</v>
      </c>
      <c r="AA1967" s="8">
        <f>MONTH(CleanedData[[#This Row],[Order Date]])</f>
        <v>7</v>
      </c>
    </row>
    <row r="1968" spans="1:27" x14ac:dyDescent="0.35">
      <c r="A1968" s="8" t="s">
        <v>4800</v>
      </c>
      <c r="B1968" s="9">
        <v>45263</v>
      </c>
      <c r="C1968" s="9">
        <v>45141</v>
      </c>
      <c r="D1968" s="8" t="s">
        <v>358</v>
      </c>
      <c r="E1968" s="8" t="s">
        <v>48</v>
      </c>
      <c r="F1968" s="8" t="s">
        <v>270</v>
      </c>
      <c r="G1968" s="8" t="s">
        <v>60</v>
      </c>
      <c r="H1968" s="8" t="s">
        <v>61</v>
      </c>
      <c r="I1968" s="8" t="s">
        <v>4970</v>
      </c>
      <c r="J1968" s="10">
        <v>763</v>
      </c>
      <c r="K1968" s="11">
        <v>737.46</v>
      </c>
      <c r="L1968" s="11">
        <v>1188.32</v>
      </c>
      <c r="M1968" s="11">
        <v>906688.16</v>
      </c>
      <c r="N1968" s="11">
        <v>562681.98</v>
      </c>
      <c r="O1968" s="11">
        <f>CleanedData[[#This Row],[Total Sales ($)]]-CleanedData[[#This Row],[Total Cost ($)]]</f>
        <v>344006.18000000005</v>
      </c>
      <c r="P1968" s="12">
        <f>CleanedData[[#This Row],[Profit ($)]]/CleanedData[[#This Row],[Total Sales ($)]]</f>
        <v>0.37940958664332847</v>
      </c>
      <c r="Q1968" s="8" t="s">
        <v>42</v>
      </c>
      <c r="R1968" s="8" t="s">
        <v>32</v>
      </c>
      <c r="S1968" s="8" t="b">
        <f>_xlfn.SINGLE(CleanedData[[#This Row],[Delivery Status]])="Late"</f>
        <v>1</v>
      </c>
      <c r="T1968" s="10">
        <v>14</v>
      </c>
      <c r="U1968" s="8" t="s">
        <v>53</v>
      </c>
      <c r="V1968" s="10">
        <v>590</v>
      </c>
      <c r="W1968" s="10">
        <v>6</v>
      </c>
      <c r="X1968" s="12">
        <v>7.8636959370904005E-3</v>
      </c>
      <c r="Y1968" s="8" t="b">
        <f>CleanedData[[#This Row],[Ship Date]]&lt;CleanedData[[#This Row],[Order Date]]</f>
        <v>1</v>
      </c>
      <c r="Z1968" s="10">
        <f>YEAR(CleanedData[[#This Row],[Order Date]])</f>
        <v>2023</v>
      </c>
      <c r="AA1968" s="8">
        <f>MONTH(CleanedData[[#This Row],[Order Date]])</f>
        <v>12</v>
      </c>
    </row>
    <row r="1969" spans="1:27" x14ac:dyDescent="0.35">
      <c r="A1969" s="8" t="s">
        <v>4801</v>
      </c>
      <c r="B1969" s="9">
        <v>45574</v>
      </c>
      <c r="C1969" s="9">
        <v>45341</v>
      </c>
      <c r="D1969" s="8" t="s">
        <v>4802</v>
      </c>
      <c r="E1969" s="8" t="s">
        <v>100</v>
      </c>
      <c r="F1969" s="8" t="s">
        <v>106</v>
      </c>
      <c r="G1969" s="8" t="s">
        <v>28</v>
      </c>
      <c r="H1969" s="8" t="s">
        <v>674</v>
      </c>
      <c r="I1969" s="8" t="s">
        <v>4969</v>
      </c>
      <c r="J1969" s="10">
        <v>215</v>
      </c>
      <c r="K1969" s="11">
        <v>530.76</v>
      </c>
      <c r="L1969" s="11">
        <v>846.71</v>
      </c>
      <c r="M1969" s="11">
        <v>182042.65</v>
      </c>
      <c r="N1969" s="11">
        <v>114113.4</v>
      </c>
      <c r="O1969" s="11">
        <f>CleanedData[[#This Row],[Total Sales ($)]]-CleanedData[[#This Row],[Total Cost ($)]]</f>
        <v>67929.25</v>
      </c>
      <c r="P1969" s="12">
        <f>CleanedData[[#This Row],[Profit ($)]]/CleanedData[[#This Row],[Total Sales ($)]]</f>
        <v>0.37315019310035313</v>
      </c>
      <c r="Q1969" s="8" t="s">
        <v>42</v>
      </c>
      <c r="R1969" s="8" t="s">
        <v>63</v>
      </c>
      <c r="S1969" s="8" t="b">
        <f>_xlfn.SINGLE(CleanedData[[#This Row],[Delivery Status]])="Late"</f>
        <v>0</v>
      </c>
      <c r="T1969" s="10">
        <v>2</v>
      </c>
      <c r="U1969" s="8" t="s">
        <v>43</v>
      </c>
      <c r="V1969" s="10">
        <v>4062</v>
      </c>
      <c r="W1969" s="10">
        <v>9</v>
      </c>
      <c r="X1969" s="12">
        <v>4.1860465116279E-2</v>
      </c>
      <c r="Y1969" s="8" t="b">
        <f>CleanedData[[#This Row],[Ship Date]]&lt;CleanedData[[#This Row],[Order Date]]</f>
        <v>1</v>
      </c>
      <c r="Z1969" s="10">
        <f>YEAR(CleanedData[[#This Row],[Order Date]])</f>
        <v>2024</v>
      </c>
      <c r="AA1969" s="8">
        <f>MONTH(CleanedData[[#This Row],[Order Date]])</f>
        <v>10</v>
      </c>
    </row>
    <row r="1970" spans="1:27" x14ac:dyDescent="0.35">
      <c r="A1970" s="8" t="s">
        <v>1979</v>
      </c>
      <c r="B1970" s="9">
        <v>45352</v>
      </c>
      <c r="C1970" s="9">
        <v>45303</v>
      </c>
      <c r="D1970" s="8" t="s">
        <v>1980</v>
      </c>
      <c r="E1970" s="8" t="s">
        <v>58</v>
      </c>
      <c r="F1970" s="8" t="s">
        <v>116</v>
      </c>
      <c r="G1970" s="8" t="s">
        <v>50</v>
      </c>
      <c r="H1970" s="8" t="s">
        <v>51</v>
      </c>
      <c r="I1970" s="8" t="s">
        <v>4979</v>
      </c>
      <c r="J1970" s="10">
        <v>172</v>
      </c>
      <c r="K1970" s="11">
        <v>38.299999999999997</v>
      </c>
      <c r="L1970" s="11">
        <v>62.41</v>
      </c>
      <c r="M1970" s="11">
        <v>10734.52</v>
      </c>
      <c r="N1970" s="11">
        <v>6587.6</v>
      </c>
      <c r="O1970" s="11">
        <f>CleanedData[[#This Row],[Total Sales ($)]]-CleanedData[[#This Row],[Total Cost ($)]]</f>
        <v>4146.92</v>
      </c>
      <c r="P1970" s="12">
        <f>CleanedData[[#This Row],[Profit ($)]]/CleanedData[[#This Row],[Total Sales ($)]]</f>
        <v>0.38631629546547025</v>
      </c>
      <c r="Q1970" s="8" t="s">
        <v>31</v>
      </c>
      <c r="R1970" s="8" t="s">
        <v>32</v>
      </c>
      <c r="S1970" s="8" t="b">
        <f>_xlfn.SINGLE(CleanedData[[#This Row],[Delivery Status]])="Late"</f>
        <v>1</v>
      </c>
      <c r="T1970" s="10">
        <v>13</v>
      </c>
      <c r="U1970" s="8" t="s">
        <v>158</v>
      </c>
      <c r="V1970" s="10">
        <v>1676</v>
      </c>
      <c r="W1970" s="10">
        <v>0</v>
      </c>
      <c r="X1970" s="12">
        <v>0</v>
      </c>
      <c r="Y1970" s="8" t="b">
        <f>CleanedData[[#This Row],[Ship Date]]&lt;CleanedData[[#This Row],[Order Date]]</f>
        <v>1</v>
      </c>
      <c r="Z1970" s="10">
        <f>YEAR(CleanedData[[#This Row],[Order Date]])</f>
        <v>2024</v>
      </c>
      <c r="AA1970" s="8">
        <f>MONTH(CleanedData[[#This Row],[Order Date]])</f>
        <v>3</v>
      </c>
    </row>
    <row r="1971" spans="1:27" x14ac:dyDescent="0.35">
      <c r="A1971" s="8" t="s">
        <v>4803</v>
      </c>
      <c r="B1971" s="9">
        <v>45061</v>
      </c>
      <c r="C1971" s="9">
        <v>44961</v>
      </c>
      <c r="D1971" s="8" t="s">
        <v>4804</v>
      </c>
      <c r="E1971" s="8" t="s">
        <v>26</v>
      </c>
      <c r="F1971" s="8" t="s">
        <v>27</v>
      </c>
      <c r="G1971" s="8" t="s">
        <v>70</v>
      </c>
      <c r="H1971" s="8" t="s">
        <v>623</v>
      </c>
      <c r="I1971" s="8" t="s">
        <v>4971</v>
      </c>
      <c r="J1971" s="10">
        <v>49</v>
      </c>
      <c r="K1971" s="11">
        <v>428.53</v>
      </c>
      <c r="L1971" s="11">
        <v>512.54</v>
      </c>
      <c r="M1971" s="11">
        <v>25114.46</v>
      </c>
      <c r="N1971" s="11">
        <v>20997.97</v>
      </c>
      <c r="O1971" s="11">
        <f>CleanedData[[#This Row],[Total Sales ($)]]-CleanedData[[#This Row],[Total Cost ($)]]</f>
        <v>4116.489999999998</v>
      </c>
      <c r="P1971" s="12">
        <f>CleanedData[[#This Row],[Profit ($)]]/CleanedData[[#This Row],[Total Sales ($)]]</f>
        <v>0.16390915830959527</v>
      </c>
      <c r="Q1971" s="8" t="s">
        <v>31</v>
      </c>
      <c r="R1971" s="8" t="s">
        <v>32</v>
      </c>
      <c r="S1971" s="8" t="b">
        <f>_xlfn.SINGLE(CleanedData[[#This Row],[Delivery Status]])="Late"</f>
        <v>1</v>
      </c>
      <c r="T1971" s="10">
        <v>12</v>
      </c>
      <c r="U1971" s="8" t="s">
        <v>43</v>
      </c>
      <c r="V1971" s="10">
        <v>4964</v>
      </c>
      <c r="W1971" s="10">
        <v>2</v>
      </c>
      <c r="X1971" s="12">
        <v>4.08163265306122E-2</v>
      </c>
      <c r="Y1971" s="8" t="b">
        <f>CleanedData[[#This Row],[Ship Date]]&lt;CleanedData[[#This Row],[Order Date]]</f>
        <v>1</v>
      </c>
      <c r="Z1971" s="10">
        <f>YEAR(CleanedData[[#This Row],[Order Date]])</f>
        <v>2023</v>
      </c>
      <c r="AA1971" s="8">
        <f>MONTH(CleanedData[[#This Row],[Order Date]])</f>
        <v>5</v>
      </c>
    </row>
    <row r="1972" spans="1:27" x14ac:dyDescent="0.35">
      <c r="A1972" s="8" t="s">
        <v>4805</v>
      </c>
      <c r="B1972" s="9">
        <v>45040</v>
      </c>
      <c r="C1972" s="9">
        <v>45247</v>
      </c>
      <c r="D1972" s="8" t="s">
        <v>4806</v>
      </c>
      <c r="E1972" s="8" t="s">
        <v>48</v>
      </c>
      <c r="F1972" s="8" t="s">
        <v>270</v>
      </c>
      <c r="G1972" s="8" t="s">
        <v>189</v>
      </c>
      <c r="H1972" s="8" t="s">
        <v>437</v>
      </c>
      <c r="I1972" s="8" t="s">
        <v>4976</v>
      </c>
      <c r="J1972" s="10">
        <v>127</v>
      </c>
      <c r="K1972" s="11">
        <v>470.77</v>
      </c>
      <c r="L1972" s="11">
        <v>667.84</v>
      </c>
      <c r="M1972" s="11">
        <v>84815.679999999993</v>
      </c>
      <c r="N1972" s="11">
        <v>59787.79</v>
      </c>
      <c r="O1972" s="11">
        <f>CleanedData[[#This Row],[Total Sales ($)]]-CleanedData[[#This Row],[Total Cost ($)]]</f>
        <v>25027.889999999992</v>
      </c>
      <c r="P1972" s="12">
        <f>CleanedData[[#This Row],[Profit ($)]]/CleanedData[[#This Row],[Total Sales ($)]]</f>
        <v>0.29508564925730707</v>
      </c>
      <c r="Q1972" s="8" t="s">
        <v>95</v>
      </c>
      <c r="R1972" s="8" t="s">
        <v>32</v>
      </c>
      <c r="S1972" s="8" t="b">
        <f>_xlfn.SINGLE(CleanedData[[#This Row],[Delivery Status]])="Late"</f>
        <v>1</v>
      </c>
      <c r="T1972" s="10">
        <v>14</v>
      </c>
      <c r="U1972" s="8" t="s">
        <v>43</v>
      </c>
      <c r="V1972" s="10">
        <v>4084</v>
      </c>
      <c r="W1972" s="10">
        <v>3</v>
      </c>
      <c r="X1972" s="12">
        <v>2.3622047244094401E-2</v>
      </c>
      <c r="Y1972" s="8" t="b">
        <f>CleanedData[[#This Row],[Ship Date]]&lt;CleanedData[[#This Row],[Order Date]]</f>
        <v>0</v>
      </c>
      <c r="Z1972" s="10">
        <f>YEAR(CleanedData[[#This Row],[Order Date]])</f>
        <v>2023</v>
      </c>
      <c r="AA1972" s="8">
        <f>MONTH(CleanedData[[#This Row],[Order Date]])</f>
        <v>4</v>
      </c>
    </row>
    <row r="1973" spans="1:27" x14ac:dyDescent="0.35">
      <c r="A1973" s="8" t="s">
        <v>4807</v>
      </c>
      <c r="B1973" s="9">
        <v>45220</v>
      </c>
      <c r="C1973" s="9">
        <v>44995</v>
      </c>
      <c r="D1973" s="8" t="s">
        <v>4808</v>
      </c>
      <c r="E1973" s="8" t="s">
        <v>58</v>
      </c>
      <c r="F1973" s="8" t="s">
        <v>59</v>
      </c>
      <c r="G1973" s="8" t="s">
        <v>129</v>
      </c>
      <c r="H1973" s="8" t="s">
        <v>316</v>
      </c>
      <c r="I1973" s="8" t="s">
        <v>4971</v>
      </c>
      <c r="J1973" s="10">
        <v>703</v>
      </c>
      <c r="K1973" s="11">
        <v>948.63</v>
      </c>
      <c r="L1973" s="11">
        <v>1256.9100000000001</v>
      </c>
      <c r="M1973" s="11">
        <v>883607.73</v>
      </c>
      <c r="N1973" s="11">
        <v>666886.89</v>
      </c>
      <c r="O1973" s="11">
        <f>CleanedData[[#This Row],[Total Sales ($)]]-CleanedData[[#This Row],[Total Cost ($)]]</f>
        <v>216720.83999999997</v>
      </c>
      <c r="P1973" s="12">
        <f>CleanedData[[#This Row],[Profit ($)]]/CleanedData[[#This Row],[Total Sales ($)]]</f>
        <v>0.2452681576246509</v>
      </c>
      <c r="Q1973" s="8" t="s">
        <v>31</v>
      </c>
      <c r="R1973" s="8" t="s">
        <v>32</v>
      </c>
      <c r="S1973" s="8" t="b">
        <f>_xlfn.SINGLE(CleanedData[[#This Row],[Delivery Status]])="Late"</f>
        <v>1</v>
      </c>
      <c r="T1973" s="10">
        <v>10</v>
      </c>
      <c r="U1973" s="8" t="s">
        <v>158</v>
      </c>
      <c r="V1973" s="10">
        <v>1025</v>
      </c>
      <c r="W1973" s="10">
        <v>3</v>
      </c>
      <c r="X1973" s="12">
        <v>4.2674253200567997E-3</v>
      </c>
      <c r="Y1973" s="8" t="b">
        <f>CleanedData[[#This Row],[Ship Date]]&lt;CleanedData[[#This Row],[Order Date]]</f>
        <v>1</v>
      </c>
      <c r="Z1973" s="10">
        <f>YEAR(CleanedData[[#This Row],[Order Date]])</f>
        <v>2023</v>
      </c>
      <c r="AA1973" s="8">
        <f>MONTH(CleanedData[[#This Row],[Order Date]])</f>
        <v>10</v>
      </c>
    </row>
    <row r="1974" spans="1:27" x14ac:dyDescent="0.35">
      <c r="A1974" s="8" t="s">
        <v>4809</v>
      </c>
      <c r="B1974" s="9">
        <v>45001</v>
      </c>
      <c r="C1974" s="9">
        <v>45196</v>
      </c>
      <c r="D1974" s="8" t="s">
        <v>4810</v>
      </c>
      <c r="E1974" s="8" t="s">
        <v>100</v>
      </c>
      <c r="F1974" s="8" t="s">
        <v>330</v>
      </c>
      <c r="G1974" s="8" t="s">
        <v>50</v>
      </c>
      <c r="H1974" s="8" t="s">
        <v>260</v>
      </c>
      <c r="I1974" s="8" t="s">
        <v>4973</v>
      </c>
      <c r="J1974" s="10">
        <v>521</v>
      </c>
      <c r="K1974" s="11">
        <v>960.63</v>
      </c>
      <c r="L1974" s="11">
        <v>1292.54</v>
      </c>
      <c r="M1974" s="11">
        <v>673413.34</v>
      </c>
      <c r="N1974" s="11">
        <v>500488.23</v>
      </c>
      <c r="O1974" s="11">
        <f>CleanedData[[#This Row],[Total Sales ($)]]-CleanedData[[#This Row],[Total Cost ($)]]</f>
        <v>172925.11</v>
      </c>
      <c r="P1974" s="12">
        <f>CleanedData[[#This Row],[Profit ($)]]/CleanedData[[#This Row],[Total Sales ($)]]</f>
        <v>0.25678895817537561</v>
      </c>
      <c r="Q1974" s="8" t="s">
        <v>52</v>
      </c>
      <c r="R1974" s="8" t="s">
        <v>32</v>
      </c>
      <c r="S1974" s="8" t="b">
        <f>_xlfn.SINGLE(CleanedData[[#This Row],[Delivery Status]])="Late"</f>
        <v>1</v>
      </c>
      <c r="T1974" s="10">
        <v>6</v>
      </c>
      <c r="U1974" s="8" t="s">
        <v>33</v>
      </c>
      <c r="V1974" s="10">
        <v>3461</v>
      </c>
      <c r="W1974" s="10">
        <v>14</v>
      </c>
      <c r="X1974" s="12">
        <v>2.6871401151631401E-2</v>
      </c>
      <c r="Y1974" s="8" t="b">
        <f>CleanedData[[#This Row],[Ship Date]]&lt;CleanedData[[#This Row],[Order Date]]</f>
        <v>0</v>
      </c>
      <c r="Z1974" s="10">
        <f>YEAR(CleanedData[[#This Row],[Order Date]])</f>
        <v>2023</v>
      </c>
      <c r="AA1974" s="8">
        <f>MONTH(CleanedData[[#This Row],[Order Date]])</f>
        <v>3</v>
      </c>
    </row>
    <row r="1975" spans="1:27" x14ac:dyDescent="0.35">
      <c r="A1975" s="8" t="s">
        <v>4811</v>
      </c>
      <c r="B1975" s="9">
        <v>45009</v>
      </c>
      <c r="C1975" s="9">
        <v>45245</v>
      </c>
      <c r="D1975" s="8" t="s">
        <v>4812</v>
      </c>
      <c r="E1975" s="8" t="s">
        <v>68</v>
      </c>
      <c r="F1975" s="8" t="s">
        <v>249</v>
      </c>
      <c r="G1975" s="8" t="s">
        <v>70</v>
      </c>
      <c r="H1975" s="8" t="s">
        <v>822</v>
      </c>
      <c r="I1975" s="8" t="s">
        <v>4979</v>
      </c>
      <c r="J1975" s="10">
        <v>681</v>
      </c>
      <c r="K1975" s="11">
        <v>785.15</v>
      </c>
      <c r="L1975" s="11">
        <v>942.59</v>
      </c>
      <c r="M1975" s="11">
        <v>641903.79</v>
      </c>
      <c r="N1975" s="11">
        <v>534687.15</v>
      </c>
      <c r="O1975" s="11">
        <f>CleanedData[[#This Row],[Total Sales ($)]]-CleanedData[[#This Row],[Total Cost ($)]]</f>
        <v>107216.64000000001</v>
      </c>
      <c r="P1975" s="12">
        <f>CleanedData[[#This Row],[Profit ($)]]/CleanedData[[#This Row],[Total Sales ($)]]</f>
        <v>0.16702914310569814</v>
      </c>
      <c r="Q1975" s="8" t="s">
        <v>31</v>
      </c>
      <c r="R1975" s="8" t="s">
        <v>63</v>
      </c>
      <c r="S1975" s="8" t="b">
        <f>_xlfn.SINGLE(CleanedData[[#This Row],[Delivery Status]])="Late"</f>
        <v>0</v>
      </c>
      <c r="T1975" s="10">
        <v>3</v>
      </c>
      <c r="U1975" s="8" t="s">
        <v>43</v>
      </c>
      <c r="V1975" s="10">
        <v>2810</v>
      </c>
      <c r="W1975" s="10">
        <v>18</v>
      </c>
      <c r="X1975" s="12">
        <v>2.6431718061673999E-2</v>
      </c>
      <c r="Y1975" s="8" t="b">
        <f>CleanedData[[#This Row],[Ship Date]]&lt;CleanedData[[#This Row],[Order Date]]</f>
        <v>0</v>
      </c>
      <c r="Z1975" s="10">
        <f>YEAR(CleanedData[[#This Row],[Order Date]])</f>
        <v>2023</v>
      </c>
      <c r="AA1975" s="8">
        <f>MONTH(CleanedData[[#This Row],[Order Date]])</f>
        <v>3</v>
      </c>
    </row>
    <row r="1976" spans="1:27" x14ac:dyDescent="0.35">
      <c r="A1976" s="8" t="s">
        <v>4813</v>
      </c>
      <c r="B1976" s="9">
        <v>45067</v>
      </c>
      <c r="C1976" s="9">
        <v>45124</v>
      </c>
      <c r="D1976" s="8" t="s">
        <v>4815</v>
      </c>
      <c r="E1976" s="8" t="s">
        <v>100</v>
      </c>
      <c r="F1976" s="8" t="s">
        <v>106</v>
      </c>
      <c r="G1976" s="8" t="s">
        <v>93</v>
      </c>
      <c r="H1976" s="8" t="s">
        <v>94</v>
      </c>
      <c r="I1976" s="8" t="s">
        <v>4977</v>
      </c>
      <c r="J1976" s="10">
        <v>536</v>
      </c>
      <c r="K1976" s="11">
        <v>981.88</v>
      </c>
      <c r="L1976" s="11">
        <v>1206.46</v>
      </c>
      <c r="M1976" s="11">
        <v>646662.56000000006</v>
      </c>
      <c r="N1976" s="11">
        <v>526287.68000000005</v>
      </c>
      <c r="O1976" s="11">
        <f>CleanedData[[#This Row],[Total Sales ($)]]-CleanedData[[#This Row],[Total Cost ($)]]</f>
        <v>120374.88</v>
      </c>
      <c r="P1976" s="12">
        <f>CleanedData[[#This Row],[Profit ($)]]/CleanedData[[#This Row],[Total Sales ($)]]</f>
        <v>0.18614790378462609</v>
      </c>
      <c r="Q1976" s="8" t="s">
        <v>52</v>
      </c>
      <c r="R1976" s="8" t="s">
        <v>63</v>
      </c>
      <c r="S1976" s="8" t="b">
        <f>_xlfn.SINGLE(CleanedData[[#This Row],[Delivery Status]])="Late"</f>
        <v>0</v>
      </c>
      <c r="T1976" s="10">
        <v>2</v>
      </c>
      <c r="U1976" s="8" t="s">
        <v>43</v>
      </c>
      <c r="V1976" s="10">
        <v>1580</v>
      </c>
      <c r="W1976" s="10">
        <v>0</v>
      </c>
      <c r="X1976" s="12">
        <v>0</v>
      </c>
      <c r="Y1976" s="8" t="b">
        <f>CleanedData[[#This Row],[Ship Date]]&lt;CleanedData[[#This Row],[Order Date]]</f>
        <v>0</v>
      </c>
      <c r="Z1976" s="10">
        <f>YEAR(CleanedData[[#This Row],[Order Date]])</f>
        <v>2023</v>
      </c>
      <c r="AA1976" s="8">
        <f>MONTH(CleanedData[[#This Row],[Order Date]])</f>
        <v>5</v>
      </c>
    </row>
    <row r="1977" spans="1:27" x14ac:dyDescent="0.35">
      <c r="A1977" s="8" t="s">
        <v>4816</v>
      </c>
      <c r="B1977" s="9">
        <v>45004</v>
      </c>
      <c r="C1977" s="9">
        <v>45248</v>
      </c>
      <c r="D1977" s="8" t="s">
        <v>4818</v>
      </c>
      <c r="E1977" s="8" t="s">
        <v>68</v>
      </c>
      <c r="F1977" s="8" t="s">
        <v>146</v>
      </c>
      <c r="G1977" s="8" t="s">
        <v>70</v>
      </c>
      <c r="H1977" s="8" t="s">
        <v>84</v>
      </c>
      <c r="I1977" s="8" t="s">
        <v>4973</v>
      </c>
      <c r="J1977" s="10">
        <v>267</v>
      </c>
      <c r="K1977" s="11">
        <v>986.92</v>
      </c>
      <c r="L1977" s="11">
        <v>1555.25</v>
      </c>
      <c r="M1977" s="11">
        <v>415251.75</v>
      </c>
      <c r="N1977" s="11">
        <v>263507.64</v>
      </c>
      <c r="O1977" s="11">
        <f>CleanedData[[#This Row],[Total Sales ($)]]-CleanedData[[#This Row],[Total Cost ($)]]</f>
        <v>151744.10999999999</v>
      </c>
      <c r="P1977" s="12">
        <f>CleanedData[[#This Row],[Profit ($)]]/CleanedData[[#This Row],[Total Sales ($)]]</f>
        <v>0.36542678026040826</v>
      </c>
      <c r="Q1977" s="8" t="s">
        <v>52</v>
      </c>
      <c r="R1977" s="8" t="s">
        <v>32</v>
      </c>
      <c r="S1977" s="8" t="b">
        <f>_xlfn.SINGLE(CleanedData[[#This Row],[Delivery Status]])="Late"</f>
        <v>1</v>
      </c>
      <c r="T1977" s="10">
        <v>12</v>
      </c>
      <c r="U1977" s="8" t="s">
        <v>158</v>
      </c>
      <c r="V1977" s="10">
        <v>4826</v>
      </c>
      <c r="W1977" s="10">
        <v>13</v>
      </c>
      <c r="X1977" s="12">
        <v>4.8689138576778999E-2</v>
      </c>
      <c r="Y1977" s="8" t="b">
        <f>CleanedData[[#This Row],[Ship Date]]&lt;CleanedData[[#This Row],[Order Date]]</f>
        <v>0</v>
      </c>
      <c r="Z1977" s="10">
        <f>YEAR(CleanedData[[#This Row],[Order Date]])</f>
        <v>2023</v>
      </c>
      <c r="AA1977" s="8">
        <f>MONTH(CleanedData[[#This Row],[Order Date]])</f>
        <v>3</v>
      </c>
    </row>
    <row r="1978" spans="1:27" x14ac:dyDescent="0.35">
      <c r="A1978" s="8" t="s">
        <v>4819</v>
      </c>
      <c r="B1978" s="9">
        <v>45003</v>
      </c>
      <c r="C1978" s="9">
        <v>45193</v>
      </c>
      <c r="D1978" s="8" t="s">
        <v>4995</v>
      </c>
      <c r="E1978" s="8" t="s">
        <v>100</v>
      </c>
      <c r="F1978" s="8" t="s">
        <v>330</v>
      </c>
      <c r="G1978" s="8" t="s">
        <v>78</v>
      </c>
      <c r="H1978" s="8" t="s">
        <v>628</v>
      </c>
      <c r="I1978" s="8" t="s">
        <v>4978</v>
      </c>
      <c r="J1978" s="10">
        <v>88</v>
      </c>
      <c r="K1978" s="11">
        <v>817.98</v>
      </c>
      <c r="L1978" s="11">
        <v>964.46</v>
      </c>
      <c r="M1978" s="11">
        <v>84872.48</v>
      </c>
      <c r="N1978" s="11">
        <v>71982.240000000005</v>
      </c>
      <c r="O1978" s="11">
        <f>CleanedData[[#This Row],[Total Sales ($)]]-CleanedData[[#This Row],[Total Cost ($)]]</f>
        <v>12890.239999999991</v>
      </c>
      <c r="P1978" s="12">
        <f>CleanedData[[#This Row],[Profit ($)]]/CleanedData[[#This Row],[Total Sales ($)]]</f>
        <v>0.15187773469091503</v>
      </c>
      <c r="Q1978" s="8" t="s">
        <v>52</v>
      </c>
      <c r="R1978" s="8" t="s">
        <v>32</v>
      </c>
      <c r="S1978" s="8" t="b">
        <f>_xlfn.SINGLE(CleanedData[[#This Row],[Delivery Status]])="Late"</f>
        <v>1</v>
      </c>
      <c r="T1978" s="10">
        <v>14</v>
      </c>
      <c r="U1978" s="8" t="s">
        <v>43</v>
      </c>
      <c r="V1978" s="10">
        <v>1809</v>
      </c>
      <c r="W1978" s="10">
        <v>1</v>
      </c>
      <c r="X1978" s="12">
        <v>1.13636363636363E-2</v>
      </c>
      <c r="Y1978" s="8" t="b">
        <f>CleanedData[[#This Row],[Ship Date]]&lt;CleanedData[[#This Row],[Order Date]]</f>
        <v>0</v>
      </c>
      <c r="Z1978" s="10">
        <f>YEAR(CleanedData[[#This Row],[Order Date]])</f>
        <v>2023</v>
      </c>
      <c r="AA1978" s="8">
        <f>MONTH(CleanedData[[#This Row],[Order Date]])</f>
        <v>3</v>
      </c>
    </row>
    <row r="1979" spans="1:27" x14ac:dyDescent="0.35">
      <c r="A1979" s="8" t="s">
        <v>4822</v>
      </c>
      <c r="B1979" s="9">
        <v>45021</v>
      </c>
      <c r="C1979" s="9">
        <v>45287</v>
      </c>
      <c r="D1979" s="8" t="s">
        <v>4823</v>
      </c>
      <c r="E1979" s="8" t="s">
        <v>26</v>
      </c>
      <c r="F1979" s="8" t="s">
        <v>228</v>
      </c>
      <c r="G1979" s="8" t="s">
        <v>93</v>
      </c>
      <c r="H1979" s="8" t="s">
        <v>184</v>
      </c>
      <c r="I1979" s="8" t="s">
        <v>4975</v>
      </c>
      <c r="J1979" s="10">
        <v>538</v>
      </c>
      <c r="K1979" s="11">
        <v>496.94</v>
      </c>
      <c r="L1979" s="11">
        <v>732.83</v>
      </c>
      <c r="M1979" s="11">
        <v>394262.54</v>
      </c>
      <c r="N1979" s="11">
        <v>267353.71999999997</v>
      </c>
      <c r="O1979" s="11">
        <f>CleanedData[[#This Row],[Total Sales ($)]]-CleanedData[[#This Row],[Total Cost ($)]]</f>
        <v>126908.82</v>
      </c>
      <c r="P1979" s="12">
        <f>CleanedData[[#This Row],[Profit ($)]]/CleanedData[[#This Row],[Total Sales ($)]]</f>
        <v>0.32188911480152288</v>
      </c>
      <c r="Q1979" s="8" t="s">
        <v>52</v>
      </c>
      <c r="R1979" s="8" t="s">
        <v>32</v>
      </c>
      <c r="S1979" s="8" t="b">
        <f>_xlfn.SINGLE(CleanedData[[#This Row],[Delivery Status]])="Late"</f>
        <v>1</v>
      </c>
      <c r="T1979" s="10">
        <v>11</v>
      </c>
      <c r="U1979" s="8" t="s">
        <v>112</v>
      </c>
      <c r="V1979" s="10">
        <v>4820</v>
      </c>
      <c r="W1979" s="10">
        <v>17</v>
      </c>
      <c r="X1979" s="12">
        <v>3.15985130111524E-2</v>
      </c>
      <c r="Y1979" s="8" t="b">
        <f>CleanedData[[#This Row],[Ship Date]]&lt;CleanedData[[#This Row],[Order Date]]</f>
        <v>0</v>
      </c>
      <c r="Z1979" s="10">
        <f>YEAR(CleanedData[[#This Row],[Order Date]])</f>
        <v>2023</v>
      </c>
      <c r="AA1979" s="8">
        <f>MONTH(CleanedData[[#This Row],[Order Date]])</f>
        <v>4</v>
      </c>
    </row>
    <row r="1980" spans="1:27" x14ac:dyDescent="0.35">
      <c r="A1980" s="8" t="s">
        <v>4824</v>
      </c>
      <c r="B1980" s="9">
        <v>45235</v>
      </c>
      <c r="C1980" s="9">
        <v>45063</v>
      </c>
      <c r="D1980" s="8" t="s">
        <v>4825</v>
      </c>
      <c r="E1980" s="8" t="s">
        <v>100</v>
      </c>
      <c r="F1980" s="8" t="s">
        <v>538</v>
      </c>
      <c r="G1980" s="8" t="s">
        <v>78</v>
      </c>
      <c r="H1980" s="8" t="s">
        <v>572</v>
      </c>
      <c r="I1980" s="8" t="s">
        <v>4978</v>
      </c>
      <c r="J1980" s="10">
        <v>522</v>
      </c>
      <c r="K1980" s="11">
        <v>1021.34</v>
      </c>
      <c r="L1980" s="11">
        <v>1163.9000000000001</v>
      </c>
      <c r="M1980" s="11">
        <v>607555.80000000005</v>
      </c>
      <c r="N1980" s="11">
        <v>533139.48</v>
      </c>
      <c r="O1980" s="11">
        <f>CleanedData[[#This Row],[Total Sales ($)]]-CleanedData[[#This Row],[Total Cost ($)]]</f>
        <v>74416.320000000065</v>
      </c>
      <c r="P1980" s="12">
        <f>CleanedData[[#This Row],[Profit ($)]]/CleanedData[[#This Row],[Total Sales ($)]]</f>
        <v>0.12248474954893042</v>
      </c>
      <c r="Q1980" s="8" t="s">
        <v>31</v>
      </c>
      <c r="R1980" s="8" t="s">
        <v>63</v>
      </c>
      <c r="S1980" s="8" t="b">
        <f>_xlfn.SINGLE(CleanedData[[#This Row],[Delivery Status]])="Late"</f>
        <v>0</v>
      </c>
      <c r="T1980" s="10">
        <v>4</v>
      </c>
      <c r="U1980" s="8" t="s">
        <v>43</v>
      </c>
      <c r="V1980" s="10">
        <v>2426</v>
      </c>
      <c r="W1980" s="10">
        <v>20</v>
      </c>
      <c r="X1980" s="12">
        <v>3.8314176245210697E-2</v>
      </c>
      <c r="Y1980" s="8" t="b">
        <f>CleanedData[[#This Row],[Ship Date]]&lt;CleanedData[[#This Row],[Order Date]]</f>
        <v>1</v>
      </c>
      <c r="Z1980" s="10">
        <f>YEAR(CleanedData[[#This Row],[Order Date]])</f>
        <v>2023</v>
      </c>
      <c r="AA1980" s="8">
        <f>MONTH(CleanedData[[#This Row],[Order Date]])</f>
        <v>11</v>
      </c>
    </row>
    <row r="1981" spans="1:27" x14ac:dyDescent="0.35">
      <c r="A1981" s="8" t="s">
        <v>4826</v>
      </c>
      <c r="B1981" s="9">
        <v>45207</v>
      </c>
      <c r="C1981" s="9">
        <v>45258</v>
      </c>
      <c r="D1981" s="8" t="s">
        <v>4827</v>
      </c>
      <c r="E1981" s="8" t="s">
        <v>26</v>
      </c>
      <c r="F1981" s="8" t="s">
        <v>228</v>
      </c>
      <c r="G1981" s="8" t="s">
        <v>129</v>
      </c>
      <c r="H1981" s="8" t="s">
        <v>316</v>
      </c>
      <c r="I1981" s="8" t="s">
        <v>4968</v>
      </c>
      <c r="J1981" s="10">
        <v>570</v>
      </c>
      <c r="K1981" s="11">
        <v>646.51</v>
      </c>
      <c r="L1981" s="11">
        <v>961.19</v>
      </c>
      <c r="M1981" s="11">
        <v>547878.30000000005</v>
      </c>
      <c r="N1981" s="11">
        <v>368510.7</v>
      </c>
      <c r="O1981" s="11">
        <f>CleanedData[[#This Row],[Total Sales ($)]]-CleanedData[[#This Row],[Total Cost ($)]]</f>
        <v>179367.60000000003</v>
      </c>
      <c r="P1981" s="12">
        <f>CleanedData[[#This Row],[Profit ($)]]/CleanedData[[#This Row],[Total Sales ($)]]</f>
        <v>0.32738584463009396</v>
      </c>
      <c r="Q1981" s="8" t="s">
        <v>52</v>
      </c>
      <c r="R1981" s="8" t="s">
        <v>32</v>
      </c>
      <c r="S1981" s="8" t="b">
        <f>_xlfn.SINGLE(CleanedData[[#This Row],[Delivery Status]])="Late"</f>
        <v>1</v>
      </c>
      <c r="T1981" s="10">
        <v>12</v>
      </c>
      <c r="U1981" s="8" t="s">
        <v>33</v>
      </c>
      <c r="V1981" s="10">
        <v>4339</v>
      </c>
      <c r="W1981" s="10">
        <v>2</v>
      </c>
      <c r="X1981" s="12">
        <v>3.5087719298244999E-3</v>
      </c>
      <c r="Y1981" s="8" t="b">
        <f>CleanedData[[#This Row],[Ship Date]]&lt;CleanedData[[#This Row],[Order Date]]</f>
        <v>0</v>
      </c>
      <c r="Z1981" s="10">
        <f>YEAR(CleanedData[[#This Row],[Order Date]])</f>
        <v>2023</v>
      </c>
      <c r="AA1981" s="8">
        <f>MONTH(CleanedData[[#This Row],[Order Date]])</f>
        <v>10</v>
      </c>
    </row>
    <row r="1982" spans="1:27" x14ac:dyDescent="0.35">
      <c r="A1982" s="8" t="s">
        <v>4828</v>
      </c>
      <c r="B1982" s="9">
        <v>45037</v>
      </c>
      <c r="C1982" s="9">
        <v>45042</v>
      </c>
      <c r="D1982" s="8" t="s">
        <v>3911</v>
      </c>
      <c r="E1982" s="8" t="s">
        <v>100</v>
      </c>
      <c r="F1982" s="8" t="s">
        <v>538</v>
      </c>
      <c r="G1982" s="8" t="s">
        <v>39</v>
      </c>
      <c r="H1982" s="8" t="s">
        <v>354</v>
      </c>
      <c r="I1982" s="8" t="s">
        <v>4969</v>
      </c>
      <c r="J1982" s="10">
        <v>156</v>
      </c>
      <c r="K1982" s="11">
        <v>538.79999999999995</v>
      </c>
      <c r="L1982" s="11">
        <v>747.46</v>
      </c>
      <c r="M1982" s="11">
        <v>116603.76</v>
      </c>
      <c r="N1982" s="11">
        <v>84052.800000000003</v>
      </c>
      <c r="O1982" s="11">
        <f>CleanedData[[#This Row],[Total Sales ($)]]-CleanedData[[#This Row],[Total Cost ($)]]</f>
        <v>32550.959999999992</v>
      </c>
      <c r="P1982" s="12">
        <f>CleanedData[[#This Row],[Profit ($)]]/CleanedData[[#This Row],[Total Sales ($)]]</f>
        <v>0.27915875096995152</v>
      </c>
      <c r="Q1982" s="8" t="s">
        <v>31</v>
      </c>
      <c r="R1982" s="8" t="s">
        <v>32</v>
      </c>
      <c r="S1982" s="8" t="b">
        <f>_xlfn.SINGLE(CleanedData[[#This Row],[Delivery Status]])="Late"</f>
        <v>1</v>
      </c>
      <c r="T1982" s="10">
        <v>11</v>
      </c>
      <c r="U1982" s="8" t="s">
        <v>158</v>
      </c>
      <c r="V1982" s="10">
        <v>3614</v>
      </c>
      <c r="W1982" s="10">
        <v>2</v>
      </c>
      <c r="X1982" s="12">
        <v>1.2820512820512799E-2</v>
      </c>
      <c r="Y1982" s="8" t="b">
        <f>CleanedData[[#This Row],[Ship Date]]&lt;CleanedData[[#This Row],[Order Date]]</f>
        <v>0</v>
      </c>
      <c r="Z1982" s="10">
        <f>YEAR(CleanedData[[#This Row],[Order Date]])</f>
        <v>2023</v>
      </c>
      <c r="AA1982" s="8">
        <f>MONTH(CleanedData[[#This Row],[Order Date]])</f>
        <v>4</v>
      </c>
    </row>
    <row r="1983" spans="1:27" x14ac:dyDescent="0.35">
      <c r="A1983" s="8" t="s">
        <v>4829</v>
      </c>
      <c r="B1983" s="9">
        <v>45095</v>
      </c>
      <c r="C1983" s="9">
        <v>45190</v>
      </c>
      <c r="D1983" s="8" t="s">
        <v>4830</v>
      </c>
      <c r="E1983" s="8" t="s">
        <v>68</v>
      </c>
      <c r="F1983" s="8" t="s">
        <v>276</v>
      </c>
      <c r="G1983" s="8" t="s">
        <v>189</v>
      </c>
      <c r="H1983" s="8" t="s">
        <v>365</v>
      </c>
      <c r="I1983" s="8" t="s">
        <v>4978</v>
      </c>
      <c r="J1983" s="10">
        <v>367</v>
      </c>
      <c r="K1983" s="11">
        <v>946.45</v>
      </c>
      <c r="L1983" s="11">
        <v>1366.44</v>
      </c>
      <c r="M1983" s="11">
        <v>501483.48</v>
      </c>
      <c r="N1983" s="11">
        <v>347347.15</v>
      </c>
      <c r="O1983" s="11">
        <f>CleanedData[[#This Row],[Total Sales ($)]]-CleanedData[[#This Row],[Total Cost ($)]]</f>
        <v>154136.32999999996</v>
      </c>
      <c r="P1983" s="12">
        <f>CleanedData[[#This Row],[Profit ($)]]/CleanedData[[#This Row],[Total Sales ($)]]</f>
        <v>0.30736073299961936</v>
      </c>
      <c r="Q1983" s="8" t="s">
        <v>31</v>
      </c>
      <c r="R1983" s="8" t="s">
        <v>32</v>
      </c>
      <c r="S1983" s="8" t="b">
        <f>_xlfn.SINGLE(CleanedData[[#This Row],[Delivery Status]])="Late"</f>
        <v>1</v>
      </c>
      <c r="T1983" s="10">
        <v>13</v>
      </c>
      <c r="U1983" s="8" t="s">
        <v>112</v>
      </c>
      <c r="V1983" s="10">
        <v>3912</v>
      </c>
      <c r="W1983" s="10">
        <v>13</v>
      </c>
      <c r="X1983" s="12">
        <v>3.5422343324250601E-2</v>
      </c>
      <c r="Y1983" s="8" t="b">
        <f>CleanedData[[#This Row],[Ship Date]]&lt;CleanedData[[#This Row],[Order Date]]</f>
        <v>0</v>
      </c>
      <c r="Z1983" s="10">
        <f>YEAR(CleanedData[[#This Row],[Order Date]])</f>
        <v>2023</v>
      </c>
      <c r="AA1983" s="8">
        <f>MONTH(CleanedData[[#This Row],[Order Date]])</f>
        <v>6</v>
      </c>
    </row>
    <row r="1984" spans="1:27" x14ac:dyDescent="0.35">
      <c r="A1984" s="8" t="s">
        <v>4464</v>
      </c>
      <c r="B1984" s="9">
        <v>45148</v>
      </c>
      <c r="C1984" s="9">
        <v>45237</v>
      </c>
      <c r="D1984" s="8" t="s">
        <v>4465</v>
      </c>
      <c r="E1984" s="8" t="s">
        <v>58</v>
      </c>
      <c r="F1984" s="8" t="s">
        <v>116</v>
      </c>
      <c r="G1984" s="8" t="s">
        <v>189</v>
      </c>
      <c r="H1984" s="8" t="s">
        <v>4972</v>
      </c>
      <c r="I1984" s="8" t="s">
        <v>4978</v>
      </c>
      <c r="J1984" s="10">
        <v>563</v>
      </c>
      <c r="K1984" s="11">
        <v>234.65</v>
      </c>
      <c r="L1984" s="11">
        <v>358.86</v>
      </c>
      <c r="M1984" s="11">
        <v>202038.18</v>
      </c>
      <c r="N1984" s="11">
        <v>132107.95000000001</v>
      </c>
      <c r="O1984" s="11">
        <f>CleanedData[[#This Row],[Total Sales ($)]]-CleanedData[[#This Row],[Total Cost ($)]]</f>
        <v>69930.229999999981</v>
      </c>
      <c r="P1984" s="12">
        <f>CleanedData[[#This Row],[Profit ($)]]/CleanedData[[#This Row],[Total Sales ($)]]</f>
        <v>0.34612383659365764</v>
      </c>
      <c r="Q1984" s="8" t="s">
        <v>31</v>
      </c>
      <c r="R1984" s="8" t="s">
        <v>32</v>
      </c>
      <c r="S1984" s="8" t="b">
        <f>_xlfn.SINGLE(CleanedData[[#This Row],[Delivery Status]])="Late"</f>
        <v>1</v>
      </c>
      <c r="T1984" s="10">
        <v>9</v>
      </c>
      <c r="U1984" s="8" t="s">
        <v>158</v>
      </c>
      <c r="V1984" s="10">
        <v>4731</v>
      </c>
      <c r="W1984" s="10">
        <v>19</v>
      </c>
      <c r="X1984" s="12">
        <v>3.3747779751332099E-2</v>
      </c>
      <c r="Y1984" s="8" t="b">
        <f>CleanedData[[#This Row],[Ship Date]]&lt;CleanedData[[#This Row],[Order Date]]</f>
        <v>0</v>
      </c>
      <c r="Z1984" s="10">
        <f>YEAR(CleanedData[[#This Row],[Order Date]])</f>
        <v>2023</v>
      </c>
      <c r="AA1984" s="8">
        <f>MONTH(CleanedData[[#This Row],[Order Date]])</f>
        <v>8</v>
      </c>
    </row>
    <row r="1985" spans="1:27" x14ac:dyDescent="0.35">
      <c r="A1985" s="8" t="s">
        <v>4831</v>
      </c>
      <c r="B1985" s="9">
        <v>45072</v>
      </c>
      <c r="C1985" s="9">
        <v>45226</v>
      </c>
      <c r="D1985" s="8" t="s">
        <v>4832</v>
      </c>
      <c r="E1985" s="8" t="s">
        <v>58</v>
      </c>
      <c r="F1985" s="8" t="s">
        <v>259</v>
      </c>
      <c r="G1985" s="8" t="s">
        <v>129</v>
      </c>
      <c r="H1985" s="8" t="s">
        <v>152</v>
      </c>
      <c r="I1985" s="8" t="s">
        <v>4974</v>
      </c>
      <c r="J1985" s="10">
        <v>37</v>
      </c>
      <c r="K1985" s="11">
        <v>723.52</v>
      </c>
      <c r="L1985" s="11">
        <v>895.53</v>
      </c>
      <c r="M1985" s="11">
        <v>33134.61</v>
      </c>
      <c r="N1985" s="11">
        <v>26770.240000000002</v>
      </c>
      <c r="O1985" s="11">
        <f>CleanedData[[#This Row],[Total Sales ($)]]-CleanedData[[#This Row],[Total Cost ($)]]</f>
        <v>6364.369999999999</v>
      </c>
      <c r="P1985" s="12">
        <f>CleanedData[[#This Row],[Profit ($)]]/CleanedData[[#This Row],[Total Sales ($)]]</f>
        <v>0.19207620068562747</v>
      </c>
      <c r="Q1985" s="8" t="s">
        <v>42</v>
      </c>
      <c r="R1985" s="8" t="s">
        <v>63</v>
      </c>
      <c r="S1985" s="8" t="b">
        <f>_xlfn.SINGLE(CleanedData[[#This Row],[Delivery Status]])="Late"</f>
        <v>0</v>
      </c>
      <c r="T1985" s="10">
        <v>1</v>
      </c>
      <c r="U1985" s="8" t="s">
        <v>33</v>
      </c>
      <c r="V1985" s="10">
        <v>186</v>
      </c>
      <c r="W1985" s="10">
        <v>0</v>
      </c>
      <c r="X1985" s="12">
        <v>0</v>
      </c>
      <c r="Y1985" s="8" t="b">
        <f>CleanedData[[#This Row],[Ship Date]]&lt;CleanedData[[#This Row],[Order Date]]</f>
        <v>0</v>
      </c>
      <c r="Z1985" s="10">
        <f>YEAR(CleanedData[[#This Row],[Order Date]])</f>
        <v>2023</v>
      </c>
      <c r="AA1985" s="8">
        <f>MONTH(CleanedData[[#This Row],[Order Date]])</f>
        <v>5</v>
      </c>
    </row>
    <row r="1986" spans="1:27" x14ac:dyDescent="0.35">
      <c r="A1986" s="8" t="s">
        <v>4833</v>
      </c>
      <c r="B1986" s="9">
        <v>44977</v>
      </c>
      <c r="C1986" s="9">
        <v>44958</v>
      </c>
      <c r="D1986" s="8" t="s">
        <v>4834</v>
      </c>
      <c r="E1986" s="8" t="s">
        <v>68</v>
      </c>
      <c r="F1986" s="8" t="s">
        <v>276</v>
      </c>
      <c r="G1986" s="8" t="s">
        <v>28</v>
      </c>
      <c r="H1986" s="8" t="s">
        <v>674</v>
      </c>
      <c r="I1986" s="8" t="s">
        <v>4979</v>
      </c>
      <c r="J1986" s="10">
        <v>28</v>
      </c>
      <c r="K1986" s="11">
        <v>1110.72</v>
      </c>
      <c r="L1986" s="11">
        <v>1356.36</v>
      </c>
      <c r="M1986" s="11">
        <v>37978.080000000002</v>
      </c>
      <c r="N1986" s="11">
        <v>31100.16</v>
      </c>
      <c r="O1986" s="11">
        <f>CleanedData[[#This Row],[Total Sales ($)]]-CleanedData[[#This Row],[Total Cost ($)]]</f>
        <v>6877.9200000000019</v>
      </c>
      <c r="P1986" s="12">
        <f>CleanedData[[#This Row],[Profit ($)]]/CleanedData[[#This Row],[Total Sales ($)]]</f>
        <v>0.18110236220472445</v>
      </c>
      <c r="Q1986" s="8" t="s">
        <v>52</v>
      </c>
      <c r="R1986" s="8" t="s">
        <v>32</v>
      </c>
      <c r="S1986" s="8" t="b">
        <f>_xlfn.SINGLE(CleanedData[[#This Row],[Delivery Status]])="Late"</f>
        <v>1</v>
      </c>
      <c r="T1986" s="10">
        <v>7</v>
      </c>
      <c r="U1986" s="8" t="s">
        <v>43</v>
      </c>
      <c r="V1986" s="10">
        <v>852</v>
      </c>
      <c r="W1986" s="10">
        <v>1</v>
      </c>
      <c r="X1986" s="12">
        <v>3.5714285714285698E-2</v>
      </c>
      <c r="Y1986" s="8" t="b">
        <f>CleanedData[[#This Row],[Ship Date]]&lt;CleanedData[[#This Row],[Order Date]]</f>
        <v>1</v>
      </c>
      <c r="Z1986" s="10">
        <f>YEAR(CleanedData[[#This Row],[Order Date]])</f>
        <v>2023</v>
      </c>
      <c r="AA1986" s="8">
        <f>MONTH(CleanedData[[#This Row],[Order Date]])</f>
        <v>2</v>
      </c>
    </row>
    <row r="1987" spans="1:27" x14ac:dyDescent="0.35">
      <c r="A1987" s="8" t="s">
        <v>4836</v>
      </c>
      <c r="B1987" s="9">
        <v>45273</v>
      </c>
      <c r="C1987" s="9">
        <v>45032</v>
      </c>
      <c r="D1987" s="8" t="s">
        <v>4837</v>
      </c>
      <c r="E1987" s="8" t="s">
        <v>48</v>
      </c>
      <c r="F1987" s="8" t="s">
        <v>223</v>
      </c>
      <c r="G1987" s="8" t="s">
        <v>129</v>
      </c>
      <c r="H1987" s="8" t="s">
        <v>811</v>
      </c>
      <c r="I1987" s="8" t="s">
        <v>4978</v>
      </c>
      <c r="J1987" s="10">
        <v>633</v>
      </c>
      <c r="K1987" s="11">
        <v>417.61</v>
      </c>
      <c r="L1987" s="11">
        <v>612.79</v>
      </c>
      <c r="M1987" s="11">
        <v>387896.07</v>
      </c>
      <c r="N1987" s="11">
        <v>264347.13</v>
      </c>
      <c r="O1987" s="11">
        <f>CleanedData[[#This Row],[Total Sales ($)]]-CleanedData[[#This Row],[Total Cost ($)]]</f>
        <v>123548.94</v>
      </c>
      <c r="P1987" s="12">
        <f>CleanedData[[#This Row],[Profit ($)]]/CleanedData[[#This Row],[Total Sales ($)]]</f>
        <v>0.31851041955645493</v>
      </c>
      <c r="Q1987" s="8" t="s">
        <v>31</v>
      </c>
      <c r="R1987" s="8" t="s">
        <v>63</v>
      </c>
      <c r="S1987" s="8" t="b">
        <f>_xlfn.SINGLE(CleanedData[[#This Row],[Delivery Status]])="Late"</f>
        <v>0</v>
      </c>
      <c r="T1987" s="10">
        <v>4</v>
      </c>
      <c r="U1987" s="8" t="s">
        <v>53</v>
      </c>
      <c r="V1987" s="10">
        <v>1901</v>
      </c>
      <c r="W1987" s="10">
        <v>12</v>
      </c>
      <c r="X1987" s="12">
        <v>1.8957345971563899E-2</v>
      </c>
      <c r="Y1987" s="8" t="b">
        <f>CleanedData[[#This Row],[Ship Date]]&lt;CleanedData[[#This Row],[Order Date]]</f>
        <v>1</v>
      </c>
      <c r="Z1987" s="10">
        <f>YEAR(CleanedData[[#This Row],[Order Date]])</f>
        <v>2023</v>
      </c>
      <c r="AA1987" s="8">
        <f>MONTH(CleanedData[[#This Row],[Order Date]])</f>
        <v>12</v>
      </c>
    </row>
    <row r="1988" spans="1:27" x14ac:dyDescent="0.35">
      <c r="A1988" s="8" t="s">
        <v>4838</v>
      </c>
      <c r="B1988" s="9">
        <v>45027</v>
      </c>
      <c r="C1988" s="9">
        <v>45027</v>
      </c>
      <c r="D1988" s="8" t="s">
        <v>4839</v>
      </c>
      <c r="E1988" s="8" t="s">
        <v>26</v>
      </c>
      <c r="F1988" s="8" t="s">
        <v>27</v>
      </c>
      <c r="G1988" s="8" t="s">
        <v>129</v>
      </c>
      <c r="H1988" s="8" t="s">
        <v>704</v>
      </c>
      <c r="I1988" s="8" t="s">
        <v>4978</v>
      </c>
      <c r="J1988" s="10">
        <v>636</v>
      </c>
      <c r="K1988" s="11">
        <v>1180.76</v>
      </c>
      <c r="L1988" s="11">
        <v>1911.48</v>
      </c>
      <c r="M1988" s="11">
        <v>1215701.28</v>
      </c>
      <c r="N1988" s="11">
        <v>750963.36</v>
      </c>
      <c r="O1988" s="11">
        <f>CleanedData[[#This Row],[Total Sales ($)]]-CleanedData[[#This Row],[Total Cost ($)]]</f>
        <v>464737.92000000004</v>
      </c>
      <c r="P1988" s="12">
        <f>CleanedData[[#This Row],[Profit ($)]]/CleanedData[[#This Row],[Total Sales ($)]]</f>
        <v>0.38227969949986401</v>
      </c>
      <c r="Q1988" s="8" t="s">
        <v>95</v>
      </c>
      <c r="R1988" s="8" t="s">
        <v>32</v>
      </c>
      <c r="S1988" s="8" t="b">
        <f>_xlfn.SINGLE(CleanedData[[#This Row],[Delivery Status]])="Late"</f>
        <v>1</v>
      </c>
      <c r="T1988" s="10">
        <v>10</v>
      </c>
      <c r="U1988" s="8" t="s">
        <v>158</v>
      </c>
      <c r="V1988" s="10">
        <v>4220</v>
      </c>
      <c r="W1988" s="10">
        <v>5</v>
      </c>
      <c r="X1988" s="12">
        <v>7.8616352201256994E-3</v>
      </c>
      <c r="Y1988" s="8" t="b">
        <f>CleanedData[[#This Row],[Ship Date]]&lt;CleanedData[[#This Row],[Order Date]]</f>
        <v>0</v>
      </c>
      <c r="Z1988" s="10">
        <f>YEAR(CleanedData[[#This Row],[Order Date]])</f>
        <v>2023</v>
      </c>
      <c r="AA1988" s="8">
        <f>MONTH(CleanedData[[#This Row],[Order Date]])</f>
        <v>4</v>
      </c>
    </row>
    <row r="1989" spans="1:27" x14ac:dyDescent="0.35">
      <c r="A1989" s="8" t="s">
        <v>1248</v>
      </c>
      <c r="B1989" s="9">
        <v>45224</v>
      </c>
      <c r="C1989" s="9">
        <v>45078</v>
      </c>
      <c r="D1989" s="8" t="s">
        <v>1250</v>
      </c>
      <c r="E1989" s="8" t="s">
        <v>26</v>
      </c>
      <c r="F1989" s="8" t="s">
        <v>38</v>
      </c>
      <c r="G1989" s="8" t="s">
        <v>60</v>
      </c>
      <c r="H1989" s="8" t="s">
        <v>61</v>
      </c>
      <c r="I1989" s="8" t="s">
        <v>4972</v>
      </c>
      <c r="J1989" s="10">
        <v>218</v>
      </c>
      <c r="K1989" s="11">
        <v>308.5</v>
      </c>
      <c r="L1989" s="11">
        <v>445.95</v>
      </c>
      <c r="M1989" s="11">
        <v>97217.1</v>
      </c>
      <c r="N1989" s="11">
        <v>67253</v>
      </c>
      <c r="O1989" s="11">
        <f>CleanedData[[#This Row],[Total Sales ($)]]-CleanedData[[#This Row],[Total Cost ($)]]</f>
        <v>29964.100000000006</v>
      </c>
      <c r="P1989" s="12">
        <f>CleanedData[[#This Row],[Profit ($)]]/CleanedData[[#This Row],[Total Sales ($)]]</f>
        <v>0.30821841013566548</v>
      </c>
      <c r="Q1989" s="8" t="s">
        <v>42</v>
      </c>
      <c r="R1989" s="8" t="s">
        <v>32</v>
      </c>
      <c r="S1989" s="8" t="b">
        <f>_xlfn.SINGLE(CleanedData[[#This Row],[Delivery Status]])="Late"</f>
        <v>1</v>
      </c>
      <c r="T1989" s="10">
        <v>12</v>
      </c>
      <c r="U1989" s="8" t="s">
        <v>112</v>
      </c>
      <c r="V1989" s="10">
        <v>1081</v>
      </c>
      <c r="W1989" s="10">
        <v>9</v>
      </c>
      <c r="X1989" s="12">
        <v>4.1284403669724697E-2</v>
      </c>
      <c r="Y1989" s="8" t="b">
        <f>CleanedData[[#This Row],[Ship Date]]&lt;CleanedData[[#This Row],[Order Date]]</f>
        <v>1</v>
      </c>
      <c r="Z1989" s="10">
        <f>YEAR(CleanedData[[#This Row],[Order Date]])</f>
        <v>2023</v>
      </c>
      <c r="AA1989" s="8">
        <f>MONTH(CleanedData[[#This Row],[Order Date]])</f>
        <v>10</v>
      </c>
    </row>
    <row r="1990" spans="1:27" x14ac:dyDescent="0.35">
      <c r="A1990" s="8" t="s">
        <v>4841</v>
      </c>
      <c r="B1990" s="9">
        <v>44984</v>
      </c>
      <c r="C1990" s="9">
        <v>45039</v>
      </c>
      <c r="D1990" s="8" t="s">
        <v>4842</v>
      </c>
      <c r="E1990" s="8" t="s">
        <v>100</v>
      </c>
      <c r="F1990" s="8" t="s">
        <v>538</v>
      </c>
      <c r="G1990" s="8" t="s">
        <v>39</v>
      </c>
      <c r="H1990" s="8" t="s">
        <v>647</v>
      </c>
      <c r="I1990" s="8" t="s">
        <v>4971</v>
      </c>
      <c r="J1990" s="10">
        <v>646</v>
      </c>
      <c r="K1990" s="11">
        <v>1132.81</v>
      </c>
      <c r="L1990" s="11">
        <v>1673.51</v>
      </c>
      <c r="M1990" s="11">
        <v>1081087.46</v>
      </c>
      <c r="N1990" s="11">
        <v>731795.26</v>
      </c>
      <c r="O1990" s="11">
        <f>CleanedData[[#This Row],[Total Sales ($)]]-CleanedData[[#This Row],[Total Cost ($)]]</f>
        <v>349292.19999999995</v>
      </c>
      <c r="P1990" s="12">
        <f>CleanedData[[#This Row],[Profit ($)]]/CleanedData[[#This Row],[Total Sales ($)]]</f>
        <v>0.32309337858751963</v>
      </c>
      <c r="Q1990" s="8" t="s">
        <v>52</v>
      </c>
      <c r="R1990" s="8" t="s">
        <v>32</v>
      </c>
      <c r="S1990" s="8" t="b">
        <f>_xlfn.SINGLE(CleanedData[[#This Row],[Delivery Status]])="Late"</f>
        <v>1</v>
      </c>
      <c r="T1990" s="10">
        <v>15</v>
      </c>
      <c r="U1990" s="8" t="s">
        <v>112</v>
      </c>
      <c r="V1990" s="10">
        <v>4016</v>
      </c>
      <c r="W1990" s="10">
        <v>17</v>
      </c>
      <c r="X1990" s="12">
        <v>2.6315789473684199E-2</v>
      </c>
      <c r="Y1990" s="8" t="b">
        <f>CleanedData[[#This Row],[Ship Date]]&lt;CleanedData[[#This Row],[Order Date]]</f>
        <v>0</v>
      </c>
      <c r="Z1990" s="10">
        <f>YEAR(CleanedData[[#This Row],[Order Date]])</f>
        <v>2023</v>
      </c>
      <c r="AA1990" s="8">
        <f>MONTH(CleanedData[[#This Row],[Order Date]])</f>
        <v>2</v>
      </c>
    </row>
    <row r="1991" spans="1:27" x14ac:dyDescent="0.35">
      <c r="A1991" s="8" t="s">
        <v>4843</v>
      </c>
      <c r="B1991" s="9">
        <v>44942</v>
      </c>
      <c r="C1991" s="9">
        <v>45032</v>
      </c>
      <c r="D1991" s="8" t="s">
        <v>4844</v>
      </c>
      <c r="E1991" s="8" t="s">
        <v>100</v>
      </c>
      <c r="F1991" s="8" t="s">
        <v>538</v>
      </c>
      <c r="G1991" s="8" t="s">
        <v>50</v>
      </c>
      <c r="H1991" s="8" t="s">
        <v>51</v>
      </c>
      <c r="I1991" s="8" t="s">
        <v>4969</v>
      </c>
      <c r="J1991" s="10">
        <v>257</v>
      </c>
      <c r="K1991" s="11">
        <v>495.33</v>
      </c>
      <c r="L1991" s="11">
        <v>699.79</v>
      </c>
      <c r="M1991" s="11">
        <v>179846.03</v>
      </c>
      <c r="N1991" s="11">
        <v>127299.81</v>
      </c>
      <c r="O1991" s="11">
        <f>CleanedData[[#This Row],[Total Sales ($)]]-CleanedData[[#This Row],[Total Cost ($)]]</f>
        <v>52546.22</v>
      </c>
      <c r="P1991" s="12">
        <f>CleanedData[[#This Row],[Profit ($)]]/CleanedData[[#This Row],[Total Sales ($)]]</f>
        <v>0.29217336629560298</v>
      </c>
      <c r="Q1991" s="8" t="s">
        <v>42</v>
      </c>
      <c r="R1991" s="8" t="s">
        <v>32</v>
      </c>
      <c r="S1991" s="8" t="b">
        <f>_xlfn.SINGLE(CleanedData[[#This Row],[Delivery Status]])="Late"</f>
        <v>1</v>
      </c>
      <c r="T1991" s="10">
        <v>5</v>
      </c>
      <c r="U1991" s="8" t="s">
        <v>86</v>
      </c>
      <c r="V1991" s="10">
        <v>3144</v>
      </c>
      <c r="W1991" s="10">
        <v>1</v>
      </c>
      <c r="X1991" s="12">
        <v>3.8910505836575E-3</v>
      </c>
      <c r="Y1991" s="8" t="b">
        <f>CleanedData[[#This Row],[Ship Date]]&lt;CleanedData[[#This Row],[Order Date]]</f>
        <v>0</v>
      </c>
      <c r="Z1991" s="10">
        <f>YEAR(CleanedData[[#This Row],[Order Date]])</f>
        <v>2023</v>
      </c>
      <c r="AA1991" s="8">
        <f>MONTH(CleanedData[[#This Row],[Order Date]])</f>
        <v>1</v>
      </c>
    </row>
    <row r="1992" spans="1:27" x14ac:dyDescent="0.35">
      <c r="A1992" s="8" t="s">
        <v>4845</v>
      </c>
      <c r="B1992" s="9">
        <v>45544</v>
      </c>
      <c r="C1992" s="9">
        <v>45269</v>
      </c>
      <c r="D1992" s="8" t="s">
        <v>4846</v>
      </c>
      <c r="E1992" s="8" t="s">
        <v>68</v>
      </c>
      <c r="F1992" s="8" t="s">
        <v>69</v>
      </c>
      <c r="G1992" s="8" t="s">
        <v>189</v>
      </c>
      <c r="H1992" s="8" t="s">
        <v>311</v>
      </c>
      <c r="I1992" s="8" t="s">
        <v>4969</v>
      </c>
      <c r="J1992" s="10">
        <v>755</v>
      </c>
      <c r="K1992" s="11">
        <v>429.2</v>
      </c>
      <c r="L1992" s="11">
        <v>653.36</v>
      </c>
      <c r="M1992" s="11">
        <v>493286.8</v>
      </c>
      <c r="N1992" s="11">
        <v>324046</v>
      </c>
      <c r="O1992" s="11">
        <f>CleanedData[[#This Row],[Total Sales ($)]]-CleanedData[[#This Row],[Total Cost ($)]]</f>
        <v>169240.8</v>
      </c>
      <c r="P1992" s="12">
        <f>CleanedData[[#This Row],[Profit ($)]]/CleanedData[[#This Row],[Total Sales ($)]]</f>
        <v>0.34308803722297049</v>
      </c>
      <c r="Q1992" s="8" t="s">
        <v>95</v>
      </c>
      <c r="R1992" s="8" t="s">
        <v>63</v>
      </c>
      <c r="S1992" s="8" t="b">
        <f>_xlfn.SINGLE(CleanedData[[#This Row],[Delivery Status]])="Late"</f>
        <v>0</v>
      </c>
      <c r="T1992" s="10">
        <v>3</v>
      </c>
      <c r="U1992" s="8" t="s">
        <v>112</v>
      </c>
      <c r="V1992" s="10">
        <v>4566</v>
      </c>
      <c r="W1992" s="10">
        <v>32</v>
      </c>
      <c r="X1992" s="12">
        <v>4.2384105960264901E-2</v>
      </c>
      <c r="Y1992" s="8" t="b">
        <f>CleanedData[[#This Row],[Ship Date]]&lt;CleanedData[[#This Row],[Order Date]]</f>
        <v>1</v>
      </c>
      <c r="Z1992" s="10">
        <f>YEAR(CleanedData[[#This Row],[Order Date]])</f>
        <v>2024</v>
      </c>
      <c r="AA1992" s="8">
        <f>MONTH(CleanedData[[#This Row],[Order Date]])</f>
        <v>9</v>
      </c>
    </row>
    <row r="1993" spans="1:27" x14ac:dyDescent="0.35">
      <c r="A1993" s="8" t="s">
        <v>4847</v>
      </c>
      <c r="B1993" s="9">
        <v>45384</v>
      </c>
      <c r="C1993" s="9">
        <v>45562</v>
      </c>
      <c r="D1993" s="8" t="s">
        <v>4848</v>
      </c>
      <c r="E1993" s="8" t="s">
        <v>68</v>
      </c>
      <c r="F1993" s="8" t="s">
        <v>146</v>
      </c>
      <c r="G1993" s="8" t="s">
        <v>78</v>
      </c>
      <c r="H1993" s="8" t="s">
        <v>840</v>
      </c>
      <c r="I1993" s="8" t="s">
        <v>4977</v>
      </c>
      <c r="J1993" s="10">
        <v>435</v>
      </c>
      <c r="K1993" s="11">
        <v>313.98</v>
      </c>
      <c r="L1993" s="11">
        <v>443.36</v>
      </c>
      <c r="M1993" s="11">
        <v>192861.6</v>
      </c>
      <c r="N1993" s="11">
        <v>136581.29999999999</v>
      </c>
      <c r="O1993" s="11">
        <f>CleanedData[[#This Row],[Total Sales ($)]]-CleanedData[[#This Row],[Total Cost ($)]]</f>
        <v>56280.300000000017</v>
      </c>
      <c r="P1993" s="12">
        <f>CleanedData[[#This Row],[Profit ($)]]/CleanedData[[#This Row],[Total Sales ($)]]</f>
        <v>0.29181703356189109</v>
      </c>
      <c r="Q1993" s="8" t="s">
        <v>31</v>
      </c>
      <c r="R1993" s="8" t="s">
        <v>32</v>
      </c>
      <c r="S1993" s="8" t="b">
        <f>_xlfn.SINGLE(CleanedData[[#This Row],[Delivery Status]])="Late"</f>
        <v>1</v>
      </c>
      <c r="T1993" s="10">
        <v>15</v>
      </c>
      <c r="U1993" s="8" t="s">
        <v>43</v>
      </c>
      <c r="V1993" s="10">
        <v>3389</v>
      </c>
      <c r="W1993" s="10">
        <v>14</v>
      </c>
      <c r="X1993" s="12">
        <v>3.2183908045976997E-2</v>
      </c>
      <c r="Y1993" s="8" t="b">
        <f>CleanedData[[#This Row],[Ship Date]]&lt;CleanedData[[#This Row],[Order Date]]</f>
        <v>0</v>
      </c>
      <c r="Z1993" s="10">
        <f>YEAR(CleanedData[[#This Row],[Order Date]])</f>
        <v>2024</v>
      </c>
      <c r="AA1993" s="8">
        <f>MONTH(CleanedData[[#This Row],[Order Date]])</f>
        <v>4</v>
      </c>
    </row>
    <row r="1994" spans="1:27" x14ac:dyDescent="0.35">
      <c r="A1994" s="8" t="s">
        <v>4850</v>
      </c>
      <c r="B1994" s="9">
        <v>45156</v>
      </c>
      <c r="C1994" s="9">
        <v>45066</v>
      </c>
      <c r="D1994" s="8" t="s">
        <v>4851</v>
      </c>
      <c r="E1994" s="8" t="s">
        <v>68</v>
      </c>
      <c r="F1994" s="8" t="s">
        <v>146</v>
      </c>
      <c r="G1994" s="8" t="s">
        <v>129</v>
      </c>
      <c r="H1994" s="8" t="s">
        <v>520</v>
      </c>
      <c r="I1994" s="8" t="s">
        <v>4971</v>
      </c>
      <c r="J1994" s="10">
        <v>462</v>
      </c>
      <c r="K1994" s="11">
        <v>583.80999999999995</v>
      </c>
      <c r="L1994" s="11">
        <v>743.51</v>
      </c>
      <c r="M1994" s="11">
        <v>343501.62</v>
      </c>
      <c r="N1994" s="11">
        <v>269720.21999999997</v>
      </c>
      <c r="O1994" s="11">
        <f>CleanedData[[#This Row],[Total Sales ($)]]-CleanedData[[#This Row],[Total Cost ($)]]</f>
        <v>73781.400000000023</v>
      </c>
      <c r="P1994" s="12">
        <f>CleanedData[[#This Row],[Profit ($)]]/CleanedData[[#This Row],[Total Sales ($)]]</f>
        <v>0.21479200010759783</v>
      </c>
      <c r="Q1994" s="8" t="s">
        <v>42</v>
      </c>
      <c r="R1994" s="8" t="s">
        <v>63</v>
      </c>
      <c r="S1994" s="8" t="b">
        <f>_xlfn.SINGLE(CleanedData[[#This Row],[Delivery Status]])="Late"</f>
        <v>0</v>
      </c>
      <c r="T1994" s="10">
        <v>4</v>
      </c>
      <c r="U1994" s="8" t="s">
        <v>33</v>
      </c>
      <c r="V1994" s="10">
        <v>2938</v>
      </c>
      <c r="W1994" s="10">
        <v>3</v>
      </c>
      <c r="X1994" s="12">
        <v>6.4935064935064003E-3</v>
      </c>
      <c r="Y1994" s="8" t="b">
        <f>CleanedData[[#This Row],[Ship Date]]&lt;CleanedData[[#This Row],[Order Date]]</f>
        <v>1</v>
      </c>
      <c r="Z1994" s="10">
        <f>YEAR(CleanedData[[#This Row],[Order Date]])</f>
        <v>2023</v>
      </c>
      <c r="AA1994" s="8">
        <f>MONTH(CleanedData[[#This Row],[Order Date]])</f>
        <v>8</v>
      </c>
    </row>
    <row r="1995" spans="1:27" x14ac:dyDescent="0.35">
      <c r="A1995" s="8" t="s">
        <v>4852</v>
      </c>
      <c r="B1995" s="9">
        <v>44979</v>
      </c>
      <c r="C1995" s="9">
        <v>45132</v>
      </c>
      <c r="D1995" s="8" t="s">
        <v>3396</v>
      </c>
      <c r="E1995" s="8" t="s">
        <v>26</v>
      </c>
      <c r="F1995" s="8" t="s">
        <v>228</v>
      </c>
      <c r="G1995" s="8" t="s">
        <v>28</v>
      </c>
      <c r="H1995" s="8" t="s">
        <v>29</v>
      </c>
      <c r="I1995" s="8" t="s">
        <v>4967</v>
      </c>
      <c r="J1995" s="10">
        <v>510</v>
      </c>
      <c r="K1995" s="11">
        <v>651.91</v>
      </c>
      <c r="L1995" s="11">
        <v>1071.97</v>
      </c>
      <c r="M1995" s="11">
        <v>546704.69999999995</v>
      </c>
      <c r="N1995" s="11">
        <v>332474.09999999998</v>
      </c>
      <c r="O1995" s="11">
        <f>CleanedData[[#This Row],[Total Sales ($)]]-CleanedData[[#This Row],[Total Cost ($)]]</f>
        <v>214230.59999999998</v>
      </c>
      <c r="P1995" s="12">
        <f>CleanedData[[#This Row],[Profit ($)]]/CleanedData[[#This Row],[Total Sales ($)]]</f>
        <v>0.39185798110021736</v>
      </c>
      <c r="Q1995" s="8" t="s">
        <v>31</v>
      </c>
      <c r="R1995" s="8" t="s">
        <v>32</v>
      </c>
      <c r="S1995" s="8" t="b">
        <f>_xlfn.SINGLE(CleanedData[[#This Row],[Delivery Status]])="Late"</f>
        <v>1</v>
      </c>
      <c r="T1995" s="10">
        <v>13</v>
      </c>
      <c r="U1995" s="8" t="s">
        <v>43</v>
      </c>
      <c r="V1995" s="10">
        <v>248</v>
      </c>
      <c r="W1995" s="10">
        <v>13</v>
      </c>
      <c r="X1995" s="12">
        <v>2.5490196078431299E-2</v>
      </c>
      <c r="Y1995" s="8" t="b">
        <f>CleanedData[[#This Row],[Ship Date]]&lt;CleanedData[[#This Row],[Order Date]]</f>
        <v>0</v>
      </c>
      <c r="Z1995" s="10">
        <f>YEAR(CleanedData[[#This Row],[Order Date]])</f>
        <v>2023</v>
      </c>
      <c r="AA1995" s="8">
        <f>MONTH(CleanedData[[#This Row],[Order Date]])</f>
        <v>2</v>
      </c>
    </row>
    <row r="1996" spans="1:27" x14ac:dyDescent="0.35">
      <c r="A1996" s="8" t="s">
        <v>4853</v>
      </c>
      <c r="B1996" s="9">
        <v>45250</v>
      </c>
      <c r="C1996" s="9">
        <v>45268</v>
      </c>
      <c r="D1996" s="8" t="s">
        <v>4854</v>
      </c>
      <c r="E1996" s="8" t="s">
        <v>58</v>
      </c>
      <c r="F1996" s="8" t="s">
        <v>4972</v>
      </c>
      <c r="G1996" s="8" t="s">
        <v>39</v>
      </c>
      <c r="H1996" s="8" t="s">
        <v>647</v>
      </c>
      <c r="I1996" s="8" t="s">
        <v>4968</v>
      </c>
      <c r="J1996" s="10">
        <v>723</v>
      </c>
      <c r="K1996" s="11">
        <v>1069.8</v>
      </c>
      <c r="L1996" s="11">
        <v>1564.88</v>
      </c>
      <c r="M1996" s="11">
        <v>1131408.24</v>
      </c>
      <c r="N1996" s="11">
        <v>773465.4</v>
      </c>
      <c r="O1996" s="11">
        <f>CleanedData[[#This Row],[Total Sales ($)]]-CleanedData[[#This Row],[Total Cost ($)]]</f>
        <v>357942.83999999997</v>
      </c>
      <c r="P1996" s="12">
        <f>CleanedData[[#This Row],[Profit ($)]]/CleanedData[[#This Row],[Total Sales ($)]]</f>
        <v>0.31636930627268545</v>
      </c>
      <c r="Q1996" s="8" t="s">
        <v>42</v>
      </c>
      <c r="R1996" s="8" t="s">
        <v>32</v>
      </c>
      <c r="S1996" s="8" t="b">
        <f>_xlfn.SINGLE(CleanedData[[#This Row],[Delivery Status]])="Late"</f>
        <v>1</v>
      </c>
      <c r="T1996" s="10">
        <v>8</v>
      </c>
      <c r="U1996" s="8" t="s">
        <v>112</v>
      </c>
      <c r="V1996" s="10">
        <v>1579</v>
      </c>
      <c r="W1996" s="10">
        <v>25</v>
      </c>
      <c r="X1996" s="12">
        <v>3.4578146611341599E-2</v>
      </c>
      <c r="Y1996" s="8" t="b">
        <f>CleanedData[[#This Row],[Ship Date]]&lt;CleanedData[[#This Row],[Order Date]]</f>
        <v>0</v>
      </c>
      <c r="Z1996" s="10">
        <f>YEAR(CleanedData[[#This Row],[Order Date]])</f>
        <v>2023</v>
      </c>
      <c r="AA1996" s="8">
        <f>MONTH(CleanedData[[#This Row],[Order Date]])</f>
        <v>11</v>
      </c>
    </row>
    <row r="1997" spans="1:27" x14ac:dyDescent="0.35">
      <c r="A1997" s="8" t="s">
        <v>4855</v>
      </c>
      <c r="B1997" s="9">
        <v>44931</v>
      </c>
      <c r="C1997" s="9">
        <v>45018</v>
      </c>
      <c r="D1997" s="8" t="s">
        <v>4856</v>
      </c>
      <c r="E1997" s="8" t="s">
        <v>100</v>
      </c>
      <c r="F1997" s="8" t="s">
        <v>238</v>
      </c>
      <c r="G1997" s="8" t="s">
        <v>28</v>
      </c>
      <c r="H1997" s="8" t="s">
        <v>254</v>
      </c>
      <c r="I1997" s="8" t="s">
        <v>4974</v>
      </c>
      <c r="J1997" s="10">
        <v>101</v>
      </c>
      <c r="K1997" s="11">
        <v>532.58000000000004</v>
      </c>
      <c r="L1997" s="11">
        <v>775.35</v>
      </c>
      <c r="M1997" s="11">
        <v>78310.350000000006</v>
      </c>
      <c r="N1997" s="11">
        <v>53790.58</v>
      </c>
      <c r="O1997" s="11">
        <f>CleanedData[[#This Row],[Total Sales ($)]]-CleanedData[[#This Row],[Total Cost ($)]]</f>
        <v>24519.770000000004</v>
      </c>
      <c r="P1997" s="12">
        <f>CleanedData[[#This Row],[Profit ($)]]/CleanedData[[#This Row],[Total Sales ($)]]</f>
        <v>0.31311020829302899</v>
      </c>
      <c r="Q1997" s="8" t="s">
        <v>95</v>
      </c>
      <c r="R1997" s="8" t="s">
        <v>32</v>
      </c>
      <c r="S1997" s="8" t="b">
        <f>_xlfn.SINGLE(CleanedData[[#This Row],[Delivery Status]])="Late"</f>
        <v>1</v>
      </c>
      <c r="T1997" s="10">
        <v>11</v>
      </c>
      <c r="U1997" s="8" t="s">
        <v>86</v>
      </c>
      <c r="V1997" s="10">
        <v>4938</v>
      </c>
      <c r="W1997" s="10">
        <v>1</v>
      </c>
      <c r="X1997" s="12">
        <v>9.9009900990098994E-3</v>
      </c>
      <c r="Y1997" s="8" t="b">
        <f>CleanedData[[#This Row],[Ship Date]]&lt;CleanedData[[#This Row],[Order Date]]</f>
        <v>0</v>
      </c>
      <c r="Z1997" s="10">
        <f>YEAR(CleanedData[[#This Row],[Order Date]])</f>
        <v>2023</v>
      </c>
      <c r="AA1997" s="8">
        <f>MONTH(CleanedData[[#This Row],[Order Date]])</f>
        <v>1</v>
      </c>
    </row>
    <row r="1998" spans="1:27" x14ac:dyDescent="0.35">
      <c r="A1998" s="8" t="s">
        <v>4857</v>
      </c>
      <c r="B1998" s="9">
        <v>45130</v>
      </c>
      <c r="C1998" s="9">
        <v>45081</v>
      </c>
      <c r="D1998" s="8" t="s">
        <v>4858</v>
      </c>
      <c r="E1998" s="8" t="s">
        <v>48</v>
      </c>
      <c r="F1998" s="8" t="s">
        <v>49</v>
      </c>
      <c r="G1998" s="8" t="s">
        <v>60</v>
      </c>
      <c r="H1998" s="8" t="s">
        <v>61</v>
      </c>
      <c r="I1998" s="8" t="s">
        <v>4967</v>
      </c>
      <c r="J1998" s="10">
        <v>7</v>
      </c>
      <c r="K1998" s="11">
        <v>727.76</v>
      </c>
      <c r="L1998" s="11">
        <v>1134.02</v>
      </c>
      <c r="M1998" s="11">
        <v>7938.14</v>
      </c>
      <c r="N1998" s="11">
        <v>5094.32</v>
      </c>
      <c r="O1998" s="11">
        <f>CleanedData[[#This Row],[Total Sales ($)]]-CleanedData[[#This Row],[Total Cost ($)]]</f>
        <v>2843.8200000000006</v>
      </c>
      <c r="P1998" s="12">
        <f>CleanedData[[#This Row],[Profit ($)]]/CleanedData[[#This Row],[Total Sales ($)]]</f>
        <v>0.35824764995326369</v>
      </c>
      <c r="Q1998" s="8" t="s">
        <v>52</v>
      </c>
      <c r="R1998" s="8" t="s">
        <v>63</v>
      </c>
      <c r="S1998" s="8" t="b">
        <f>_xlfn.SINGLE(CleanedData[[#This Row],[Delivery Status]])="Late"</f>
        <v>0</v>
      </c>
      <c r="T1998" s="10">
        <v>5</v>
      </c>
      <c r="U1998" s="8" t="s">
        <v>86</v>
      </c>
      <c r="V1998" s="10">
        <v>1717</v>
      </c>
      <c r="W1998" s="10">
        <v>1</v>
      </c>
      <c r="X1998" s="12">
        <v>0.14285714285714299</v>
      </c>
      <c r="Y1998" s="8" t="b">
        <f>CleanedData[[#This Row],[Ship Date]]&lt;CleanedData[[#This Row],[Order Date]]</f>
        <v>1</v>
      </c>
      <c r="Z1998" s="10">
        <f>YEAR(CleanedData[[#This Row],[Order Date]])</f>
        <v>2023</v>
      </c>
      <c r="AA1998" s="8">
        <f>MONTH(CleanedData[[#This Row],[Order Date]])</f>
        <v>7</v>
      </c>
    </row>
    <row r="1999" spans="1:27" x14ac:dyDescent="0.35">
      <c r="A1999" s="8" t="s">
        <v>4859</v>
      </c>
      <c r="B1999" s="9">
        <v>44980</v>
      </c>
      <c r="C1999" s="9">
        <v>45131</v>
      </c>
      <c r="D1999" s="8" t="s">
        <v>4860</v>
      </c>
      <c r="E1999" s="8" t="s">
        <v>48</v>
      </c>
      <c r="F1999" s="8" t="s">
        <v>223</v>
      </c>
      <c r="G1999" s="8" t="s">
        <v>93</v>
      </c>
      <c r="H1999" s="8" t="s">
        <v>485</v>
      </c>
      <c r="I1999" s="8" t="s">
        <v>4977</v>
      </c>
      <c r="J1999" s="10">
        <v>789</v>
      </c>
      <c r="K1999" s="11">
        <v>636.76</v>
      </c>
      <c r="L1999" s="11">
        <v>900.74</v>
      </c>
      <c r="M1999" s="11">
        <v>710683.86</v>
      </c>
      <c r="N1999" s="11">
        <v>502403.64</v>
      </c>
      <c r="O1999" s="11">
        <f>CleanedData[[#This Row],[Total Sales ($)]]-CleanedData[[#This Row],[Total Cost ($)]]</f>
        <v>208280.21999999997</v>
      </c>
      <c r="P1999" s="12">
        <f>CleanedData[[#This Row],[Profit ($)]]/CleanedData[[#This Row],[Total Sales ($)]]</f>
        <v>0.29307014232741962</v>
      </c>
      <c r="Q1999" s="8" t="s">
        <v>95</v>
      </c>
      <c r="R1999" s="8" t="s">
        <v>32</v>
      </c>
      <c r="S1999" s="8" t="b">
        <f>_xlfn.SINGLE(CleanedData[[#This Row],[Delivery Status]])="Late"</f>
        <v>1</v>
      </c>
      <c r="T1999" s="10">
        <v>14</v>
      </c>
      <c r="U1999" s="8" t="s">
        <v>33</v>
      </c>
      <c r="V1999" s="10">
        <v>1703</v>
      </c>
      <c r="W1999" s="10">
        <v>8</v>
      </c>
      <c r="X1999" s="12">
        <v>1.01394169835234E-2</v>
      </c>
      <c r="Y1999" s="8" t="b">
        <f>CleanedData[[#This Row],[Ship Date]]&lt;CleanedData[[#This Row],[Order Date]]</f>
        <v>0</v>
      </c>
      <c r="Z1999" s="10">
        <f>YEAR(CleanedData[[#This Row],[Order Date]])</f>
        <v>2023</v>
      </c>
      <c r="AA1999" s="8">
        <f>MONTH(CleanedData[[#This Row],[Order Date]])</f>
        <v>2</v>
      </c>
    </row>
    <row r="2000" spans="1:27" x14ac:dyDescent="0.35">
      <c r="A2000" s="8" t="s">
        <v>4861</v>
      </c>
      <c r="B2000" s="9">
        <v>45348</v>
      </c>
      <c r="C2000" s="9">
        <v>45301</v>
      </c>
      <c r="D2000" s="8" t="s">
        <v>3848</v>
      </c>
      <c r="E2000" s="8" t="s">
        <v>58</v>
      </c>
      <c r="F2000" s="8" t="s">
        <v>59</v>
      </c>
      <c r="G2000" s="8" t="s">
        <v>129</v>
      </c>
      <c r="H2000" s="8" t="s">
        <v>520</v>
      </c>
      <c r="I2000" s="8" t="s">
        <v>4968</v>
      </c>
      <c r="J2000" s="10">
        <v>586</v>
      </c>
      <c r="K2000" s="11">
        <v>237.62</v>
      </c>
      <c r="L2000" s="11">
        <v>319.10000000000002</v>
      </c>
      <c r="M2000" s="11">
        <v>186992.6</v>
      </c>
      <c r="N2000" s="11">
        <v>139245.32</v>
      </c>
      <c r="O2000" s="11">
        <f>CleanedData[[#This Row],[Total Sales ($)]]-CleanedData[[#This Row],[Total Cost ($)]]</f>
        <v>47747.28</v>
      </c>
      <c r="P2000" s="12">
        <f>CleanedData[[#This Row],[Profit ($)]]/CleanedData[[#This Row],[Total Sales ($)]]</f>
        <v>0.25534315261673457</v>
      </c>
      <c r="Q2000" s="8" t="s">
        <v>95</v>
      </c>
      <c r="R2000" s="8" t="s">
        <v>32</v>
      </c>
      <c r="S2000" s="8" t="b">
        <f>_xlfn.SINGLE(CleanedData[[#This Row],[Delivery Status]])="Late"</f>
        <v>1</v>
      </c>
      <c r="T2000" s="10">
        <v>7</v>
      </c>
      <c r="U2000" s="8" t="s">
        <v>53</v>
      </c>
      <c r="V2000" s="10">
        <v>4821</v>
      </c>
      <c r="W2000" s="10">
        <v>19</v>
      </c>
      <c r="X2000" s="12">
        <v>3.24232081911262E-2</v>
      </c>
      <c r="Y2000" s="8" t="b">
        <f>CleanedData[[#This Row],[Ship Date]]&lt;CleanedData[[#This Row],[Order Date]]</f>
        <v>1</v>
      </c>
      <c r="Z2000" s="10">
        <f>YEAR(CleanedData[[#This Row],[Order Date]])</f>
        <v>2024</v>
      </c>
      <c r="AA2000" s="8">
        <f>MONTH(CleanedData[[#This Row],[Order Date]])</f>
        <v>2</v>
      </c>
    </row>
    <row r="2001" spans="1:27" x14ac:dyDescent="0.35">
      <c r="A2001" s="8" t="s">
        <v>4862</v>
      </c>
      <c r="B2001" s="9">
        <v>45575</v>
      </c>
      <c r="C2001" s="9">
        <v>45438</v>
      </c>
      <c r="D2001" s="8" t="s">
        <v>4863</v>
      </c>
      <c r="E2001" s="8" t="s">
        <v>48</v>
      </c>
      <c r="F2001" s="8" t="s">
        <v>501</v>
      </c>
      <c r="G2001" s="8" t="s">
        <v>217</v>
      </c>
      <c r="H2001" s="8" t="s">
        <v>725</v>
      </c>
      <c r="I2001" s="8" t="s">
        <v>4975</v>
      </c>
      <c r="J2001" s="10">
        <v>765</v>
      </c>
      <c r="K2001" s="11">
        <v>194.63</v>
      </c>
      <c r="L2001" s="11">
        <v>221.95</v>
      </c>
      <c r="M2001" s="11">
        <v>169791.75</v>
      </c>
      <c r="N2001" s="11">
        <v>148891.95000000001</v>
      </c>
      <c r="O2001" s="11">
        <f>CleanedData[[#This Row],[Total Sales ($)]]-CleanedData[[#This Row],[Total Cost ($)]]</f>
        <v>20899.799999999988</v>
      </c>
      <c r="P2001" s="12">
        <f>CleanedData[[#This Row],[Profit ($)]]/CleanedData[[#This Row],[Total Sales ($)]]</f>
        <v>0.12309078621311099</v>
      </c>
      <c r="Q2001" s="8" t="s">
        <v>95</v>
      </c>
      <c r="R2001" s="8" t="s">
        <v>32</v>
      </c>
      <c r="S2001" s="8" t="b">
        <f>_xlfn.SINGLE(CleanedData[[#This Row],[Delivery Status]])="Late"</f>
        <v>1</v>
      </c>
      <c r="T2001" s="10">
        <v>7</v>
      </c>
      <c r="U2001" s="8" t="s">
        <v>53</v>
      </c>
      <c r="V2001" s="10">
        <v>2063</v>
      </c>
      <c r="W2001" s="10">
        <v>32</v>
      </c>
      <c r="X2001" s="12">
        <v>4.18300653594771E-2</v>
      </c>
      <c r="Y2001" s="8" t="b">
        <f>CleanedData[[#This Row],[Ship Date]]&lt;CleanedData[[#This Row],[Order Date]]</f>
        <v>1</v>
      </c>
      <c r="Z2001" s="10">
        <f>YEAR(CleanedData[[#This Row],[Order Date]])</f>
        <v>2024</v>
      </c>
      <c r="AA2001" s="8">
        <f>MONTH(CleanedData[[#This Row],[Order Date]])</f>
        <v>10</v>
      </c>
    </row>
    <row r="2002" spans="1:27" x14ac:dyDescent="0.35">
      <c r="A2002" s="8" t="s">
        <v>4864</v>
      </c>
      <c r="B2002" s="9">
        <v>44978</v>
      </c>
      <c r="C2002" s="9">
        <v>44994</v>
      </c>
      <c r="D2002" s="8" t="s">
        <v>4865</v>
      </c>
      <c r="E2002" s="8" t="s">
        <v>68</v>
      </c>
      <c r="F2002" s="8" t="s">
        <v>163</v>
      </c>
      <c r="G2002" s="8" t="s">
        <v>189</v>
      </c>
      <c r="H2002" s="8" t="s">
        <v>369</v>
      </c>
      <c r="I2002" s="8" t="s">
        <v>4973</v>
      </c>
      <c r="J2002" s="10">
        <v>178</v>
      </c>
      <c r="K2002" s="11">
        <v>601.54</v>
      </c>
      <c r="L2002" s="11">
        <v>722.6</v>
      </c>
      <c r="M2002" s="11">
        <v>128622.8</v>
      </c>
      <c r="N2002" s="11">
        <v>107074.12</v>
      </c>
      <c r="O2002" s="11">
        <f>CleanedData[[#This Row],[Total Sales ($)]]-CleanedData[[#This Row],[Total Cost ($)]]</f>
        <v>21548.680000000008</v>
      </c>
      <c r="P2002" s="12">
        <f>CleanedData[[#This Row],[Profit ($)]]/CleanedData[[#This Row],[Total Sales ($)]]</f>
        <v>0.16753390534182125</v>
      </c>
      <c r="Q2002" s="8" t="s">
        <v>52</v>
      </c>
      <c r="R2002" s="8" t="s">
        <v>63</v>
      </c>
      <c r="S2002" s="8" t="b">
        <f>_xlfn.SINGLE(CleanedData[[#This Row],[Delivery Status]])="Late"</f>
        <v>0</v>
      </c>
      <c r="T2002" s="10">
        <v>1</v>
      </c>
      <c r="U2002" s="8" t="s">
        <v>53</v>
      </c>
      <c r="V2002" s="10">
        <v>2638</v>
      </c>
      <c r="W2002" s="10">
        <v>3</v>
      </c>
      <c r="X2002" s="12">
        <v>1.68539325842696E-2</v>
      </c>
      <c r="Y2002" s="8" t="b">
        <f>CleanedData[[#This Row],[Ship Date]]&lt;CleanedData[[#This Row],[Order Date]]</f>
        <v>0</v>
      </c>
      <c r="Z2002" s="10">
        <f>YEAR(CleanedData[[#This Row],[Order Date]])</f>
        <v>2023</v>
      </c>
      <c r="AA2002" s="8">
        <f>MONTH(CleanedData[[#This Row],[Order Date]])</f>
        <v>2</v>
      </c>
    </row>
    <row r="2003" spans="1:27" x14ac:dyDescent="0.35">
      <c r="A2003" s="8" t="s">
        <v>4867</v>
      </c>
      <c r="B2003" s="9">
        <v>45059</v>
      </c>
      <c r="C2003" s="9">
        <v>45019</v>
      </c>
      <c r="D2003" s="8" t="s">
        <v>4868</v>
      </c>
      <c r="E2003" s="8" t="s">
        <v>68</v>
      </c>
      <c r="F2003" s="8" t="s">
        <v>163</v>
      </c>
      <c r="G2003" s="8" t="s">
        <v>70</v>
      </c>
      <c r="H2003" s="8" t="s">
        <v>623</v>
      </c>
      <c r="I2003" s="8" t="s">
        <v>4967</v>
      </c>
      <c r="J2003" s="10">
        <v>23</v>
      </c>
      <c r="K2003" s="11">
        <v>340.91</v>
      </c>
      <c r="L2003" s="11">
        <v>519.96</v>
      </c>
      <c r="M2003" s="11">
        <v>11959.08</v>
      </c>
      <c r="N2003" s="11">
        <v>7840.93</v>
      </c>
      <c r="O2003" s="11">
        <f>CleanedData[[#This Row],[Total Sales ($)]]-CleanedData[[#This Row],[Total Cost ($)]]</f>
        <v>4118.1499999999996</v>
      </c>
      <c r="P2003" s="12">
        <f>CleanedData[[#This Row],[Profit ($)]]/CleanedData[[#This Row],[Total Sales ($)]]</f>
        <v>0.34435341180090773</v>
      </c>
      <c r="Q2003" s="8" t="s">
        <v>52</v>
      </c>
      <c r="R2003" s="8" t="s">
        <v>32</v>
      </c>
      <c r="S2003" s="8" t="b">
        <f>_xlfn.SINGLE(CleanedData[[#This Row],[Delivery Status]])="Late"</f>
        <v>1</v>
      </c>
      <c r="T2003" s="10">
        <v>7</v>
      </c>
      <c r="U2003" s="8" t="s">
        <v>43</v>
      </c>
      <c r="V2003" s="10">
        <v>4175</v>
      </c>
      <c r="W2003" s="10">
        <v>0</v>
      </c>
      <c r="X2003" s="12">
        <v>0</v>
      </c>
      <c r="Y2003" s="8" t="b">
        <f>CleanedData[[#This Row],[Ship Date]]&lt;CleanedData[[#This Row],[Order Date]]</f>
        <v>1</v>
      </c>
      <c r="Z2003" s="10">
        <f>YEAR(CleanedData[[#This Row],[Order Date]])</f>
        <v>2023</v>
      </c>
      <c r="AA2003" s="8">
        <f>MONTH(CleanedData[[#This Row],[Order Date]])</f>
        <v>5</v>
      </c>
    </row>
    <row r="2004" spans="1:27" x14ac:dyDescent="0.35">
      <c r="A2004" s="8" t="s">
        <v>4869</v>
      </c>
      <c r="B2004" s="9">
        <v>45225</v>
      </c>
      <c r="C2004" s="9">
        <v>45333</v>
      </c>
      <c r="D2004" s="8" t="s">
        <v>4871</v>
      </c>
      <c r="E2004" s="8" t="s">
        <v>26</v>
      </c>
      <c r="F2004" s="8" t="s">
        <v>77</v>
      </c>
      <c r="G2004" s="8" t="s">
        <v>28</v>
      </c>
      <c r="H2004" s="8" t="s">
        <v>714</v>
      </c>
      <c r="I2004" s="8" t="s">
        <v>4975</v>
      </c>
      <c r="J2004" s="10">
        <v>744</v>
      </c>
      <c r="K2004" s="11">
        <v>1116.5899999999999</v>
      </c>
      <c r="L2004" s="11">
        <v>1295.54</v>
      </c>
      <c r="M2004" s="11">
        <v>963881.76</v>
      </c>
      <c r="N2004" s="11">
        <v>830742.96</v>
      </c>
      <c r="O2004" s="11">
        <f>CleanedData[[#This Row],[Total Sales ($)]]-CleanedData[[#This Row],[Total Cost ($)]]</f>
        <v>133138.80000000005</v>
      </c>
      <c r="P2004" s="12">
        <f>CleanedData[[#This Row],[Profit ($)]]/CleanedData[[#This Row],[Total Sales ($)]]</f>
        <v>0.13812773052163582</v>
      </c>
      <c r="Q2004" s="8" t="s">
        <v>95</v>
      </c>
      <c r="R2004" s="8" t="s">
        <v>32</v>
      </c>
      <c r="S2004" s="8" t="b">
        <f>_xlfn.SINGLE(CleanedData[[#This Row],[Delivery Status]])="Late"</f>
        <v>1</v>
      </c>
      <c r="T2004" s="10">
        <v>10</v>
      </c>
      <c r="U2004" s="8" t="s">
        <v>112</v>
      </c>
      <c r="V2004" s="10">
        <v>1454</v>
      </c>
      <c r="W2004" s="10">
        <v>35</v>
      </c>
      <c r="X2004" s="12">
        <v>4.7043010752688103E-2</v>
      </c>
      <c r="Y2004" s="8" t="b">
        <f>CleanedData[[#This Row],[Ship Date]]&lt;CleanedData[[#This Row],[Order Date]]</f>
        <v>0</v>
      </c>
      <c r="Z2004" s="10">
        <f>YEAR(CleanedData[[#This Row],[Order Date]])</f>
        <v>2023</v>
      </c>
      <c r="AA2004" s="8">
        <f>MONTH(CleanedData[[#This Row],[Order Date]])</f>
        <v>10</v>
      </c>
    </row>
    <row r="2005" spans="1:27" x14ac:dyDescent="0.35">
      <c r="A2005" s="8" t="s">
        <v>4872</v>
      </c>
      <c r="B2005" s="9">
        <v>45035</v>
      </c>
      <c r="C2005" s="9">
        <v>45040</v>
      </c>
      <c r="D2005" s="8" t="s">
        <v>4873</v>
      </c>
      <c r="E2005" s="8" t="s">
        <v>48</v>
      </c>
      <c r="F2005" s="8" t="s">
        <v>183</v>
      </c>
      <c r="G2005" s="8" t="s">
        <v>93</v>
      </c>
      <c r="H2005" s="8" t="s">
        <v>302</v>
      </c>
      <c r="I2005" s="8" t="s">
        <v>4969</v>
      </c>
      <c r="J2005" s="10">
        <v>469</v>
      </c>
      <c r="K2005" s="11">
        <v>974.02</v>
      </c>
      <c r="L2005" s="11">
        <v>1126.98</v>
      </c>
      <c r="M2005" s="11">
        <v>528553.62</v>
      </c>
      <c r="N2005" s="11">
        <v>456815.38</v>
      </c>
      <c r="O2005" s="11">
        <f>CleanedData[[#This Row],[Total Sales ($)]]-CleanedData[[#This Row],[Total Cost ($)]]</f>
        <v>71738.239999999991</v>
      </c>
      <c r="P2005" s="12">
        <f>CleanedData[[#This Row],[Profit ($)]]/CleanedData[[#This Row],[Total Sales ($)]]</f>
        <v>0.13572556744573994</v>
      </c>
      <c r="Q2005" s="8" t="s">
        <v>42</v>
      </c>
      <c r="R2005" s="8" t="s">
        <v>32</v>
      </c>
      <c r="S2005" s="8" t="b">
        <f>_xlfn.SINGLE(CleanedData[[#This Row],[Delivery Status]])="Late"</f>
        <v>1</v>
      </c>
      <c r="T2005" s="10">
        <v>9</v>
      </c>
      <c r="U2005" s="8" t="s">
        <v>33</v>
      </c>
      <c r="V2005" s="10">
        <v>2910</v>
      </c>
      <c r="W2005" s="10">
        <v>23</v>
      </c>
      <c r="X2005" s="12">
        <v>4.9040511727078802E-2</v>
      </c>
      <c r="Y2005" s="8" t="b">
        <f>CleanedData[[#This Row],[Ship Date]]&lt;CleanedData[[#This Row],[Order Date]]</f>
        <v>0</v>
      </c>
      <c r="Z2005" s="10">
        <f>YEAR(CleanedData[[#This Row],[Order Date]])</f>
        <v>2023</v>
      </c>
      <c r="AA2005" s="8">
        <f>MONTH(CleanedData[[#This Row],[Order Date]])</f>
        <v>4</v>
      </c>
    </row>
    <row r="2006" spans="1:27" x14ac:dyDescent="0.35">
      <c r="A2006" s="8" t="s">
        <v>4874</v>
      </c>
      <c r="B2006" s="9">
        <v>45279</v>
      </c>
      <c r="C2006" s="9">
        <v>45063</v>
      </c>
      <c r="D2006" s="8" t="s">
        <v>4875</v>
      </c>
      <c r="E2006" s="8" t="s">
        <v>100</v>
      </c>
      <c r="F2006" s="8" t="s">
        <v>101</v>
      </c>
      <c r="G2006" s="8" t="s">
        <v>78</v>
      </c>
      <c r="H2006" s="8" t="s">
        <v>481</v>
      </c>
      <c r="I2006" s="8" t="s">
        <v>4973</v>
      </c>
      <c r="J2006" s="10">
        <v>534</v>
      </c>
      <c r="K2006" s="11">
        <v>922.15</v>
      </c>
      <c r="L2006" s="11">
        <v>1294.6400000000001</v>
      </c>
      <c r="M2006" s="11">
        <v>691337.76</v>
      </c>
      <c r="N2006" s="11">
        <v>492428.1</v>
      </c>
      <c r="O2006" s="11">
        <f>CleanedData[[#This Row],[Total Sales ($)]]-CleanedData[[#This Row],[Total Cost ($)]]</f>
        <v>198909.66000000003</v>
      </c>
      <c r="P2006" s="12">
        <f>CleanedData[[#This Row],[Profit ($)]]/CleanedData[[#This Row],[Total Sales ($)]]</f>
        <v>0.28771704875486626</v>
      </c>
      <c r="Q2006" s="8" t="s">
        <v>52</v>
      </c>
      <c r="R2006" s="8" t="s">
        <v>32</v>
      </c>
      <c r="S2006" s="8" t="b">
        <f>_xlfn.SINGLE(CleanedData[[#This Row],[Delivery Status]])="Late"</f>
        <v>1</v>
      </c>
      <c r="T2006" s="10">
        <v>11</v>
      </c>
      <c r="U2006" s="8" t="s">
        <v>112</v>
      </c>
      <c r="V2006" s="10">
        <v>3717</v>
      </c>
      <c r="W2006" s="10">
        <v>19</v>
      </c>
      <c r="X2006" s="12">
        <v>3.5580524344569202E-2</v>
      </c>
      <c r="Y2006" s="8" t="b">
        <f>CleanedData[[#This Row],[Ship Date]]&lt;CleanedData[[#This Row],[Order Date]]</f>
        <v>1</v>
      </c>
      <c r="Z2006" s="10">
        <f>YEAR(CleanedData[[#This Row],[Order Date]])</f>
        <v>2023</v>
      </c>
      <c r="AA2006" s="8">
        <f>MONTH(CleanedData[[#This Row],[Order Date]])</f>
        <v>12</v>
      </c>
    </row>
    <row r="2007" spans="1:27" x14ac:dyDescent="0.35">
      <c r="A2007" s="8" t="s">
        <v>4877</v>
      </c>
      <c r="B2007" s="9">
        <v>45018</v>
      </c>
      <c r="C2007" s="9">
        <v>45072</v>
      </c>
      <c r="D2007" s="8" t="s">
        <v>4878</v>
      </c>
      <c r="E2007" s="8" t="s">
        <v>26</v>
      </c>
      <c r="F2007" s="8" t="s">
        <v>38</v>
      </c>
      <c r="G2007" s="8" t="s">
        <v>50</v>
      </c>
      <c r="H2007" s="8" t="s">
        <v>734</v>
      </c>
      <c r="I2007" s="8" t="s">
        <v>4974</v>
      </c>
      <c r="J2007" s="10">
        <v>196</v>
      </c>
      <c r="K2007" s="11">
        <v>194.57</v>
      </c>
      <c r="L2007" s="11">
        <v>267.75</v>
      </c>
      <c r="M2007" s="11">
        <v>52479</v>
      </c>
      <c r="N2007" s="11">
        <v>38135.72</v>
      </c>
      <c r="O2007" s="11">
        <f>CleanedData[[#This Row],[Total Sales ($)]]-CleanedData[[#This Row],[Total Cost ($)]]</f>
        <v>14343.279999999999</v>
      </c>
      <c r="P2007" s="12">
        <f>CleanedData[[#This Row],[Profit ($)]]/CleanedData[[#This Row],[Total Sales ($)]]</f>
        <v>0.27331465919701209</v>
      </c>
      <c r="Q2007" s="8" t="s">
        <v>42</v>
      </c>
      <c r="R2007" s="8" t="s">
        <v>32</v>
      </c>
      <c r="S2007" s="8" t="b">
        <f>_xlfn.SINGLE(CleanedData[[#This Row],[Delivery Status]])="Late"</f>
        <v>1</v>
      </c>
      <c r="T2007" s="10">
        <v>7</v>
      </c>
      <c r="U2007" s="8" t="s">
        <v>86</v>
      </c>
      <c r="V2007" s="10">
        <v>1369</v>
      </c>
      <c r="W2007" s="10">
        <v>5</v>
      </c>
      <c r="X2007" s="12">
        <v>2.5510204081632602E-2</v>
      </c>
      <c r="Y2007" s="8" t="b">
        <f>CleanedData[[#This Row],[Ship Date]]&lt;CleanedData[[#This Row],[Order Date]]</f>
        <v>0</v>
      </c>
      <c r="Z2007" s="10">
        <f>YEAR(CleanedData[[#This Row],[Order Date]])</f>
        <v>2023</v>
      </c>
      <c r="AA2007" s="8">
        <f>MONTH(CleanedData[[#This Row],[Order Date]])</f>
        <v>4</v>
      </c>
    </row>
    <row r="2008" spans="1:27" x14ac:dyDescent="0.35">
      <c r="A2008" s="8" t="s">
        <v>4879</v>
      </c>
      <c r="B2008" s="9">
        <v>45360</v>
      </c>
      <c r="C2008" s="9">
        <v>45313</v>
      </c>
      <c r="D2008" s="8" t="s">
        <v>4880</v>
      </c>
      <c r="E2008" s="8" t="s">
        <v>48</v>
      </c>
      <c r="F2008" s="8" t="s">
        <v>49</v>
      </c>
      <c r="G2008" s="8" t="s">
        <v>39</v>
      </c>
      <c r="H2008" s="8" t="s">
        <v>40</v>
      </c>
      <c r="I2008" s="8" t="s">
        <v>4973</v>
      </c>
      <c r="J2008" s="10">
        <v>572</v>
      </c>
      <c r="K2008" s="11">
        <v>334.14</v>
      </c>
      <c r="L2008" s="11">
        <v>528.84</v>
      </c>
      <c r="M2008" s="11">
        <v>302496.48</v>
      </c>
      <c r="N2008" s="11">
        <v>191128.08</v>
      </c>
      <c r="O2008" s="11">
        <f>CleanedData[[#This Row],[Total Sales ($)]]-CleanedData[[#This Row],[Total Cost ($)]]</f>
        <v>111368.4</v>
      </c>
      <c r="P2008" s="12">
        <f>CleanedData[[#This Row],[Profit ($)]]/CleanedData[[#This Row],[Total Sales ($)]]</f>
        <v>0.36816428409348761</v>
      </c>
      <c r="Q2008" s="8" t="s">
        <v>31</v>
      </c>
      <c r="R2008" s="8" t="s">
        <v>32</v>
      </c>
      <c r="S2008" s="8" t="b">
        <f>_xlfn.SINGLE(CleanedData[[#This Row],[Delivery Status]])="Late"</f>
        <v>1</v>
      </c>
      <c r="T2008" s="10">
        <v>6</v>
      </c>
      <c r="U2008" s="8" t="s">
        <v>86</v>
      </c>
      <c r="V2008" s="10">
        <v>740</v>
      </c>
      <c r="W2008" s="10">
        <v>10</v>
      </c>
      <c r="X2008" s="12">
        <v>1.7482517482517401E-2</v>
      </c>
      <c r="Y2008" s="8" t="b">
        <f>CleanedData[[#This Row],[Ship Date]]&lt;CleanedData[[#This Row],[Order Date]]</f>
        <v>1</v>
      </c>
      <c r="Z2008" s="10">
        <f>YEAR(CleanedData[[#This Row],[Order Date]])</f>
        <v>2024</v>
      </c>
      <c r="AA2008" s="8">
        <f>MONTH(CleanedData[[#This Row],[Order Date]])</f>
        <v>3</v>
      </c>
    </row>
    <row r="2009" spans="1:27" x14ac:dyDescent="0.35">
      <c r="A2009" s="8" t="s">
        <v>4881</v>
      </c>
      <c r="B2009" s="9">
        <v>45059</v>
      </c>
      <c r="C2009" s="9">
        <v>45093</v>
      </c>
      <c r="D2009" s="8" t="s">
        <v>1978</v>
      </c>
      <c r="E2009" s="8" t="s">
        <v>48</v>
      </c>
      <c r="F2009" s="8" t="s">
        <v>49</v>
      </c>
      <c r="G2009" s="8" t="s">
        <v>189</v>
      </c>
      <c r="H2009" s="8" t="s">
        <v>561</v>
      </c>
      <c r="I2009" s="8" t="s">
        <v>4968</v>
      </c>
      <c r="J2009" s="10">
        <v>521</v>
      </c>
      <c r="K2009" s="11">
        <v>115.45</v>
      </c>
      <c r="L2009" s="11">
        <v>171.83</v>
      </c>
      <c r="M2009" s="11">
        <v>89523.43</v>
      </c>
      <c r="N2009" s="11">
        <v>60149.45</v>
      </c>
      <c r="O2009" s="11">
        <f>CleanedData[[#This Row],[Total Sales ($)]]-CleanedData[[#This Row],[Total Cost ($)]]</f>
        <v>29373.979999999996</v>
      </c>
      <c r="P2009" s="12">
        <f>CleanedData[[#This Row],[Profit ($)]]/CleanedData[[#This Row],[Total Sales ($)]]</f>
        <v>0.32811499738113248</v>
      </c>
      <c r="Q2009" s="8" t="s">
        <v>95</v>
      </c>
      <c r="R2009" s="8" t="s">
        <v>32</v>
      </c>
      <c r="S2009" s="8" t="b">
        <f>_xlfn.SINGLE(CleanedData[[#This Row],[Delivery Status]])="Late"</f>
        <v>1</v>
      </c>
      <c r="T2009" s="10">
        <v>8</v>
      </c>
      <c r="U2009" s="8" t="s">
        <v>53</v>
      </c>
      <c r="V2009" s="10">
        <v>4723</v>
      </c>
      <c r="W2009" s="10"/>
      <c r="X2009" s="12"/>
      <c r="Y2009" s="8" t="b">
        <f>CleanedData[[#This Row],[Ship Date]]&lt;CleanedData[[#This Row],[Order Date]]</f>
        <v>0</v>
      </c>
      <c r="Z2009" s="10">
        <f>YEAR(CleanedData[[#This Row],[Order Date]])</f>
        <v>2023</v>
      </c>
      <c r="AA2009" s="8">
        <f>MONTH(CleanedData[[#This Row],[Order Date]])</f>
        <v>5</v>
      </c>
    </row>
    <row r="2010" spans="1:27" x14ac:dyDescent="0.35">
      <c r="A2010" s="8" t="s">
        <v>4882</v>
      </c>
      <c r="B2010" s="9">
        <v>45066</v>
      </c>
      <c r="C2010" s="9">
        <v>45024</v>
      </c>
      <c r="D2010" s="8" t="s">
        <v>4883</v>
      </c>
      <c r="E2010" s="8" t="s">
        <v>48</v>
      </c>
      <c r="F2010" s="8" t="s">
        <v>753</v>
      </c>
      <c r="G2010" s="8" t="s">
        <v>39</v>
      </c>
      <c r="H2010" s="8" t="s">
        <v>412</v>
      </c>
      <c r="I2010" s="8" t="s">
        <v>4970</v>
      </c>
      <c r="J2010" s="10">
        <v>310</v>
      </c>
      <c r="K2010" s="11">
        <v>914.98</v>
      </c>
      <c r="L2010" s="11">
        <v>1193.56</v>
      </c>
      <c r="M2010" s="11">
        <v>370003.6</v>
      </c>
      <c r="N2010" s="11">
        <v>283643.8</v>
      </c>
      <c r="O2010" s="11">
        <f>CleanedData[[#This Row],[Total Sales ($)]]-CleanedData[[#This Row],[Total Cost ($)]]</f>
        <v>86359.799999999988</v>
      </c>
      <c r="P2010" s="12">
        <f>CleanedData[[#This Row],[Profit ($)]]/CleanedData[[#This Row],[Total Sales ($)]]</f>
        <v>0.23340259392070778</v>
      </c>
      <c r="Q2010" s="8" t="s">
        <v>95</v>
      </c>
      <c r="R2010" s="8" t="s">
        <v>32</v>
      </c>
      <c r="S2010" s="8" t="b">
        <f>_xlfn.SINGLE(CleanedData[[#This Row],[Delivery Status]])="Late"</f>
        <v>1</v>
      </c>
      <c r="T2010" s="10">
        <v>6</v>
      </c>
      <c r="U2010" s="8" t="s">
        <v>53</v>
      </c>
      <c r="V2010" s="10">
        <v>75</v>
      </c>
      <c r="W2010" s="10">
        <v>8</v>
      </c>
      <c r="X2010" s="12">
        <v>2.5806451612903201E-2</v>
      </c>
      <c r="Y2010" s="8" t="b">
        <f>CleanedData[[#This Row],[Ship Date]]&lt;CleanedData[[#This Row],[Order Date]]</f>
        <v>1</v>
      </c>
      <c r="Z2010" s="10">
        <f>YEAR(CleanedData[[#This Row],[Order Date]])</f>
        <v>2023</v>
      </c>
      <c r="AA2010" s="8">
        <f>MONTH(CleanedData[[#This Row],[Order Date]])</f>
        <v>5</v>
      </c>
    </row>
    <row r="2011" spans="1:27" x14ac:dyDescent="0.35">
      <c r="A2011" s="8" t="s">
        <v>4884</v>
      </c>
      <c r="B2011" s="9">
        <v>45251</v>
      </c>
      <c r="C2011" s="9">
        <v>45288</v>
      </c>
      <c r="D2011" s="8" t="s">
        <v>4885</v>
      </c>
      <c r="E2011" s="8" t="s">
        <v>100</v>
      </c>
      <c r="F2011" s="8" t="s">
        <v>106</v>
      </c>
      <c r="G2011" s="8" t="s">
        <v>217</v>
      </c>
      <c r="H2011" s="8" t="s">
        <v>524</v>
      </c>
      <c r="I2011" s="8" t="s">
        <v>4969</v>
      </c>
      <c r="J2011" s="10">
        <v>16</v>
      </c>
      <c r="K2011" s="11">
        <v>127.62</v>
      </c>
      <c r="L2011" s="11">
        <v>143.38</v>
      </c>
      <c r="M2011" s="11">
        <v>2294.08</v>
      </c>
      <c r="N2011" s="11">
        <v>2041.92</v>
      </c>
      <c r="O2011" s="11">
        <f>CleanedData[[#This Row],[Total Sales ($)]]-CleanedData[[#This Row],[Total Cost ($)]]</f>
        <v>252.15999999999985</v>
      </c>
      <c r="P2011" s="12">
        <f>CleanedData[[#This Row],[Profit ($)]]/CleanedData[[#This Row],[Total Sales ($)]]</f>
        <v>0.10991770121355832</v>
      </c>
      <c r="Q2011" s="8" t="s">
        <v>52</v>
      </c>
      <c r="R2011" s="8" t="s">
        <v>32</v>
      </c>
      <c r="S2011" s="8" t="b">
        <f>_xlfn.SINGLE(CleanedData[[#This Row],[Delivery Status]])="Late"</f>
        <v>1</v>
      </c>
      <c r="T2011" s="10">
        <v>9</v>
      </c>
      <c r="U2011" s="8" t="s">
        <v>43</v>
      </c>
      <c r="V2011" s="10">
        <v>3386</v>
      </c>
      <c r="W2011" s="10">
        <v>0</v>
      </c>
      <c r="X2011" s="12">
        <v>0</v>
      </c>
      <c r="Y2011" s="8" t="b">
        <f>CleanedData[[#This Row],[Ship Date]]&lt;CleanedData[[#This Row],[Order Date]]</f>
        <v>0</v>
      </c>
      <c r="Z2011" s="10">
        <f>YEAR(CleanedData[[#This Row],[Order Date]])</f>
        <v>2023</v>
      </c>
      <c r="AA2011" s="8">
        <f>MONTH(CleanedData[[#This Row],[Order Date]])</f>
        <v>11</v>
      </c>
    </row>
    <row r="2012" spans="1:27" x14ac:dyDescent="0.35">
      <c r="A2012" s="8" t="s">
        <v>4886</v>
      </c>
      <c r="B2012" s="9">
        <v>45022</v>
      </c>
      <c r="C2012" s="9">
        <v>45087</v>
      </c>
      <c r="D2012" s="8" t="s">
        <v>4887</v>
      </c>
      <c r="E2012" s="8" t="s">
        <v>26</v>
      </c>
      <c r="F2012" s="8" t="s">
        <v>38</v>
      </c>
      <c r="G2012" s="8" t="s">
        <v>60</v>
      </c>
      <c r="H2012" s="8" t="s">
        <v>164</v>
      </c>
      <c r="I2012" s="8" t="s">
        <v>4967</v>
      </c>
      <c r="J2012" s="10">
        <v>747</v>
      </c>
      <c r="K2012" s="11">
        <v>842.74</v>
      </c>
      <c r="L2012" s="11">
        <v>946.72</v>
      </c>
      <c r="M2012" s="11">
        <v>707199.84</v>
      </c>
      <c r="N2012" s="11">
        <v>629526.78</v>
      </c>
      <c r="O2012" s="11">
        <f>CleanedData[[#This Row],[Total Sales ($)]]-CleanedData[[#This Row],[Total Cost ($)]]</f>
        <v>77673.059999999939</v>
      </c>
      <c r="P2012" s="12">
        <f>CleanedData[[#This Row],[Profit ($)]]/CleanedData[[#This Row],[Total Sales ($)]]</f>
        <v>0.10983184045969233</v>
      </c>
      <c r="Q2012" s="8" t="s">
        <v>52</v>
      </c>
      <c r="R2012" s="8" t="s">
        <v>32</v>
      </c>
      <c r="S2012" s="8" t="b">
        <f>_xlfn.SINGLE(CleanedData[[#This Row],[Delivery Status]])="Late"</f>
        <v>1</v>
      </c>
      <c r="T2012" s="10">
        <v>10</v>
      </c>
      <c r="U2012" s="8" t="s">
        <v>53</v>
      </c>
      <c r="V2012" s="10">
        <v>2433</v>
      </c>
      <c r="W2012" s="10">
        <v>31</v>
      </c>
      <c r="X2012" s="12">
        <v>4.1499330655957102E-2</v>
      </c>
      <c r="Y2012" s="8" t="b">
        <f>CleanedData[[#This Row],[Ship Date]]&lt;CleanedData[[#This Row],[Order Date]]</f>
        <v>0</v>
      </c>
      <c r="Z2012" s="10">
        <f>YEAR(CleanedData[[#This Row],[Order Date]])</f>
        <v>2023</v>
      </c>
      <c r="AA2012" s="8">
        <f>MONTH(CleanedData[[#This Row],[Order Date]])</f>
        <v>4</v>
      </c>
    </row>
    <row r="2013" spans="1:27" x14ac:dyDescent="0.35">
      <c r="A2013" s="8" t="s">
        <v>4888</v>
      </c>
      <c r="B2013" s="9">
        <v>44997</v>
      </c>
      <c r="C2013" s="9">
        <v>45188</v>
      </c>
      <c r="D2013" s="8" t="s">
        <v>4889</v>
      </c>
      <c r="E2013" s="8" t="s">
        <v>26</v>
      </c>
      <c r="F2013" s="8" t="s">
        <v>77</v>
      </c>
      <c r="G2013" s="8" t="s">
        <v>217</v>
      </c>
      <c r="H2013" s="8" t="s">
        <v>292</v>
      </c>
      <c r="I2013" s="8" t="s">
        <v>4969</v>
      </c>
      <c r="J2013" s="10">
        <v>750</v>
      </c>
      <c r="K2013" s="11">
        <v>705.38</v>
      </c>
      <c r="L2013" s="11">
        <v>1036.51</v>
      </c>
      <c r="M2013" s="11">
        <v>777382.5</v>
      </c>
      <c r="N2013" s="11">
        <v>529035</v>
      </c>
      <c r="O2013" s="11">
        <f>CleanedData[[#This Row],[Total Sales ($)]]-CleanedData[[#This Row],[Total Cost ($)]]</f>
        <v>248347.5</v>
      </c>
      <c r="P2013" s="12">
        <f>CleanedData[[#This Row],[Profit ($)]]/CleanedData[[#This Row],[Total Sales ($)]]</f>
        <v>0.31946628590172793</v>
      </c>
      <c r="Q2013" s="8" t="s">
        <v>95</v>
      </c>
      <c r="R2013" s="8" t="s">
        <v>32</v>
      </c>
      <c r="S2013" s="8" t="b">
        <f>_xlfn.SINGLE(CleanedData[[#This Row],[Delivery Status]])="Late"</f>
        <v>1</v>
      </c>
      <c r="T2013" s="10">
        <v>9</v>
      </c>
      <c r="U2013" s="8" t="s">
        <v>158</v>
      </c>
      <c r="V2013" s="10">
        <v>2501.41</v>
      </c>
      <c r="W2013" s="10">
        <v>7</v>
      </c>
      <c r="X2013" s="12">
        <v>9.3333333333332994E-3</v>
      </c>
      <c r="Y2013" s="8" t="b">
        <f>CleanedData[[#This Row],[Ship Date]]&lt;CleanedData[[#This Row],[Order Date]]</f>
        <v>0</v>
      </c>
      <c r="Z2013" s="10">
        <f>YEAR(CleanedData[[#This Row],[Order Date]])</f>
        <v>2023</v>
      </c>
      <c r="AA2013" s="8">
        <f>MONTH(CleanedData[[#This Row],[Order Date]])</f>
        <v>3</v>
      </c>
    </row>
    <row r="2014" spans="1:27" x14ac:dyDescent="0.35">
      <c r="A2014" s="8" t="s">
        <v>4890</v>
      </c>
      <c r="B2014" s="9">
        <v>45204</v>
      </c>
      <c r="C2014" s="9">
        <v>45007</v>
      </c>
      <c r="D2014" s="8" t="s">
        <v>4891</v>
      </c>
      <c r="E2014" s="8" t="s">
        <v>58</v>
      </c>
      <c r="F2014" s="8" t="s">
        <v>59</v>
      </c>
      <c r="G2014" s="8" t="s">
        <v>78</v>
      </c>
      <c r="H2014" s="8" t="s">
        <v>178</v>
      </c>
      <c r="I2014" s="8" t="s">
        <v>4969</v>
      </c>
      <c r="J2014" s="10">
        <v>194</v>
      </c>
      <c r="K2014" s="11">
        <v>440.73</v>
      </c>
      <c r="L2014" s="11">
        <v>515.09</v>
      </c>
      <c r="M2014" s="11">
        <v>99927.46</v>
      </c>
      <c r="N2014" s="11">
        <v>85501.62</v>
      </c>
      <c r="O2014" s="11">
        <f>CleanedData[[#This Row],[Total Sales ($)]]-CleanedData[[#This Row],[Total Cost ($)]]</f>
        <v>14425.840000000011</v>
      </c>
      <c r="P2014" s="12">
        <f>CleanedData[[#This Row],[Profit ($)]]/CleanedData[[#This Row],[Total Sales ($)]]</f>
        <v>0.14436312100797929</v>
      </c>
      <c r="Q2014" s="8" t="s">
        <v>95</v>
      </c>
      <c r="R2014" s="8" t="s">
        <v>32</v>
      </c>
      <c r="S2014" s="8" t="b">
        <f>_xlfn.SINGLE(CleanedData[[#This Row],[Delivery Status]])="Late"</f>
        <v>1</v>
      </c>
      <c r="T2014" s="10">
        <v>12</v>
      </c>
      <c r="U2014" s="8" t="s">
        <v>86</v>
      </c>
      <c r="V2014" s="10">
        <v>2140</v>
      </c>
      <c r="W2014" s="10">
        <v>9</v>
      </c>
      <c r="X2014" s="12">
        <v>4.6391752577319499E-2</v>
      </c>
      <c r="Y2014" s="8" t="b">
        <f>CleanedData[[#This Row],[Ship Date]]&lt;CleanedData[[#This Row],[Order Date]]</f>
        <v>1</v>
      </c>
      <c r="Z2014" s="10">
        <f>YEAR(CleanedData[[#This Row],[Order Date]])</f>
        <v>2023</v>
      </c>
      <c r="AA2014" s="8">
        <f>MONTH(CleanedData[[#This Row],[Order Date]])</f>
        <v>10</v>
      </c>
    </row>
    <row r="2015" spans="1:27" x14ac:dyDescent="0.35">
      <c r="A2015" s="8" t="s">
        <v>4892</v>
      </c>
      <c r="B2015" s="9">
        <v>45019</v>
      </c>
      <c r="C2015" s="9">
        <v>45204</v>
      </c>
      <c r="D2015" s="8" t="s">
        <v>4893</v>
      </c>
      <c r="E2015" s="8" t="s">
        <v>26</v>
      </c>
      <c r="F2015" s="8" t="s">
        <v>77</v>
      </c>
      <c r="G2015" s="8" t="s">
        <v>39</v>
      </c>
      <c r="H2015" s="8" t="s">
        <v>477</v>
      </c>
      <c r="I2015" s="8" t="s">
        <v>4973</v>
      </c>
      <c r="J2015" s="10">
        <v>609</v>
      </c>
      <c r="K2015" s="11">
        <v>807.62</v>
      </c>
      <c r="L2015" s="11">
        <v>1302.8900000000001</v>
      </c>
      <c r="M2015" s="11">
        <v>793460.01</v>
      </c>
      <c r="N2015" s="11">
        <v>491840.58</v>
      </c>
      <c r="O2015" s="11">
        <f>CleanedData[[#This Row],[Total Sales ($)]]-CleanedData[[#This Row],[Total Cost ($)]]</f>
        <v>301619.43</v>
      </c>
      <c r="P2015" s="12">
        <f>CleanedData[[#This Row],[Profit ($)]]/CleanedData[[#This Row],[Total Sales ($)]]</f>
        <v>0.38013186070965316</v>
      </c>
      <c r="Q2015" s="8" t="s">
        <v>95</v>
      </c>
      <c r="R2015" s="8" t="s">
        <v>32</v>
      </c>
      <c r="S2015" s="8" t="b">
        <f>_xlfn.SINGLE(CleanedData[[#This Row],[Delivery Status]])="Late"</f>
        <v>1</v>
      </c>
      <c r="T2015" s="10">
        <v>11</v>
      </c>
      <c r="U2015" s="8" t="s">
        <v>86</v>
      </c>
      <c r="V2015" s="10">
        <v>1866</v>
      </c>
      <c r="W2015" s="10">
        <v>2</v>
      </c>
      <c r="X2015" s="12">
        <v>3.2840722495893998E-3</v>
      </c>
      <c r="Y2015" s="8" t="b">
        <f>CleanedData[[#This Row],[Ship Date]]&lt;CleanedData[[#This Row],[Order Date]]</f>
        <v>0</v>
      </c>
      <c r="Z2015" s="10">
        <f>YEAR(CleanedData[[#This Row],[Order Date]])</f>
        <v>2023</v>
      </c>
      <c r="AA2015" s="8">
        <f>MONTH(CleanedData[[#This Row],[Order Date]])</f>
        <v>4</v>
      </c>
    </row>
    <row r="2016" spans="1:27" x14ac:dyDescent="0.35">
      <c r="A2016" s="8" t="s">
        <v>4894</v>
      </c>
      <c r="B2016" s="9">
        <v>45054</v>
      </c>
      <c r="C2016" s="9">
        <v>44980</v>
      </c>
      <c r="D2016" s="8" t="s">
        <v>2483</v>
      </c>
      <c r="E2016" s="8" t="s">
        <v>48</v>
      </c>
      <c r="F2016" s="8" t="s">
        <v>223</v>
      </c>
      <c r="G2016" s="8" t="s">
        <v>50</v>
      </c>
      <c r="H2016" s="8" t="s">
        <v>135</v>
      </c>
      <c r="I2016" s="8" t="s">
        <v>4974</v>
      </c>
      <c r="J2016" s="10">
        <v>31</v>
      </c>
      <c r="K2016" s="11">
        <v>1119.03</v>
      </c>
      <c r="L2016" s="11">
        <v>1775.03</v>
      </c>
      <c r="M2016" s="11">
        <v>55025.93</v>
      </c>
      <c r="N2016" s="11">
        <v>34689.93</v>
      </c>
      <c r="O2016" s="11">
        <f>CleanedData[[#This Row],[Total Sales ($)]]-CleanedData[[#This Row],[Total Cost ($)]]</f>
        <v>20336</v>
      </c>
      <c r="P2016" s="12">
        <f>CleanedData[[#This Row],[Profit ($)]]/CleanedData[[#This Row],[Total Sales ($)]]</f>
        <v>0.36957121851461666</v>
      </c>
      <c r="Q2016" s="8" t="s">
        <v>52</v>
      </c>
      <c r="R2016" s="8" t="s">
        <v>32</v>
      </c>
      <c r="S2016" s="8" t="b">
        <f>_xlfn.SINGLE(CleanedData[[#This Row],[Delivery Status]])="Late"</f>
        <v>1</v>
      </c>
      <c r="T2016" s="10">
        <v>14</v>
      </c>
      <c r="U2016" s="8" t="s">
        <v>53</v>
      </c>
      <c r="V2016" s="10">
        <v>2323</v>
      </c>
      <c r="W2016" s="10">
        <v>0</v>
      </c>
      <c r="X2016" s="12">
        <v>0</v>
      </c>
      <c r="Y2016" s="8" t="b">
        <f>CleanedData[[#This Row],[Ship Date]]&lt;CleanedData[[#This Row],[Order Date]]</f>
        <v>1</v>
      </c>
      <c r="Z2016" s="10">
        <f>YEAR(CleanedData[[#This Row],[Order Date]])</f>
        <v>2023</v>
      </c>
      <c r="AA2016" s="8">
        <f>MONTH(CleanedData[[#This Row],[Order Date]])</f>
        <v>5</v>
      </c>
    </row>
    <row r="2017" spans="1:27" x14ac:dyDescent="0.35">
      <c r="A2017" s="8" t="s">
        <v>4895</v>
      </c>
      <c r="B2017" s="9">
        <v>45185</v>
      </c>
      <c r="C2017" s="9">
        <v>44970</v>
      </c>
      <c r="D2017" s="8" t="s">
        <v>4252</v>
      </c>
      <c r="E2017" s="8" t="s">
        <v>58</v>
      </c>
      <c r="F2017" s="8" t="s">
        <v>122</v>
      </c>
      <c r="G2017" s="8" t="s">
        <v>93</v>
      </c>
      <c r="H2017" s="8" t="s">
        <v>643</v>
      </c>
      <c r="I2017" s="8" t="s">
        <v>4974</v>
      </c>
      <c r="J2017" s="10">
        <v>398</v>
      </c>
      <c r="K2017" s="11">
        <v>870.95</v>
      </c>
      <c r="L2017" s="11">
        <v>1414.89</v>
      </c>
      <c r="M2017" s="11">
        <v>563126.22</v>
      </c>
      <c r="N2017" s="11">
        <v>346638.1</v>
      </c>
      <c r="O2017" s="11">
        <f>CleanedData[[#This Row],[Total Sales ($)]]-CleanedData[[#This Row],[Total Cost ($)]]</f>
        <v>216488.12</v>
      </c>
      <c r="P2017" s="12">
        <f>CleanedData[[#This Row],[Profit ($)]]/CleanedData[[#This Row],[Total Sales ($)]]</f>
        <v>0.38443977977086558</v>
      </c>
      <c r="Q2017" s="8" t="s">
        <v>42</v>
      </c>
      <c r="R2017" s="8" t="s">
        <v>32</v>
      </c>
      <c r="S2017" s="8" t="b">
        <f>_xlfn.SINGLE(CleanedData[[#This Row],[Delivery Status]])="Late"</f>
        <v>1</v>
      </c>
      <c r="T2017" s="10">
        <v>6</v>
      </c>
      <c r="U2017" s="8" t="s">
        <v>112</v>
      </c>
      <c r="V2017" s="10">
        <v>2355</v>
      </c>
      <c r="W2017" s="10">
        <v>14</v>
      </c>
      <c r="X2017" s="12">
        <v>3.5175879396984903E-2</v>
      </c>
      <c r="Y2017" s="8" t="b">
        <f>CleanedData[[#This Row],[Ship Date]]&lt;CleanedData[[#This Row],[Order Date]]</f>
        <v>1</v>
      </c>
      <c r="Z2017" s="10">
        <f>YEAR(CleanedData[[#This Row],[Order Date]])</f>
        <v>2023</v>
      </c>
      <c r="AA2017" s="8">
        <f>MONTH(CleanedData[[#This Row],[Order Date]])</f>
        <v>9</v>
      </c>
    </row>
    <row r="2018" spans="1:27" x14ac:dyDescent="0.35">
      <c r="A2018" s="8" t="s">
        <v>4896</v>
      </c>
      <c r="B2018" s="9">
        <v>45032</v>
      </c>
      <c r="C2018" s="9">
        <v>45052</v>
      </c>
      <c r="D2018" s="8" t="s">
        <v>4898</v>
      </c>
      <c r="E2018" s="8" t="s">
        <v>48</v>
      </c>
      <c r="F2018" s="8" t="s">
        <v>270</v>
      </c>
      <c r="G2018" s="8" t="s">
        <v>189</v>
      </c>
      <c r="H2018" s="8" t="s">
        <v>271</v>
      </c>
      <c r="I2018" s="8" t="s">
        <v>4975</v>
      </c>
      <c r="J2018" s="10">
        <v>181</v>
      </c>
      <c r="K2018" s="11">
        <v>1015.08</v>
      </c>
      <c r="L2018" s="11">
        <v>1475.05</v>
      </c>
      <c r="M2018" s="11">
        <v>266984.05</v>
      </c>
      <c r="N2018" s="11">
        <v>183729.48</v>
      </c>
      <c r="O2018" s="11">
        <f>CleanedData[[#This Row],[Total Sales ($)]]-CleanedData[[#This Row],[Total Cost ($)]]</f>
        <v>83254.569999999978</v>
      </c>
      <c r="P2018" s="12">
        <f>CleanedData[[#This Row],[Profit ($)]]/CleanedData[[#This Row],[Total Sales ($)]]</f>
        <v>0.31183349716958741</v>
      </c>
      <c r="Q2018" s="8" t="s">
        <v>95</v>
      </c>
      <c r="R2018" s="8" t="s">
        <v>63</v>
      </c>
      <c r="S2018" s="8" t="b">
        <f>_xlfn.SINGLE(CleanedData[[#This Row],[Delivery Status]])="Late"</f>
        <v>0</v>
      </c>
      <c r="T2018" s="10">
        <v>5</v>
      </c>
      <c r="U2018" s="8" t="s">
        <v>112</v>
      </c>
      <c r="V2018" s="10">
        <v>1836</v>
      </c>
      <c r="W2018" s="10">
        <v>0</v>
      </c>
      <c r="X2018" s="12">
        <v>0</v>
      </c>
      <c r="Y2018" s="8" t="b">
        <f>CleanedData[[#This Row],[Ship Date]]&lt;CleanedData[[#This Row],[Order Date]]</f>
        <v>0</v>
      </c>
      <c r="Z2018" s="10">
        <f>YEAR(CleanedData[[#This Row],[Order Date]])</f>
        <v>2023</v>
      </c>
      <c r="AA2018" s="8">
        <f>MONTH(CleanedData[[#This Row],[Order Date]])</f>
        <v>4</v>
      </c>
    </row>
    <row r="2019" spans="1:27" x14ac:dyDescent="0.35">
      <c r="A2019" s="8" t="s">
        <v>4899</v>
      </c>
      <c r="B2019" s="9">
        <v>45069</v>
      </c>
      <c r="C2019" s="9">
        <v>45054</v>
      </c>
      <c r="D2019" s="8" t="s">
        <v>4900</v>
      </c>
      <c r="E2019" s="8" t="s">
        <v>68</v>
      </c>
      <c r="F2019" s="8" t="s">
        <v>146</v>
      </c>
      <c r="G2019" s="8" t="s">
        <v>93</v>
      </c>
      <c r="H2019" s="8" t="s">
        <v>184</v>
      </c>
      <c r="I2019" s="8" t="s">
        <v>4968</v>
      </c>
      <c r="J2019" s="10">
        <v>788</v>
      </c>
      <c r="K2019" s="11">
        <v>337.18</v>
      </c>
      <c r="L2019" s="11">
        <v>428.89</v>
      </c>
      <c r="M2019" s="11">
        <v>337965.32</v>
      </c>
      <c r="N2019" s="11">
        <v>265697.84000000003</v>
      </c>
      <c r="O2019" s="11">
        <f>CleanedData[[#This Row],[Total Sales ($)]]-CleanedData[[#This Row],[Total Cost ($)]]</f>
        <v>72267.479999999981</v>
      </c>
      <c r="P2019" s="12">
        <f>CleanedData[[#This Row],[Profit ($)]]/CleanedData[[#This Row],[Total Sales ($)]]</f>
        <v>0.21383105225115992</v>
      </c>
      <c r="Q2019" s="8" t="s">
        <v>95</v>
      </c>
      <c r="R2019" s="8" t="s">
        <v>32</v>
      </c>
      <c r="S2019" s="8" t="b">
        <f>_xlfn.SINGLE(CleanedData[[#This Row],[Delivery Status]])="Late"</f>
        <v>1</v>
      </c>
      <c r="T2019" s="10">
        <v>6</v>
      </c>
      <c r="U2019" s="8" t="s">
        <v>33</v>
      </c>
      <c r="V2019" s="10">
        <v>1219</v>
      </c>
      <c r="W2019" s="10">
        <v>31</v>
      </c>
      <c r="X2019" s="12">
        <v>3.9340101522842598E-2</v>
      </c>
      <c r="Y2019" s="8" t="b">
        <f>CleanedData[[#This Row],[Ship Date]]&lt;CleanedData[[#This Row],[Order Date]]</f>
        <v>1</v>
      </c>
      <c r="Z2019" s="10">
        <f>YEAR(CleanedData[[#This Row],[Order Date]])</f>
        <v>2023</v>
      </c>
      <c r="AA2019" s="8">
        <f>MONTH(CleanedData[[#This Row],[Order Date]])</f>
        <v>5</v>
      </c>
    </row>
    <row r="2020" spans="1:27" x14ac:dyDescent="0.35">
      <c r="A2020" s="8" t="s">
        <v>4901</v>
      </c>
      <c r="B2020" s="9">
        <v>45523</v>
      </c>
      <c r="C2020" s="9">
        <v>45573</v>
      </c>
      <c r="D2020" s="8" t="s">
        <v>4902</v>
      </c>
      <c r="E2020" s="8" t="s">
        <v>48</v>
      </c>
      <c r="F2020" s="8" t="s">
        <v>183</v>
      </c>
      <c r="G2020" s="8" t="s">
        <v>50</v>
      </c>
      <c r="H2020" s="8" t="s">
        <v>135</v>
      </c>
      <c r="I2020" s="8" t="s">
        <v>4975</v>
      </c>
      <c r="J2020" s="10">
        <v>389</v>
      </c>
      <c r="K2020" s="11">
        <v>109.43</v>
      </c>
      <c r="L2020" s="11">
        <v>127.65</v>
      </c>
      <c r="M2020" s="11">
        <v>49655.85</v>
      </c>
      <c r="N2020" s="11">
        <v>42568.27</v>
      </c>
      <c r="O2020" s="11">
        <f>CleanedData[[#This Row],[Total Sales ($)]]-CleanedData[[#This Row],[Total Cost ($)]]</f>
        <v>7087.5800000000017</v>
      </c>
      <c r="P2020" s="12">
        <f>CleanedData[[#This Row],[Profit ($)]]/CleanedData[[#This Row],[Total Sales ($)]]</f>
        <v>0.14273403838621235</v>
      </c>
      <c r="Q2020" s="8" t="s">
        <v>95</v>
      </c>
      <c r="R2020" s="8" t="s">
        <v>63</v>
      </c>
      <c r="S2020" s="8" t="b">
        <f>_xlfn.SINGLE(CleanedData[[#This Row],[Delivery Status]])="Late"</f>
        <v>0</v>
      </c>
      <c r="T2020" s="10">
        <v>5</v>
      </c>
      <c r="U2020" s="8" t="s">
        <v>43</v>
      </c>
      <c r="V2020" s="10">
        <v>3799</v>
      </c>
      <c r="W2020" s="10">
        <v>5</v>
      </c>
      <c r="X2020" s="12">
        <v>1.28534704370179E-2</v>
      </c>
      <c r="Y2020" s="8" t="b">
        <f>CleanedData[[#This Row],[Ship Date]]&lt;CleanedData[[#This Row],[Order Date]]</f>
        <v>0</v>
      </c>
      <c r="Z2020" s="10">
        <f>YEAR(CleanedData[[#This Row],[Order Date]])</f>
        <v>2024</v>
      </c>
      <c r="AA2020" s="8">
        <f>MONTH(CleanedData[[#This Row],[Order Date]])</f>
        <v>8</v>
      </c>
    </row>
    <row r="2021" spans="1:27" x14ac:dyDescent="0.35">
      <c r="A2021" s="8" t="s">
        <v>4903</v>
      </c>
      <c r="B2021" s="9">
        <v>45484</v>
      </c>
      <c r="C2021" s="9">
        <v>45363</v>
      </c>
      <c r="D2021" s="8" t="s">
        <v>4904</v>
      </c>
      <c r="E2021" s="8" t="s">
        <v>26</v>
      </c>
      <c r="F2021" s="8" t="s">
        <v>92</v>
      </c>
      <c r="G2021" s="8" t="s">
        <v>39</v>
      </c>
      <c r="H2021" s="8" t="s">
        <v>147</v>
      </c>
      <c r="I2021" s="8" t="s">
        <v>4975</v>
      </c>
      <c r="J2021" s="10">
        <v>30</v>
      </c>
      <c r="K2021" s="11">
        <v>823.32</v>
      </c>
      <c r="L2021" s="11">
        <v>1118.3699999999999</v>
      </c>
      <c r="M2021" s="11">
        <v>33551.1</v>
      </c>
      <c r="N2021" s="11">
        <v>24699.599999999999</v>
      </c>
      <c r="O2021" s="11">
        <f>CleanedData[[#This Row],[Total Sales ($)]]-CleanedData[[#This Row],[Total Cost ($)]]</f>
        <v>8851.5</v>
      </c>
      <c r="P2021" s="12">
        <f>CleanedData[[#This Row],[Profit ($)]]/CleanedData[[#This Row],[Total Sales ($)]]</f>
        <v>0.26382145443815552</v>
      </c>
      <c r="Q2021" s="8" t="s">
        <v>31</v>
      </c>
      <c r="R2021" s="8" t="s">
        <v>32</v>
      </c>
      <c r="S2021" s="8" t="b">
        <f>_xlfn.SINGLE(CleanedData[[#This Row],[Delivery Status]])="Late"</f>
        <v>1</v>
      </c>
      <c r="T2021" s="10">
        <v>14</v>
      </c>
      <c r="U2021" s="8" t="s">
        <v>53</v>
      </c>
      <c r="V2021" s="10">
        <v>709</v>
      </c>
      <c r="W2021" s="10">
        <v>1</v>
      </c>
      <c r="X2021" s="12">
        <v>3.3333333333333298E-2</v>
      </c>
      <c r="Y2021" s="8" t="b">
        <f>CleanedData[[#This Row],[Ship Date]]&lt;CleanedData[[#This Row],[Order Date]]</f>
        <v>1</v>
      </c>
      <c r="Z2021" s="10">
        <f>YEAR(CleanedData[[#This Row],[Order Date]])</f>
        <v>2024</v>
      </c>
      <c r="AA2021" s="8">
        <f>MONTH(CleanedData[[#This Row],[Order Date]])</f>
        <v>7</v>
      </c>
    </row>
    <row r="2022" spans="1:27" x14ac:dyDescent="0.35">
      <c r="A2022" s="8" t="s">
        <v>4905</v>
      </c>
      <c r="B2022" s="9">
        <v>45225</v>
      </c>
      <c r="C2022" s="9">
        <v>45055</v>
      </c>
      <c r="D2022" s="8" t="s">
        <v>4906</v>
      </c>
      <c r="E2022" s="8" t="s">
        <v>58</v>
      </c>
      <c r="F2022" s="8" t="s">
        <v>259</v>
      </c>
      <c r="G2022" s="8" t="s">
        <v>217</v>
      </c>
      <c r="H2022" s="8" t="s">
        <v>725</v>
      </c>
      <c r="I2022" s="8" t="s">
        <v>4978</v>
      </c>
      <c r="J2022" s="10">
        <v>24</v>
      </c>
      <c r="K2022" s="11">
        <v>676.91</v>
      </c>
      <c r="L2022" s="11">
        <v>1077.0999999999999</v>
      </c>
      <c r="M2022" s="11">
        <v>25850.400000000001</v>
      </c>
      <c r="N2022" s="11">
        <v>16245.84</v>
      </c>
      <c r="O2022" s="11">
        <f>CleanedData[[#This Row],[Total Sales ($)]]-CleanedData[[#This Row],[Total Cost ($)]]</f>
        <v>9604.5600000000013</v>
      </c>
      <c r="P2022" s="12">
        <f>CleanedData[[#This Row],[Profit ($)]]/CleanedData[[#This Row],[Total Sales ($)]]</f>
        <v>0.37154396063503858</v>
      </c>
      <c r="Q2022" s="8" t="s">
        <v>42</v>
      </c>
      <c r="R2022" s="8" t="s">
        <v>32</v>
      </c>
      <c r="S2022" s="8" t="b">
        <f>_xlfn.SINGLE(CleanedData[[#This Row],[Delivery Status]])="Late"</f>
        <v>1</v>
      </c>
      <c r="T2022" s="10">
        <v>7</v>
      </c>
      <c r="U2022" s="8" t="s">
        <v>43</v>
      </c>
      <c r="V2022" s="10">
        <v>1969</v>
      </c>
      <c r="W2022" s="10">
        <v>0</v>
      </c>
      <c r="X2022" s="12">
        <v>0</v>
      </c>
      <c r="Y2022" s="8" t="b">
        <f>CleanedData[[#This Row],[Ship Date]]&lt;CleanedData[[#This Row],[Order Date]]</f>
        <v>1</v>
      </c>
      <c r="Z2022" s="10">
        <f>YEAR(CleanedData[[#This Row],[Order Date]])</f>
        <v>2023</v>
      </c>
      <c r="AA2022" s="8">
        <f>MONTH(CleanedData[[#This Row],[Order Date]])</f>
        <v>10</v>
      </c>
    </row>
    <row r="2023" spans="1:27" x14ac:dyDescent="0.35">
      <c r="A2023" s="8" t="s">
        <v>4907</v>
      </c>
      <c r="B2023" s="9">
        <v>45217</v>
      </c>
      <c r="C2023" s="9">
        <v>45081</v>
      </c>
      <c r="D2023" s="8" t="s">
        <v>4908</v>
      </c>
      <c r="E2023" s="8" t="s">
        <v>26</v>
      </c>
      <c r="F2023" s="8" t="s">
        <v>27</v>
      </c>
      <c r="G2023" s="8" t="s">
        <v>28</v>
      </c>
      <c r="H2023" s="8" t="s">
        <v>29</v>
      </c>
      <c r="I2023" s="8" t="s">
        <v>4977</v>
      </c>
      <c r="J2023" s="10">
        <v>325</v>
      </c>
      <c r="K2023" s="11">
        <v>955.96</v>
      </c>
      <c r="L2023" s="11">
        <v>1440.04</v>
      </c>
      <c r="M2023" s="11">
        <v>468013</v>
      </c>
      <c r="N2023" s="11">
        <v>310687</v>
      </c>
      <c r="O2023" s="11">
        <f>CleanedData[[#This Row],[Total Sales ($)]]-CleanedData[[#This Row],[Total Cost ($)]]</f>
        <v>157326</v>
      </c>
      <c r="P2023" s="12">
        <f>CleanedData[[#This Row],[Profit ($)]]/CleanedData[[#This Row],[Total Sales ($)]]</f>
        <v>0.33615732896308437</v>
      </c>
      <c r="Q2023" s="8" t="s">
        <v>42</v>
      </c>
      <c r="R2023" s="8" t="s">
        <v>32</v>
      </c>
      <c r="S2023" s="8" t="b">
        <f>_xlfn.SINGLE(CleanedData[[#This Row],[Delivery Status]])="Late"</f>
        <v>1</v>
      </c>
      <c r="T2023" s="10">
        <v>6</v>
      </c>
      <c r="U2023" s="8" t="s">
        <v>43</v>
      </c>
      <c r="V2023" s="10">
        <v>2494</v>
      </c>
      <c r="W2023" s="10">
        <v>15</v>
      </c>
      <c r="X2023" s="12">
        <v>4.6153846153846101E-2</v>
      </c>
      <c r="Y2023" s="8" t="b">
        <f>CleanedData[[#This Row],[Ship Date]]&lt;CleanedData[[#This Row],[Order Date]]</f>
        <v>1</v>
      </c>
      <c r="Z2023" s="10">
        <f>YEAR(CleanedData[[#This Row],[Order Date]])</f>
        <v>2023</v>
      </c>
      <c r="AA2023" s="8">
        <f>MONTH(CleanedData[[#This Row],[Order Date]])</f>
        <v>10</v>
      </c>
    </row>
    <row r="2024" spans="1:27" x14ac:dyDescent="0.35">
      <c r="A2024" s="8" t="s">
        <v>4909</v>
      </c>
      <c r="B2024" s="9">
        <v>45404</v>
      </c>
      <c r="C2024" s="9">
        <v>45520</v>
      </c>
      <c r="D2024" s="8" t="s">
        <v>4911</v>
      </c>
      <c r="E2024" s="8" t="s">
        <v>100</v>
      </c>
      <c r="F2024" s="8" t="s">
        <v>330</v>
      </c>
      <c r="G2024" s="8" t="s">
        <v>60</v>
      </c>
      <c r="H2024" s="8" t="s">
        <v>229</v>
      </c>
      <c r="I2024" s="8" t="s">
        <v>4967</v>
      </c>
      <c r="J2024" s="10">
        <v>447</v>
      </c>
      <c r="K2024" s="11">
        <v>234.85</v>
      </c>
      <c r="L2024" s="11">
        <v>305.70999999999998</v>
      </c>
      <c r="M2024" s="11">
        <v>136652.37</v>
      </c>
      <c r="N2024" s="11">
        <v>104977.95</v>
      </c>
      <c r="O2024" s="11">
        <f>CleanedData[[#This Row],[Total Sales ($)]]-CleanedData[[#This Row],[Total Cost ($)]]</f>
        <v>31674.42</v>
      </c>
      <c r="P2024" s="12">
        <f>CleanedData[[#This Row],[Profit ($)]]/CleanedData[[#This Row],[Total Sales ($)]]</f>
        <v>0.23178829609760884</v>
      </c>
      <c r="Q2024" s="8" t="s">
        <v>31</v>
      </c>
      <c r="R2024" s="8" t="s">
        <v>32</v>
      </c>
      <c r="S2024" s="8" t="b">
        <f>_xlfn.SINGLE(CleanedData[[#This Row],[Delivery Status]])="Late"</f>
        <v>1</v>
      </c>
      <c r="T2024" s="10">
        <v>14</v>
      </c>
      <c r="U2024" s="8" t="s">
        <v>158</v>
      </c>
      <c r="V2024" s="10">
        <v>2211</v>
      </c>
      <c r="W2024" s="10">
        <v>0</v>
      </c>
      <c r="X2024" s="12">
        <v>0</v>
      </c>
      <c r="Y2024" s="8" t="b">
        <f>CleanedData[[#This Row],[Ship Date]]&lt;CleanedData[[#This Row],[Order Date]]</f>
        <v>0</v>
      </c>
      <c r="Z2024" s="10">
        <f>YEAR(CleanedData[[#This Row],[Order Date]])</f>
        <v>2024</v>
      </c>
      <c r="AA2024" s="8">
        <f>MONTH(CleanedData[[#This Row],[Order Date]])</f>
        <v>4</v>
      </c>
    </row>
    <row r="2025" spans="1:27" x14ac:dyDescent="0.35">
      <c r="A2025" s="8" t="s">
        <v>4912</v>
      </c>
      <c r="B2025" s="9">
        <v>45094</v>
      </c>
      <c r="C2025" s="9">
        <v>45195</v>
      </c>
      <c r="D2025" s="8" t="s">
        <v>4913</v>
      </c>
      <c r="E2025" s="8" t="s">
        <v>58</v>
      </c>
      <c r="F2025" s="8" t="s">
        <v>122</v>
      </c>
      <c r="G2025" s="8" t="s">
        <v>189</v>
      </c>
      <c r="H2025" s="8" t="s">
        <v>190</v>
      </c>
      <c r="I2025" s="8" t="s">
        <v>4974</v>
      </c>
      <c r="J2025" s="10">
        <v>689</v>
      </c>
      <c r="K2025" s="11">
        <v>615.16999999999996</v>
      </c>
      <c r="L2025" s="11">
        <v>727.75</v>
      </c>
      <c r="M2025" s="11">
        <v>501419.75</v>
      </c>
      <c r="N2025" s="11">
        <v>423852.13</v>
      </c>
      <c r="O2025" s="11">
        <f>CleanedData[[#This Row],[Total Sales ($)]]-CleanedData[[#This Row],[Total Cost ($)]]</f>
        <v>77567.62</v>
      </c>
      <c r="P2025" s="12">
        <f>CleanedData[[#This Row],[Profit ($)]]/CleanedData[[#This Row],[Total Sales ($)]]</f>
        <v>0.15469598076262453</v>
      </c>
      <c r="Q2025" s="8" t="s">
        <v>95</v>
      </c>
      <c r="R2025" s="8" t="s">
        <v>63</v>
      </c>
      <c r="S2025" s="8" t="b">
        <f>_xlfn.SINGLE(CleanedData[[#This Row],[Delivery Status]])="Late"</f>
        <v>0</v>
      </c>
      <c r="T2025" s="10">
        <v>4</v>
      </c>
      <c r="U2025" s="8" t="s">
        <v>158</v>
      </c>
      <c r="V2025" s="10">
        <v>4925</v>
      </c>
      <c r="W2025" s="10">
        <v>33</v>
      </c>
      <c r="X2025" s="12">
        <v>4.7895500725689398E-2</v>
      </c>
      <c r="Y2025" s="8" t="b">
        <f>CleanedData[[#This Row],[Ship Date]]&lt;CleanedData[[#This Row],[Order Date]]</f>
        <v>0</v>
      </c>
      <c r="Z2025" s="10">
        <f>YEAR(CleanedData[[#This Row],[Order Date]])</f>
        <v>2023</v>
      </c>
      <c r="AA2025" s="8">
        <f>MONTH(CleanedData[[#This Row],[Order Date]])</f>
        <v>6</v>
      </c>
    </row>
    <row r="2026" spans="1:27" x14ac:dyDescent="0.35">
      <c r="A2026" s="8" t="s">
        <v>4914</v>
      </c>
      <c r="B2026" s="9">
        <v>44943</v>
      </c>
      <c r="C2026" s="9">
        <v>45061</v>
      </c>
      <c r="D2026" s="8" t="s">
        <v>4915</v>
      </c>
      <c r="E2026" s="8" t="s">
        <v>68</v>
      </c>
      <c r="F2026" s="8" t="s">
        <v>69</v>
      </c>
      <c r="G2026" s="8" t="s">
        <v>217</v>
      </c>
      <c r="H2026" s="8" t="s">
        <v>684</v>
      </c>
      <c r="I2026" s="8" t="s">
        <v>4970</v>
      </c>
      <c r="J2026" s="10">
        <v>490</v>
      </c>
      <c r="K2026" s="11">
        <v>224.58</v>
      </c>
      <c r="L2026" s="11">
        <v>266.86</v>
      </c>
      <c r="M2026" s="11">
        <v>130761.4</v>
      </c>
      <c r="N2026" s="11">
        <v>110044.2</v>
      </c>
      <c r="O2026" s="11">
        <f>CleanedData[[#This Row],[Total Sales ($)]]-CleanedData[[#This Row],[Total Cost ($)]]</f>
        <v>20717.199999999997</v>
      </c>
      <c r="P2026" s="12">
        <f>CleanedData[[#This Row],[Profit ($)]]/CleanedData[[#This Row],[Total Sales ($)]]</f>
        <v>0.15843513452746757</v>
      </c>
      <c r="Q2026" s="8" t="s">
        <v>95</v>
      </c>
      <c r="R2026" s="8" t="s">
        <v>32</v>
      </c>
      <c r="S2026" s="8" t="b">
        <f>_xlfn.SINGLE(CleanedData[[#This Row],[Delivery Status]])="Late"</f>
        <v>1</v>
      </c>
      <c r="T2026" s="10">
        <v>11</v>
      </c>
      <c r="U2026" s="8" t="s">
        <v>33</v>
      </c>
      <c r="V2026" s="10">
        <v>589</v>
      </c>
      <c r="W2026" s="10">
        <v>21</v>
      </c>
      <c r="X2026" s="12">
        <v>4.2857142857142802E-2</v>
      </c>
      <c r="Y2026" s="8" t="b">
        <f>CleanedData[[#This Row],[Ship Date]]&lt;CleanedData[[#This Row],[Order Date]]</f>
        <v>0</v>
      </c>
      <c r="Z2026" s="10">
        <f>YEAR(CleanedData[[#This Row],[Order Date]])</f>
        <v>2023</v>
      </c>
      <c r="AA2026" s="8">
        <f>MONTH(CleanedData[[#This Row],[Order Date]])</f>
        <v>1</v>
      </c>
    </row>
    <row r="2027" spans="1:27" x14ac:dyDescent="0.35">
      <c r="A2027" s="8" t="s">
        <v>4916</v>
      </c>
      <c r="B2027" s="9">
        <v>45185</v>
      </c>
      <c r="C2027" s="9">
        <v>45023</v>
      </c>
      <c r="D2027" s="8" t="s">
        <v>4917</v>
      </c>
      <c r="E2027" s="8" t="s">
        <v>26</v>
      </c>
      <c r="F2027" s="8" t="s">
        <v>228</v>
      </c>
      <c r="G2027" s="8" t="s">
        <v>129</v>
      </c>
      <c r="H2027" s="8" t="s">
        <v>520</v>
      </c>
      <c r="I2027" s="8" t="s">
        <v>4975</v>
      </c>
      <c r="J2027" s="10">
        <v>493</v>
      </c>
      <c r="K2027" s="11">
        <v>1037.04</v>
      </c>
      <c r="L2027" s="11">
        <v>1694.31</v>
      </c>
      <c r="M2027" s="11">
        <v>835294.83</v>
      </c>
      <c r="N2027" s="11">
        <v>511260.72</v>
      </c>
      <c r="O2027" s="11">
        <f>CleanedData[[#This Row],[Total Sales ($)]]-CleanedData[[#This Row],[Total Cost ($)]]</f>
        <v>324034.11</v>
      </c>
      <c r="P2027" s="12">
        <f>CleanedData[[#This Row],[Profit ($)]]/CleanedData[[#This Row],[Total Sales ($)]]</f>
        <v>0.38792782902774581</v>
      </c>
      <c r="Q2027" s="8" t="s">
        <v>42</v>
      </c>
      <c r="R2027" s="8" t="s">
        <v>32</v>
      </c>
      <c r="S2027" s="8" t="b">
        <f>_xlfn.SINGLE(CleanedData[[#This Row],[Delivery Status]])="Late"</f>
        <v>1</v>
      </c>
      <c r="T2027" s="10">
        <v>8</v>
      </c>
      <c r="U2027" s="8" t="s">
        <v>112</v>
      </c>
      <c r="V2027" s="10">
        <v>4912</v>
      </c>
      <c r="W2027" s="10">
        <v>16</v>
      </c>
      <c r="X2027" s="12">
        <v>3.2454361054766699E-2</v>
      </c>
      <c r="Y2027" s="8" t="b">
        <f>CleanedData[[#This Row],[Ship Date]]&lt;CleanedData[[#This Row],[Order Date]]</f>
        <v>1</v>
      </c>
      <c r="Z2027" s="10">
        <f>YEAR(CleanedData[[#This Row],[Order Date]])</f>
        <v>2023</v>
      </c>
      <c r="AA2027" s="8">
        <f>MONTH(CleanedData[[#This Row],[Order Date]])</f>
        <v>9</v>
      </c>
    </row>
    <row r="2028" spans="1:27" x14ac:dyDescent="0.35">
      <c r="A2028" s="8" t="s">
        <v>4918</v>
      </c>
      <c r="B2028" s="9">
        <v>45238</v>
      </c>
      <c r="C2028" s="9">
        <v>45050</v>
      </c>
      <c r="D2028" s="8" t="s">
        <v>4919</v>
      </c>
      <c r="E2028" s="8" t="s">
        <v>4972</v>
      </c>
      <c r="F2028" s="8" t="s">
        <v>69</v>
      </c>
      <c r="G2028" s="8" t="s">
        <v>28</v>
      </c>
      <c r="H2028" s="8" t="s">
        <v>579</v>
      </c>
      <c r="I2028" s="8" t="s">
        <v>4967</v>
      </c>
      <c r="J2028" s="10">
        <v>740</v>
      </c>
      <c r="K2028" s="11">
        <v>658.28</v>
      </c>
      <c r="L2028" s="11">
        <v>768.95</v>
      </c>
      <c r="M2028" s="11">
        <v>569023</v>
      </c>
      <c r="N2028" s="11">
        <v>487127.2</v>
      </c>
      <c r="O2028" s="11">
        <f>CleanedData[[#This Row],[Total Sales ($)]]-CleanedData[[#This Row],[Total Cost ($)]]</f>
        <v>81895.799999999988</v>
      </c>
      <c r="P2028" s="12">
        <f>CleanedData[[#This Row],[Profit ($)]]/CleanedData[[#This Row],[Total Sales ($)]]</f>
        <v>0.14392353208921255</v>
      </c>
      <c r="Q2028" s="8" t="s">
        <v>31</v>
      </c>
      <c r="R2028" s="8" t="s">
        <v>32</v>
      </c>
      <c r="S2028" s="8" t="b">
        <f>_xlfn.SINGLE(CleanedData[[#This Row],[Delivery Status]])="Late"</f>
        <v>1</v>
      </c>
      <c r="T2028" s="10">
        <v>14</v>
      </c>
      <c r="U2028" s="8" t="s">
        <v>158</v>
      </c>
      <c r="V2028" s="10">
        <v>4291</v>
      </c>
      <c r="W2028" s="10">
        <v>4</v>
      </c>
      <c r="X2028" s="12">
        <v>5.4054054054053996E-3</v>
      </c>
      <c r="Y2028" s="8" t="b">
        <f>CleanedData[[#This Row],[Ship Date]]&lt;CleanedData[[#This Row],[Order Date]]</f>
        <v>1</v>
      </c>
      <c r="Z2028" s="10">
        <f>YEAR(CleanedData[[#This Row],[Order Date]])</f>
        <v>2023</v>
      </c>
      <c r="AA2028" s="8">
        <f>MONTH(CleanedData[[#This Row],[Order Date]])</f>
        <v>11</v>
      </c>
    </row>
    <row r="2029" spans="1:27" x14ac:dyDescent="0.35">
      <c r="A2029" s="8" t="s">
        <v>4920</v>
      </c>
      <c r="B2029" s="9">
        <v>45088</v>
      </c>
      <c r="C2029" s="9">
        <v>45188</v>
      </c>
      <c r="D2029" s="8" t="s">
        <v>4921</v>
      </c>
      <c r="E2029" s="8" t="s">
        <v>58</v>
      </c>
      <c r="F2029" s="8" t="s">
        <v>568</v>
      </c>
      <c r="G2029" s="8" t="s">
        <v>70</v>
      </c>
      <c r="H2029" s="8" t="s">
        <v>822</v>
      </c>
      <c r="I2029" s="8" t="s">
        <v>4977</v>
      </c>
      <c r="J2029" s="10">
        <v>222</v>
      </c>
      <c r="K2029" s="11">
        <v>363.24</v>
      </c>
      <c r="L2029" s="11">
        <v>490.12</v>
      </c>
      <c r="M2029" s="11">
        <v>108806.64</v>
      </c>
      <c r="N2029" s="11">
        <v>80639.28</v>
      </c>
      <c r="O2029" s="11">
        <f>CleanedData[[#This Row],[Total Sales ($)]]-CleanedData[[#This Row],[Total Cost ($)]]</f>
        <v>28167.360000000001</v>
      </c>
      <c r="P2029" s="12">
        <f>CleanedData[[#This Row],[Profit ($)]]/CleanedData[[#This Row],[Total Sales ($)]]</f>
        <v>0.25887537745858158</v>
      </c>
      <c r="Q2029" s="8" t="s">
        <v>31</v>
      </c>
      <c r="R2029" s="8" t="s">
        <v>32</v>
      </c>
      <c r="S2029" s="8" t="b">
        <f>_xlfn.SINGLE(CleanedData[[#This Row],[Delivery Status]])="Late"</f>
        <v>1</v>
      </c>
      <c r="T2029" s="10">
        <v>7</v>
      </c>
      <c r="U2029" s="8" t="s">
        <v>33</v>
      </c>
      <c r="V2029" s="10">
        <v>461</v>
      </c>
      <c r="W2029" s="10">
        <v>2</v>
      </c>
      <c r="X2029" s="12">
        <v>9.0090090090090003E-3</v>
      </c>
      <c r="Y2029" s="8" t="b">
        <f>CleanedData[[#This Row],[Ship Date]]&lt;CleanedData[[#This Row],[Order Date]]</f>
        <v>0</v>
      </c>
      <c r="Z2029" s="10">
        <f>YEAR(CleanedData[[#This Row],[Order Date]])</f>
        <v>2023</v>
      </c>
      <c r="AA2029" s="8">
        <f>MONTH(CleanedData[[#This Row],[Order Date]])</f>
        <v>6</v>
      </c>
    </row>
    <row r="2030" spans="1:27" x14ac:dyDescent="0.35">
      <c r="A2030" s="8" t="s">
        <v>4922</v>
      </c>
      <c r="B2030" s="9">
        <v>45149</v>
      </c>
      <c r="C2030" s="9">
        <v>45109</v>
      </c>
      <c r="D2030" s="8" t="s">
        <v>4923</v>
      </c>
      <c r="E2030" s="8" t="s">
        <v>26</v>
      </c>
      <c r="F2030" s="8" t="s">
        <v>77</v>
      </c>
      <c r="G2030" s="8" t="s">
        <v>70</v>
      </c>
      <c r="H2030" s="8" t="s">
        <v>84</v>
      </c>
      <c r="I2030" s="8" t="s">
        <v>4969</v>
      </c>
      <c r="J2030" s="10">
        <v>477</v>
      </c>
      <c r="K2030" s="11">
        <v>793.7</v>
      </c>
      <c r="L2030" s="11">
        <v>1246.49</v>
      </c>
      <c r="M2030" s="11">
        <v>594575.73</v>
      </c>
      <c r="N2030" s="11">
        <v>378594.9</v>
      </c>
      <c r="O2030" s="11">
        <f>CleanedData[[#This Row],[Total Sales ($)]]-CleanedData[[#This Row],[Total Cost ($)]]</f>
        <v>215980.82999999996</v>
      </c>
      <c r="P2030" s="12">
        <f>CleanedData[[#This Row],[Profit ($)]]/CleanedData[[#This Row],[Total Sales ($)]]</f>
        <v>0.36325201164870952</v>
      </c>
      <c r="Q2030" s="8" t="s">
        <v>42</v>
      </c>
      <c r="R2030" s="8" t="s">
        <v>63</v>
      </c>
      <c r="S2030" s="8" t="b">
        <f>_xlfn.SINGLE(CleanedData[[#This Row],[Delivery Status]])="Late"</f>
        <v>0</v>
      </c>
      <c r="T2030" s="10">
        <v>2</v>
      </c>
      <c r="U2030" s="8" t="s">
        <v>53</v>
      </c>
      <c r="V2030" s="10">
        <v>4331</v>
      </c>
      <c r="W2030" s="10">
        <v>21</v>
      </c>
      <c r="X2030" s="12">
        <v>4.40251572327044E-2</v>
      </c>
      <c r="Y2030" s="8" t="b">
        <f>CleanedData[[#This Row],[Ship Date]]&lt;CleanedData[[#This Row],[Order Date]]</f>
        <v>1</v>
      </c>
      <c r="Z2030" s="10">
        <f>YEAR(CleanedData[[#This Row],[Order Date]])</f>
        <v>2023</v>
      </c>
      <c r="AA2030" s="8">
        <f>MONTH(CleanedData[[#This Row],[Order Date]])</f>
        <v>8</v>
      </c>
    </row>
    <row r="2031" spans="1:27" x14ac:dyDescent="0.35">
      <c r="A2031" s="8" t="s">
        <v>4924</v>
      </c>
      <c r="B2031" s="9">
        <v>45195</v>
      </c>
      <c r="C2031" s="9">
        <v>45179</v>
      </c>
      <c r="D2031" s="8" t="s">
        <v>4925</v>
      </c>
      <c r="E2031" s="8" t="s">
        <v>58</v>
      </c>
      <c r="F2031" s="8" t="s">
        <v>259</v>
      </c>
      <c r="G2031" s="8" t="s">
        <v>129</v>
      </c>
      <c r="H2031" s="8" t="s">
        <v>168</v>
      </c>
      <c r="I2031" s="8" t="s">
        <v>4975</v>
      </c>
      <c r="J2031" s="10">
        <v>437</v>
      </c>
      <c r="K2031" s="11">
        <v>511.6</v>
      </c>
      <c r="L2031" s="11">
        <v>751.19</v>
      </c>
      <c r="M2031" s="11">
        <v>328270.03000000003</v>
      </c>
      <c r="N2031" s="11">
        <v>223569.2</v>
      </c>
      <c r="O2031" s="11">
        <f>CleanedData[[#This Row],[Total Sales ($)]]-CleanedData[[#This Row],[Total Cost ($)]]</f>
        <v>104700.83000000002</v>
      </c>
      <c r="P2031" s="12">
        <f>CleanedData[[#This Row],[Profit ($)]]/CleanedData[[#This Row],[Total Sales ($)]]</f>
        <v>0.31894727033107473</v>
      </c>
      <c r="Q2031" s="8" t="s">
        <v>31</v>
      </c>
      <c r="R2031" s="8" t="s">
        <v>63</v>
      </c>
      <c r="S2031" s="8" t="b">
        <f>_xlfn.SINGLE(CleanedData[[#This Row],[Delivery Status]])="Late"</f>
        <v>0</v>
      </c>
      <c r="T2031" s="10">
        <v>5</v>
      </c>
      <c r="U2031" s="8" t="s">
        <v>43</v>
      </c>
      <c r="V2031" s="10">
        <v>2533</v>
      </c>
      <c r="W2031" s="10">
        <v>14</v>
      </c>
      <c r="X2031" s="12">
        <v>3.20366132723112E-2</v>
      </c>
      <c r="Y2031" s="8" t="b">
        <f>CleanedData[[#This Row],[Ship Date]]&lt;CleanedData[[#This Row],[Order Date]]</f>
        <v>1</v>
      </c>
      <c r="Z2031" s="10">
        <f>YEAR(CleanedData[[#This Row],[Order Date]])</f>
        <v>2023</v>
      </c>
      <c r="AA2031" s="8">
        <f>MONTH(CleanedData[[#This Row],[Order Date]])</f>
        <v>9</v>
      </c>
    </row>
    <row r="2032" spans="1:27" x14ac:dyDescent="0.35">
      <c r="A2032" s="8" t="s">
        <v>4926</v>
      </c>
      <c r="B2032" s="9">
        <v>44996</v>
      </c>
      <c r="C2032" s="9">
        <v>45166</v>
      </c>
      <c r="D2032" s="8" t="s">
        <v>4927</v>
      </c>
      <c r="E2032" s="8" t="s">
        <v>100</v>
      </c>
      <c r="F2032" s="8" t="s">
        <v>238</v>
      </c>
      <c r="G2032" s="8" t="s">
        <v>70</v>
      </c>
      <c r="H2032" s="8" t="s">
        <v>71</v>
      </c>
      <c r="I2032" s="8" t="s">
        <v>4978</v>
      </c>
      <c r="J2032" s="10">
        <v>16</v>
      </c>
      <c r="K2032" s="11">
        <v>160.72999999999999</v>
      </c>
      <c r="L2032" s="11">
        <v>218.72</v>
      </c>
      <c r="M2032" s="11">
        <v>3499.52</v>
      </c>
      <c r="N2032" s="11">
        <v>2571.6799999999998</v>
      </c>
      <c r="O2032" s="11">
        <f>CleanedData[[#This Row],[Total Sales ($)]]-CleanedData[[#This Row],[Total Cost ($)]]</f>
        <v>927.84000000000015</v>
      </c>
      <c r="P2032" s="12">
        <f>CleanedData[[#This Row],[Profit ($)]]/CleanedData[[#This Row],[Total Sales ($)]]</f>
        <v>0.26513350402340896</v>
      </c>
      <c r="Q2032" s="8" t="s">
        <v>42</v>
      </c>
      <c r="R2032" s="8" t="s">
        <v>32</v>
      </c>
      <c r="S2032" s="8" t="b">
        <f>_xlfn.SINGLE(CleanedData[[#This Row],[Delivery Status]])="Late"</f>
        <v>1</v>
      </c>
      <c r="T2032" s="10">
        <v>8</v>
      </c>
      <c r="U2032" s="8" t="s">
        <v>43</v>
      </c>
      <c r="V2032" s="10">
        <v>4999</v>
      </c>
      <c r="W2032" s="10">
        <v>0</v>
      </c>
      <c r="X2032" s="12">
        <v>0</v>
      </c>
      <c r="Y2032" s="8" t="b">
        <f>CleanedData[[#This Row],[Ship Date]]&lt;CleanedData[[#This Row],[Order Date]]</f>
        <v>0</v>
      </c>
      <c r="Z2032" s="10">
        <f>YEAR(CleanedData[[#This Row],[Order Date]])</f>
        <v>2023</v>
      </c>
      <c r="AA2032" s="8">
        <f>MONTH(CleanedData[[#This Row],[Order Date]])</f>
        <v>3</v>
      </c>
    </row>
    <row r="2033" spans="1:27" x14ac:dyDescent="0.35">
      <c r="A2033" s="8" t="s">
        <v>4928</v>
      </c>
      <c r="B2033" s="9">
        <v>45113</v>
      </c>
      <c r="C2033" s="9">
        <v>45055</v>
      </c>
      <c r="D2033" s="8" t="s">
        <v>1910</v>
      </c>
      <c r="E2033" s="8" t="s">
        <v>100</v>
      </c>
      <c r="F2033" s="8" t="s">
        <v>106</v>
      </c>
      <c r="G2033" s="8" t="s">
        <v>78</v>
      </c>
      <c r="H2033" s="8" t="s">
        <v>79</v>
      </c>
      <c r="I2033" s="8" t="s">
        <v>4970</v>
      </c>
      <c r="J2033" s="10">
        <v>711</v>
      </c>
      <c r="K2033" s="11">
        <v>593.61</v>
      </c>
      <c r="L2033" s="11">
        <v>756.98</v>
      </c>
      <c r="M2033" s="11">
        <v>538212.78</v>
      </c>
      <c r="N2033" s="11">
        <v>422056.71</v>
      </c>
      <c r="O2033" s="11">
        <f>CleanedData[[#This Row],[Total Sales ($)]]-CleanedData[[#This Row],[Total Cost ($)]]</f>
        <v>116156.07</v>
      </c>
      <c r="P2033" s="12">
        <f>CleanedData[[#This Row],[Profit ($)]]/CleanedData[[#This Row],[Total Sales ($)]]</f>
        <v>0.21581811936907183</v>
      </c>
      <c r="Q2033" s="8" t="s">
        <v>31</v>
      </c>
      <c r="R2033" s="8" t="s">
        <v>32</v>
      </c>
      <c r="S2033" s="8" t="b">
        <f>_xlfn.SINGLE(CleanedData[[#This Row],[Delivery Status]])="Late"</f>
        <v>1</v>
      </c>
      <c r="T2033" s="10">
        <v>15</v>
      </c>
      <c r="U2033" s="8" t="s">
        <v>33</v>
      </c>
      <c r="V2033" s="10">
        <v>4869</v>
      </c>
      <c r="W2033" s="10">
        <v>30</v>
      </c>
      <c r="X2033" s="12">
        <v>4.2194092827004197E-2</v>
      </c>
      <c r="Y2033" s="8" t="b">
        <f>CleanedData[[#This Row],[Ship Date]]&lt;CleanedData[[#This Row],[Order Date]]</f>
        <v>1</v>
      </c>
      <c r="Z2033" s="10">
        <f>YEAR(CleanedData[[#This Row],[Order Date]])</f>
        <v>2023</v>
      </c>
      <c r="AA2033" s="8">
        <f>MONTH(CleanedData[[#This Row],[Order Date]])</f>
        <v>7</v>
      </c>
    </row>
    <row r="2034" spans="1:27" x14ac:dyDescent="0.35">
      <c r="A2034" s="8" t="s">
        <v>4929</v>
      </c>
      <c r="B2034" s="9">
        <v>45020</v>
      </c>
      <c r="C2034" s="9">
        <v>45177</v>
      </c>
      <c r="D2034" s="8" t="s">
        <v>1706</v>
      </c>
      <c r="E2034" s="8" t="s">
        <v>68</v>
      </c>
      <c r="F2034" s="8" t="s">
        <v>69</v>
      </c>
      <c r="G2034" s="8" t="s">
        <v>189</v>
      </c>
      <c r="H2034" s="8" t="s">
        <v>365</v>
      </c>
      <c r="I2034" s="8" t="s">
        <v>4974</v>
      </c>
      <c r="J2034" s="10">
        <v>514</v>
      </c>
      <c r="K2034" s="11">
        <v>867.26</v>
      </c>
      <c r="L2034" s="11">
        <v>1032.7</v>
      </c>
      <c r="M2034" s="11">
        <v>530807.80000000005</v>
      </c>
      <c r="N2034" s="11">
        <v>445771.64</v>
      </c>
      <c r="O2034" s="11">
        <f>CleanedData[[#This Row],[Total Sales ($)]]-CleanedData[[#This Row],[Total Cost ($)]]</f>
        <v>85036.160000000033</v>
      </c>
      <c r="P2034" s="12">
        <f>CleanedData[[#This Row],[Profit ($)]]/CleanedData[[#This Row],[Total Sales ($)]]</f>
        <v>0.16020141376972988</v>
      </c>
      <c r="Q2034" s="8" t="s">
        <v>52</v>
      </c>
      <c r="R2034" s="8" t="s">
        <v>32</v>
      </c>
      <c r="S2034" s="8" t="b">
        <f>_xlfn.SINGLE(CleanedData[[#This Row],[Delivery Status]])="Late"</f>
        <v>1</v>
      </c>
      <c r="T2034" s="10">
        <v>14</v>
      </c>
      <c r="U2034" s="8" t="s">
        <v>33</v>
      </c>
      <c r="V2034" s="10">
        <v>3207</v>
      </c>
      <c r="W2034" s="10">
        <v>2</v>
      </c>
      <c r="X2034" s="12">
        <v>3.8910505836575E-3</v>
      </c>
      <c r="Y2034" s="8" t="b">
        <f>CleanedData[[#This Row],[Ship Date]]&lt;CleanedData[[#This Row],[Order Date]]</f>
        <v>0</v>
      </c>
      <c r="Z2034" s="10">
        <f>YEAR(CleanedData[[#This Row],[Order Date]])</f>
        <v>2023</v>
      </c>
      <c r="AA2034" s="8">
        <f>MONTH(CleanedData[[#This Row],[Order Date]])</f>
        <v>4</v>
      </c>
    </row>
    <row r="2035" spans="1:27" x14ac:dyDescent="0.35">
      <c r="A2035" s="8" t="s">
        <v>4930</v>
      </c>
      <c r="B2035" s="9">
        <v>45044</v>
      </c>
      <c r="C2035" s="9">
        <v>45001</v>
      </c>
      <c r="D2035" s="8" t="s">
        <v>4931</v>
      </c>
      <c r="E2035" s="8" t="s">
        <v>68</v>
      </c>
      <c r="F2035" s="8" t="s">
        <v>146</v>
      </c>
      <c r="G2035" s="8" t="s">
        <v>28</v>
      </c>
      <c r="H2035" s="8" t="s">
        <v>212</v>
      </c>
      <c r="I2035" s="8" t="s">
        <v>4967</v>
      </c>
      <c r="J2035" s="10">
        <v>738</v>
      </c>
      <c r="K2035" s="11">
        <v>878.42</v>
      </c>
      <c r="L2035" s="11">
        <v>1183.3399999999999</v>
      </c>
      <c r="M2035" s="11">
        <v>873304.92</v>
      </c>
      <c r="N2035" s="11">
        <v>648273.96</v>
      </c>
      <c r="O2035" s="11">
        <f>CleanedData[[#This Row],[Total Sales ($)]]-CleanedData[[#This Row],[Total Cost ($)]]</f>
        <v>225030.96000000008</v>
      </c>
      <c r="P2035" s="12">
        <f>CleanedData[[#This Row],[Profit ($)]]/CleanedData[[#This Row],[Total Sales ($)]]</f>
        <v>0.25767742153565337</v>
      </c>
      <c r="Q2035" s="8" t="s">
        <v>42</v>
      </c>
      <c r="R2035" s="8" t="s">
        <v>32</v>
      </c>
      <c r="S2035" s="8" t="b">
        <f>_xlfn.SINGLE(CleanedData[[#This Row],[Delivery Status]])="Late"</f>
        <v>1</v>
      </c>
      <c r="T2035" s="10">
        <v>6</v>
      </c>
      <c r="U2035" s="8" t="s">
        <v>43</v>
      </c>
      <c r="V2035" s="10">
        <v>4032</v>
      </c>
      <c r="W2035" s="10">
        <v>30</v>
      </c>
      <c r="X2035" s="12">
        <v>4.0650406504064998E-2</v>
      </c>
      <c r="Y2035" s="8" t="b">
        <f>CleanedData[[#This Row],[Ship Date]]&lt;CleanedData[[#This Row],[Order Date]]</f>
        <v>1</v>
      </c>
      <c r="Z2035" s="10">
        <f>YEAR(CleanedData[[#This Row],[Order Date]])</f>
        <v>2023</v>
      </c>
      <c r="AA2035" s="8">
        <f>MONTH(CleanedData[[#This Row],[Order Date]])</f>
        <v>4</v>
      </c>
    </row>
    <row r="2036" spans="1:27" x14ac:dyDescent="0.35">
      <c r="A2036" s="8" t="s">
        <v>4932</v>
      </c>
      <c r="B2036" s="9">
        <v>45385</v>
      </c>
      <c r="C2036" s="9">
        <v>45401</v>
      </c>
      <c r="D2036" s="8" t="s">
        <v>2774</v>
      </c>
      <c r="E2036" s="8" t="s">
        <v>58</v>
      </c>
      <c r="F2036" s="8" t="s">
        <v>122</v>
      </c>
      <c r="G2036" s="8" t="s">
        <v>39</v>
      </c>
      <c r="H2036" s="8" t="s">
        <v>354</v>
      </c>
      <c r="I2036" s="8" t="s">
        <v>4970</v>
      </c>
      <c r="J2036" s="10">
        <v>718</v>
      </c>
      <c r="K2036" s="11">
        <v>622.66999999999996</v>
      </c>
      <c r="L2036" s="11">
        <v>919.68</v>
      </c>
      <c r="M2036" s="11">
        <v>660330.23999999999</v>
      </c>
      <c r="N2036" s="11">
        <v>447077.06</v>
      </c>
      <c r="O2036" s="11">
        <f>CleanedData[[#This Row],[Total Sales ($)]]-CleanedData[[#This Row],[Total Cost ($)]]</f>
        <v>213253.18</v>
      </c>
      <c r="P2036" s="12">
        <f>CleanedData[[#This Row],[Profit ($)]]/CleanedData[[#This Row],[Total Sales ($)]]</f>
        <v>0.32294928670842032</v>
      </c>
      <c r="Q2036" s="8" t="s">
        <v>42</v>
      </c>
      <c r="R2036" s="8" t="s">
        <v>32</v>
      </c>
      <c r="S2036" s="8" t="b">
        <f>_xlfn.SINGLE(CleanedData[[#This Row],[Delivery Status]])="Late"</f>
        <v>1</v>
      </c>
      <c r="T2036" s="10">
        <v>7</v>
      </c>
      <c r="U2036" s="8" t="s">
        <v>53</v>
      </c>
      <c r="V2036" s="10">
        <v>3780</v>
      </c>
      <c r="W2036" s="10">
        <v>13</v>
      </c>
      <c r="X2036" s="12">
        <v>1.8105849582172699E-2</v>
      </c>
      <c r="Y2036" s="8" t="b">
        <f>CleanedData[[#This Row],[Ship Date]]&lt;CleanedData[[#This Row],[Order Date]]</f>
        <v>0</v>
      </c>
      <c r="Z2036" s="10">
        <f>YEAR(CleanedData[[#This Row],[Order Date]])</f>
        <v>2024</v>
      </c>
      <c r="AA2036" s="8">
        <f>MONTH(CleanedData[[#This Row],[Order Date]])</f>
        <v>4</v>
      </c>
    </row>
    <row r="2037" spans="1:27" x14ac:dyDescent="0.35">
      <c r="A2037" s="8" t="s">
        <v>4933</v>
      </c>
      <c r="B2037" s="9">
        <v>45035</v>
      </c>
      <c r="C2037" s="9">
        <v>45456</v>
      </c>
      <c r="D2037" s="8" t="s">
        <v>4996</v>
      </c>
      <c r="E2037" s="8" t="s">
        <v>58</v>
      </c>
      <c r="F2037" s="8" t="s">
        <v>122</v>
      </c>
      <c r="G2037" s="8" t="s">
        <v>50</v>
      </c>
      <c r="H2037" s="8" t="s">
        <v>117</v>
      </c>
      <c r="I2037" s="8" t="s">
        <v>4973</v>
      </c>
      <c r="J2037" s="10">
        <v>482</v>
      </c>
      <c r="K2037" s="11">
        <v>1003.37</v>
      </c>
      <c r="L2037" s="11">
        <v>1391.22</v>
      </c>
      <c r="M2037" s="11">
        <v>670568.04</v>
      </c>
      <c r="N2037" s="11">
        <v>483624.34</v>
      </c>
      <c r="O2037" s="11">
        <f>CleanedData[[#This Row],[Total Sales ($)]]-CleanedData[[#This Row],[Total Cost ($)]]</f>
        <v>186943.7</v>
      </c>
      <c r="P2037" s="12">
        <f>CleanedData[[#This Row],[Profit ($)]]/CleanedData[[#This Row],[Total Sales ($)]]</f>
        <v>0.27878408878538263</v>
      </c>
      <c r="Q2037" s="8" t="s">
        <v>52</v>
      </c>
      <c r="R2037" s="8" t="s">
        <v>32</v>
      </c>
      <c r="S2037" s="8" t="b">
        <f>_xlfn.SINGLE(CleanedData[[#This Row],[Delivery Status]])="Late"</f>
        <v>1</v>
      </c>
      <c r="T2037" s="10">
        <v>10</v>
      </c>
      <c r="U2037" s="8" t="s">
        <v>33</v>
      </c>
      <c r="V2037" s="10">
        <v>889</v>
      </c>
      <c r="W2037" s="10">
        <v>1</v>
      </c>
      <c r="X2037" s="12">
        <v>2.0746887966803999E-3</v>
      </c>
      <c r="Y2037" s="8" t="b">
        <f>CleanedData[[#This Row],[Ship Date]]&lt;CleanedData[[#This Row],[Order Date]]</f>
        <v>0</v>
      </c>
      <c r="Z2037" s="10">
        <f>YEAR(CleanedData[[#This Row],[Order Date]])</f>
        <v>2023</v>
      </c>
      <c r="AA2037" s="8">
        <f>MONTH(CleanedData[[#This Row],[Order Date]])</f>
        <v>4</v>
      </c>
    </row>
    <row r="2038" spans="1:27" x14ac:dyDescent="0.35">
      <c r="A2038" s="8" t="s">
        <v>4935</v>
      </c>
      <c r="B2038" s="9">
        <v>45263</v>
      </c>
      <c r="C2038" s="9">
        <v>45189</v>
      </c>
      <c r="D2038" s="8" t="s">
        <v>4936</v>
      </c>
      <c r="E2038" s="8" t="s">
        <v>48</v>
      </c>
      <c r="F2038" s="8" t="s">
        <v>223</v>
      </c>
      <c r="G2038" s="8" t="s">
        <v>189</v>
      </c>
      <c r="H2038" s="8" t="s">
        <v>369</v>
      </c>
      <c r="I2038" s="8" t="s">
        <v>4968</v>
      </c>
      <c r="J2038" s="10">
        <v>716</v>
      </c>
      <c r="K2038" s="11">
        <v>741.33</v>
      </c>
      <c r="L2038" s="11">
        <v>933.16</v>
      </c>
      <c r="M2038" s="11">
        <v>668142.56000000006</v>
      </c>
      <c r="N2038" s="11">
        <v>530792.28</v>
      </c>
      <c r="O2038" s="11">
        <f>CleanedData[[#This Row],[Total Sales ($)]]-CleanedData[[#This Row],[Total Cost ($)]]</f>
        <v>137350.28000000003</v>
      </c>
      <c r="P2038" s="12">
        <f>CleanedData[[#This Row],[Profit ($)]]/CleanedData[[#This Row],[Total Sales ($)]]</f>
        <v>0.20557032020232333</v>
      </c>
      <c r="Q2038" s="8" t="s">
        <v>52</v>
      </c>
      <c r="R2038" s="8" t="s">
        <v>63</v>
      </c>
      <c r="S2038" s="8" t="b">
        <f>_xlfn.SINGLE(CleanedData[[#This Row],[Delivery Status]])="Late"</f>
        <v>0</v>
      </c>
      <c r="T2038" s="10">
        <v>2</v>
      </c>
      <c r="U2038" s="8" t="s">
        <v>33</v>
      </c>
      <c r="V2038" s="10">
        <v>2413</v>
      </c>
      <c r="W2038" s="10">
        <v>20</v>
      </c>
      <c r="X2038" s="12">
        <v>2.7932960893854698E-2</v>
      </c>
      <c r="Y2038" s="8" t="b">
        <f>CleanedData[[#This Row],[Ship Date]]&lt;CleanedData[[#This Row],[Order Date]]</f>
        <v>1</v>
      </c>
      <c r="Z2038" s="10">
        <f>YEAR(CleanedData[[#This Row],[Order Date]])</f>
        <v>2023</v>
      </c>
      <c r="AA2038" s="8">
        <f>MONTH(CleanedData[[#This Row],[Order Date]])</f>
        <v>12</v>
      </c>
    </row>
    <row r="2039" spans="1:27" x14ac:dyDescent="0.35">
      <c r="A2039" s="8" t="s">
        <v>4937</v>
      </c>
      <c r="B2039" s="9">
        <v>45200</v>
      </c>
      <c r="C2039" s="9">
        <v>44952</v>
      </c>
      <c r="D2039" s="8" t="s">
        <v>4938</v>
      </c>
      <c r="E2039" s="8" t="s">
        <v>68</v>
      </c>
      <c r="F2039" s="8" t="s">
        <v>146</v>
      </c>
      <c r="G2039" s="8" t="s">
        <v>70</v>
      </c>
      <c r="H2039" s="8" t="s">
        <v>239</v>
      </c>
      <c r="I2039" s="8" t="s">
        <v>4976</v>
      </c>
      <c r="J2039" s="10">
        <v>481</v>
      </c>
      <c r="K2039" s="11">
        <v>988.94</v>
      </c>
      <c r="L2039" s="11">
        <v>1170.1400000000001</v>
      </c>
      <c r="M2039" s="11">
        <v>562837.34</v>
      </c>
      <c r="N2039" s="11">
        <v>475680.14</v>
      </c>
      <c r="O2039" s="11">
        <f>CleanedData[[#This Row],[Total Sales ($)]]-CleanedData[[#This Row],[Total Cost ($)]]</f>
        <v>87157.199999999953</v>
      </c>
      <c r="P2039" s="12">
        <f>CleanedData[[#This Row],[Profit ($)]]/CleanedData[[#This Row],[Total Sales ($)]]</f>
        <v>0.15485326542123157</v>
      </c>
      <c r="Q2039" s="8" t="s">
        <v>42</v>
      </c>
      <c r="R2039" s="8" t="s">
        <v>63</v>
      </c>
      <c r="S2039" s="8" t="b">
        <f>_xlfn.SINGLE(CleanedData[[#This Row],[Delivery Status]])="Late"</f>
        <v>0</v>
      </c>
      <c r="T2039" s="10">
        <v>5</v>
      </c>
      <c r="U2039" s="8" t="s">
        <v>86</v>
      </c>
      <c r="V2039" s="10">
        <v>2067</v>
      </c>
      <c r="W2039" s="10">
        <v>15</v>
      </c>
      <c r="X2039" s="12">
        <v>3.11850311850311E-2</v>
      </c>
      <c r="Y2039" s="8" t="b">
        <f>CleanedData[[#This Row],[Ship Date]]&lt;CleanedData[[#This Row],[Order Date]]</f>
        <v>1</v>
      </c>
      <c r="Z2039" s="10">
        <f>YEAR(CleanedData[[#This Row],[Order Date]])</f>
        <v>2023</v>
      </c>
      <c r="AA2039" s="8">
        <f>MONTH(CleanedData[[#This Row],[Order Date]])</f>
        <v>10</v>
      </c>
    </row>
    <row r="2040" spans="1:27" x14ac:dyDescent="0.35">
      <c r="A2040" s="8" t="s">
        <v>4939</v>
      </c>
      <c r="B2040" s="9">
        <v>44936</v>
      </c>
      <c r="C2040" s="9">
        <v>45184</v>
      </c>
      <c r="D2040" s="8" t="s">
        <v>4940</v>
      </c>
      <c r="E2040" s="8" t="s">
        <v>68</v>
      </c>
      <c r="F2040" s="8" t="s">
        <v>69</v>
      </c>
      <c r="G2040" s="8" t="s">
        <v>93</v>
      </c>
      <c r="H2040" s="8" t="s">
        <v>94</v>
      </c>
      <c r="I2040" s="8" t="s">
        <v>4973</v>
      </c>
      <c r="J2040" s="10">
        <v>57</v>
      </c>
      <c r="K2040" s="11">
        <v>191.18</v>
      </c>
      <c r="L2040" s="11">
        <v>245.49</v>
      </c>
      <c r="M2040" s="11">
        <v>13992.93</v>
      </c>
      <c r="N2040" s="11">
        <v>10897.26</v>
      </c>
      <c r="O2040" s="11">
        <f>CleanedData[[#This Row],[Total Sales ($)]]-CleanedData[[#This Row],[Total Cost ($)]]</f>
        <v>3095.67</v>
      </c>
      <c r="P2040" s="12">
        <f>CleanedData[[#This Row],[Profit ($)]]/CleanedData[[#This Row],[Total Sales ($)]]</f>
        <v>0.22123100737300908</v>
      </c>
      <c r="Q2040" s="8" t="s">
        <v>42</v>
      </c>
      <c r="R2040" s="8" t="s">
        <v>32</v>
      </c>
      <c r="S2040" s="8" t="b">
        <f>_xlfn.SINGLE(CleanedData[[#This Row],[Delivery Status]])="Late"</f>
        <v>1</v>
      </c>
      <c r="T2040" s="10">
        <v>9</v>
      </c>
      <c r="U2040" s="8" t="s">
        <v>86</v>
      </c>
      <c r="V2040" s="10">
        <v>2987</v>
      </c>
      <c r="W2040" s="10">
        <v>1</v>
      </c>
      <c r="X2040" s="12">
        <v>1.7543859649122799E-2</v>
      </c>
      <c r="Y2040" s="8" t="b">
        <f>CleanedData[[#This Row],[Ship Date]]&lt;CleanedData[[#This Row],[Order Date]]</f>
        <v>0</v>
      </c>
      <c r="Z2040" s="10">
        <f>YEAR(CleanedData[[#This Row],[Order Date]])</f>
        <v>2023</v>
      </c>
      <c r="AA2040" s="8">
        <f>MONTH(CleanedData[[#This Row],[Order Date]])</f>
        <v>1</v>
      </c>
    </row>
    <row r="2041" spans="1:27" x14ac:dyDescent="0.35">
      <c r="A2041" s="8" t="s">
        <v>4941</v>
      </c>
      <c r="B2041" s="9">
        <v>45024</v>
      </c>
      <c r="C2041" s="9">
        <v>45010</v>
      </c>
      <c r="D2041" s="8" t="s">
        <v>4942</v>
      </c>
      <c r="E2041" s="8" t="s">
        <v>26</v>
      </c>
      <c r="F2041" s="8" t="s">
        <v>27</v>
      </c>
      <c r="G2041" s="8" t="s">
        <v>78</v>
      </c>
      <c r="H2041" s="8" t="s">
        <v>840</v>
      </c>
      <c r="I2041" s="8" t="s">
        <v>4979</v>
      </c>
      <c r="J2041" s="10">
        <v>609</v>
      </c>
      <c r="K2041" s="11">
        <v>436.3</v>
      </c>
      <c r="L2041" s="11">
        <v>617.05999999999995</v>
      </c>
      <c r="M2041" s="11">
        <v>375789.54</v>
      </c>
      <c r="N2041" s="11">
        <v>265706.7</v>
      </c>
      <c r="O2041" s="11">
        <f>CleanedData[[#This Row],[Total Sales ($)]]-CleanedData[[#This Row],[Total Cost ($)]]</f>
        <v>110082.83999999997</v>
      </c>
      <c r="P2041" s="12">
        <f>CleanedData[[#This Row],[Profit ($)]]/CleanedData[[#This Row],[Total Sales ($)]]</f>
        <v>0.29293747771691564</v>
      </c>
      <c r="Q2041" s="8" t="s">
        <v>31</v>
      </c>
      <c r="R2041" s="8" t="s">
        <v>32</v>
      </c>
      <c r="S2041" s="8" t="b">
        <f>_xlfn.SINGLE(CleanedData[[#This Row],[Delivery Status]])="Late"</f>
        <v>1</v>
      </c>
      <c r="T2041" s="10">
        <v>11</v>
      </c>
      <c r="U2041" s="8" t="s">
        <v>112</v>
      </c>
      <c r="V2041" s="10">
        <v>4017</v>
      </c>
      <c r="W2041" s="10">
        <v>19</v>
      </c>
      <c r="X2041" s="12">
        <v>3.1198686371100098E-2</v>
      </c>
      <c r="Y2041" s="8" t="b">
        <f>CleanedData[[#This Row],[Ship Date]]&lt;CleanedData[[#This Row],[Order Date]]</f>
        <v>1</v>
      </c>
      <c r="Z2041" s="10">
        <f>YEAR(CleanedData[[#This Row],[Order Date]])</f>
        <v>2023</v>
      </c>
      <c r="AA2041" s="8">
        <f>MONTH(CleanedData[[#This Row],[Order Date]])</f>
        <v>4</v>
      </c>
    </row>
    <row r="2042" spans="1:27" x14ac:dyDescent="0.35">
      <c r="A2042" s="8" t="s">
        <v>4943</v>
      </c>
      <c r="B2042" s="9">
        <v>45249</v>
      </c>
      <c r="C2042" s="9">
        <v>44950</v>
      </c>
      <c r="D2042" s="8" t="s">
        <v>4944</v>
      </c>
      <c r="E2042" s="8" t="s">
        <v>100</v>
      </c>
      <c r="F2042" s="8" t="s">
        <v>106</v>
      </c>
      <c r="G2042" s="8" t="s">
        <v>78</v>
      </c>
      <c r="H2042" s="8" t="s">
        <v>572</v>
      </c>
      <c r="I2042" s="8" t="s">
        <v>4978</v>
      </c>
      <c r="J2042" s="10">
        <v>721</v>
      </c>
      <c r="K2042" s="11">
        <v>681.64</v>
      </c>
      <c r="L2042" s="11">
        <v>1026.08</v>
      </c>
      <c r="M2042" s="11">
        <v>739803.68</v>
      </c>
      <c r="N2042" s="11">
        <v>491462.44</v>
      </c>
      <c r="O2042" s="11">
        <f>CleanedData[[#This Row],[Total Sales ($)]]-CleanedData[[#This Row],[Total Cost ($)]]</f>
        <v>248341.24000000005</v>
      </c>
      <c r="P2042" s="12">
        <f>CleanedData[[#This Row],[Profit ($)]]/CleanedData[[#This Row],[Total Sales ($)]]</f>
        <v>0.33568532668018092</v>
      </c>
      <c r="Q2042" s="8" t="s">
        <v>95</v>
      </c>
      <c r="R2042" s="8" t="s">
        <v>32</v>
      </c>
      <c r="S2042" s="8" t="b">
        <f>_xlfn.SINGLE(CleanedData[[#This Row],[Delivery Status]])="Late"</f>
        <v>1</v>
      </c>
      <c r="T2042" s="10">
        <v>14</v>
      </c>
      <c r="U2042" s="8" t="s">
        <v>33</v>
      </c>
      <c r="V2042" s="10">
        <v>2501.41</v>
      </c>
      <c r="W2042" s="10">
        <v>26</v>
      </c>
      <c r="X2042" s="12">
        <v>3.6061026352288403E-2</v>
      </c>
      <c r="Y2042" s="8" t="b">
        <f>CleanedData[[#This Row],[Ship Date]]&lt;CleanedData[[#This Row],[Order Date]]</f>
        <v>1</v>
      </c>
      <c r="Z2042" s="10">
        <f>YEAR(CleanedData[[#This Row],[Order Date]])</f>
        <v>2023</v>
      </c>
      <c r="AA2042" s="8">
        <f>MONTH(CleanedData[[#This Row],[Order Date]])</f>
        <v>11</v>
      </c>
    </row>
    <row r="2043" spans="1:27" x14ac:dyDescent="0.35">
      <c r="A2043" s="8" t="s">
        <v>4945</v>
      </c>
      <c r="B2043" s="9">
        <v>45448</v>
      </c>
      <c r="C2043" s="9">
        <v>45424</v>
      </c>
      <c r="D2043" s="8" t="s">
        <v>2266</v>
      </c>
      <c r="E2043" s="8" t="s">
        <v>48</v>
      </c>
      <c r="F2043" s="8" t="s">
        <v>270</v>
      </c>
      <c r="G2043" s="8" t="s">
        <v>39</v>
      </c>
      <c r="H2043" s="8" t="s">
        <v>664</v>
      </c>
      <c r="I2043" s="8" t="s">
        <v>4979</v>
      </c>
      <c r="J2043" s="10">
        <v>718</v>
      </c>
      <c r="K2043" s="11">
        <v>690.24</v>
      </c>
      <c r="L2043" s="11">
        <v>1019.31</v>
      </c>
      <c r="M2043" s="11">
        <v>731864.58</v>
      </c>
      <c r="N2043" s="11">
        <v>495592.32</v>
      </c>
      <c r="O2043" s="11">
        <f>CleanedData[[#This Row],[Total Sales ($)]]-CleanedData[[#This Row],[Total Cost ($)]]</f>
        <v>236272.25999999995</v>
      </c>
      <c r="P2043" s="12">
        <f>CleanedData[[#This Row],[Profit ($)]]/CleanedData[[#This Row],[Total Sales ($)]]</f>
        <v>0.32283603614209605</v>
      </c>
      <c r="Q2043" s="8" t="s">
        <v>95</v>
      </c>
      <c r="R2043" s="8" t="s">
        <v>32</v>
      </c>
      <c r="S2043" s="8" t="b">
        <f>_xlfn.SINGLE(CleanedData[[#This Row],[Delivery Status]])="Late"</f>
        <v>1</v>
      </c>
      <c r="T2043" s="10">
        <v>12</v>
      </c>
      <c r="U2043" s="8" t="s">
        <v>86</v>
      </c>
      <c r="V2043" s="10">
        <v>3269</v>
      </c>
      <c r="W2043" s="10">
        <v>2</v>
      </c>
      <c r="X2043" s="12">
        <v>2.7855153203341998E-3</v>
      </c>
      <c r="Y2043" s="8" t="b">
        <f>CleanedData[[#This Row],[Ship Date]]&lt;CleanedData[[#This Row],[Order Date]]</f>
        <v>1</v>
      </c>
      <c r="Z2043" s="10">
        <f>YEAR(CleanedData[[#This Row],[Order Date]])</f>
        <v>2024</v>
      </c>
      <c r="AA2043" s="8">
        <f>MONTH(CleanedData[[#This Row],[Order Date]])</f>
        <v>6</v>
      </c>
    </row>
    <row r="2044" spans="1:27" x14ac:dyDescent="0.35">
      <c r="A2044" s="8" t="s">
        <v>4947</v>
      </c>
      <c r="B2044" s="9">
        <v>45526</v>
      </c>
      <c r="C2044" s="9">
        <v>45580</v>
      </c>
      <c r="D2044" s="8" t="s">
        <v>4948</v>
      </c>
      <c r="E2044" s="8" t="s">
        <v>26</v>
      </c>
      <c r="F2044" s="8" t="s">
        <v>228</v>
      </c>
      <c r="G2044" s="8" t="s">
        <v>217</v>
      </c>
      <c r="H2044" s="8" t="s">
        <v>725</v>
      </c>
      <c r="I2044" s="8" t="s">
        <v>4973</v>
      </c>
      <c r="J2044" s="10">
        <v>100</v>
      </c>
      <c r="K2044" s="11">
        <v>338.98</v>
      </c>
      <c r="L2044" s="11">
        <v>481.89</v>
      </c>
      <c r="M2044" s="11">
        <v>48189</v>
      </c>
      <c r="N2044" s="11">
        <v>33898</v>
      </c>
      <c r="O2044" s="11">
        <f>CleanedData[[#This Row],[Total Sales ($)]]-CleanedData[[#This Row],[Total Cost ($)]]</f>
        <v>14291</v>
      </c>
      <c r="P2044" s="12">
        <f>CleanedData[[#This Row],[Profit ($)]]/CleanedData[[#This Row],[Total Sales ($)]]</f>
        <v>0.29656145593392685</v>
      </c>
      <c r="Q2044" s="8" t="s">
        <v>31</v>
      </c>
      <c r="R2044" s="8" t="s">
        <v>32</v>
      </c>
      <c r="S2044" s="8" t="b">
        <f>_xlfn.SINGLE(CleanedData[[#This Row],[Delivery Status]])="Late"</f>
        <v>1</v>
      </c>
      <c r="T2044" s="10">
        <v>12</v>
      </c>
      <c r="U2044" s="8" t="s">
        <v>53</v>
      </c>
      <c r="V2044" s="10">
        <v>1462</v>
      </c>
      <c r="W2044" s="10">
        <v>4</v>
      </c>
      <c r="X2044" s="12">
        <v>0.04</v>
      </c>
      <c r="Y2044" s="8" t="b">
        <f>CleanedData[[#This Row],[Ship Date]]&lt;CleanedData[[#This Row],[Order Date]]</f>
        <v>0</v>
      </c>
      <c r="Z2044" s="10">
        <f>YEAR(CleanedData[[#This Row],[Order Date]])</f>
        <v>2024</v>
      </c>
      <c r="AA2044" s="8">
        <f>MONTH(CleanedData[[#This Row],[Order Date]])</f>
        <v>8</v>
      </c>
    </row>
    <row r="2045" spans="1:27" x14ac:dyDescent="0.35">
      <c r="A2045" s="8" t="s">
        <v>4949</v>
      </c>
      <c r="B2045" s="9">
        <v>44938</v>
      </c>
      <c r="C2045" s="9">
        <v>45054</v>
      </c>
      <c r="D2045" s="8" t="s">
        <v>4950</v>
      </c>
      <c r="E2045" s="8" t="s">
        <v>68</v>
      </c>
      <c r="F2045" s="8" t="s">
        <v>276</v>
      </c>
      <c r="G2045" s="8" t="s">
        <v>60</v>
      </c>
      <c r="H2045" s="8" t="s">
        <v>61</v>
      </c>
      <c r="I2045" s="8" t="s">
        <v>4968</v>
      </c>
      <c r="J2045" s="10">
        <v>760</v>
      </c>
      <c r="K2045" s="11">
        <v>263.8</v>
      </c>
      <c r="L2045" s="11">
        <v>424.88</v>
      </c>
      <c r="M2045" s="11">
        <v>322908.79999999999</v>
      </c>
      <c r="N2045" s="11">
        <v>200488</v>
      </c>
      <c r="O2045" s="11">
        <f>CleanedData[[#This Row],[Total Sales ($)]]-CleanedData[[#This Row],[Total Cost ($)]]</f>
        <v>122420.79999999999</v>
      </c>
      <c r="P2045" s="12">
        <f>CleanedData[[#This Row],[Profit ($)]]/CleanedData[[#This Row],[Total Sales ($)]]</f>
        <v>0.37911881001694592</v>
      </c>
      <c r="Q2045" s="8" t="s">
        <v>95</v>
      </c>
      <c r="R2045" s="8" t="s">
        <v>63</v>
      </c>
      <c r="S2045" s="8" t="b">
        <f>_xlfn.SINGLE(CleanedData[[#This Row],[Delivery Status]])="Late"</f>
        <v>0</v>
      </c>
      <c r="T2045" s="10">
        <v>1</v>
      </c>
      <c r="U2045" s="8" t="s">
        <v>33</v>
      </c>
      <c r="V2045" s="10">
        <v>3175</v>
      </c>
      <c r="W2045" s="10">
        <v>34</v>
      </c>
      <c r="X2045" s="12">
        <v>4.4736842105263103E-2</v>
      </c>
      <c r="Y2045" s="8" t="b">
        <f>CleanedData[[#This Row],[Ship Date]]&lt;CleanedData[[#This Row],[Order Date]]</f>
        <v>0</v>
      </c>
      <c r="Z2045" s="10">
        <f>YEAR(CleanedData[[#This Row],[Order Date]])</f>
        <v>2023</v>
      </c>
      <c r="AA2045" s="8">
        <f>MONTH(CleanedData[[#This Row],[Order Date]])</f>
        <v>1</v>
      </c>
    </row>
    <row r="2046" spans="1:27" x14ac:dyDescent="0.35">
      <c r="A2046" s="8" t="s">
        <v>4951</v>
      </c>
      <c r="B2046" s="9">
        <v>44988</v>
      </c>
      <c r="C2046" s="9">
        <v>45174</v>
      </c>
      <c r="D2046" s="8" t="s">
        <v>4952</v>
      </c>
      <c r="E2046" s="8" t="s">
        <v>48</v>
      </c>
      <c r="F2046" s="8" t="s">
        <v>183</v>
      </c>
      <c r="G2046" s="8" t="s">
        <v>93</v>
      </c>
      <c r="H2046" s="8" t="s">
        <v>1442</v>
      </c>
      <c r="I2046" s="8" t="s">
        <v>4969</v>
      </c>
      <c r="J2046" s="10">
        <v>723</v>
      </c>
      <c r="K2046" s="11">
        <v>457.69</v>
      </c>
      <c r="L2046" s="11">
        <v>601.28</v>
      </c>
      <c r="M2046" s="11">
        <v>434725.44</v>
      </c>
      <c r="N2046" s="11">
        <v>330909.87</v>
      </c>
      <c r="O2046" s="11">
        <f>CleanedData[[#This Row],[Total Sales ($)]]-CleanedData[[#This Row],[Total Cost ($)]]</f>
        <v>103815.57</v>
      </c>
      <c r="P2046" s="12">
        <f>CleanedData[[#This Row],[Profit ($)]]/CleanedData[[#This Row],[Total Sales ($)]]</f>
        <v>0.23880721128259713</v>
      </c>
      <c r="Q2046" s="8" t="s">
        <v>31</v>
      </c>
      <c r="R2046" s="8" t="s">
        <v>63</v>
      </c>
      <c r="S2046" s="8" t="b">
        <f>_xlfn.SINGLE(CleanedData[[#This Row],[Delivery Status]])="Late"</f>
        <v>0</v>
      </c>
      <c r="T2046" s="10">
        <v>4</v>
      </c>
      <c r="U2046" s="8" t="s">
        <v>33</v>
      </c>
      <c r="V2046" s="10">
        <v>232</v>
      </c>
      <c r="W2046" s="10">
        <v>21</v>
      </c>
      <c r="X2046" s="12">
        <v>2.9045643153526899E-2</v>
      </c>
      <c r="Y2046" s="8" t="b">
        <f>CleanedData[[#This Row],[Ship Date]]&lt;CleanedData[[#This Row],[Order Date]]</f>
        <v>0</v>
      </c>
      <c r="Z2046" s="10">
        <f>YEAR(CleanedData[[#This Row],[Order Date]])</f>
        <v>2023</v>
      </c>
      <c r="AA2046" s="8">
        <f>MONTH(CleanedData[[#This Row],[Order Date]])</f>
        <v>3</v>
      </c>
    </row>
    <row r="2047" spans="1:27" x14ac:dyDescent="0.35">
      <c r="A2047" s="8" t="s">
        <v>4953</v>
      </c>
      <c r="B2047" s="9">
        <v>45163</v>
      </c>
      <c r="C2047" s="9">
        <v>44971</v>
      </c>
      <c r="D2047" s="8" t="s">
        <v>4954</v>
      </c>
      <c r="E2047" s="8" t="s">
        <v>26</v>
      </c>
      <c r="F2047" s="8" t="s">
        <v>228</v>
      </c>
      <c r="G2047" s="8" t="s">
        <v>129</v>
      </c>
      <c r="H2047" s="8" t="s">
        <v>704</v>
      </c>
      <c r="I2047" s="8" t="s">
        <v>4969</v>
      </c>
      <c r="J2047" s="10">
        <v>697</v>
      </c>
      <c r="K2047" s="11">
        <v>1118.9000000000001</v>
      </c>
      <c r="L2047" s="11">
        <v>1459.2</v>
      </c>
      <c r="M2047" s="11">
        <v>1017062.4</v>
      </c>
      <c r="N2047" s="11">
        <v>779873.3</v>
      </c>
      <c r="O2047" s="11">
        <f>CleanedData[[#This Row],[Total Sales ($)]]-CleanedData[[#This Row],[Total Cost ($)]]</f>
        <v>237189.09999999998</v>
      </c>
      <c r="P2047" s="12">
        <f>CleanedData[[#This Row],[Profit ($)]]/CleanedData[[#This Row],[Total Sales ($)]]</f>
        <v>0.23320997807017541</v>
      </c>
      <c r="Q2047" s="8" t="s">
        <v>95</v>
      </c>
      <c r="R2047" s="8" t="s">
        <v>32</v>
      </c>
      <c r="S2047" s="8" t="b">
        <f>_xlfn.SINGLE(CleanedData[[#This Row],[Delivery Status]])="Late"</f>
        <v>1</v>
      </c>
      <c r="T2047" s="10">
        <v>11</v>
      </c>
      <c r="U2047" s="8" t="s">
        <v>53</v>
      </c>
      <c r="V2047" s="10">
        <v>2098</v>
      </c>
      <c r="W2047" s="10">
        <v>16</v>
      </c>
      <c r="X2047" s="12">
        <v>2.2955523672883699E-2</v>
      </c>
      <c r="Y2047" s="8" t="b">
        <f>CleanedData[[#This Row],[Ship Date]]&lt;CleanedData[[#This Row],[Order Date]]</f>
        <v>1</v>
      </c>
      <c r="Z2047" s="10">
        <f>YEAR(CleanedData[[#This Row],[Order Date]])</f>
        <v>2023</v>
      </c>
      <c r="AA2047" s="8">
        <f>MONTH(CleanedData[[#This Row],[Order Date]])</f>
        <v>8</v>
      </c>
    </row>
    <row r="2048" spans="1:27" x14ac:dyDescent="0.35">
      <c r="A2048" s="8" t="s">
        <v>4955</v>
      </c>
      <c r="B2048" s="9">
        <v>45108</v>
      </c>
      <c r="C2048" s="9">
        <v>45183</v>
      </c>
      <c r="D2048" s="8" t="s">
        <v>4956</v>
      </c>
      <c r="E2048" s="8" t="s">
        <v>26</v>
      </c>
      <c r="F2048" s="8" t="s">
        <v>38</v>
      </c>
      <c r="G2048" s="8" t="s">
        <v>70</v>
      </c>
      <c r="H2048" s="8" t="s">
        <v>384</v>
      </c>
      <c r="I2048" s="8" t="s">
        <v>4978</v>
      </c>
      <c r="J2048" s="10">
        <v>742</v>
      </c>
      <c r="K2048" s="11">
        <v>788.45</v>
      </c>
      <c r="L2048" s="11">
        <v>1157.56</v>
      </c>
      <c r="M2048" s="11">
        <v>858909.52</v>
      </c>
      <c r="N2048" s="11">
        <v>585029.9</v>
      </c>
      <c r="O2048" s="11">
        <f>CleanedData[[#This Row],[Total Sales ($)]]-CleanedData[[#This Row],[Total Cost ($)]]</f>
        <v>273879.62</v>
      </c>
      <c r="P2048" s="12">
        <f>CleanedData[[#This Row],[Profit ($)]]/CleanedData[[#This Row],[Total Sales ($)]]</f>
        <v>0.31886900031099896</v>
      </c>
      <c r="Q2048" s="8" t="s">
        <v>31</v>
      </c>
      <c r="R2048" s="8" t="s">
        <v>32</v>
      </c>
      <c r="S2048" s="8" t="b">
        <f>_xlfn.SINGLE(CleanedData[[#This Row],[Delivery Status]])="Late"</f>
        <v>1</v>
      </c>
      <c r="T2048" s="10">
        <v>6</v>
      </c>
      <c r="U2048" s="8" t="s">
        <v>33</v>
      </c>
      <c r="V2048" s="10">
        <v>2787</v>
      </c>
      <c r="W2048" s="10">
        <v>23</v>
      </c>
      <c r="X2048" s="12">
        <v>3.09973045822102E-2</v>
      </c>
      <c r="Y2048" s="8" t="b">
        <f>CleanedData[[#This Row],[Ship Date]]&lt;CleanedData[[#This Row],[Order Date]]</f>
        <v>0</v>
      </c>
      <c r="Z2048" s="10">
        <f>YEAR(CleanedData[[#This Row],[Order Date]])</f>
        <v>2023</v>
      </c>
      <c r="AA2048" s="8">
        <f>MONTH(CleanedData[[#This Row],[Order Date]])</f>
        <v>7</v>
      </c>
    </row>
    <row r="2049" spans="1:27" x14ac:dyDescent="0.35">
      <c r="A2049" s="8" t="s">
        <v>4957</v>
      </c>
      <c r="B2049" s="9">
        <v>45447</v>
      </c>
      <c r="C2049" s="9">
        <v>45069</v>
      </c>
      <c r="D2049" s="8" t="s">
        <v>4972</v>
      </c>
      <c r="E2049" s="8" t="s">
        <v>26</v>
      </c>
      <c r="F2049" s="8" t="s">
        <v>27</v>
      </c>
      <c r="G2049" s="8" t="s">
        <v>78</v>
      </c>
      <c r="H2049" s="8" t="s">
        <v>425</v>
      </c>
      <c r="I2049" s="8" t="s">
        <v>4968</v>
      </c>
      <c r="J2049" s="10">
        <v>658</v>
      </c>
      <c r="K2049" s="11">
        <v>992.9</v>
      </c>
      <c r="L2049" s="11">
        <v>1138.3900000000001</v>
      </c>
      <c r="M2049" s="11">
        <v>749060.62</v>
      </c>
      <c r="N2049" s="11">
        <v>653328.19999999995</v>
      </c>
      <c r="O2049" s="11">
        <f>CleanedData[[#This Row],[Total Sales ($)]]-CleanedData[[#This Row],[Total Cost ($)]]</f>
        <v>95732.420000000042</v>
      </c>
      <c r="P2049" s="12">
        <f>CleanedData[[#This Row],[Profit ($)]]/CleanedData[[#This Row],[Total Sales ($)]]</f>
        <v>0.12780330115338334</v>
      </c>
      <c r="Q2049" s="8" t="s">
        <v>42</v>
      </c>
      <c r="R2049" s="8" t="s">
        <v>63</v>
      </c>
      <c r="S2049" s="8" t="b">
        <f>_xlfn.SINGLE(CleanedData[[#This Row],[Delivery Status]])="Late"</f>
        <v>0</v>
      </c>
      <c r="T2049" s="10">
        <v>2</v>
      </c>
      <c r="U2049" s="8" t="s">
        <v>86</v>
      </c>
      <c r="V2049" s="10">
        <v>3059</v>
      </c>
      <c r="W2049" s="10">
        <v>7</v>
      </c>
      <c r="X2049" s="12">
        <v>1.0638297872340399E-2</v>
      </c>
      <c r="Y2049" s="8" t="b">
        <f>CleanedData[[#This Row],[Ship Date]]&lt;CleanedData[[#This Row],[Order Date]]</f>
        <v>1</v>
      </c>
      <c r="Z2049" s="10">
        <f>YEAR(CleanedData[[#This Row],[Order Date]])</f>
        <v>2024</v>
      </c>
      <c r="AA2049" s="8">
        <f>MONTH(CleanedData[[#This Row],[Order Date]])</f>
        <v>6</v>
      </c>
    </row>
    <row r="2050" spans="1:27" x14ac:dyDescent="0.35">
      <c r="A2050" s="8" t="s">
        <v>4959</v>
      </c>
      <c r="B2050" s="9">
        <v>45366</v>
      </c>
      <c r="C2050" s="9">
        <v>45386</v>
      </c>
      <c r="D2050" s="8" t="s">
        <v>4960</v>
      </c>
      <c r="E2050" s="8" t="s">
        <v>100</v>
      </c>
      <c r="F2050" s="8" t="s">
        <v>238</v>
      </c>
      <c r="G2050" s="8" t="s">
        <v>217</v>
      </c>
      <c r="H2050" s="8" t="s">
        <v>494</v>
      </c>
      <c r="I2050" s="8" t="s">
        <v>4970</v>
      </c>
      <c r="J2050" s="10">
        <v>377</v>
      </c>
      <c r="K2050" s="11">
        <v>813.8</v>
      </c>
      <c r="L2050" s="11">
        <v>1299.44</v>
      </c>
      <c r="M2050" s="11">
        <v>489888.88</v>
      </c>
      <c r="N2050" s="11">
        <v>306802.59999999998</v>
      </c>
      <c r="O2050" s="11">
        <f>CleanedData[[#This Row],[Total Sales ($)]]-CleanedData[[#This Row],[Total Cost ($)]]</f>
        <v>183086.28000000003</v>
      </c>
      <c r="P2050" s="12">
        <f>CleanedData[[#This Row],[Profit ($)]]/CleanedData[[#This Row],[Total Sales ($)]]</f>
        <v>0.37373022224958447</v>
      </c>
      <c r="Q2050" s="8" t="s">
        <v>95</v>
      </c>
      <c r="R2050" s="8" t="s">
        <v>32</v>
      </c>
      <c r="S2050" s="8" t="b">
        <f>_xlfn.SINGLE(CleanedData[[#This Row],[Delivery Status]])="Late"</f>
        <v>1</v>
      </c>
      <c r="T2050" s="10">
        <v>13</v>
      </c>
      <c r="U2050" s="8" t="s">
        <v>158</v>
      </c>
      <c r="V2050" s="10">
        <v>3084</v>
      </c>
      <c r="W2050" s="10">
        <v>6</v>
      </c>
      <c r="X2050" s="12">
        <v>1.5915119363395201E-2</v>
      </c>
      <c r="Y2050" s="8" t="b">
        <f>CleanedData[[#This Row],[Ship Date]]&lt;CleanedData[[#This Row],[Order Date]]</f>
        <v>0</v>
      </c>
      <c r="Z2050" s="10">
        <f>YEAR(CleanedData[[#This Row],[Order Date]])</f>
        <v>2024</v>
      </c>
      <c r="AA2050" s="8">
        <f>MONTH(CleanedData[[#This Row],[Order Date]])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🗂️ Raw Dataset (Messy)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Okolo</cp:lastModifiedBy>
  <dcterms:created xsi:type="dcterms:W3CDTF">2026-06-07T00:29:05Z</dcterms:created>
  <dcterms:modified xsi:type="dcterms:W3CDTF">2026-07-20T14:36:07Z</dcterms:modified>
</cp:coreProperties>
</file>